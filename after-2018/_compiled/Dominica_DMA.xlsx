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A_EBS.20.72_Ext_Debt_Data" sheetId="1" state="visible" r:id="rId1"/>
    <sheet xmlns:r="http://schemas.openxmlformats.org/officeDocument/2006/relationships" name="DMA_SM.18.139_Inp_Out_Debt" sheetId="2" state="visible" r:id="rId2"/>
    <sheet xmlns:r="http://schemas.openxmlformats.org/officeDocument/2006/relationships" name="DMA_SM.19.158_Ext_Debt_Data" sheetId="3" state="visible" r:id="rId3"/>
    <sheet xmlns:r="http://schemas.openxmlformats.org/officeDocument/2006/relationships" name="DMA_SM.22.7_Ext_Debt_Data" sheetId="4" state="visible" r:id="rId4"/>
    <sheet xmlns:r="http://schemas.openxmlformats.org/officeDocument/2006/relationships" name="DMA_SM.23.127_Ext_Debt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no_year_in_pairs</t>
        </is>
      </c>
      <c r="B2" s="2" t="n"/>
      <c r="C2" s="3" t="inlineStr">
        <is>
          <t>EBS.20.72, Sup. 1</t>
        </is>
      </c>
      <c r="D2" s="4" t="inlineStr">
        <is>
          <t>Dominica</t>
        </is>
      </c>
      <c r="E2" s="4" t="inlineStr">
        <is>
          <t>DMA</t>
        </is>
      </c>
      <c r="F2" s="4" t="n"/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no_year_in_pairs</t>
        </is>
      </c>
      <c r="B3" s="2" t="n"/>
      <c r="C3" s="3" t="inlineStr">
        <is>
          <t>EBS.20.72, Sup. 1</t>
        </is>
      </c>
      <c r="D3" s="4" t="inlineStr">
        <is>
          <t>Dominica</t>
        </is>
      </c>
      <c r="E3" s="4" t="inlineStr">
        <is>
          <t>DMA</t>
        </is>
      </c>
      <c r="F3" s="4" t="n"/>
      <c r="G3" s="4" t="inlineStr">
        <is>
          <t>2018gn</t>
        </is>
      </c>
      <c r="H3" s="4" t="n">
        <v>2019</v>
      </c>
      <c r="I3" s="5" t="n"/>
    </row>
    <row r="4">
      <c r="A4" t="inlineStr">
        <is>
          <t>no_year_in_pairs</t>
        </is>
      </c>
      <c r="B4" s="2" t="n"/>
      <c r="C4" s="3" t="inlineStr">
        <is>
          <t>EBS.20.72, Sup. 1</t>
        </is>
      </c>
      <c r="D4" s="4" t="inlineStr">
        <is>
          <t>Dominica</t>
        </is>
      </c>
      <c r="E4" s="4" t="inlineStr">
        <is>
          <t>DMA</t>
        </is>
      </c>
      <c r="F4" s="4" t="n"/>
      <c r="G4" s="4" t="inlineStr">
        <is>
          <t>2018gn</t>
        </is>
      </c>
      <c r="H4" s="4" t="n">
        <v>2019</v>
      </c>
      <c r="I4" s="5" t="n"/>
    </row>
    <row r="5">
      <c r="A5" t="inlineStr">
        <is>
          <t>no_year_in_pairs</t>
        </is>
      </c>
      <c r="B5" s="2" t="n"/>
      <c r="C5" s="3" t="inlineStr">
        <is>
          <t>EBS.20.72, Sup. 1</t>
        </is>
      </c>
      <c r="D5" s="4" t="inlineStr">
        <is>
          <t>Dominica</t>
        </is>
      </c>
      <c r="E5" s="4" t="inlineStr">
        <is>
          <t>DMA</t>
        </is>
      </c>
      <c r="F5" s="4" t="n"/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no_year_in_pairs</t>
        </is>
      </c>
      <c r="B6" s="2" t="n"/>
      <c r="C6" s="3" t="inlineStr">
        <is>
          <t>EBS.20.72, Sup. 1</t>
        </is>
      </c>
      <c r="D6" s="4" t="inlineStr">
        <is>
          <t>Dominica</t>
        </is>
      </c>
      <c r="E6" s="4" t="inlineStr">
        <is>
          <t>DMA</t>
        </is>
      </c>
      <c r="F6" s="4" t="n"/>
      <c r="G6" s="4" t="inlineStr">
        <is>
          <t>2018gn</t>
        </is>
      </c>
      <c r="H6" s="4" t="n">
        <v>2019</v>
      </c>
      <c r="I6" s="5" t="n"/>
    </row>
    <row r="7">
      <c r="A7" t="inlineStr">
        <is>
          <t>no_year_in_pairs</t>
        </is>
      </c>
      <c r="B7" s="2" t="n"/>
      <c r="C7" s="3" t="inlineStr">
        <is>
          <t>EBS.20.72, Sup. 1</t>
        </is>
      </c>
      <c r="D7" s="4" t="inlineStr">
        <is>
          <t>Dominica</t>
        </is>
      </c>
      <c r="E7" s="4" t="inlineStr">
        <is>
          <t>DMA</t>
        </is>
      </c>
      <c r="F7" s="4" t="n"/>
      <c r="G7" s="4" t="inlineStr">
        <is>
          <t>2018gn</t>
        </is>
      </c>
      <c r="H7" s="4" t="n">
        <v>2019</v>
      </c>
      <c r="I7" s="5" t="n"/>
    </row>
    <row r="8">
      <c r="A8" t="inlineStr">
        <is>
          <t>no_year_in_pairs</t>
        </is>
      </c>
      <c r="B8" s="2" t="n"/>
      <c r="C8" s="3" t="inlineStr">
        <is>
          <t>EBS.20.72, Sup. 1</t>
        </is>
      </c>
      <c r="D8" s="4" t="inlineStr">
        <is>
          <t>Dominica</t>
        </is>
      </c>
      <c r="E8" s="4" t="inlineStr">
        <is>
          <t>DMA</t>
        </is>
      </c>
      <c r="F8" s="4" t="n"/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no_year_in_pairs</t>
        </is>
      </c>
      <c r="B9" s="2" t="n"/>
      <c r="C9" s="3" t="inlineStr">
        <is>
          <t>EBS.20.72, Sup. 1</t>
        </is>
      </c>
      <c r="D9" s="4" t="inlineStr">
        <is>
          <t>Dominica</t>
        </is>
      </c>
      <c r="E9" s="4" t="inlineStr">
        <is>
          <t>DMA</t>
        </is>
      </c>
      <c r="F9" s="4" t="n"/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no_year_in_pairs</t>
        </is>
      </c>
      <c r="B10" s="2" t="n"/>
      <c r="C10" s="3" t="inlineStr">
        <is>
          <t>EBS.20.72, Sup. 1</t>
        </is>
      </c>
      <c r="D10" s="4" t="inlineStr">
        <is>
          <t>Dominica</t>
        </is>
      </c>
      <c r="E10" s="4" t="inlineStr">
        <is>
          <t>DMA</t>
        </is>
      </c>
      <c r="F10" s="4" t="n"/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no_year_in_pairs</t>
        </is>
      </c>
      <c r="B11" s="2" t="n"/>
      <c r="C11" s="3" t="inlineStr">
        <is>
          <t>EBS.20.72, Sup. 1</t>
        </is>
      </c>
      <c r="D11" s="4" t="inlineStr">
        <is>
          <t>Dominica</t>
        </is>
      </c>
      <c r="E11" s="4" t="inlineStr">
        <is>
          <t>DMA</t>
        </is>
      </c>
      <c r="F11" s="4" t="n"/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10.55835640740741</v>
      </c>
      <c r="O11" t="n">
        <v>7.685797888888884</v>
      </c>
      <c r="P11" t="n">
        <v>10.93558014814815</v>
      </c>
      <c r="Q11" t="n">
        <v>11.37849962962963</v>
      </c>
      <c r="R11" t="n">
        <v>11.51558629629629</v>
      </c>
      <c r="S11" t="n">
        <v>11.70790225925926</v>
      </c>
      <c r="T11" t="n">
        <v>11.10222786385527</v>
      </c>
      <c r="U11" t="n">
        <v>10.3556333801963</v>
      </c>
      <c r="V11" t="n">
        <v>9.675821223991132</v>
      </c>
      <c r="W11" t="n">
        <v>9.055800647147285</v>
      </c>
      <c r="X11" t="n">
        <v>8.489383946383999</v>
      </c>
      <c r="Y11" t="n">
        <v>7.971089460450438</v>
      </c>
      <c r="Z11" t="n">
        <v>7.496056584876907</v>
      </c>
      <c r="AA11" t="n">
        <v>7.059971296633893</v>
      </c>
      <c r="AB11" t="n">
        <v>6.659000871443784</v>
      </c>
      <c r="AC11" t="n">
        <v>6.289736642731972</v>
      </c>
      <c r="AD11" t="n">
        <v>5.949143796381597</v>
      </c>
      <c r="AE11" t="n">
        <v>5.634517322247312</v>
      </c>
      <c r="AF11" t="n">
        <v>5.343443354122029</v>
      </c>
      <c r="AG11" t="n">
        <v>5.073765226574764</v>
      </c>
      <c r="AH11" t="n">
        <v>4.823553661566788</v>
      </c>
      <c r="AI11" t="n">
        <v>4.591080571559038</v>
      </c>
      <c r="AJ11" t="n">
        <v>4.374796030301472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no_year_in_pairs</t>
        </is>
      </c>
      <c r="B12" s="2" t="n"/>
      <c r="C12" s="3" t="inlineStr">
        <is>
          <t>EBS.20.72, Sup. 1</t>
        </is>
      </c>
      <c r="D12" s="4" t="inlineStr">
        <is>
          <t>Dominica</t>
        </is>
      </c>
      <c r="E12" s="4" t="inlineStr">
        <is>
          <t>DMA</t>
        </is>
      </c>
      <c r="F12" s="4" t="n"/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1.49058840740741</v>
      </c>
      <c r="O12" t="n">
        <v>0.281960814814815</v>
      </c>
      <c r="P12" t="n">
        <v>0.986862777777778</v>
      </c>
      <c r="Q12" t="n">
        <v>1.409804</v>
      </c>
      <c r="R12" t="n">
        <v>0.8458824074074079</v>
      </c>
      <c r="S12" t="n">
        <v>0.8458824074074079</v>
      </c>
      <c r="T12" t="n">
        <v>0.733098084115226</v>
      </c>
      <c r="U12" t="n">
        <v>0.635351670902606</v>
      </c>
      <c r="V12" t="n">
        <v>0.5506381130513029</v>
      </c>
      <c r="W12" t="n">
        <v>0.477219696477634</v>
      </c>
      <c r="X12" t="n">
        <v>0.41359040231381</v>
      </c>
      <c r="Y12" t="n">
        <v>0.358445014211847</v>
      </c>
      <c r="Z12" t="n">
        <v>0.310652344673718</v>
      </c>
      <c r="AA12" t="n">
        <v>0.269232031204213</v>
      </c>
      <c r="AB12" t="n">
        <v>0.233334426310154</v>
      </c>
      <c r="AC12" t="n">
        <v>0.202223168833102</v>
      </c>
      <c r="AD12" t="n">
        <v>0.175260079104417</v>
      </c>
      <c r="AE12" t="n">
        <v>0.151892068079682</v>
      </c>
      <c r="AF12" t="n">
        <v>0.131639791921909</v>
      </c>
      <c r="AG12" t="n">
        <v>0.114087819307014</v>
      </c>
      <c r="AH12" t="n">
        <v>0.0988761097552574</v>
      </c>
      <c r="AI12" t="n">
        <v>0.08569262818517781</v>
      </c>
      <c r="AJ12" t="n">
        <v>0.07426694419369261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no_year_in_pairs</t>
        </is>
      </c>
      <c r="B13" s="2" t="n"/>
      <c r="C13" s="3" t="inlineStr">
        <is>
          <t>EBS.20.72, Sup. 1</t>
        </is>
      </c>
      <c r="D13" s="4" t="inlineStr">
        <is>
          <t>Dominica</t>
        </is>
      </c>
      <c r="E13" s="4" t="inlineStr">
        <is>
          <t>DMA</t>
        </is>
      </c>
      <c r="F13" s="4" t="n"/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small economy</t>
        </is>
      </c>
      <c r="N13" t="n">
        <v>1.21622633333333</v>
      </c>
      <c r="O13" t="n">
        <v>1.17956322222222</v>
      </c>
      <c r="P13" t="n">
        <v>1.33495651851852</v>
      </c>
      <c r="Q13" t="n">
        <v>1.48202933333333</v>
      </c>
      <c r="R13" t="n">
        <v>1.61973144444444</v>
      </c>
      <c r="S13" t="n">
        <v>1.73076444444444</v>
      </c>
      <c r="T13" t="n">
        <v>1.7600244569327</v>
      </c>
      <c r="U13" t="n">
        <v>1.74107637295109</v>
      </c>
      <c r="V13" t="n">
        <v>1.72233228038854</v>
      </c>
      <c r="W13" t="n">
        <v>1.70378998311279</v>
      </c>
      <c r="X13" t="n">
        <v>1.68544730863466</v>
      </c>
      <c r="Y13" t="n">
        <v>1.66730210785361</v>
      </c>
      <c r="Z13" t="n">
        <v>1.64935225480589</v>
      </c>
      <c r="AA13" t="n">
        <v>1.63159564641547</v>
      </c>
      <c r="AB13" t="n">
        <v>1.61403020224761</v>
      </c>
      <c r="AC13" t="n">
        <v>1.59665386426515</v>
      </c>
      <c r="AD13" t="n">
        <v>1.57946459658737</v>
      </c>
      <c r="AE13" t="n">
        <v>1.56246038525141</v>
      </c>
      <c r="AF13" t="n">
        <v>1.5456392379764</v>
      </c>
      <c r="AG13" t="n">
        <v>1.52899918392994</v>
      </c>
      <c r="AH13" t="n">
        <v>1.51253827349724</v>
      </c>
      <c r="AI13" t="n">
        <v>1.4962545780527</v>
      </c>
      <c r="AJ13" t="n">
        <v>1.48014618973392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no_year_in_pairs</t>
        </is>
      </c>
      <c r="B14" s="2" t="n"/>
      <c r="C14" s="3" t="inlineStr">
        <is>
          <t>EBS.20.72, Sup. 1</t>
        </is>
      </c>
      <c r="D14" s="4" t="inlineStr">
        <is>
          <t>Dominica</t>
        </is>
      </c>
      <c r="E14" s="4" t="inlineStr">
        <is>
          <t>DMA</t>
        </is>
      </c>
      <c r="F14" s="4" t="n"/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no_year_in_pairs</t>
        </is>
      </c>
      <c r="B15" s="2" t="n"/>
      <c r="C15" s="3" t="inlineStr">
        <is>
          <t>EBS.20.72, Sup. 1</t>
        </is>
      </c>
      <c r="D15" s="4" t="inlineStr">
        <is>
          <t>Dominica</t>
        </is>
      </c>
      <c r="E15" s="4" t="inlineStr">
        <is>
          <t>DMA</t>
        </is>
      </c>
      <c r="F15" s="4" t="n"/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CDB</t>
        </is>
      </c>
      <c r="N15" t="n">
        <v>7.85154166666667</v>
      </c>
      <c r="O15" t="n">
        <v>6.22427385185185</v>
      </c>
      <c r="P15" t="n">
        <v>8.61376085185185</v>
      </c>
      <c r="Q15" t="n">
        <v>8.486666296296301</v>
      </c>
      <c r="R15" t="n">
        <v>9.049972444444441</v>
      </c>
      <c r="S15" t="n">
        <v>9.13125540740741</v>
      </c>
      <c r="T15" t="n">
        <v>8.60910532280734</v>
      </c>
      <c r="U15" t="n">
        <v>7.9792053363426</v>
      </c>
      <c r="V15" t="n">
        <v>7.40285083055129</v>
      </c>
      <c r="W15" t="n">
        <v>6.87479096755686</v>
      </c>
      <c r="X15" t="n">
        <v>6.39034623543553</v>
      </c>
      <c r="Y15" t="n">
        <v>5.945342338384981</v>
      </c>
      <c r="Z15" t="n">
        <v>5.536051985397299</v>
      </c>
      <c r="AA15" t="n">
        <v>5.15914361901421</v>
      </c>
      <c r="AB15" t="n">
        <v>4.81163624288602</v>
      </c>
      <c r="AC15" t="n">
        <v>4.49085960963372</v>
      </c>
      <c r="AD15" t="n">
        <v>4.19441912068981</v>
      </c>
      <c r="AE15" t="n">
        <v>3.92016486891622</v>
      </c>
      <c r="AF15" t="n">
        <v>3.66616432422372</v>
      </c>
      <c r="AG15" t="n">
        <v>3.43067822333781</v>
      </c>
      <c r="AH15" t="n">
        <v>3.21213927831429</v>
      </c>
      <c r="AI15" t="n">
        <v>3.00913336532116</v>
      </c>
      <c r="AJ15" t="n">
        <v>2.82038289637386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no_year_in_pairs</t>
        </is>
      </c>
      <c r="B16" s="2" t="n"/>
      <c r="C16" s="3" t="inlineStr">
        <is>
          <t>EBS.20.72, Sup. 1</t>
        </is>
      </c>
      <c r="D16" s="4" t="inlineStr">
        <is>
          <t>Dominica</t>
        </is>
      </c>
      <c r="E16" s="4" t="inlineStr">
        <is>
          <t>DMA</t>
        </is>
      </c>
      <c r="F16" s="4" t="n"/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MULTIRES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no_year_in_pairs</t>
        </is>
      </c>
      <c r="B17" s="2" t="n"/>
      <c r="C17" s="3" t="inlineStr">
        <is>
          <t>EBS.20.72, Sup. 1</t>
        </is>
      </c>
      <c r="D17" s="4" t="inlineStr">
        <is>
          <t>Dominica</t>
        </is>
      </c>
      <c r="E17" s="4" t="inlineStr">
        <is>
          <t>DMA</t>
        </is>
      </c>
      <c r="F17" s="4" t="n"/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no_year_in_pairs</t>
        </is>
      </c>
      <c r="B18" s="2" t="n"/>
      <c r="C18" s="3" t="inlineStr">
        <is>
          <t>EBS.20.72, Sup. 1</t>
        </is>
      </c>
      <c r="D18" s="4" t="inlineStr">
        <is>
          <t>Dominica</t>
        </is>
      </c>
      <c r="E18" s="4" t="inlineStr">
        <is>
          <t>DMA</t>
        </is>
      </c>
      <c r="F18" s="4" t="n"/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3.26694259259259</v>
      </c>
      <c r="O18" t="n">
        <v>3.48315618518519</v>
      </c>
      <c r="P18" t="n">
        <v>3.32403962962963</v>
      </c>
      <c r="Q18" t="n">
        <v>3.21559996296296</v>
      </c>
      <c r="R18" t="n">
        <v>3.36942085185185</v>
      </c>
      <c r="S18" t="n">
        <v>3.48078922222222</v>
      </c>
      <c r="T18" t="n">
        <v>1.83865441074296</v>
      </c>
      <c r="U18" t="n">
        <v>2.57879532737733</v>
      </c>
      <c r="V18" t="n">
        <v>2.89095303137815</v>
      </c>
      <c r="W18" t="n">
        <v>3.08143139495247</v>
      </c>
      <c r="X18" t="n">
        <v>3.12923695597685</v>
      </c>
      <c r="Y18" t="n">
        <v>0.976674769157878</v>
      </c>
      <c r="Z18" t="n">
        <v>0.0506525878327126</v>
      </c>
      <c r="AA18" t="n">
        <v>0.16313653717527</v>
      </c>
      <c r="AB18" t="n">
        <v>0.233830225613625</v>
      </c>
      <c r="AC18" t="n">
        <v>0.281707130483617</v>
      </c>
      <c r="AD18" t="n">
        <v>0.319433316863138</v>
      </c>
      <c r="AE18" t="n">
        <v>0.368204299224994</v>
      </c>
      <c r="AF18" t="n">
        <v>0.393712408537453</v>
      </c>
      <c r="AG18" t="n">
        <v>0.407806779846976</v>
      </c>
      <c r="AH18" t="n">
        <v>0.415281781265624</v>
      </c>
      <c r="AI18" t="n">
        <v>0.418546238447462</v>
      </c>
      <c r="AJ18" t="n">
        <v>0.418291327548046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no_year_in_pairs</t>
        </is>
      </c>
      <c r="B19" s="2" t="n"/>
      <c r="C19" s="3" t="inlineStr">
        <is>
          <t>EBS.20.72, Sup. 1</t>
        </is>
      </c>
      <c r="D19" s="4" t="inlineStr">
        <is>
          <t>Dominica</t>
        </is>
      </c>
      <c r="E19" s="4" t="inlineStr">
        <is>
          <t>DMA</t>
        </is>
      </c>
      <c r="F19" s="4" t="n"/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3.26694259259259</v>
      </c>
      <c r="O19" t="n">
        <v>3.48315618518519</v>
      </c>
      <c r="P19" t="n">
        <v>3.32403962962963</v>
      </c>
      <c r="Q19" t="n">
        <v>3.21559996296296</v>
      </c>
      <c r="R19" t="n">
        <v>3.36942085185185</v>
      </c>
      <c r="S19" t="n">
        <v>3.48078922222222</v>
      </c>
      <c r="T19" t="n">
        <v>1.83865441074296</v>
      </c>
      <c r="U19" t="n">
        <v>2.57879532737733</v>
      </c>
      <c r="V19" t="n">
        <v>2.89095303137815</v>
      </c>
      <c r="W19" t="n">
        <v>3.08143139495247</v>
      </c>
      <c r="X19" t="n">
        <v>3.12923695597685</v>
      </c>
      <c r="Y19" t="n">
        <v>0.976674769157878</v>
      </c>
      <c r="Z19" t="n">
        <v>0.0506525878327126</v>
      </c>
      <c r="AA19" t="n">
        <v>0.16313653717527</v>
      </c>
      <c r="AB19" t="n">
        <v>0.233830225613625</v>
      </c>
      <c r="AC19" t="n">
        <v>0.281707130483617</v>
      </c>
      <c r="AD19" t="n">
        <v>0.319433316863138</v>
      </c>
      <c r="AE19" t="n">
        <v>0.368204299224994</v>
      </c>
      <c r="AF19" t="n">
        <v>0.393712408537453</v>
      </c>
      <c r="AG19" t="n">
        <v>0.407806779846976</v>
      </c>
      <c r="AH19" t="n">
        <v>0.415281781265624</v>
      </c>
      <c r="AI19" t="n">
        <v>0.418546238447462</v>
      </c>
      <c r="AJ19" t="n">
        <v>0.418291327548046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no_year_in_pairs</t>
        </is>
      </c>
      <c r="B20" s="2" t="n"/>
      <c r="C20" s="3" t="inlineStr">
        <is>
          <t>EBS.20.72, Sup. 1</t>
        </is>
      </c>
      <c r="D20" s="4" t="inlineStr">
        <is>
          <t>Dominica</t>
        </is>
      </c>
      <c r="E20" s="4" t="inlineStr">
        <is>
          <t>DMA</t>
        </is>
      </c>
      <c r="F20" s="4" t="n"/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no_year_in_pairs</t>
        </is>
      </c>
      <c r="B21" s="2" t="n"/>
      <c r="C21" s="3" t="inlineStr">
        <is>
          <t>EBS.20.72, Sup. 1</t>
        </is>
      </c>
      <c r="D21" s="4" t="inlineStr">
        <is>
          <t>Dominica</t>
        </is>
      </c>
      <c r="E21" s="4" t="inlineStr">
        <is>
          <t>DMA</t>
        </is>
      </c>
      <c r="F21" s="4" t="n"/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no_year_in_pairs</t>
        </is>
      </c>
      <c r="B22" s="2" t="n"/>
      <c r="C22" s="3" t="inlineStr">
        <is>
          <t>EBS.20.72, Sup. 1</t>
        </is>
      </c>
      <c r="D22" s="4" t="inlineStr">
        <is>
          <t>Dominica</t>
        </is>
      </c>
      <c r="E22" s="4" t="inlineStr">
        <is>
          <t>DMA</t>
        </is>
      </c>
      <c r="F22" s="4" t="n"/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8.826773949673917</v>
      </c>
      <c r="O22" t="n">
        <v>7.480639486755843</v>
      </c>
      <c r="P22" t="n">
        <v>8.035340882258167</v>
      </c>
      <c r="Q22" t="n">
        <v>7.419445579875342</v>
      </c>
      <c r="R22" t="n">
        <v>7.234613544909944</v>
      </c>
      <c r="S22" t="n">
        <v>7.082889474569905</v>
      </c>
      <c r="T22" t="n">
        <v>6.214366559151007</v>
      </c>
      <c r="U22" t="n">
        <v>5.964650728459483</v>
      </c>
      <c r="V22" t="n">
        <v>5.609050122226527</v>
      </c>
      <c r="W22" t="n">
        <v>5.298302357142182</v>
      </c>
      <c r="X22" t="n">
        <v>4.966352735963627</v>
      </c>
      <c r="Y22" t="n">
        <v>4.604300524236842</v>
      </c>
      <c r="Z22" t="n">
        <v>4.32815141788899</v>
      </c>
      <c r="AA22" t="n">
        <v>2.91438422187229</v>
      </c>
      <c r="AB22" t="n">
        <v>0.8808273363116595</v>
      </c>
      <c r="AC22" t="n">
        <v>0.05692937574216952</v>
      </c>
      <c r="AD22" t="n">
        <v>0.01204478434794526</v>
      </c>
      <c r="AE22" t="n">
        <v>0.005185912479557603</v>
      </c>
      <c r="AF22" t="n">
        <v>0.003825300261020237</v>
      </c>
      <c r="AG22" t="n">
        <v>0.003640902463103571</v>
      </c>
      <c r="AH22" t="n">
        <v>0.002372616080177775</v>
      </c>
      <c r="AI22" t="n">
        <v>-1.997115806487878</v>
      </c>
      <c r="AJ22" t="n">
        <v>-1.999999909958526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no_year_in_pairs</t>
        </is>
      </c>
      <c r="B23" s="2" t="n"/>
      <c r="C23" s="3" t="inlineStr">
        <is>
          <t>EBS.20.72, Sup. 1</t>
        </is>
      </c>
      <c r="D23" s="4" t="inlineStr">
        <is>
          <t>Dominica</t>
        </is>
      </c>
      <c r="E23" s="4" t="inlineStr">
        <is>
          <t>DMA</t>
        </is>
      </c>
      <c r="F23" s="4" t="n"/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4.20222396296296</v>
      </c>
      <c r="O23" t="n">
        <v>2.65357137037037</v>
      </c>
      <c r="P23" t="n">
        <v>2.75897955555556</v>
      </c>
      <c r="Q23" t="n">
        <v>2.70666385185185</v>
      </c>
      <c r="R23" t="n">
        <v>2.65676496296296</v>
      </c>
      <c r="S23" t="n">
        <v>2.60756722222222</v>
      </c>
      <c r="T23" t="n">
        <v>2.03453392020688</v>
      </c>
      <c r="U23" t="n">
        <v>1.58742917045289</v>
      </c>
      <c r="V23" t="n">
        <v>1.2385791881752</v>
      </c>
      <c r="W23" t="n">
        <v>0.966391719350272</v>
      </c>
      <c r="X23" t="n">
        <v>0.7540195767415631</v>
      </c>
      <c r="Y23" t="n">
        <v>0.5883178743416521</v>
      </c>
      <c r="Z23" t="n">
        <v>0.4590304177056</v>
      </c>
      <c r="AA23" t="n">
        <v>0.358154891375293</v>
      </c>
      <c r="AB23" t="n">
        <v>0.27944755133486</v>
      </c>
      <c r="AC23" t="n">
        <v>0.218036765174936</v>
      </c>
      <c r="AD23" t="n">
        <v>0.170121479829977</v>
      </c>
      <c r="AE23" t="n">
        <v>0.132735953389884</v>
      </c>
      <c r="AF23" t="n">
        <v>0.103566188937047</v>
      </c>
      <c r="AG23" t="n">
        <v>0.08080670848416589</v>
      </c>
      <c r="AH23" t="n">
        <v>0.06304880196001081</v>
      </c>
      <c r="AI23" t="n">
        <v>0.0491933343550504</v>
      </c>
      <c r="AJ23" t="n">
        <v>0.0383827141791318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no_year_in_pairs</t>
        </is>
      </c>
      <c r="B24" s="2" t="n"/>
      <c r="C24" s="3" t="inlineStr">
        <is>
          <t>EBS.20.72, Sup. 1</t>
        </is>
      </c>
      <c r="D24" s="4" t="inlineStr">
        <is>
          <t>Dominica</t>
        </is>
      </c>
      <c r="E24" s="4" t="inlineStr">
        <is>
          <t>DMA</t>
        </is>
      </c>
      <c r="F24" s="4" t="n"/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4.20222396296296</v>
      </c>
      <c r="O24" t="n">
        <v>2.65357137037037</v>
      </c>
      <c r="P24" t="n">
        <v>2.75897955555556</v>
      </c>
      <c r="Q24" t="n">
        <v>2.70666385185185</v>
      </c>
      <c r="R24" t="n">
        <v>2.65676496296296</v>
      </c>
      <c r="S24" t="n">
        <v>2.60756722222222</v>
      </c>
      <c r="T24" t="n">
        <v>2.03453392020688</v>
      </c>
      <c r="U24" t="n">
        <v>1.58742917045289</v>
      </c>
      <c r="V24" t="n">
        <v>1.2385791881752</v>
      </c>
      <c r="W24" t="n">
        <v>0.966391719350272</v>
      </c>
      <c r="X24" t="n">
        <v>0.7540195767415631</v>
      </c>
      <c r="Y24" t="n">
        <v>0.5883178743416521</v>
      </c>
      <c r="Z24" t="n">
        <v>0.4590304177056</v>
      </c>
      <c r="AA24" t="n">
        <v>0.358154891375293</v>
      </c>
      <c r="AB24" t="n">
        <v>0.27944755133486</v>
      </c>
      <c r="AC24" t="n">
        <v>0.218036765174936</v>
      </c>
      <c r="AD24" t="n">
        <v>0.170121479829977</v>
      </c>
      <c r="AE24" t="n">
        <v>0.132735953389884</v>
      </c>
      <c r="AF24" t="n">
        <v>0.103566188937047</v>
      </c>
      <c r="AG24" t="n">
        <v>0.08080670848416589</v>
      </c>
      <c r="AH24" t="n">
        <v>0.06304880196001081</v>
      </c>
      <c r="AI24" t="n">
        <v>0.0491933343550504</v>
      </c>
      <c r="AJ24" t="n">
        <v>0.0383827141791318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no_year_in_pairs</t>
        </is>
      </c>
      <c r="B25" s="2" t="n"/>
      <c r="C25" s="3" t="inlineStr">
        <is>
          <t>EBS.20.72, Sup. 1</t>
        </is>
      </c>
      <c r="D25" s="4" t="inlineStr">
        <is>
          <t>Dominica</t>
        </is>
      </c>
      <c r="E25" s="4" t="inlineStr">
        <is>
          <t>DMA</t>
        </is>
      </c>
      <c r="F25" s="4" t="n"/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no_year_in_pairs</t>
        </is>
      </c>
      <c r="B26" s="2" t="n"/>
      <c r="C26" s="3" t="inlineStr">
        <is>
          <t>EBS.20.72, Sup. 1</t>
        </is>
      </c>
      <c r="D26" s="4" t="inlineStr">
        <is>
          <t>Dominica</t>
        </is>
      </c>
      <c r="E26" s="4" t="inlineStr">
        <is>
          <t>DMA</t>
        </is>
      </c>
      <c r="F26" s="4" t="n"/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no_year_in_pairs</t>
        </is>
      </c>
      <c r="B27" s="2" t="n"/>
      <c r="C27" s="3" t="inlineStr">
        <is>
          <t>EBS.20.72, Sup. 1</t>
        </is>
      </c>
      <c r="D27" s="4" t="inlineStr">
        <is>
          <t>Dominica</t>
        </is>
      </c>
      <c r="E27" s="4" t="inlineStr">
        <is>
          <t>DMA</t>
        </is>
      </c>
      <c r="F27" s="4" t="n"/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no_year_in_pairs</t>
        </is>
      </c>
      <c r="B28" s="2" t="n"/>
      <c r="C28" s="3" t="inlineStr">
        <is>
          <t>EBS.20.72, Sup. 1</t>
        </is>
      </c>
      <c r="D28" s="4" t="inlineStr">
        <is>
          <t>Dominica</t>
        </is>
      </c>
      <c r="E28" s="4" t="inlineStr">
        <is>
          <t>DMA</t>
        </is>
      </c>
      <c r="F28" s="4" t="n"/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no_year_in_pairs</t>
        </is>
      </c>
      <c r="B29" s="2" t="n"/>
      <c r="C29" s="3" t="inlineStr">
        <is>
          <t>EBS.20.72, Sup. 1</t>
        </is>
      </c>
      <c r="D29" s="4" t="inlineStr">
        <is>
          <t>Dominica</t>
        </is>
      </c>
      <c r="E29" s="4" t="inlineStr">
        <is>
          <t>DMA</t>
        </is>
      </c>
      <c r="F29" s="4" t="n"/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4.624549986710957</v>
      </c>
      <c r="O29" t="n">
        <v>4.827068116385473</v>
      </c>
      <c r="P29" t="n">
        <v>5.276361326702607</v>
      </c>
      <c r="Q29" t="n">
        <v>4.712781728023493</v>
      </c>
      <c r="R29" t="n">
        <v>4.577848581946984</v>
      </c>
      <c r="S29" t="n">
        <v>4.475322252347685</v>
      </c>
      <c r="T29" t="n">
        <v>4.179832638944127</v>
      </c>
      <c r="U29" t="n">
        <v>4.377221558006593</v>
      </c>
      <c r="V29" t="n">
        <v>4.370470934051328</v>
      </c>
      <c r="W29" t="n">
        <v>4.331910637791911</v>
      </c>
      <c r="X29" t="n">
        <v>4.212333159222064</v>
      </c>
      <c r="Y29" t="n">
        <v>4.015982649895189</v>
      </c>
      <c r="Z29" t="n">
        <v>3.86912100018339</v>
      </c>
      <c r="AA29" t="n">
        <v>2.556229330496997</v>
      </c>
      <c r="AB29" t="n">
        <v>0.6013797849767996</v>
      </c>
      <c r="AC29" t="n">
        <v>-0.1611073894327665</v>
      </c>
      <c r="AD29" t="n">
        <v>-0.1580766954820317</v>
      </c>
      <c r="AE29" t="n">
        <v>-0.1275500409103264</v>
      </c>
      <c r="AF29" t="n">
        <v>-0.09974088867602676</v>
      </c>
      <c r="AG29" t="n">
        <v>-0.07716580602106232</v>
      </c>
      <c r="AH29" t="n">
        <v>-0.06067618587983303</v>
      </c>
      <c r="AI29" t="n">
        <v>-2.046309140842929</v>
      </c>
      <c r="AJ29" t="n">
        <v>-2.038382624137658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no_year_in_pairs</t>
        </is>
      </c>
      <c r="B30" s="2" t="n"/>
      <c r="C30" s="3" t="inlineStr">
        <is>
          <t>EBS.20.72, Sup. 1</t>
        </is>
      </c>
      <c r="D30" s="4" t="inlineStr">
        <is>
          <t>Dominica</t>
        </is>
      </c>
      <c r="E30" s="4" t="inlineStr">
        <is>
          <t>DMA</t>
        </is>
      </c>
      <c r="F30" s="4" t="n"/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NPC2</t>
        </is>
      </c>
      <c r="N30" t="n">
        <v>0.6045350370370369</v>
      </c>
      <c r="O30" t="n">
        <v>0.292128296296296</v>
      </c>
      <c r="P30" t="n">
        <v>0.572204</v>
      </c>
      <c r="Q30" t="n">
        <v>0.0974182222222222</v>
      </c>
      <c r="R30" t="n">
        <v>0.0517803703703704</v>
      </c>
      <c r="S30" t="n">
        <v>0.0502312962962963</v>
      </c>
      <c r="T30" t="n">
        <v>0.0390673083430259</v>
      </c>
      <c r="U30" t="n">
        <v>0.0303845350151077</v>
      </c>
      <c r="V30" t="n">
        <v>0.0236315222942436</v>
      </c>
      <c r="W30" t="n">
        <v>0.0183793777217805</v>
      </c>
      <c r="X30" t="n">
        <v>0.0142945308911465</v>
      </c>
      <c r="Y30" t="n">
        <v>0.0111175479655003</v>
      </c>
      <c r="Z30" t="n">
        <v>0.008646654703565841</v>
      </c>
      <c r="AA30" t="n">
        <v>0.006724921519988511</v>
      </c>
      <c r="AB30" t="n">
        <v>0.005230296687035989</v>
      </c>
      <c r="AC30" t="n">
        <v>0.00406785467356152</v>
      </c>
      <c r="AD30" t="n">
        <v>0.00316376730334081</v>
      </c>
      <c r="AE30" t="n">
        <v>0.00246061483335266</v>
      </c>
      <c r="AF30" t="n">
        <v>0.00191373915259877</v>
      </c>
      <c r="AG30" t="n">
        <v>0.00148840748846471</v>
      </c>
      <c r="AH30" t="n">
        <v>0.00115760648399208</v>
      </c>
      <c r="AI30" t="n">
        <v>0.000900326545093346</v>
      </c>
      <c r="AJ30" t="n">
        <v>0.000700227494411017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no_year_in_pairs</t>
        </is>
      </c>
      <c r="B31" s="2" t="n"/>
      <c r="C31" s="3" t="inlineStr">
        <is>
          <t>EBS.20.72, Sup. 1</t>
        </is>
      </c>
      <c r="D31" s="4" t="inlineStr">
        <is>
          <t>Dominica</t>
        </is>
      </c>
      <c r="E31" s="4" t="inlineStr">
        <is>
          <t>DMA</t>
        </is>
      </c>
      <c r="F31" s="4" t="n"/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0.379479518518518</v>
      </c>
      <c r="O31" t="n">
        <v>0.366848851851852</v>
      </c>
      <c r="P31" t="n">
        <v>0.354500148148148</v>
      </c>
      <c r="Q31" t="n">
        <v>0.342151444444444</v>
      </c>
      <c r="R31" t="n">
        <v>0.329802703703704</v>
      </c>
      <c r="S31" t="n">
        <v>0.304317074074074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no_year_in_pairs</t>
        </is>
      </c>
      <c r="B32" s="2" t="n"/>
      <c r="C32" s="3" t="inlineStr">
        <is>
          <t>EBS.20.72, Sup. 1</t>
        </is>
      </c>
      <c r="D32" s="4" t="inlineStr">
        <is>
          <t>Dominica</t>
        </is>
      </c>
      <c r="E32" s="4" t="inlineStr">
        <is>
          <t>DMA</t>
        </is>
      </c>
      <c r="F32" s="4" t="n"/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3.45157051851852</v>
      </c>
      <c r="O32" t="n">
        <v>3.34368785185185</v>
      </c>
      <c r="P32" t="n">
        <v>3.28684607407407</v>
      </c>
      <c r="Q32" t="n">
        <v>3.23166718518519</v>
      </c>
      <c r="R32" t="n">
        <v>3.17648833333333</v>
      </c>
      <c r="S32" t="n">
        <v>3.1223677037037</v>
      </c>
      <c r="T32" t="n">
        <v>2.70605201138758</v>
      </c>
      <c r="U32" t="n">
        <v>2.34524507784547</v>
      </c>
      <c r="V32" t="n">
        <v>2.0325457352677</v>
      </c>
      <c r="W32" t="n">
        <v>1.76153963821563</v>
      </c>
      <c r="X32" t="n">
        <v>1.52666768730603</v>
      </c>
      <c r="Y32" t="n">
        <v>1.32311199640404</v>
      </c>
      <c r="Z32" t="n">
        <v>1.14669706419048</v>
      </c>
      <c r="AA32" t="n">
        <v>0.993804122853344</v>
      </c>
      <c r="AB32" t="n">
        <v>0.861296906953839</v>
      </c>
      <c r="AC32" t="n">
        <v>0.74645731977681</v>
      </c>
      <c r="AD32" t="n">
        <v>0.6469296775011421</v>
      </c>
      <c r="AE32" t="n">
        <v>0.560672387480732</v>
      </c>
      <c r="AF32" t="n">
        <v>0.485916069421299</v>
      </c>
      <c r="AG32" t="n">
        <v>0.42112726040028</v>
      </c>
      <c r="AH32" t="n">
        <v>0.364976959217376</v>
      </c>
      <c r="AI32" t="n">
        <v>0.316313364831686</v>
      </c>
      <c r="AJ32" t="n">
        <v>0.274138249673871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no_year_in_pairs</t>
        </is>
      </c>
      <c r="B33" s="2" t="n"/>
      <c r="C33" s="3" t="inlineStr">
        <is>
          <t>EBS.20.72, Sup. 1</t>
        </is>
      </c>
      <c r="D33" s="4" t="inlineStr">
        <is>
          <t>Dominica</t>
        </is>
      </c>
      <c r="E33" s="4" t="inlineStr">
        <is>
          <t>DMA</t>
        </is>
      </c>
      <c r="F33" s="4" t="n"/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0.00288780152577235</v>
      </c>
      <c r="O33" t="n">
        <v>0.00306830157066073</v>
      </c>
      <c r="P33" t="n">
        <v>0.00327621559149931</v>
      </c>
      <c r="Q33" t="n">
        <v>0.00345998728274681</v>
      </c>
      <c r="R33" t="n">
        <v>0.0035624708358792</v>
      </c>
      <c r="S33" t="n">
        <v>0.00366051160694692</v>
      </c>
      <c r="T33" t="n">
        <v>0.00375306993736182</v>
      </c>
      <c r="U33" t="n">
        <v>0.0038485958407847</v>
      </c>
      <c r="V33" t="n">
        <v>0.0039374116432946</v>
      </c>
      <c r="W33" t="n">
        <v>0.00401903609575979</v>
      </c>
      <c r="X33" t="n">
        <v>0.00410479379658799</v>
      </c>
      <c r="Y33" t="n">
        <v>0.00419482846674931</v>
      </c>
      <c r="Z33" t="n">
        <v>0.00428931711459495</v>
      </c>
      <c r="AA33" t="n">
        <v>0.0043885693581346</v>
      </c>
      <c r="AB33" t="n">
        <v>0.004490775785679599</v>
      </c>
      <c r="AC33" t="n">
        <v>0.004230204010666139</v>
      </c>
      <c r="AD33" t="n">
        <v>0.00413990858822045</v>
      </c>
      <c r="AE33" t="n">
        <v>0.00400018111559887</v>
      </c>
      <c r="AF33" t="n">
        <v>0.00364744055642748</v>
      </c>
      <c r="AG33" t="n">
        <v>0.00361422350741498</v>
      </c>
      <c r="AH33" t="n">
        <v>0.00236861423682486</v>
      </c>
      <c r="AI33" t="n">
        <v>0.00288359323562182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no_year_in_pairs</t>
        </is>
      </c>
      <c r="B34" s="2" t="n"/>
      <c r="C34" s="3" t="inlineStr">
        <is>
          <t>EBS.20.72, Sup. 1</t>
        </is>
      </c>
      <c r="D34" s="4" t="inlineStr">
        <is>
          <t>Dominica</t>
        </is>
      </c>
      <c r="E34" s="4" t="inlineStr">
        <is>
          <t>DMA</t>
        </is>
      </c>
      <c r="F34" s="4" t="n"/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0.186077111111111</v>
      </c>
      <c r="O34" t="n">
        <v>0.821334814814814</v>
      </c>
      <c r="P34" t="n">
        <v>1.05953488888889</v>
      </c>
      <c r="Q34" t="n">
        <v>1.03808488888889</v>
      </c>
      <c r="R34" t="n">
        <v>1.0162147037037</v>
      </c>
      <c r="S34" t="n">
        <v>0.994745666666668</v>
      </c>
      <c r="T34" t="n">
        <v>1.43096024927616</v>
      </c>
      <c r="U34" t="n">
        <v>1.99774334930523</v>
      </c>
      <c r="V34" t="n">
        <v>2.31035626484609</v>
      </c>
      <c r="W34" t="n">
        <v>2.54797258575874</v>
      </c>
      <c r="X34" t="n">
        <v>2.6672661472283</v>
      </c>
      <c r="Y34" t="n">
        <v>2.6775582770589</v>
      </c>
      <c r="Z34" t="n">
        <v>2.70948796417475</v>
      </c>
      <c r="AA34" t="n">
        <v>1.55131171676553</v>
      </c>
      <c r="AB34" t="n">
        <v>-0.269638194449755</v>
      </c>
      <c r="AC34" t="n">
        <v>-0.9158627678938041</v>
      </c>
      <c r="AD34" t="n">
        <v>-0.812310048874735</v>
      </c>
      <c r="AE34" t="n">
        <v>-0.69468322434001</v>
      </c>
      <c r="AF34" t="n">
        <v>-0.591218137806352</v>
      </c>
      <c r="AG34" t="n">
        <v>-0.503395697417222</v>
      </c>
      <c r="AH34" t="n">
        <v>-0.429179365818026</v>
      </c>
      <c r="AI34" t="n">
        <v>-2.36640642545533</v>
      </c>
      <c r="AJ34" t="n">
        <v>-2.31322110130594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no_year_in_pairs</t>
        </is>
      </c>
      <c r="B35" s="2" t="n"/>
      <c r="C35" s="3" t="inlineStr">
        <is>
          <t>EBS.20.72, Sup. 1</t>
        </is>
      </c>
      <c r="D35" s="4" t="inlineStr">
        <is>
          <t>Dominica</t>
        </is>
      </c>
      <c r="E35" s="4" t="inlineStr">
        <is>
          <t>DMA</t>
        </is>
      </c>
      <c r="F35" s="4" t="n"/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5.96105940938055</v>
      </c>
      <c r="O35" t="n">
        <v>12.3928382323193</v>
      </c>
      <c r="P35" t="n">
        <v>7.38170958498636</v>
      </c>
      <c r="Q35" t="n">
        <v>6.19690304876448</v>
      </c>
      <c r="R35" t="n">
        <v>7.18950180883891</v>
      </c>
      <c r="S35" t="n">
        <v>5.95987834669111</v>
      </c>
      <c r="T35" t="n">
        <v>7.19501248542088</v>
      </c>
      <c r="U35" t="n">
        <v>6.086290628926879</v>
      </c>
      <c r="V35" t="n">
        <v>5.87647180743744</v>
      </c>
      <c r="W35" t="n">
        <v>5.451696481791171</v>
      </c>
      <c r="X35" t="n">
        <v>4.9864356293592</v>
      </c>
      <c r="Y35" t="n">
        <v>4.89024178847758</v>
      </c>
      <c r="Z35" t="n">
        <v>4.654115448999741</v>
      </c>
      <c r="AA35" t="n">
        <v>4.55559540012666</v>
      </c>
      <c r="AB35" t="n">
        <v>4.46758827012242</v>
      </c>
      <c r="AC35" t="n">
        <v>6.31509260074124</v>
      </c>
      <c r="AD35" t="n">
        <v>4.20452574401574</v>
      </c>
      <c r="AE35" t="n">
        <v>4.00018124519517</v>
      </c>
      <c r="AF35" t="n">
        <v>8.244835662585929</v>
      </c>
      <c r="AG35" t="n">
        <v>3.32170490416585</v>
      </c>
      <c r="AH35" t="n">
        <v>2.09706629403316</v>
      </c>
      <c r="AI35" t="n">
        <v>2.09706629366138</v>
      </c>
      <c r="AJ35" t="n">
        <v>9.84121969270966e-12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no_year_in_pairs</t>
        </is>
      </c>
      <c r="B36" s="2" t="n"/>
      <c r="C36" s="3" t="inlineStr">
        <is>
          <t>EBS.20.72, Sup. 1</t>
        </is>
      </c>
      <c r="D36" s="4" t="inlineStr">
        <is>
          <t>Dominica</t>
        </is>
      </c>
      <c r="E36" s="4" t="inlineStr">
        <is>
          <t>DMA</t>
        </is>
      </c>
      <c r="F36" s="4" t="n"/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no_year_in_pairs</t>
        </is>
      </c>
      <c r="B37" s="2" t="n"/>
      <c r="C37" s="3" t="inlineStr">
        <is>
          <t>EBS.20.72, Sup. 1</t>
        </is>
      </c>
      <c r="D37" s="4" t="inlineStr">
        <is>
          <t>Dominica</t>
        </is>
      </c>
      <c r="E37" s="4" t="inlineStr">
        <is>
          <t>DMA</t>
        </is>
      </c>
      <c r="F37" s="4" t="n"/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5.96105940938055</v>
      </c>
      <c r="O37" t="n">
        <v>12.3928382323193</v>
      </c>
      <c r="P37" t="n">
        <v>7.38170958498636</v>
      </c>
      <c r="Q37" t="n">
        <v>6.19690304876448</v>
      </c>
      <c r="R37" t="n">
        <v>7.18950180883891</v>
      </c>
      <c r="S37" t="n">
        <v>5.95987834669111</v>
      </c>
      <c r="T37" t="n">
        <v>7.19501248542088</v>
      </c>
      <c r="U37" t="n">
        <v>6.086290628926879</v>
      </c>
      <c r="V37" t="n">
        <v>5.87647180743744</v>
      </c>
      <c r="W37" t="n">
        <v>5.451696481791171</v>
      </c>
      <c r="X37" t="n">
        <v>4.9864356293592</v>
      </c>
      <c r="Y37" t="n">
        <v>4.89024178847758</v>
      </c>
      <c r="Z37" t="n">
        <v>4.654115448999741</v>
      </c>
      <c r="AA37" t="n">
        <v>4.55559540012666</v>
      </c>
      <c r="AB37" t="n">
        <v>4.46758827012242</v>
      </c>
      <c r="AC37" t="n">
        <v>6.31509260074124</v>
      </c>
      <c r="AD37" t="n">
        <v>4.20452574401574</v>
      </c>
      <c r="AE37" t="n">
        <v>4.00018124519517</v>
      </c>
      <c r="AF37" t="n">
        <v>8.244835662585929</v>
      </c>
      <c r="AG37" t="n">
        <v>3.32170490416585</v>
      </c>
      <c r="AH37" t="n">
        <v>2.09706629403316</v>
      </c>
      <c r="AI37" t="n">
        <v>2.09706629366138</v>
      </c>
      <c r="AJ37" t="n">
        <v>9.84121969270966e-12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no_year_in_pairs</t>
        </is>
      </c>
      <c r="B38" s="2" t="n"/>
      <c r="C38" s="3" t="inlineStr">
        <is>
          <t>EBS.20.72, Sup. 1</t>
        </is>
      </c>
      <c r="D38" s="4" t="inlineStr">
        <is>
          <t>Dominica</t>
        </is>
      </c>
      <c r="E38" s="4" t="inlineStr">
        <is>
          <t>DMA</t>
        </is>
      </c>
      <c r="F38" s="4" t="n"/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no_year_in_pairs</t>
        </is>
      </c>
      <c r="B39" s="2" t="n"/>
      <c r="C39" s="3" t="inlineStr">
        <is>
          <t>EBS.20.72, Sup. 1</t>
        </is>
      </c>
      <c r="D39" s="4" t="inlineStr">
        <is>
          <t>Dominica</t>
        </is>
      </c>
      <c r="E39" s="4" t="inlineStr">
        <is>
          <t>DMA</t>
        </is>
      </c>
      <c r="F39" s="4" t="n"/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no_year_in_pairs</t>
        </is>
      </c>
      <c r="B40" s="2" t="n"/>
      <c r="C40" s="3" t="inlineStr">
        <is>
          <t>EBS.20.72, Sup. 1</t>
        </is>
      </c>
      <c r="D40" s="4" t="inlineStr">
        <is>
          <t>Dominica</t>
        </is>
      </c>
      <c r="E40" s="4" t="inlineStr">
        <is>
          <t>DMA</t>
        </is>
      </c>
      <c r="F40" s="4" t="n"/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no_year_in_pairs</t>
        </is>
      </c>
      <c r="B41" s="2" t="n"/>
      <c r="C41" s="3" t="inlineStr">
        <is>
          <t>EBS.20.72, Sup. 1</t>
        </is>
      </c>
      <c r="D41" s="4" t="inlineStr">
        <is>
          <t>Dominica</t>
        </is>
      </c>
      <c r="E41" s="4" t="inlineStr">
        <is>
          <t>DMA</t>
        </is>
      </c>
      <c r="F41" s="4" t="n"/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no_year_in_pairs</t>
        </is>
      </c>
      <c r="B42" s="2" t="n"/>
      <c r="C42" s="3" t="inlineStr">
        <is>
          <t>EBS.20.72, Sup. 1</t>
        </is>
      </c>
      <c r="D42" s="4" t="inlineStr">
        <is>
          <t>Dominica</t>
        </is>
      </c>
      <c r="E42" s="4" t="inlineStr">
        <is>
          <t>DMA</t>
        </is>
      </c>
      <c r="F42" s="4" t="n"/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28.61313235905446</v>
      </c>
      <c r="O42" t="n">
        <v>31.04243179314922</v>
      </c>
      <c r="P42" t="n">
        <v>29.67667024502231</v>
      </c>
      <c r="Q42" t="n">
        <v>28.21044822123241</v>
      </c>
      <c r="R42" t="n">
        <v>29.30912250189699</v>
      </c>
      <c r="S42" t="n">
        <v>28.23145930274249</v>
      </c>
      <c r="T42" t="n">
        <v>26.35026131917011</v>
      </c>
      <c r="U42" t="n">
        <v>24.98537006495999</v>
      </c>
      <c r="V42" t="n">
        <v>24.05229618503325</v>
      </c>
      <c r="W42" t="n">
        <v>22.88723088103311</v>
      </c>
      <c r="X42" t="n">
        <v>21.57140926768368</v>
      </c>
      <c r="Y42" t="n">
        <v>18.44230654232274</v>
      </c>
      <c r="Z42" t="n">
        <v>16.52897603959835</v>
      </c>
      <c r="AA42" t="n">
        <v>14.69308745580811</v>
      </c>
      <c r="AB42" t="n">
        <v>12.24124670349149</v>
      </c>
      <c r="AC42" t="n">
        <v>12.943465749699</v>
      </c>
      <c r="AD42" t="n">
        <v>10.48514764160842</v>
      </c>
      <c r="AE42" t="n">
        <v>10.00808877914703</v>
      </c>
      <c r="AF42" t="n">
        <v>13.98581672550643</v>
      </c>
      <c r="AG42" t="n">
        <v>8.806917813050694</v>
      </c>
      <c r="AH42" t="n">
        <v>7.338274352945749</v>
      </c>
      <c r="AI42" t="n">
        <v>5.109577297180001</v>
      </c>
      <c r="AJ42" t="n">
        <v>2.793087447900834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no_year_in_pairs</t>
        </is>
      </c>
      <c r="B43" s="2" t="n"/>
      <c r="C43" s="3" t="inlineStr">
        <is>
          <t>EBS.20.72, Sup. 1</t>
        </is>
      </c>
      <c r="D43" s="4" t="inlineStr">
        <is>
          <t>Dominica</t>
        </is>
      </c>
      <c r="E43" s="4" t="inlineStr">
        <is>
          <t>DMA</t>
        </is>
      </c>
      <c r="F43" s="4" t="n"/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19.29098507407407</v>
      </c>
      <c r="O43" t="n">
        <v>23.2000262931217</v>
      </c>
      <c r="P43" t="n">
        <v>20.56026573796296</v>
      </c>
      <c r="Q43" t="n">
        <v>19.35892920740741</v>
      </c>
      <c r="R43" t="n">
        <v>21.72283074592593</v>
      </c>
      <c r="S43" t="n">
        <v>19.37554563481481</v>
      </c>
      <c r="T43" t="n">
        <v>18.23202283533567</v>
      </c>
      <c r="U43" t="n">
        <v>16.04984884947033</v>
      </c>
      <c r="V43" t="n">
        <v>14.97542933214574</v>
      </c>
      <c r="W43" t="n">
        <v>13.89164078073226</v>
      </c>
      <c r="X43" t="n">
        <v>12.82719871356685</v>
      </c>
      <c r="Y43" t="n">
        <v>12.15128023552789</v>
      </c>
      <c r="Z43" t="n">
        <v>11.46547696707855</v>
      </c>
      <c r="AA43" t="n">
        <v>9.81011480402374</v>
      </c>
      <c r="AB43" t="n">
        <v>7.550911255966296</v>
      </c>
      <c r="AC43" t="n">
        <v>6.476808052843926</v>
      </c>
      <c r="AD43" t="n">
        <v>4.237915797322778</v>
      </c>
      <c r="AE43" t="n">
        <v>3.931897211585925</v>
      </c>
      <c r="AF43" t="n">
        <v>3.723007182596926</v>
      </c>
      <c r="AG43" t="n">
        <v>3.532104066677196</v>
      </c>
      <c r="AH43" t="n">
        <v>3.393750643722304</v>
      </c>
      <c r="AI43" t="n">
        <v>3.265573449526589</v>
      </c>
      <c r="AJ43" t="n">
        <v>3.146594580020622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no_year_in_pairs</t>
        </is>
      </c>
      <c r="B44" s="2" t="n"/>
      <c r="C44" s="3" t="inlineStr">
        <is>
          <t>EBS.20.72, Sup. 1</t>
        </is>
      </c>
      <c r="D44" s="4" t="inlineStr">
        <is>
          <t>Dominica</t>
        </is>
      </c>
      <c r="E44" s="4" t="inlineStr">
        <is>
          <t>DMA</t>
        </is>
      </c>
      <c r="F44" s="4" t="n"/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9.322147284980392</v>
      </c>
      <c r="O44" t="n">
        <v>7.842405500027514</v>
      </c>
      <c r="P44" t="n">
        <v>9.116404507059347</v>
      </c>
      <c r="Q44" t="n">
        <v>8.851519013825005</v>
      </c>
      <c r="R44" t="n">
        <v>7.586291755971068</v>
      </c>
      <c r="S44" t="n">
        <v>8.85591366792768</v>
      </c>
      <c r="T44" t="n">
        <v>8.118238483834446</v>
      </c>
      <c r="U44" t="n">
        <v>8.935521215489654</v>
      </c>
      <c r="V44" t="n">
        <v>9.076866852887509</v>
      </c>
      <c r="W44" t="n">
        <v>8.99559010030085</v>
      </c>
      <c r="X44" t="n">
        <v>8.744210554116828</v>
      </c>
      <c r="Y44" t="n">
        <v>6.291026306794851</v>
      </c>
      <c r="Z44" t="n">
        <v>5.063499072519798</v>
      </c>
      <c r="AA44" t="n">
        <v>4.882972651784371</v>
      </c>
      <c r="AB44" t="n">
        <v>4.690335447525191</v>
      </c>
      <c r="AC44" t="n">
        <v>6.466657696855072</v>
      </c>
      <c r="AD44" t="n">
        <v>6.247231844285642</v>
      </c>
      <c r="AE44" t="n">
        <v>6.076191567561109</v>
      </c>
      <c r="AF44" t="n">
        <v>10.2628095429095</v>
      </c>
      <c r="AG44" t="n">
        <v>5.274813746373498</v>
      </c>
      <c r="AH44" t="n">
        <v>3.944523709223446</v>
      </c>
      <c r="AI44" t="n">
        <v>1.844003847653412</v>
      </c>
      <c r="AJ44" t="n">
        <v>-0.3535071321197885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no_year_in_pairs</t>
        </is>
      </c>
      <c r="B45" s="2" t="n"/>
      <c r="C45" s="3" t="inlineStr">
        <is>
          <t>EBS.20.72, Sup. 1</t>
        </is>
      </c>
      <c r="D45" s="4" t="inlineStr">
        <is>
          <t>Dominica</t>
        </is>
      </c>
      <c r="E45" s="4" t="inlineStr">
        <is>
          <t>DMA</t>
        </is>
      </c>
      <c r="F45" s="4" t="n"/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305.242179722623</v>
      </c>
      <c r="O45" t="n">
        <v>282.0421534295013</v>
      </c>
      <c r="P45" t="n">
        <v>261.4818876915384</v>
      </c>
      <c r="Q45" t="n">
        <v>242.1229584841309</v>
      </c>
      <c r="R45" t="n">
        <v>220.400127738205</v>
      </c>
      <c r="S45" t="n">
        <v>201.0245821033902</v>
      </c>
      <c r="T45" t="n">
        <v>182.7925592680545</v>
      </c>
      <c r="U45" t="n">
        <v>166.7427104185842</v>
      </c>
      <c r="V45" t="n">
        <v>151.7672810864385</v>
      </c>
      <c r="W45" t="n">
        <v>137.8756403057062</v>
      </c>
      <c r="X45" t="n">
        <v>125.0484415921394</v>
      </c>
      <c r="Y45" t="n">
        <v>112.8971613566115</v>
      </c>
      <c r="Z45" t="n">
        <v>101.4316843895329</v>
      </c>
      <c r="AA45" t="n">
        <v>91.62156958550918</v>
      </c>
      <c r="AB45" t="n">
        <v>84.07065832954288</v>
      </c>
      <c r="AC45" t="n">
        <v>77.59385027669896</v>
      </c>
      <c r="AD45" t="n">
        <v>73.35593447937617</v>
      </c>
      <c r="AE45" t="n">
        <v>69.42403726779025</v>
      </c>
      <c r="AF45" t="n">
        <v>65.70103008519332</v>
      </c>
      <c r="AG45" t="n">
        <v>62.16892601851612</v>
      </c>
      <c r="AH45" t="n">
        <v>58.77517537479382</v>
      </c>
      <c r="AI45" t="n">
        <v>55.50960192526723</v>
      </c>
      <c r="AJ45" t="n">
        <v>52.3630073452466</v>
      </c>
      <c r="AK45" t="n">
        <v>52.3630073452466</v>
      </c>
      <c r="AL45" t="n">
        <v>52.3630073452466</v>
      </c>
      <c r="AM45" t="n">
        <v>52.3630073452466</v>
      </c>
      <c r="AN45" t="n">
        <v>52.3630073452466</v>
      </c>
      <c r="AO45" t="n">
        <v>52.3630073452466</v>
      </c>
      <c r="AP45" t="n">
        <v>52.3630073452466</v>
      </c>
      <c r="AQ45" t="n">
        <v>52.3630073452466</v>
      </c>
      <c r="AR45" t="n">
        <v>52.3630073452466</v>
      </c>
      <c r="AS45" t="n">
        <v>52.3630073452466</v>
      </c>
      <c r="AT45" t="n">
        <v>52.3630073452466</v>
      </c>
      <c r="AU45" t="n">
        <v>52.3630073452466</v>
      </c>
      <c r="AV45" t="n">
        <v>52.3630073452466</v>
      </c>
      <c r="AW45" t="n">
        <v>52.3630073452466</v>
      </c>
      <c r="AX45" t="n">
        <v>52.3630073452466</v>
      </c>
      <c r="AY45" t="n">
        <v>52.3630073452466</v>
      </c>
      <c r="AZ45" t="n">
        <v>52.3630073452466</v>
      </c>
      <c r="BA45" t="n">
        <v>52.3630073452466</v>
      </c>
      <c r="BB45" t="n">
        <v>52.3630073452466</v>
      </c>
      <c r="BC45" t="n">
        <v>52.3630073452466</v>
      </c>
      <c r="BD45" t="n">
        <v>52.3630073452466</v>
      </c>
      <c r="BE45" t="n">
        <v>52.3630073452466</v>
      </c>
      <c r="BF45" t="n">
        <v>52.3630073452466</v>
      </c>
      <c r="BG45" t="n">
        <v>52.3630073452466</v>
      </c>
    </row>
    <row r="46">
      <c r="A46" t="inlineStr">
        <is>
          <t>no_year_in_pairs</t>
        </is>
      </c>
      <c r="B46" s="2" t="n"/>
      <c r="C46" s="3" t="inlineStr">
        <is>
          <t>EBS.20.72, Sup. 1</t>
        </is>
      </c>
      <c r="D46" s="4" t="inlineStr">
        <is>
          <t>Dominica</t>
        </is>
      </c>
      <c r="E46" s="4" t="inlineStr">
        <is>
          <t>DMA</t>
        </is>
      </c>
      <c r="F46" s="4" t="n"/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52.36300734524661</v>
      </c>
    </row>
    <row r="47">
      <c r="A47" t="inlineStr">
        <is>
          <t>no_year_in_pairs</t>
        </is>
      </c>
      <c r="B47" s="2" t="n"/>
      <c r="C47" s="3" t="inlineStr">
        <is>
          <t>EBS.20.72, Sup. 1</t>
        </is>
      </c>
      <c r="D47" s="4" t="inlineStr">
        <is>
          <t>Dominica</t>
        </is>
      </c>
      <c r="E47" s="4" t="inlineStr">
        <is>
          <t>DMA</t>
        </is>
      </c>
      <c r="F47" s="4" t="n"/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no_year_in_pairs</t>
        </is>
      </c>
      <c r="B48" s="2" t="n"/>
      <c r="C48" s="3" t="inlineStr">
        <is>
          <t>EBS.20.72, Sup. 1</t>
        </is>
      </c>
      <c r="D48" s="4" t="inlineStr">
        <is>
          <t>Dominica</t>
        </is>
      </c>
      <c r="E48" s="4" t="inlineStr">
        <is>
          <t>DMA</t>
        </is>
      </c>
      <c r="F48" s="4" t="n"/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no_year_in_pairs</t>
        </is>
      </c>
      <c r="B49" s="2" t="n"/>
      <c r="C49" s="3" t="inlineStr">
        <is>
          <t>EBS.20.72, Sup. 1</t>
        </is>
      </c>
      <c r="D49" s="4" t="inlineStr">
        <is>
          <t>Dominica</t>
        </is>
      </c>
      <c r="E49" s="4" t="inlineStr">
        <is>
          <t>DMA</t>
        </is>
      </c>
      <c r="F49" s="4" t="n"/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no_year_in_pairs</t>
        </is>
      </c>
      <c r="B50" s="2" t="n"/>
      <c r="C50" s="3" t="inlineStr">
        <is>
          <t>EBS.20.72, Sup. 1</t>
        </is>
      </c>
      <c r="D50" s="4" t="inlineStr">
        <is>
          <t>Dominica</t>
        </is>
      </c>
      <c r="E50" s="4" t="inlineStr">
        <is>
          <t>DMA</t>
        </is>
      </c>
      <c r="F50" s="4" t="n"/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no_year_in_pairs</t>
        </is>
      </c>
      <c r="B51" s="2" t="n"/>
      <c r="C51" s="3" t="inlineStr">
        <is>
          <t>EBS.20.72, Sup. 1</t>
        </is>
      </c>
      <c r="D51" s="4" t="inlineStr">
        <is>
          <t>Dominica</t>
        </is>
      </c>
      <c r="E51" s="4" t="inlineStr">
        <is>
          <t>DMA</t>
        </is>
      </c>
      <c r="F51" s="4" t="n"/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no_year_in_pairs</t>
        </is>
      </c>
      <c r="B52" s="2" t="n"/>
      <c r="C52" s="3" t="inlineStr">
        <is>
          <t>EBS.20.72, Sup. 1</t>
        </is>
      </c>
      <c r="D52" s="4" t="inlineStr">
        <is>
          <t>Dominica</t>
        </is>
      </c>
      <c r="E52" s="4" t="inlineStr">
        <is>
          <t>DMA</t>
        </is>
      </c>
      <c r="F52" s="4" t="n"/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no_year_in_pairs</t>
        </is>
      </c>
      <c r="B53" s="2" t="n"/>
      <c r="C53" s="3" t="inlineStr">
        <is>
          <t>EBS.20.72, Sup. 1</t>
        </is>
      </c>
      <c r="D53" s="4" t="inlineStr">
        <is>
          <t>Dominica</t>
        </is>
      </c>
      <c r="E53" s="4" t="inlineStr">
        <is>
          <t>DMA</t>
        </is>
      </c>
      <c r="F53" s="4" t="n"/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no_year_in_pairs</t>
        </is>
      </c>
      <c r="B54" s="2" t="n"/>
      <c r="C54" s="3" t="inlineStr">
        <is>
          <t>EBS.20.72, Sup. 1</t>
        </is>
      </c>
      <c r="D54" s="4" t="inlineStr">
        <is>
          <t>Dominica</t>
        </is>
      </c>
      <c r="E54" s="4" t="inlineStr">
        <is>
          <t>DMA</t>
        </is>
      </c>
      <c r="F54" s="4" t="n"/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no_year_in_pairs</t>
        </is>
      </c>
      <c r="B55" s="2" t="n"/>
      <c r="C55" s="3" t="inlineStr">
        <is>
          <t>EBS.20.72, Sup. 1</t>
        </is>
      </c>
      <c r="D55" s="4" t="inlineStr">
        <is>
          <t>Dominica</t>
        </is>
      </c>
      <c r="E55" s="4" t="inlineStr">
        <is>
          <t>DMA</t>
        </is>
      </c>
      <c r="F55" s="4" t="n"/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no_year_in_pairs</t>
        </is>
      </c>
      <c r="B56" s="2" t="n"/>
      <c r="C56" s="3" t="inlineStr">
        <is>
          <t>EBS.20.72, Sup. 1</t>
        </is>
      </c>
      <c r="D56" s="4" t="inlineStr">
        <is>
          <t>Dominica</t>
        </is>
      </c>
      <c r="E56" s="4" t="inlineStr">
        <is>
          <t>DMA</t>
        </is>
      </c>
      <c r="F56" s="4" t="n"/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no_year_in_pairs</t>
        </is>
      </c>
      <c r="B57" s="2" t="n"/>
      <c r="C57" s="3" t="inlineStr">
        <is>
          <t>EBS.20.72, Sup. 1</t>
        </is>
      </c>
      <c r="D57" s="4" t="inlineStr">
        <is>
          <t>Dominica</t>
        </is>
      </c>
      <c r="E57" s="4" t="inlineStr">
        <is>
          <t>DMA</t>
        </is>
      </c>
      <c r="F57" s="4" t="n"/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no_year_in_pairs</t>
        </is>
      </c>
      <c r="B58" s="2" t="n"/>
      <c r="C58" s="3" t="inlineStr">
        <is>
          <t>EBS.20.72, Sup. 1</t>
        </is>
      </c>
      <c r="D58" s="4" t="inlineStr">
        <is>
          <t>Dominica</t>
        </is>
      </c>
      <c r="E58" s="4" t="inlineStr">
        <is>
          <t>DMA</t>
        </is>
      </c>
      <c r="F58" s="4" t="n"/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no_year_in_pairs</t>
        </is>
      </c>
      <c r="B59" s="2" t="n"/>
      <c r="C59" s="3" t="inlineStr">
        <is>
          <t>EBS.20.72, Sup. 1</t>
        </is>
      </c>
      <c r="D59" s="4" t="inlineStr">
        <is>
          <t>Dominica</t>
        </is>
      </c>
      <c r="E59" s="4" t="inlineStr">
        <is>
          <t>DMA</t>
        </is>
      </c>
      <c r="F59" s="4" t="n"/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no_year_in_pairs</t>
        </is>
      </c>
      <c r="B60" s="2" t="n"/>
      <c r="C60" s="3" t="inlineStr">
        <is>
          <t>EBS.20.72, Sup. 1</t>
        </is>
      </c>
      <c r="D60" s="4" t="inlineStr">
        <is>
          <t>Dominica</t>
        </is>
      </c>
      <c r="E60" s="4" t="inlineStr">
        <is>
          <t>DMA</t>
        </is>
      </c>
      <c r="F60" s="4" t="n"/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no_year_in_pairs</t>
        </is>
      </c>
      <c r="B61" s="2" t="n"/>
      <c r="C61" s="3" t="inlineStr">
        <is>
          <t>EBS.20.72, Sup. 1</t>
        </is>
      </c>
      <c r="D61" s="4" t="inlineStr">
        <is>
          <t>Dominica</t>
        </is>
      </c>
      <c r="E61" s="4" t="inlineStr">
        <is>
          <t>DMA</t>
        </is>
      </c>
      <c r="F61" s="4" t="n"/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28.61313235905446</v>
      </c>
      <c r="O61" t="n">
        <v>31.04243179314922</v>
      </c>
      <c r="P61" t="n">
        <v>29.67667024502231</v>
      </c>
      <c r="Q61" t="n">
        <v>28.21044822123241</v>
      </c>
      <c r="R61" t="n">
        <v>29.30912250189699</v>
      </c>
      <c r="S61" t="n">
        <v>28.23145930274249</v>
      </c>
      <c r="T61" t="n">
        <v>26.35026131917011</v>
      </c>
      <c r="U61" t="n">
        <v>24.98537006495999</v>
      </c>
      <c r="V61" t="n">
        <v>24.05229618503325</v>
      </c>
      <c r="W61" t="n">
        <v>22.88723088103311</v>
      </c>
      <c r="X61" t="n">
        <v>21.57140926768368</v>
      </c>
      <c r="Y61" t="n">
        <v>18.44230654232274</v>
      </c>
      <c r="Z61" t="n">
        <v>16.52897603959835</v>
      </c>
      <c r="AA61" t="n">
        <v>14.69308745580811</v>
      </c>
      <c r="AB61" t="n">
        <v>12.24124670349149</v>
      </c>
      <c r="AC61" t="n">
        <v>12.943465749699</v>
      </c>
      <c r="AD61" t="n">
        <v>10.48514764160842</v>
      </c>
      <c r="AE61" t="n">
        <v>10.00808877914703</v>
      </c>
      <c r="AF61" t="n">
        <v>13.98581672550643</v>
      </c>
      <c r="AG61" t="n">
        <v>8.806917813050694</v>
      </c>
      <c r="AH61" t="n">
        <v>7.338274352945749</v>
      </c>
      <c r="AI61" t="n">
        <v>5.109577297180001</v>
      </c>
      <c r="AJ61" t="n">
        <v>2.793087447900834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no_year_in_pairs</t>
        </is>
      </c>
      <c r="B62" s="2" t="n"/>
      <c r="C62" s="3" t="inlineStr">
        <is>
          <t>EBS.20.72, Sup. 1</t>
        </is>
      </c>
      <c r="D62" s="4" t="inlineStr">
        <is>
          <t>Dominica</t>
        </is>
      </c>
      <c r="E62" s="4" t="inlineStr">
        <is>
          <t>DMA</t>
        </is>
      </c>
      <c r="F62" s="4" t="n"/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19.29098507407407</v>
      </c>
      <c r="O62" t="n">
        <v>23.2000262931217</v>
      </c>
      <c r="P62" t="n">
        <v>20.56026573796296</v>
      </c>
      <c r="Q62" t="n">
        <v>19.35892920740741</v>
      </c>
      <c r="R62" t="n">
        <v>21.72283074592593</v>
      </c>
      <c r="S62" t="n">
        <v>19.37554563481481</v>
      </c>
      <c r="T62" t="n">
        <v>18.23202283533567</v>
      </c>
      <c r="U62" t="n">
        <v>16.04984884947033</v>
      </c>
      <c r="V62" t="n">
        <v>14.97542933214574</v>
      </c>
      <c r="W62" t="n">
        <v>13.89164078073226</v>
      </c>
      <c r="X62" t="n">
        <v>12.82719871356685</v>
      </c>
      <c r="Y62" t="n">
        <v>12.15128023552789</v>
      </c>
      <c r="Z62" t="n">
        <v>11.46547696707855</v>
      </c>
      <c r="AA62" t="n">
        <v>9.81011480402374</v>
      </c>
      <c r="AB62" t="n">
        <v>7.550911255966296</v>
      </c>
      <c r="AC62" t="n">
        <v>6.476808052843926</v>
      </c>
      <c r="AD62" t="n">
        <v>4.237915797322778</v>
      </c>
      <c r="AE62" t="n">
        <v>3.931897211585925</v>
      </c>
      <c r="AF62" t="n">
        <v>3.723007182596926</v>
      </c>
      <c r="AG62" t="n">
        <v>3.532104066677196</v>
      </c>
      <c r="AH62" t="n">
        <v>3.393750643722304</v>
      </c>
      <c r="AI62" t="n">
        <v>3.265573449526589</v>
      </c>
      <c r="AJ62" t="n">
        <v>3.146594580020622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no_year_in_pairs</t>
        </is>
      </c>
      <c r="B63" s="2" t="n"/>
      <c r="C63" s="3" t="inlineStr">
        <is>
          <t>EBS.20.72, Sup. 1</t>
        </is>
      </c>
      <c r="D63" s="4" t="inlineStr">
        <is>
          <t>Dominica</t>
        </is>
      </c>
      <c r="E63" s="4" t="inlineStr">
        <is>
          <t>DMA</t>
        </is>
      </c>
      <c r="F63" s="4" t="n"/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9.322147284980392</v>
      </c>
      <c r="O63" t="n">
        <v>7.842405500027514</v>
      </c>
      <c r="P63" t="n">
        <v>9.116404507059347</v>
      </c>
      <c r="Q63" t="n">
        <v>8.851519013825005</v>
      </c>
      <c r="R63" t="n">
        <v>7.586291755971068</v>
      </c>
      <c r="S63" t="n">
        <v>8.85591366792768</v>
      </c>
      <c r="T63" t="n">
        <v>8.118238483834446</v>
      </c>
      <c r="U63" t="n">
        <v>8.935521215489654</v>
      </c>
      <c r="V63" t="n">
        <v>9.076866852887509</v>
      </c>
      <c r="W63" t="n">
        <v>8.99559010030085</v>
      </c>
      <c r="X63" t="n">
        <v>8.744210554116828</v>
      </c>
      <c r="Y63" t="n">
        <v>6.291026306794851</v>
      </c>
      <c r="Z63" t="n">
        <v>5.063499072519798</v>
      </c>
      <c r="AA63" t="n">
        <v>4.882972651784371</v>
      </c>
      <c r="AB63" t="n">
        <v>4.690335447525191</v>
      </c>
      <c r="AC63" t="n">
        <v>6.466657696855072</v>
      </c>
      <c r="AD63" t="n">
        <v>6.247231844285642</v>
      </c>
      <c r="AE63" t="n">
        <v>6.076191567561109</v>
      </c>
      <c r="AF63" t="n">
        <v>10.2628095429095</v>
      </c>
      <c r="AG63" t="n">
        <v>5.274813746373498</v>
      </c>
      <c r="AH63" t="n">
        <v>3.944523709223446</v>
      </c>
      <c r="AI63" t="n">
        <v>1.844003847653412</v>
      </c>
      <c r="AJ63" t="n">
        <v>-0.3535071321197885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no_year_in_pairs</t>
        </is>
      </c>
      <c r="B64" s="2" t="n"/>
      <c r="C64" s="3" t="inlineStr">
        <is>
          <t>EBS.20.72, Sup. 1</t>
        </is>
      </c>
      <c r="D64" s="4" t="inlineStr">
        <is>
          <t>Dominica</t>
        </is>
      </c>
      <c r="E64" s="4" t="inlineStr">
        <is>
          <t>DMA</t>
        </is>
      </c>
      <c r="F64" s="4" t="n"/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no_year_in_pairs</t>
        </is>
      </c>
      <c r="B65" s="2" t="n"/>
      <c r="C65" s="3" t="inlineStr">
        <is>
          <t>EBS.20.72, Sup. 1</t>
        </is>
      </c>
      <c r="D65" s="4" t="inlineStr">
        <is>
          <t>Dominica</t>
        </is>
      </c>
      <c r="E65" s="4" t="inlineStr">
        <is>
          <t>DMA</t>
        </is>
      </c>
      <c r="F65" s="4" t="n"/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no_year_in_pairs</t>
        </is>
      </c>
      <c r="B66" s="2" t="n"/>
      <c r="C66" s="3" t="inlineStr">
        <is>
          <t>EBS.20.72, Sup. 1</t>
        </is>
      </c>
      <c r="D66" s="4" t="inlineStr">
        <is>
          <t>Dominica</t>
        </is>
      </c>
      <c r="E66" s="4" t="inlineStr">
        <is>
          <t>DMA</t>
        </is>
      </c>
      <c r="F66" s="4" t="n"/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no_year_in_pairs</t>
        </is>
      </c>
      <c r="B67" s="2" t="n"/>
      <c r="C67" s="3" t="inlineStr">
        <is>
          <t>EBS.20.72, Sup. 1</t>
        </is>
      </c>
      <c r="D67" s="4" t="inlineStr">
        <is>
          <t>Dominica</t>
        </is>
      </c>
      <c r="E67" s="4" t="inlineStr">
        <is>
          <t>DMA</t>
        </is>
      </c>
      <c r="F67" s="4" t="n"/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305.242179722623</v>
      </c>
      <c r="O67" t="n">
        <v>282.0421534295013</v>
      </c>
      <c r="P67" t="n">
        <v>261.4818876915384</v>
      </c>
      <c r="Q67" t="n">
        <v>242.1229584841309</v>
      </c>
      <c r="R67" t="n">
        <v>220.400127738205</v>
      </c>
      <c r="S67" t="n">
        <v>201.0245821033902</v>
      </c>
      <c r="T67" t="n">
        <v>182.7925592680545</v>
      </c>
      <c r="U67" t="n">
        <v>166.7427104185842</v>
      </c>
      <c r="V67" t="n">
        <v>151.7672810864385</v>
      </c>
      <c r="W67" t="n">
        <v>137.8756403057062</v>
      </c>
      <c r="X67" t="n">
        <v>125.0484415921394</v>
      </c>
      <c r="Y67" t="n">
        <v>112.8971613566115</v>
      </c>
      <c r="Z67" t="n">
        <v>101.4316843895329</v>
      </c>
      <c r="AA67" t="n">
        <v>91.62156958550918</v>
      </c>
      <c r="AB67" t="n">
        <v>84.07065832954288</v>
      </c>
      <c r="AC67" t="n">
        <v>77.59385027669896</v>
      </c>
      <c r="AD67" t="n">
        <v>73.35593447937617</v>
      </c>
      <c r="AE67" t="n">
        <v>69.42403726779025</v>
      </c>
      <c r="AF67" t="n">
        <v>65.70103008519332</v>
      </c>
      <c r="AG67" t="n">
        <v>62.16892601851612</v>
      </c>
      <c r="AH67" t="n">
        <v>58.77517537479382</v>
      </c>
      <c r="AI67" t="n">
        <v>55.50960192526723</v>
      </c>
      <c r="AJ67" t="n">
        <v>52.3630073452466</v>
      </c>
      <c r="AK67" t="n">
        <v>52.3630073452466</v>
      </c>
      <c r="AL67" t="n">
        <v>52.3630073452466</v>
      </c>
      <c r="AM67" t="n">
        <v>52.3630073452466</v>
      </c>
      <c r="AN67" t="n">
        <v>52.3630073452466</v>
      </c>
      <c r="AO67" t="n">
        <v>52.3630073452466</v>
      </c>
      <c r="AP67" t="n">
        <v>52.3630073452466</v>
      </c>
      <c r="AQ67" t="n">
        <v>52.3630073452466</v>
      </c>
      <c r="AR67" t="n">
        <v>52.3630073452466</v>
      </c>
      <c r="AS67" t="n">
        <v>52.3630073452466</v>
      </c>
      <c r="AT67" t="n">
        <v>52.3630073452466</v>
      </c>
      <c r="AU67" t="n">
        <v>52.3630073452466</v>
      </c>
      <c r="AV67" t="n">
        <v>52.3630073452466</v>
      </c>
      <c r="AW67" t="n">
        <v>52.3630073452466</v>
      </c>
      <c r="AX67" t="n">
        <v>52.3630073452466</v>
      </c>
      <c r="AY67" t="n">
        <v>52.3630073452466</v>
      </c>
      <c r="AZ67" t="n">
        <v>52.3630073452466</v>
      </c>
      <c r="BA67" t="n">
        <v>52.3630073452466</v>
      </c>
      <c r="BB67" t="n">
        <v>52.3630073452466</v>
      </c>
      <c r="BC67" t="n">
        <v>52.3630073452466</v>
      </c>
      <c r="BD67" t="n">
        <v>52.3630073452466</v>
      </c>
      <c r="BE67" t="n">
        <v>52.3630073452466</v>
      </c>
      <c r="BF67" t="n">
        <v>52.3630073452466</v>
      </c>
      <c r="BG67" t="n">
        <v>52.3630073452466</v>
      </c>
      <c r="BI67" t="inlineStr">
        <is>
          <t>OLD_MLT_CHG</t>
        </is>
      </c>
    </row>
    <row r="68">
      <c r="A68" t="inlineStr">
        <is>
          <t>no_year_in_pairs</t>
        </is>
      </c>
      <c r="B68" s="2" t="n"/>
      <c r="C68" s="3" t="inlineStr">
        <is>
          <t>EBS.20.72, Sup. 1</t>
        </is>
      </c>
      <c r="D68" s="4" t="inlineStr">
        <is>
          <t>Dominica</t>
        </is>
      </c>
      <c r="E68" s="4" t="inlineStr">
        <is>
          <t>DMA</t>
        </is>
      </c>
      <c r="F68" s="4" t="n"/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no_year_in_pairs</t>
        </is>
      </c>
      <c r="B69" s="2" t="n"/>
      <c r="C69" s="3" t="inlineStr">
        <is>
          <t>EBS.20.72, Sup. 1</t>
        </is>
      </c>
      <c r="D69" s="4" t="inlineStr">
        <is>
          <t>Dominica</t>
        </is>
      </c>
      <c r="E69" s="4" t="inlineStr">
        <is>
          <t>DMA</t>
        </is>
      </c>
      <c r="F69" s="4" t="n"/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no_year_in_pairs</t>
        </is>
      </c>
      <c r="B70" s="2" t="n"/>
      <c r="C70" s="3" t="inlineStr">
        <is>
          <t>EBS.20.72, Sup. 1</t>
        </is>
      </c>
      <c r="D70" s="4" t="inlineStr">
        <is>
          <t>Dominica</t>
        </is>
      </c>
      <c r="E70" s="4" t="inlineStr">
        <is>
          <t>DMA</t>
        </is>
      </c>
      <c r="F70" s="4" t="n"/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no_year_in_pairs</t>
        </is>
      </c>
      <c r="B71" s="2" t="n"/>
      <c r="C71" s="3" t="inlineStr">
        <is>
          <t>EBS.20.72, Sup. 1</t>
        </is>
      </c>
      <c r="D71" s="4" t="inlineStr">
        <is>
          <t>Dominica</t>
        </is>
      </c>
      <c r="E71" s="4" t="inlineStr">
        <is>
          <t>DMA</t>
        </is>
      </c>
      <c r="F71" s="4" t="n"/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101.7415612609763</v>
      </c>
      <c r="P71" t="n">
        <v>53.19677237036898</v>
      </c>
      <c r="Q71" t="n">
        <v>43.97226137129308</v>
      </c>
      <c r="R71" t="n">
        <v>42.66453590295144</v>
      </c>
      <c r="S71" t="n">
        <v>32.27345124872986</v>
      </c>
      <c r="T71" t="n">
        <v>22.1054961299352</v>
      </c>
      <c r="U71" t="n">
        <v>23.80572743909946</v>
      </c>
      <c r="V71" t="n">
        <v>24.16241934679699</v>
      </c>
      <c r="W71" t="n">
        <v>23.10971969992342</v>
      </c>
      <c r="X71" t="n">
        <v>17.45269191815644</v>
      </c>
      <c r="Y71" t="n">
        <v>13.56828734342977</v>
      </c>
      <c r="Z71" t="n">
        <v>11.65593152999946</v>
      </c>
      <c r="AA71" t="n">
        <v>8.099164873881747</v>
      </c>
      <c r="AB71" t="n">
        <v>7.824611750828186</v>
      </c>
      <c r="AC71" t="n">
        <v>-24.19014495246097</v>
      </c>
      <c r="AD71" t="n">
        <v>10.32946378051096</v>
      </c>
      <c r="AE71" t="n">
        <v>10.25906848982776</v>
      </c>
      <c r="AF71" t="n">
        <v>11.70769083716463</v>
      </c>
      <c r="AG71" t="n">
        <v>13.87317931066991</v>
      </c>
      <c r="AH71" t="n">
        <v>14.3867248611135</v>
      </c>
      <c r="AI71" t="n">
        <v>15.89436367852647</v>
      </c>
      <c r="BI71" t="inlineStr">
        <is>
          <t>NEW_ML</t>
        </is>
      </c>
    </row>
    <row r="72">
      <c r="A72" t="inlineStr">
        <is>
          <t>no_year_in_pairs</t>
        </is>
      </c>
      <c r="B72" s="2" t="n"/>
      <c r="C72" s="3" t="inlineStr">
        <is>
          <t>EBS.20.72, Sup. 1</t>
        </is>
      </c>
      <c r="D72" s="4" t="inlineStr">
        <is>
          <t>Dominica</t>
        </is>
      </c>
      <c r="E72" s="4" t="inlineStr">
        <is>
          <t>DMA</t>
        </is>
      </c>
      <c r="F72" s="4" t="n"/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5.48936642520126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no_year_in_pairs</t>
        </is>
      </c>
      <c r="B73" s="2" t="n"/>
      <c r="C73" s="3" t="inlineStr">
        <is>
          <t>EBS.20.72, Sup. 1</t>
        </is>
      </c>
      <c r="D73" s="4" t="inlineStr">
        <is>
          <t>Dominica</t>
        </is>
      </c>
      <c r="E73" s="4" t="inlineStr">
        <is>
          <t>DMA</t>
        </is>
      </c>
      <c r="F73" s="4" t="n"/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small economy</t>
        </is>
      </c>
      <c r="O73" t="n">
        <v>31</v>
      </c>
      <c r="P73" t="n">
        <v>25</v>
      </c>
      <c r="Q73" t="n">
        <v>20</v>
      </c>
      <c r="R73" t="n">
        <v>18</v>
      </c>
      <c r="S73" t="n">
        <v>15</v>
      </c>
      <c r="T73" t="n">
        <v>12.4383439052953</v>
      </c>
      <c r="U73" t="n">
        <v>10.3032471803082</v>
      </c>
      <c r="V73" t="n">
        <v>10.6682645823605</v>
      </c>
      <c r="W73" t="n">
        <v>9.387886005507481</v>
      </c>
      <c r="X73" t="n">
        <v>6.80332656050949</v>
      </c>
      <c r="Y73" t="n">
        <v>4.93043833071733</v>
      </c>
      <c r="Z73" t="n">
        <v>3.57787571654262</v>
      </c>
      <c r="AA73" t="n">
        <v>2.59623858617019</v>
      </c>
      <c r="AB73" t="n">
        <v>1.88151994282926</v>
      </c>
      <c r="AC73" t="n">
        <v>1.36355620992806</v>
      </c>
      <c r="AD73" t="n">
        <v>0.9881827427444291</v>
      </c>
      <c r="AE73" t="n">
        <v>0.7161458588563989</v>
      </c>
      <c r="AF73" t="n">
        <v>0.518998024325761</v>
      </c>
      <c r="AG73" t="n">
        <v>0.00575265809226268</v>
      </c>
      <c r="AH73" t="n">
        <v>-0.09779027197079181</v>
      </c>
      <c r="AI73" t="n">
        <v>-0.172828862882201</v>
      </c>
      <c r="BI73" t="inlineStr">
        <is>
          <t>NEW_IDA</t>
        </is>
      </c>
    </row>
    <row r="74">
      <c r="A74" t="inlineStr">
        <is>
          <t>no_year_in_pairs</t>
        </is>
      </c>
      <c r="B74" s="2" t="n"/>
      <c r="C74" s="3" t="inlineStr">
        <is>
          <t>EBS.20.72, Sup. 1</t>
        </is>
      </c>
      <c r="D74" s="4" t="inlineStr">
        <is>
          <t>Dominica</t>
        </is>
      </c>
      <c r="E74" s="4" t="inlineStr">
        <is>
          <t>DMA</t>
        </is>
      </c>
      <c r="F74" s="4" t="n"/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no_year_in_pairs</t>
        </is>
      </c>
      <c r="B75" s="2" t="n"/>
      <c r="C75" s="3" t="inlineStr">
        <is>
          <t>EBS.20.72, Sup. 1</t>
        </is>
      </c>
      <c r="D75" s="4" t="inlineStr">
        <is>
          <t>Dominica</t>
        </is>
      </c>
      <c r="E75" s="4" t="inlineStr">
        <is>
          <t>DMA</t>
        </is>
      </c>
      <c r="F75" s="4" t="n"/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CDB</t>
        </is>
      </c>
      <c r="O75" t="n">
        <v>30</v>
      </c>
      <c r="P75" t="n">
        <v>15</v>
      </c>
      <c r="Q75" t="n">
        <v>12</v>
      </c>
      <c r="R75" t="n">
        <v>12</v>
      </c>
      <c r="S75" t="n">
        <v>10</v>
      </c>
      <c r="T75" t="n">
        <v>8</v>
      </c>
      <c r="U75" t="n">
        <v>8.28345578700544</v>
      </c>
      <c r="V75" t="n">
        <v>8.576917203437951</v>
      </c>
      <c r="W75" t="n">
        <v>8.8794552195034</v>
      </c>
      <c r="X75" t="n">
        <v>5.515603543508441</v>
      </c>
      <c r="Y75" t="n">
        <v>3.42618228884083</v>
      </c>
      <c r="Z75" t="n">
        <v>2.13109787280606</v>
      </c>
      <c r="AA75" t="n">
        <v>1.32548847415707</v>
      </c>
      <c r="AB75" t="n">
        <v>0.823366876571258</v>
      </c>
      <c r="AC75" t="n">
        <v>0.511458995938713</v>
      </c>
      <c r="AD75" t="n">
        <v>0.317708073970591</v>
      </c>
      <c r="AE75" t="n">
        <v>0.197353885780901</v>
      </c>
      <c r="AF75" t="n">
        <v>0.12259227707391</v>
      </c>
      <c r="AG75" t="n">
        <v>0.07615186465013911</v>
      </c>
      <c r="AH75" t="n">
        <v>0.0473040115422351</v>
      </c>
      <c r="AI75" t="n">
        <v>0.0293843035658856</v>
      </c>
      <c r="BI75" t="inlineStr">
        <is>
          <t>NEW_OTHERS1</t>
        </is>
      </c>
    </row>
    <row r="76">
      <c r="A76" t="inlineStr">
        <is>
          <t>no_year_in_pairs</t>
        </is>
      </c>
      <c r="B76" s="2" t="n"/>
      <c r="C76" s="3" t="inlineStr">
        <is>
          <t>EBS.20.72, Sup. 1</t>
        </is>
      </c>
      <c r="D76" s="4" t="inlineStr">
        <is>
          <t>Dominica</t>
        </is>
      </c>
      <c r="E76" s="4" t="inlineStr">
        <is>
          <t>DMA</t>
        </is>
      </c>
      <c r="F76" s="4" t="n"/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MULTIRES</t>
        </is>
      </c>
      <c r="O76" t="n">
        <v>35.25219483577505</v>
      </c>
      <c r="P76" t="n">
        <v>13.19677237036898</v>
      </c>
      <c r="Q76" t="n">
        <v>11.97226137129308</v>
      </c>
      <c r="R76" t="n">
        <v>12.66453590295144</v>
      </c>
      <c r="S76" t="n">
        <v>7.27345124872986</v>
      </c>
      <c r="T76" t="n">
        <v>1.667152224639903</v>
      </c>
      <c r="U76" t="n">
        <v>5.219024471785813</v>
      </c>
      <c r="V76" t="n">
        <v>4.917237560998542</v>
      </c>
      <c r="W76" t="n">
        <v>4.842378474912542</v>
      </c>
      <c r="X76" t="n">
        <v>5.133761814138513</v>
      </c>
      <c r="Y76" t="n">
        <v>5.211666723871612</v>
      </c>
      <c r="Z76" t="n">
        <v>5.946957940650783</v>
      </c>
      <c r="AA76" t="n">
        <v>4.177437813554487</v>
      </c>
      <c r="AB76" t="n">
        <v>5.119724931427668</v>
      </c>
      <c r="AC76" t="n">
        <v>-26.06516015832775</v>
      </c>
      <c r="AD76" t="n">
        <v>9.023572963795942</v>
      </c>
      <c r="AE76" t="n">
        <v>9.345568745190464</v>
      </c>
      <c r="AF76" t="n">
        <v>11.06610053576496</v>
      </c>
      <c r="AG76" t="n">
        <v>13.79127478792751</v>
      </c>
      <c r="AH76" t="n">
        <v>14.43721112154206</v>
      </c>
      <c r="AI76" t="n">
        <v>16.03780823784279</v>
      </c>
      <c r="BI76" t="inlineStr">
        <is>
          <t>NEW_OTHERS2</t>
        </is>
      </c>
    </row>
    <row r="77">
      <c r="A77" t="inlineStr">
        <is>
          <t>no_year_in_pairs</t>
        </is>
      </c>
      <c r="B77" s="2" t="n"/>
      <c r="C77" s="3" t="inlineStr">
        <is>
          <t>EBS.20.72, Sup. 1</t>
        </is>
      </c>
      <c r="D77" s="4" t="inlineStr">
        <is>
          <t>Dominica</t>
        </is>
      </c>
      <c r="E77" s="4" t="inlineStr">
        <is>
          <t>DMA</t>
        </is>
      </c>
      <c r="F77" s="4" t="n"/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no_year_in_pairs</t>
        </is>
      </c>
      <c r="B78" s="2" t="n"/>
      <c r="C78" s="3" t="inlineStr">
        <is>
          <t>EBS.20.72, Sup. 1</t>
        </is>
      </c>
      <c r="D78" s="4" t="inlineStr">
        <is>
          <t>Dominica</t>
        </is>
      </c>
      <c r="E78" s="4" t="inlineStr">
        <is>
          <t>DMA</t>
        </is>
      </c>
      <c r="F78" s="4" t="n"/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no_year_in_pairs</t>
        </is>
      </c>
      <c r="B79" s="2" t="n"/>
      <c r="C79" s="3" t="inlineStr">
        <is>
          <t>EBS.20.72, Sup. 1</t>
        </is>
      </c>
      <c r="D79" s="4" t="inlineStr">
        <is>
          <t>Dominica</t>
        </is>
      </c>
      <c r="E79" s="4" t="inlineStr">
        <is>
          <t>DMA</t>
        </is>
      </c>
      <c r="F79" s="4" t="n"/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no_year_in_pairs</t>
        </is>
      </c>
      <c r="B80" s="2" t="n"/>
      <c r="C80" s="3" t="inlineStr">
        <is>
          <t>EBS.20.72, Sup. 1</t>
        </is>
      </c>
      <c r="D80" s="4" t="inlineStr">
        <is>
          <t>Dominica</t>
        </is>
      </c>
      <c r="E80" s="4" t="inlineStr">
        <is>
          <t>DMA</t>
        </is>
      </c>
      <c r="F80" s="4" t="n"/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no_year_in_pairs</t>
        </is>
      </c>
      <c r="B81" s="2" t="n"/>
      <c r="C81" s="3" t="inlineStr">
        <is>
          <t>EBS.20.72, Sup. 1</t>
        </is>
      </c>
      <c r="D81" s="4" t="inlineStr">
        <is>
          <t>Dominica</t>
        </is>
      </c>
      <c r="E81" s="4" t="inlineStr">
        <is>
          <t>DMA</t>
        </is>
      </c>
      <c r="F81" s="4" t="n"/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no_year_in_pairs</t>
        </is>
      </c>
      <c r="B82" s="2" t="n"/>
      <c r="C82" s="3" t="inlineStr">
        <is>
          <t>EBS.20.72, Sup. 1</t>
        </is>
      </c>
      <c r="D82" s="4" t="inlineStr">
        <is>
          <t>Dominica</t>
        </is>
      </c>
      <c r="E82" s="4" t="inlineStr">
        <is>
          <t>DMA</t>
        </is>
      </c>
      <c r="F82" s="4" t="n"/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12.088558221155</v>
      </c>
      <c r="P82" t="n">
        <v>0.195186830532982</v>
      </c>
      <c r="Q82" t="n">
        <v>2.81136692440914</v>
      </c>
      <c r="R82" t="n">
        <v>3.96513483767905</v>
      </c>
      <c r="S82" t="n">
        <v>3.25915404559722</v>
      </c>
      <c r="T82" t="n">
        <v>2.9702634768341</v>
      </c>
      <c r="U82" t="n">
        <v>2.92968101023409</v>
      </c>
      <c r="V82" t="n">
        <v>2.14612840880091</v>
      </c>
      <c r="W82" t="n">
        <v>2.6836202995911</v>
      </c>
      <c r="X82" t="n">
        <v>2.88352540267122</v>
      </c>
      <c r="Y82" t="n">
        <v>6.27991919787455</v>
      </c>
      <c r="Z82" t="n">
        <v>10.6262128305804</v>
      </c>
      <c r="AA82" t="n">
        <v>14.4389279773579</v>
      </c>
      <c r="AB82" t="n">
        <v>13.181481386081</v>
      </c>
      <c r="AC82" t="n">
        <v>12.6496628504241</v>
      </c>
      <c r="AD82" t="n">
        <v>10.2501029085333</v>
      </c>
      <c r="AE82" t="n">
        <v>9.610054728721291</v>
      </c>
      <c r="AF82" t="n">
        <v>8.900368275290171</v>
      </c>
      <c r="AG82" t="n">
        <v>7.986905819802709</v>
      </c>
      <c r="AH82" t="n">
        <v>6.936743743083341</v>
      </c>
      <c r="AI82" t="n">
        <v>6.88664915411288</v>
      </c>
      <c r="BI82" t="inlineStr">
        <is>
          <t>NEW_OB</t>
        </is>
      </c>
    </row>
    <row r="83">
      <c r="A83" t="inlineStr">
        <is>
          <t>no_year_in_pairs</t>
        </is>
      </c>
      <c r="B83" s="2" t="n"/>
      <c r="C83" s="3" t="inlineStr">
        <is>
          <t>EBS.20.72, Sup. 1</t>
        </is>
      </c>
      <c r="D83" s="4" t="inlineStr">
        <is>
          <t>Dominica</t>
        </is>
      </c>
      <c r="E83" s="4" t="inlineStr">
        <is>
          <t>DMA</t>
        </is>
      </c>
      <c r="F83" s="4" t="n"/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no_year_in_pairs</t>
        </is>
      </c>
      <c r="B84" s="2" t="n"/>
      <c r="C84" s="3" t="inlineStr">
        <is>
          <t>EBS.20.72, Sup. 1</t>
        </is>
      </c>
      <c r="D84" s="4" t="inlineStr">
        <is>
          <t>Dominica</t>
        </is>
      </c>
      <c r="E84" s="4" t="inlineStr">
        <is>
          <t>DMA</t>
        </is>
      </c>
      <c r="F84" s="4" t="n"/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no_year_in_pairs</t>
        </is>
      </c>
      <c r="B85" s="2" t="n"/>
      <c r="C85" s="3" t="inlineStr">
        <is>
          <t>EBS.20.72, Sup. 1</t>
        </is>
      </c>
      <c r="D85" s="4" t="inlineStr">
        <is>
          <t>Dominica</t>
        </is>
      </c>
      <c r="E85" s="4" t="inlineStr">
        <is>
          <t>DMA</t>
        </is>
      </c>
      <c r="F85" s="4" t="n"/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no_year_in_pairs</t>
        </is>
      </c>
      <c r="B86" s="2" t="n"/>
      <c r="C86" s="3" t="inlineStr">
        <is>
          <t>EBS.20.72, Sup. 1</t>
        </is>
      </c>
      <c r="D86" s="4" t="inlineStr">
        <is>
          <t>Dominica</t>
        </is>
      </c>
      <c r="E86" s="4" t="inlineStr">
        <is>
          <t>DMA</t>
        </is>
      </c>
      <c r="F86" s="4" t="n"/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no_year_in_pairs</t>
        </is>
      </c>
      <c r="B87" s="2" t="n"/>
      <c r="C87" s="3" t="inlineStr">
        <is>
          <t>EBS.20.72, Sup. 1</t>
        </is>
      </c>
      <c r="D87" s="4" t="inlineStr">
        <is>
          <t>Dominica</t>
        </is>
      </c>
      <c r="E87" s="4" t="inlineStr">
        <is>
          <t>DMA</t>
        </is>
      </c>
      <c r="F87" s="4" t="n"/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no_year_in_pairs</t>
        </is>
      </c>
      <c r="B88" s="2" t="n"/>
      <c r="C88" s="3" t="inlineStr">
        <is>
          <t>EBS.20.72, Sup. 1</t>
        </is>
      </c>
      <c r="D88" s="4" t="inlineStr">
        <is>
          <t>Dominica</t>
        </is>
      </c>
      <c r="E88" s="4" t="inlineStr">
        <is>
          <t>DMA</t>
        </is>
      </c>
      <c r="F88" s="4" t="n"/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no_year_in_pairs</t>
        </is>
      </c>
      <c r="B89" s="2" t="n"/>
      <c r="C89" s="3" t="inlineStr">
        <is>
          <t>EBS.20.72, Sup. 1</t>
        </is>
      </c>
      <c r="D89" s="4" t="inlineStr">
        <is>
          <t>Dominica</t>
        </is>
      </c>
      <c r="E89" s="4" t="inlineStr">
        <is>
          <t>DMA</t>
        </is>
      </c>
      <c r="F89" s="4" t="n"/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12.088558221155</v>
      </c>
      <c r="P89" t="n">
        <v>0.195186830532982</v>
      </c>
      <c r="Q89" t="n">
        <v>2.81136692440914</v>
      </c>
      <c r="R89" t="n">
        <v>3.96513483767905</v>
      </c>
      <c r="S89" t="n">
        <v>3.25915404559722</v>
      </c>
      <c r="T89" t="n">
        <v>2.9702634768341</v>
      </c>
      <c r="U89" t="n">
        <v>2.92968101023409</v>
      </c>
      <c r="V89" t="n">
        <v>2.14612840880091</v>
      </c>
      <c r="W89" t="n">
        <v>2.6836202995911</v>
      </c>
      <c r="X89" t="n">
        <v>2.88352540267122</v>
      </c>
      <c r="Y89" t="n">
        <v>6.27991919787455</v>
      </c>
      <c r="Z89" t="n">
        <v>10.6262128305804</v>
      </c>
      <c r="AA89" t="n">
        <v>14.4389279773579</v>
      </c>
      <c r="AB89" t="n">
        <v>13.181481386081</v>
      </c>
      <c r="AC89" t="n">
        <v>12.6496628504241</v>
      </c>
      <c r="AD89" t="n">
        <v>10.2501029085333</v>
      </c>
      <c r="AE89" t="n">
        <v>9.610054728721291</v>
      </c>
      <c r="AF89" t="n">
        <v>8.900368275290171</v>
      </c>
      <c r="AG89" t="n">
        <v>7.986905819802709</v>
      </c>
      <c r="AH89" t="n">
        <v>6.936743743083341</v>
      </c>
      <c r="AI89" t="n">
        <v>6.88664915411288</v>
      </c>
      <c r="BI89" t="inlineStr">
        <is>
          <t>NEW_NPC_ALL</t>
        </is>
      </c>
    </row>
    <row r="90">
      <c r="A90" t="inlineStr">
        <is>
          <t>no_year_in_pairs</t>
        </is>
      </c>
      <c r="B90" s="2" t="n"/>
      <c r="C90" s="3" t="inlineStr">
        <is>
          <t>EBS.20.72, Sup. 1</t>
        </is>
      </c>
      <c r="D90" s="4" t="inlineStr">
        <is>
          <t>Dominica</t>
        </is>
      </c>
      <c r="E90" s="4" t="inlineStr">
        <is>
          <t>DMA</t>
        </is>
      </c>
      <c r="F90" s="4" t="n"/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NPC2</t>
        </is>
      </c>
      <c r="O90" t="n">
        <v>12.088558221155</v>
      </c>
      <c r="P90" t="n">
        <v>0.195186830532982</v>
      </c>
      <c r="Q90" t="n">
        <v>2.81136692440914</v>
      </c>
      <c r="R90" t="n">
        <v>3.96513483767905</v>
      </c>
      <c r="S90" t="n">
        <v>3.25915404559722</v>
      </c>
      <c r="T90" t="n">
        <v>2.9702634768341</v>
      </c>
      <c r="U90" t="n">
        <v>2.92968101023409</v>
      </c>
      <c r="V90" t="n">
        <v>2.14612840880091</v>
      </c>
      <c r="W90" t="n">
        <v>2.6836202995911</v>
      </c>
      <c r="X90" t="n">
        <v>2.88352540267122</v>
      </c>
      <c r="Y90" t="n">
        <v>6.27991919787455</v>
      </c>
      <c r="Z90" t="n">
        <v>10.6262128305804</v>
      </c>
      <c r="AA90" t="n">
        <v>14.4389279773579</v>
      </c>
      <c r="AB90" t="n">
        <v>13.181481386081</v>
      </c>
      <c r="AC90" t="n">
        <v>12.6496628504241</v>
      </c>
      <c r="AD90" t="n">
        <v>10.2501029085333</v>
      </c>
      <c r="AE90" t="n">
        <v>9.610054728721291</v>
      </c>
      <c r="AF90" t="n">
        <v>8.900368275290171</v>
      </c>
      <c r="AG90" t="n">
        <v>7.986905819802709</v>
      </c>
      <c r="AH90" t="n">
        <v>6.936743743083341</v>
      </c>
      <c r="AI90" t="n">
        <v>6.88664915411288</v>
      </c>
      <c r="BI90" t="inlineStr">
        <is>
          <t>NEW_NPC1</t>
        </is>
      </c>
    </row>
    <row r="91">
      <c r="A91" t="inlineStr">
        <is>
          <t>no_year_in_pairs</t>
        </is>
      </c>
      <c r="B91" s="2" t="n"/>
      <c r="C91" s="3" t="inlineStr">
        <is>
          <t>EBS.20.72, Sup. 1</t>
        </is>
      </c>
      <c r="D91" s="4" t="inlineStr">
        <is>
          <t>Dominica</t>
        </is>
      </c>
      <c r="E91" s="4" t="inlineStr">
        <is>
          <t>DMA</t>
        </is>
      </c>
      <c r="F91" s="4" t="n"/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no_year_in_pairs</t>
        </is>
      </c>
      <c r="B92" s="2" t="n"/>
      <c r="C92" s="3" t="inlineStr">
        <is>
          <t>EBS.20.72, Sup. 1</t>
        </is>
      </c>
      <c r="D92" s="4" t="inlineStr">
        <is>
          <t>Dominica</t>
        </is>
      </c>
      <c r="E92" s="4" t="inlineStr">
        <is>
          <t>DMA</t>
        </is>
      </c>
      <c r="F92" s="4" t="n"/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no_year_in_pairs</t>
        </is>
      </c>
      <c r="B93" s="2" t="n"/>
      <c r="C93" s="3" t="inlineStr">
        <is>
          <t>EBS.20.72, Sup. 1</t>
        </is>
      </c>
      <c r="D93" s="4" t="inlineStr">
        <is>
          <t>Dominica</t>
        </is>
      </c>
      <c r="E93" s="4" t="inlineStr">
        <is>
          <t>DMA</t>
        </is>
      </c>
      <c r="F93" s="4" t="n"/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no_year_in_pairs</t>
        </is>
      </c>
      <c r="B94" s="2" t="n"/>
      <c r="C94" s="3" t="inlineStr">
        <is>
          <t>EBS.20.72, Sup. 1</t>
        </is>
      </c>
      <c r="D94" s="4" t="inlineStr">
        <is>
          <t>Dominica</t>
        </is>
      </c>
      <c r="E94" s="4" t="inlineStr">
        <is>
          <t>DMA</t>
        </is>
      </c>
      <c r="F94" s="4" t="n"/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no_year_in_pairs</t>
        </is>
      </c>
      <c r="B95" s="2" t="n"/>
      <c r="C95" s="3" t="inlineStr">
        <is>
          <t>EBS.20.72, Sup. 1</t>
        </is>
      </c>
      <c r="D95" s="4" t="inlineStr">
        <is>
          <t>Dominica</t>
        </is>
      </c>
      <c r="E95" s="4" t="inlineStr">
        <is>
          <t>DMA</t>
        </is>
      </c>
      <c r="F95" s="4" t="n"/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no_year_in_pairs</t>
        </is>
      </c>
      <c r="B96" s="2" t="n"/>
      <c r="C96" s="3" t="inlineStr">
        <is>
          <t>EBS.20.72, Sup. 1</t>
        </is>
      </c>
      <c r="D96" s="4" t="inlineStr">
        <is>
          <t>Dominica</t>
        </is>
      </c>
      <c r="E96" s="4" t="inlineStr">
        <is>
          <t>DMA</t>
        </is>
      </c>
      <c r="F96" s="4" t="n"/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no_year_in_pairs</t>
        </is>
      </c>
      <c r="B97" s="2" t="n"/>
      <c r="C97" s="3" t="inlineStr">
        <is>
          <t>EBS.20.72, Sup. 1</t>
        </is>
      </c>
      <c r="D97" s="4" t="inlineStr">
        <is>
          <t>Dominica</t>
        </is>
      </c>
      <c r="E97" s="4" t="inlineStr">
        <is>
          <t>DMA</t>
        </is>
      </c>
      <c r="F97" s="4" t="n"/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no_year_in_pairs</t>
        </is>
      </c>
      <c r="B98" s="2" t="n"/>
      <c r="C98" s="3" t="inlineStr">
        <is>
          <t>EBS.20.72, Sup. 1</t>
        </is>
      </c>
      <c r="D98" s="4" t="inlineStr">
        <is>
          <t>Dominica</t>
        </is>
      </c>
      <c r="E98" s="4" t="inlineStr">
        <is>
          <t>DMA</t>
        </is>
      </c>
      <c r="F98" s="4" t="n"/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no_year_in_pairs</t>
        </is>
      </c>
      <c r="B99" s="2" t="n"/>
      <c r="C99" s="3" t="inlineStr">
        <is>
          <t>EBS.20.72, Sup. 1</t>
        </is>
      </c>
      <c r="D99" s="4" t="inlineStr">
        <is>
          <t>Dominica</t>
        </is>
      </c>
      <c r="E99" s="4" t="inlineStr">
        <is>
          <t>DMA</t>
        </is>
      </c>
      <c r="F99" s="4" t="n"/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no_year_in_pairs</t>
        </is>
      </c>
      <c r="B100" s="2" t="n"/>
      <c r="C100" s="3" t="inlineStr">
        <is>
          <t>EBS.20.72, Sup. 1</t>
        </is>
      </c>
      <c r="D100" s="4" t="inlineStr">
        <is>
          <t>Dominica</t>
        </is>
      </c>
      <c r="E100" s="4" t="inlineStr">
        <is>
          <t>DMA</t>
        </is>
      </c>
      <c r="F100" s="4" t="n"/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no_year_in_pairs</t>
        </is>
      </c>
      <c r="B101" s="2" t="n"/>
      <c r="C101" s="3" t="inlineStr">
        <is>
          <t>EBS.20.72, Sup. 1</t>
        </is>
      </c>
      <c r="D101" s="4" t="inlineStr">
        <is>
          <t>Dominica</t>
        </is>
      </c>
      <c r="E101" s="4" t="inlineStr">
        <is>
          <t>DMA</t>
        </is>
      </c>
      <c r="F101" s="4" t="n"/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no_year_in_pairs</t>
        </is>
      </c>
      <c r="B102" s="2" t="n"/>
      <c r="C102" s="3" t="inlineStr">
        <is>
          <t>EBS.20.72, Sup. 1</t>
        </is>
      </c>
      <c r="D102" s="4" t="inlineStr">
        <is>
          <t>Dominica</t>
        </is>
      </c>
      <c r="E102" s="4" t="inlineStr">
        <is>
          <t>DMA</t>
        </is>
      </c>
      <c r="F102" s="4" t="n"/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no_year_in_pairs</t>
        </is>
      </c>
      <c r="B103" s="2" t="n"/>
      <c r="C103" s="3" t="inlineStr">
        <is>
          <t>EBS.20.72, Sup. 1</t>
        </is>
      </c>
      <c r="D103" s="4" t="inlineStr">
        <is>
          <t>Dominica</t>
        </is>
      </c>
      <c r="E103" s="4" t="inlineStr">
        <is>
          <t>DMA</t>
        </is>
      </c>
      <c r="F103" s="4" t="n"/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no_year_in_pairs</t>
        </is>
      </c>
      <c r="B104" s="2" t="n"/>
      <c r="C104" s="3" t="inlineStr">
        <is>
          <t>EBS.20.72, Sup. 1</t>
        </is>
      </c>
      <c r="D104" s="4" t="inlineStr">
        <is>
          <t>Dominica</t>
        </is>
      </c>
      <c r="E104" s="4" t="inlineStr">
        <is>
          <t>DMA</t>
        </is>
      </c>
      <c r="F104" s="4" t="n"/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no_year_in_pairs</t>
        </is>
      </c>
      <c r="B105" s="2" t="n"/>
      <c r="C105" s="3" t="inlineStr">
        <is>
          <t>EBS.20.72, Sup. 1</t>
        </is>
      </c>
      <c r="D105" s="4" t="inlineStr">
        <is>
          <t>Dominica</t>
        </is>
      </c>
      <c r="E105" s="4" t="inlineStr">
        <is>
          <t>DMA</t>
        </is>
      </c>
      <c r="F105" s="4" t="n"/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no_year_in_pairs</t>
        </is>
      </c>
      <c r="B106" s="2" t="n"/>
      <c r="C106" s="3" t="inlineStr">
        <is>
          <t>EBS.20.72, Sup. 1</t>
        </is>
      </c>
      <c r="D106" s="4" t="inlineStr">
        <is>
          <t>Dominica</t>
        </is>
      </c>
      <c r="E106" s="4" t="inlineStr">
        <is>
          <t>DMA</t>
        </is>
      </c>
      <c r="F106" s="4" t="n"/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no_year_in_pairs</t>
        </is>
      </c>
      <c r="B107" s="2" t="n"/>
      <c r="C107" s="3" t="inlineStr">
        <is>
          <t>EBS.20.72, Sup. 1</t>
        </is>
      </c>
      <c r="D107" s="4" t="inlineStr">
        <is>
          <t>Dominica</t>
        </is>
      </c>
      <c r="E107" s="4" t="inlineStr">
        <is>
          <t>DMA</t>
        </is>
      </c>
      <c r="F107" s="4" t="n"/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no_year_in_pairs</t>
        </is>
      </c>
      <c r="B108" s="2" t="n"/>
      <c r="C108" s="3" t="inlineStr">
        <is>
          <t>EBS.20.72, Sup. 1</t>
        </is>
      </c>
      <c r="D108" s="4" t="inlineStr">
        <is>
          <t>Dominica</t>
        </is>
      </c>
      <c r="E108" s="4" t="inlineStr">
        <is>
          <t>DMA</t>
        </is>
      </c>
      <c r="F108" s="4" t="n"/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no_year_in_pairs</t>
        </is>
      </c>
      <c r="B109" s="2" t="n"/>
      <c r="C109" s="3" t="inlineStr">
        <is>
          <t>EBS.20.72, Sup. 1</t>
        </is>
      </c>
      <c r="D109" s="4" t="inlineStr">
        <is>
          <t>Dominica</t>
        </is>
      </c>
      <c r="E109" s="4" t="inlineStr">
        <is>
          <t>DMA</t>
        </is>
      </c>
      <c r="F109" s="4" t="n"/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no_year_in_pairs</t>
        </is>
      </c>
      <c r="B110" s="2" t="n"/>
      <c r="C110" s="3" t="inlineStr">
        <is>
          <t>EBS.20.72, Sup. 1</t>
        </is>
      </c>
      <c r="D110" s="4" t="inlineStr">
        <is>
          <t>Dominica</t>
        </is>
      </c>
      <c r="E110" s="4" t="inlineStr">
        <is>
          <t>DMA</t>
        </is>
      </c>
      <c r="F110" s="4" t="n"/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no_year_in_pairs</t>
        </is>
      </c>
      <c r="B111" s="2" t="n"/>
      <c r="C111" s="3" t="inlineStr">
        <is>
          <t>EBS.20.72, Sup. 1</t>
        </is>
      </c>
      <c r="D111" s="4" t="inlineStr">
        <is>
          <t>Dominica</t>
        </is>
      </c>
      <c r="E111" s="4" t="inlineStr">
        <is>
          <t>DMA</t>
        </is>
      </c>
      <c r="F111" s="4" t="n"/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no_year_in_pairs</t>
        </is>
      </c>
      <c r="B112" s="2" t="n"/>
      <c r="C112" s="3" t="inlineStr">
        <is>
          <t>EBS.20.72, Sup. 1</t>
        </is>
      </c>
      <c r="D112" s="4" t="inlineStr">
        <is>
          <t>Dominica</t>
        </is>
      </c>
      <c r="E112" s="4" t="inlineStr">
        <is>
          <t>DMA</t>
        </is>
      </c>
      <c r="F112" s="4" t="n"/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no_year_in_pairs</t>
        </is>
      </c>
      <c r="B113" s="2" t="n"/>
      <c r="C113" s="3" t="inlineStr">
        <is>
          <t>EBS.20.72, Sup. 1</t>
        </is>
      </c>
      <c r="D113" s="4" t="inlineStr">
        <is>
          <t>Dominica</t>
        </is>
      </c>
      <c r="E113" s="4" t="inlineStr">
        <is>
          <t>DMA</t>
        </is>
      </c>
      <c r="F113" s="4" t="n"/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no_year_in_pairs</t>
        </is>
      </c>
      <c r="B114" s="2" t="n"/>
      <c r="C114" s="3" t="inlineStr">
        <is>
          <t>EBS.20.72, Sup. 1</t>
        </is>
      </c>
      <c r="D114" s="4" t="inlineStr">
        <is>
          <t>Dominica</t>
        </is>
      </c>
      <c r="E114" s="4" t="inlineStr">
        <is>
          <t>DMA</t>
        </is>
      </c>
      <c r="F114" s="4" t="n"/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no_year_in_pairs</t>
        </is>
      </c>
      <c r="B115" s="2" t="n"/>
      <c r="C115" s="3" t="inlineStr">
        <is>
          <t>EBS.20.72, Sup. 1</t>
        </is>
      </c>
      <c r="D115" s="4" t="inlineStr">
        <is>
          <t>Dominica</t>
        </is>
      </c>
      <c r="E115" s="4" t="inlineStr">
        <is>
          <t>DMA</t>
        </is>
      </c>
      <c r="F115" s="4" t="n"/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no_year_in_pairs</t>
        </is>
      </c>
      <c r="B116" s="2" t="n"/>
      <c r="C116" s="3" t="inlineStr">
        <is>
          <t>EBS.20.72, Sup. 1</t>
        </is>
      </c>
      <c r="D116" s="4" t="inlineStr">
        <is>
          <t>Dominica</t>
        </is>
      </c>
      <c r="E116" s="4" t="inlineStr">
        <is>
          <t>DMA</t>
        </is>
      </c>
      <c r="F116" s="4" t="n"/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no_year_in_pairs</t>
        </is>
      </c>
      <c r="B117" s="2" t="n"/>
      <c r="C117" s="3" t="inlineStr">
        <is>
          <t>EBS.20.72, Sup. 1</t>
        </is>
      </c>
      <c r="D117" s="4" t="inlineStr">
        <is>
          <t>Dominica</t>
        </is>
      </c>
      <c r="E117" s="4" t="inlineStr">
        <is>
          <t>DMA</t>
        </is>
      </c>
      <c r="F117" s="4" t="n"/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no_year_in_pairs</t>
        </is>
      </c>
      <c r="B118" s="2" t="n"/>
      <c r="C118" s="3" t="inlineStr">
        <is>
          <t>EBS.20.72, Sup. 1</t>
        </is>
      </c>
      <c r="D118" s="4" t="inlineStr">
        <is>
          <t>Dominica</t>
        </is>
      </c>
      <c r="E118" s="4" t="inlineStr">
        <is>
          <t>DMA</t>
        </is>
      </c>
      <c r="F118" s="4" t="n"/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113.8301194821313</v>
      </c>
      <c r="P118" t="n">
        <v>53.39195920090196</v>
      </c>
      <c r="Q118" t="n">
        <v>46.78362829570222</v>
      </c>
      <c r="R118" t="n">
        <v>46.62967074063049</v>
      </c>
      <c r="S118" t="n">
        <v>35.53260529432708</v>
      </c>
      <c r="T118" t="n">
        <v>25.0757596067693</v>
      </c>
      <c r="U118" t="n">
        <v>26.73540844933355</v>
      </c>
      <c r="V118" t="n">
        <v>26.3085477555979</v>
      </c>
      <c r="W118" t="n">
        <v>25.79333999951452</v>
      </c>
      <c r="X118" t="n">
        <v>20.33621732082766</v>
      </c>
      <c r="Y118" t="n">
        <v>19.84820654130432</v>
      </c>
      <c r="Z118" t="n">
        <v>22.28214436057986</v>
      </c>
      <c r="AA118" t="n">
        <v>22.53809285123965</v>
      </c>
      <c r="AB118" t="n">
        <v>21.00609313690919</v>
      </c>
      <c r="AC118" t="n">
        <v>-11.54048210203687</v>
      </c>
      <c r="AD118" t="n">
        <v>20.57956668904426</v>
      </c>
      <c r="AE118" t="n">
        <v>19.86912321854906</v>
      </c>
      <c r="AF118" t="n">
        <v>20.6080591124548</v>
      </c>
      <c r="AG118" t="n">
        <v>21.86008513047262</v>
      </c>
      <c r="AH118" t="n">
        <v>21.32346860419684</v>
      </c>
      <c r="AI118" t="n">
        <v>22.78101283263935</v>
      </c>
      <c r="BI118" t="inlineStr">
        <is>
          <t>NEW_MLT_ALL</t>
        </is>
      </c>
    </row>
    <row r="119">
      <c r="A119" t="inlineStr">
        <is>
          <t>no_year_in_pairs</t>
        </is>
      </c>
      <c r="B119" s="2" t="n"/>
      <c r="C119" s="3" t="inlineStr">
        <is>
          <t>EBS.20.72, Sup. 1</t>
        </is>
      </c>
      <c r="D119" s="4" t="inlineStr">
        <is>
          <t>Dominica</t>
        </is>
      </c>
      <c r="E119" s="4" t="inlineStr">
        <is>
          <t>DMA</t>
        </is>
      </c>
      <c r="F119" s="4" t="n"/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88.29766080348443</v>
      </c>
      <c r="P119" t="n">
        <v>41.0573859002949</v>
      </c>
      <c r="Q119" t="n">
        <v>29.0302556234973</v>
      </c>
      <c r="R119" t="n">
        <v>19.22054285919114</v>
      </c>
      <c r="S119" t="n">
        <v>24.42410821453815</v>
      </c>
      <c r="T119" t="n">
        <v>11.06783825790139</v>
      </c>
      <c r="U119" t="n">
        <v>12.96774289580774</v>
      </c>
      <c r="V119" t="n">
        <v>11.69602972704806</v>
      </c>
      <c r="W119" t="n">
        <v>16.56262317353492</v>
      </c>
      <c r="X119" t="n">
        <v>18.22406001052664</v>
      </c>
      <c r="Y119" t="n">
        <v>10.68000886535762</v>
      </c>
      <c r="Z119" t="n">
        <v>12.25514133744903</v>
      </c>
      <c r="AA119" t="n">
        <v>14.014624799329</v>
      </c>
      <c r="AB119" t="n">
        <v>12.80789768520048</v>
      </c>
      <c r="AC119" t="n">
        <v>8.121411470173712</v>
      </c>
      <c r="AD119" t="n">
        <v>11.15235809115413</v>
      </c>
      <c r="AE119" t="n">
        <v>11.02599016412432</v>
      </c>
      <c r="AF119" t="n">
        <v>12.91712266699494</v>
      </c>
      <c r="AG119" t="n">
        <v>14.20661236901717</v>
      </c>
      <c r="AH119" t="n">
        <v>17.13592864652383</v>
      </c>
      <c r="AI119" t="n">
        <v>18.18815181646215</v>
      </c>
    </row>
    <row r="120">
      <c r="A120" t="inlineStr">
        <is>
          <t>no_year_in_pairs</t>
        </is>
      </c>
      <c r="B120" s="2" t="n"/>
      <c r="C120" s="3" t="inlineStr">
        <is>
          <t>EBS.20.72, Sup. 1</t>
        </is>
      </c>
      <c r="D120" s="4" t="inlineStr">
        <is>
          <t>Dominica</t>
        </is>
      </c>
      <c r="E120" s="4" t="inlineStr">
        <is>
          <t>DMA</t>
        </is>
      </c>
      <c r="F120" s="4" t="n"/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no_year_in_pairs</t>
        </is>
      </c>
      <c r="B121" s="2" t="n"/>
      <c r="C121" s="3" t="inlineStr">
        <is>
          <t>EBS.20.72, Sup. 1</t>
        </is>
      </c>
      <c r="D121" s="4" t="inlineStr">
        <is>
          <t>Dominica</t>
        </is>
      </c>
      <c r="E121" s="4" t="inlineStr">
        <is>
          <t>DMA</t>
        </is>
      </c>
      <c r="F121" s="4" t="n"/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no_year_in_pairs</t>
        </is>
      </c>
      <c r="B122" s="2" t="n"/>
      <c r="C122" s="3" t="inlineStr">
        <is>
          <t>EBS.20.72, Sup. 1</t>
        </is>
      </c>
      <c r="D122" s="4" t="inlineStr">
        <is>
          <t>Dominica</t>
        </is>
      </c>
      <c r="E122" s="4" t="inlineStr">
        <is>
          <t>DMA</t>
        </is>
      </c>
      <c r="F122" s="4" t="n"/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1.541249867945475</v>
      </c>
      <c r="M122" t="n">
        <v>1.541249867945475</v>
      </c>
      <c r="O122" t="n">
        <v>1.289163477789882</v>
      </c>
      <c r="P122" t="n">
        <v>1.300422762680526</v>
      </c>
      <c r="Q122" t="n">
        <v>1.611547238937683</v>
      </c>
      <c r="R122" t="n">
        <v>2.426032973274347</v>
      </c>
      <c r="S122" t="n">
        <v>1.454816895757804</v>
      </c>
      <c r="T122" t="n">
        <v>2.265642036182411</v>
      </c>
      <c r="U122" t="n">
        <v>2.061685573514622</v>
      </c>
      <c r="V122" t="n">
        <v>2.249357121139762</v>
      </c>
      <c r="W122" t="n">
        <v>1.557322154182025</v>
      </c>
      <c r="X122" t="n">
        <v>1.115899382963017</v>
      </c>
      <c r="Y122" t="n">
        <v>1.858444762689782</v>
      </c>
      <c r="Z122" t="n">
        <v>1.81818746492058</v>
      </c>
      <c r="AA122" t="n">
        <v>1.608183820398726</v>
      </c>
      <c r="AB122" t="n">
        <v>1.640089080441493</v>
      </c>
      <c r="AC122" t="n">
        <v>-1.42099463183461</v>
      </c>
      <c r="AD122" t="n">
        <v>1.845310787264591</v>
      </c>
      <c r="AE122" t="n">
        <v>1.802026205609903</v>
      </c>
      <c r="AF122" t="n">
        <v>1.595406317934201</v>
      </c>
      <c r="AG122" t="n">
        <v>1.538726091953259</v>
      </c>
      <c r="AH122" t="n">
        <v>1.244371930115529</v>
      </c>
      <c r="AI122" t="n">
        <v>1.25251939078385</v>
      </c>
    </row>
    <row r="123">
      <c r="A123" t="inlineStr">
        <is>
          <t>no_year_in_pairs</t>
        </is>
      </c>
      <c r="B123" s="2" t="n"/>
      <c r="C123" s="3" t="inlineStr">
        <is>
          <t>EBS.20.72, Sup. 1</t>
        </is>
      </c>
      <c r="D123" s="4" t="inlineStr">
        <is>
          <t>Dominica</t>
        </is>
      </c>
      <c r="E123" s="4" t="inlineStr">
        <is>
          <t>DMA</t>
        </is>
      </c>
      <c r="F123" s="4" t="n"/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-0.541249867945475</v>
      </c>
      <c r="M123" t="n">
        <v>-0.541249867945475</v>
      </c>
      <c r="O123" t="n">
        <v>-0.2891634777898817</v>
      </c>
      <c r="P123" t="n">
        <v>-0.3004227626805258</v>
      </c>
      <c r="Q123" t="n">
        <v>-0.611547238937683</v>
      </c>
      <c r="R123" t="n">
        <v>-1.426032973274347</v>
      </c>
      <c r="S123" t="n">
        <v>-0.4548168957578044</v>
      </c>
      <c r="T123" t="n">
        <v>-1.265642036182411</v>
      </c>
      <c r="U123" t="n">
        <v>-1.061685573514622</v>
      </c>
      <c r="V123" t="n">
        <v>-1.249357121139762</v>
      </c>
      <c r="W123" t="n">
        <v>-0.5573221541820249</v>
      </c>
      <c r="X123" t="n">
        <v>-0.1158993829630165</v>
      </c>
      <c r="Y123" t="n">
        <v>-0.8584447626897823</v>
      </c>
      <c r="Z123" t="n">
        <v>-0.8181874649205801</v>
      </c>
      <c r="AA123" t="n">
        <v>-0.608183820398726</v>
      </c>
      <c r="AB123" t="n">
        <v>-0.6400890804414934</v>
      </c>
      <c r="AC123" t="n">
        <v>2.42099463183461</v>
      </c>
      <c r="AD123" t="n">
        <v>-0.8453107872645906</v>
      </c>
      <c r="AE123" t="n">
        <v>-0.8020262056099033</v>
      </c>
      <c r="AF123" t="n">
        <v>-0.5954063179342005</v>
      </c>
      <c r="AG123" t="n">
        <v>-0.5387260919532592</v>
      </c>
      <c r="AH123" t="n">
        <v>-0.2443719301155292</v>
      </c>
      <c r="AI123" t="n">
        <v>-0.2525193907838503</v>
      </c>
    </row>
    <row r="124">
      <c r="A124" t="inlineStr">
        <is>
          <t>no_year_in_pairs</t>
        </is>
      </c>
      <c r="B124" s="2" t="n"/>
      <c r="C124" s="3" t="inlineStr">
        <is>
          <t>EBS.20.72, Sup. 1</t>
        </is>
      </c>
      <c r="D124" s="4" t="inlineStr">
        <is>
          <t>Dominica</t>
        </is>
      </c>
      <c r="E124" s="4" t="inlineStr">
        <is>
          <t>DMA</t>
        </is>
      </c>
      <c r="F124" s="4" t="n"/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no_year_in_pairs</t>
        </is>
      </c>
      <c r="B125" s="2" t="n"/>
      <c r="C125" s="3" t="inlineStr">
        <is>
          <t>EBS.20.72, Sup. 1</t>
        </is>
      </c>
      <c r="D125" s="4" t="inlineStr">
        <is>
          <t>Dominica</t>
        </is>
      </c>
      <c r="E125" s="4" t="inlineStr">
        <is>
          <t>DMA</t>
        </is>
      </c>
      <c r="F125" s="4" t="n"/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no_year_in_pairs</t>
        </is>
      </c>
      <c r="B126" s="2" t="n"/>
      <c r="C126" s="3" t="inlineStr">
        <is>
          <t>EBS.20.72, Sup. 1</t>
        </is>
      </c>
      <c r="D126" s="4" t="inlineStr">
        <is>
          <t>Dominica</t>
        </is>
      </c>
      <c r="E126" s="4" t="inlineStr">
        <is>
          <t>DMA</t>
        </is>
      </c>
      <c r="F126" s="4" t="n"/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no_year_in_pairs</t>
        </is>
      </c>
      <c r="B127" s="2" t="n"/>
      <c r="C127" s="3" t="inlineStr">
        <is>
          <t>EBS.20.72, Sup. 1</t>
        </is>
      </c>
      <c r="D127" s="4" t="inlineStr">
        <is>
          <t>Dominica</t>
        </is>
      </c>
      <c r="E127" s="4" t="inlineStr">
        <is>
          <t>DMA</t>
        </is>
      </c>
      <c r="F127" s="4" t="n"/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1.177970654994627</v>
      </c>
      <c r="M127" t="n">
        <v>1.177970654994627</v>
      </c>
      <c r="O127" t="n">
        <v>1.161243533938904</v>
      </c>
      <c r="P127" t="n">
        <v>0.892080511561932</v>
      </c>
      <c r="Q127" t="n">
        <v>1.043357417646232</v>
      </c>
      <c r="R127" t="n">
        <v>1.116081392131324</v>
      </c>
      <c r="S127" t="n">
        <v>1.12377040967202</v>
      </c>
      <c r="T127" t="n">
        <v>1.172121314905104</v>
      </c>
      <c r="U127" t="n">
        <v>1.177606814554821</v>
      </c>
      <c r="V127" t="n">
        <v>1.102561908832008</v>
      </c>
      <c r="W127" t="n">
        <v>1.169116494710766</v>
      </c>
      <c r="X127" t="n">
        <v>1.270845938536937</v>
      </c>
      <c r="Y127" t="n">
        <v>1.728891468450848</v>
      </c>
      <c r="Z127" t="n">
        <v>2.152091231970068</v>
      </c>
      <c r="AA127" t="n">
        <v>2.572815434332655</v>
      </c>
      <c r="AB127" t="n">
        <v>2.546376247490768</v>
      </c>
      <c r="AC127" t="n">
        <v>-1.71074187343151</v>
      </c>
      <c r="AD127" t="n">
        <v>2.233175215450843</v>
      </c>
      <c r="AE127" t="n">
        <v>2.200158663006696</v>
      </c>
      <c r="AF127" t="n">
        <v>2.073423317617268</v>
      </c>
      <c r="AG127" t="n">
        <v>1.91334623199393</v>
      </c>
      <c r="AH127" t="n">
        <v>1.814422233457978</v>
      </c>
      <c r="AI127" t="n">
        <v>1.757641033250016</v>
      </c>
      <c r="BI127" t="inlineStr">
        <is>
          <t>NEW_IR_AVG</t>
        </is>
      </c>
    </row>
    <row r="128">
      <c r="A128" t="inlineStr">
        <is>
          <t>no_year_in_pairs</t>
        </is>
      </c>
      <c r="B128" s="2" t="n"/>
      <c r="C128" s="3" t="inlineStr">
        <is>
          <t>EBS.20.72, Sup. 1</t>
        </is>
      </c>
      <c r="D128" s="4" t="inlineStr">
        <is>
          <t>Dominica</t>
        </is>
      </c>
      <c r="E128" s="4" t="inlineStr">
        <is>
          <t>DMA</t>
        </is>
      </c>
      <c r="F128" s="4" t="n"/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6.913667467769841</v>
      </c>
      <c r="O128" t="n">
        <v>6.361678268503719</v>
      </c>
      <c r="P128" t="n">
        <v>7.341176496813932</v>
      </c>
      <c r="Q128" t="n">
        <v>7.137499882820898</v>
      </c>
      <c r="R128" t="n">
        <v>6.930101554879284</v>
      </c>
      <c r="S128" t="n">
        <v>7.110737430558576</v>
      </c>
      <c r="T128" t="n">
        <v>7.480152964526251</v>
      </c>
      <c r="U128" t="n">
        <v>6.926891672486312</v>
      </c>
      <c r="V128" t="n">
        <v>7.027528216583243</v>
      </c>
      <c r="W128" t="n">
        <v>6.819827522469789</v>
      </c>
      <c r="X128" t="n">
        <v>6.672711904377063</v>
      </c>
      <c r="Y128" t="n">
        <v>6.242036231449184</v>
      </c>
      <c r="Z128" t="n">
        <v>5.802857134987504</v>
      </c>
      <c r="AA128" t="n">
        <v>5.575966787275746</v>
      </c>
      <c r="AB128" t="n">
        <v>5.447850995081827</v>
      </c>
      <c r="AC128" t="n">
        <v>4.409229095512659</v>
      </c>
      <c r="AD128" t="n">
        <v>5.240088325880665</v>
      </c>
      <c r="AE128" t="n">
        <v>5.180215767696239</v>
      </c>
      <c r="AF128" t="n">
        <v>5.12592113150823</v>
      </c>
      <c r="AG128" t="n">
        <v>5.001315790413881</v>
      </c>
      <c r="AH128" t="n">
        <v>4.977069801872773</v>
      </c>
      <c r="AI128" t="n">
        <v>4.962067344381944</v>
      </c>
      <c r="BI128" t="inlineStr">
        <is>
          <t>NEW_GP_AVG</t>
        </is>
      </c>
    </row>
    <row r="129">
      <c r="A129" t="inlineStr">
        <is>
          <t>no_year_in_pairs</t>
        </is>
      </c>
      <c r="B129" s="2" t="n"/>
      <c r="C129" s="3" t="inlineStr">
        <is>
          <t>EBS.20.72, Sup. 1</t>
        </is>
      </c>
      <c r="D129" s="4" t="inlineStr">
        <is>
          <t>Dominica</t>
        </is>
      </c>
      <c r="E129" s="4" t="inlineStr">
        <is>
          <t>DMA</t>
        </is>
      </c>
      <c r="F129" s="4" t="n"/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29</v>
      </c>
      <c r="M129" t="n">
        <v>29.56747396283106</v>
      </c>
      <c r="O129" t="n">
        <v>27.29968941964893</v>
      </c>
      <c r="P129" t="n">
        <v>31.98697214483128</v>
      </c>
      <c r="Q129" t="n">
        <v>30.81157000131359</v>
      </c>
      <c r="R129" t="n">
        <v>29.9399587851367</v>
      </c>
      <c r="S129" t="n">
        <v>30.41498316687593</v>
      </c>
      <c r="T129" t="n">
        <v>31.25594304105309</v>
      </c>
      <c r="U129" t="n">
        <v>29.68486942474238</v>
      </c>
      <c r="V129" t="n">
        <v>30.26683137110505</v>
      </c>
      <c r="W129" t="n">
        <v>29.41905108407235</v>
      </c>
      <c r="X129" t="n">
        <v>28.60020957810802</v>
      </c>
      <c r="Y129" t="n">
        <v>25.56213557425432</v>
      </c>
      <c r="Z129" t="n">
        <v>22.63963505008474</v>
      </c>
      <c r="AA129" t="n">
        <v>20.32144526704147</v>
      </c>
      <c r="AB129" t="n">
        <v>20.06847779626604</v>
      </c>
      <c r="AC129" t="n">
        <v>34.18880896116148</v>
      </c>
      <c r="AD129" t="n">
        <v>20.73954645066249</v>
      </c>
      <c r="AE129" t="n">
        <v>20.70396949752269</v>
      </c>
      <c r="AF129" t="n">
        <v>21.05888589775398</v>
      </c>
      <c r="AG129" t="n">
        <v>21.35029928518314</v>
      </c>
      <c r="AH129" t="n">
        <v>21.67810651141185</v>
      </c>
      <c r="AI129" t="n">
        <v>21.86322443126938</v>
      </c>
      <c r="BI129" t="inlineStr">
        <is>
          <t>NEW_M_AVG</t>
        </is>
      </c>
    </row>
    <row r="130">
      <c r="A130" t="inlineStr">
        <is>
          <t>no_year_in_pairs</t>
        </is>
      </c>
      <c r="B130" s="2" t="n"/>
      <c r="C130" s="3" t="inlineStr">
        <is>
          <t>EBS.20.72, Sup. 1</t>
        </is>
      </c>
      <c r="D130" s="4" t="inlineStr">
        <is>
          <t>Dominica</t>
        </is>
      </c>
      <c r="E130" s="4" t="inlineStr">
        <is>
          <t>DMA</t>
        </is>
      </c>
      <c r="F130" s="4" t="n"/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no_year_in_pairs</t>
        </is>
      </c>
      <c r="B131" s="2" t="n"/>
      <c r="C131" s="3" t="inlineStr">
        <is>
          <t>EBS.20.72, Sup. 1</t>
        </is>
      </c>
      <c r="D131" s="4" t="inlineStr">
        <is>
          <t>Dominica</t>
        </is>
      </c>
      <c r="E131" s="4" t="inlineStr">
        <is>
          <t>DMA</t>
        </is>
      </c>
      <c r="F131" s="4" t="n"/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7</v>
      </c>
      <c r="Q131" t="n">
        <v>7</v>
      </c>
      <c r="R131" t="n">
        <v>6</v>
      </c>
      <c r="S131" t="n">
        <v>7</v>
      </c>
      <c r="T131" t="n">
        <v>7</v>
      </c>
      <c r="U131" t="n">
        <v>6</v>
      </c>
      <c r="V131" t="n">
        <v>7</v>
      </c>
      <c r="W131" t="n">
        <v>6</v>
      </c>
      <c r="X131" t="n">
        <v>6</v>
      </c>
      <c r="Y131" t="n">
        <v>6</v>
      </c>
      <c r="Z131" t="n">
        <v>5</v>
      </c>
      <c r="AA131" t="n">
        <v>5</v>
      </c>
      <c r="AB131" t="n">
        <v>5</v>
      </c>
      <c r="AC131" t="n">
        <v>4</v>
      </c>
      <c r="AD131" t="n">
        <v>5</v>
      </c>
      <c r="AE131" t="n">
        <v>5</v>
      </c>
      <c r="AF131" t="n">
        <v>5</v>
      </c>
      <c r="AG131" t="n">
        <v>5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no_year_in_pairs</t>
        </is>
      </c>
      <c r="B132" s="2" t="n"/>
      <c r="C132" s="3" t="inlineStr">
        <is>
          <t>EBS.20.72, Sup. 1</t>
        </is>
      </c>
      <c r="D132" s="4" t="inlineStr">
        <is>
          <t>Dominica</t>
        </is>
      </c>
      <c r="E132" s="4" t="inlineStr">
        <is>
          <t>DMA</t>
        </is>
      </c>
      <c r="F132" s="4" t="n"/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29</v>
      </c>
      <c r="O132" t="n">
        <v>27</v>
      </c>
      <c r="P132" t="n">
        <v>31</v>
      </c>
      <c r="Q132" t="n">
        <v>30</v>
      </c>
      <c r="R132" t="n">
        <v>29</v>
      </c>
      <c r="S132" t="n">
        <v>30</v>
      </c>
      <c r="T132" t="n">
        <v>31</v>
      </c>
      <c r="U132" t="n">
        <v>29</v>
      </c>
      <c r="V132" t="n">
        <v>30</v>
      </c>
      <c r="W132" t="n">
        <v>29</v>
      </c>
      <c r="X132" t="n">
        <v>28</v>
      </c>
      <c r="Y132" t="n">
        <v>25</v>
      </c>
      <c r="Z132" t="n">
        <v>22</v>
      </c>
      <c r="AA132" t="n">
        <v>20</v>
      </c>
      <c r="AB132" t="n">
        <v>20</v>
      </c>
      <c r="AC132" t="n">
        <v>34</v>
      </c>
      <c r="AD132" t="n">
        <v>20</v>
      </c>
      <c r="AE132" t="n">
        <v>20</v>
      </c>
      <c r="AF132" t="n">
        <v>21</v>
      </c>
      <c r="AG132" t="n">
        <v>21</v>
      </c>
      <c r="AH132" t="n">
        <v>21</v>
      </c>
      <c r="AI132" t="n">
        <v>21</v>
      </c>
      <c r="BI132" t="inlineStr">
        <is>
          <t>NEW_M_AVG_R</t>
        </is>
      </c>
    </row>
    <row r="133">
      <c r="A133" t="inlineStr">
        <is>
          <t>no_year_in_pairs</t>
        </is>
      </c>
      <c r="B133" s="2" t="n"/>
      <c r="C133" s="3" t="inlineStr">
        <is>
          <t>EBS.20.72, Sup. 1</t>
        </is>
      </c>
      <c r="D133" s="4" t="inlineStr">
        <is>
          <t>Dominica</t>
        </is>
      </c>
      <c r="E133" s="4" t="inlineStr">
        <is>
          <t>DMA</t>
        </is>
      </c>
      <c r="F133" s="4" t="n"/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no_year_in_pairs</t>
        </is>
      </c>
      <c r="B134" s="2" t="n"/>
      <c r="C134" s="3" t="inlineStr">
        <is>
          <t>EBS.20.72, Sup. 1</t>
        </is>
      </c>
      <c r="D134" s="4" t="inlineStr">
        <is>
          <t>Dominica</t>
        </is>
      </c>
      <c r="E134" s="4" t="inlineStr">
        <is>
          <t>DMA</t>
        </is>
      </c>
      <c r="F134" s="4" t="n"/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no_year_in_pairs</t>
        </is>
      </c>
      <c r="B135" s="2" t="n"/>
      <c r="C135" s="3" t="inlineStr">
        <is>
          <t>EBS.20.72, Sup. 1</t>
        </is>
      </c>
      <c r="D135" s="4" t="inlineStr">
        <is>
          <t>Dominica</t>
        </is>
      </c>
      <c r="E135" s="4" t="inlineStr">
        <is>
          <t>DMA</t>
        </is>
      </c>
      <c r="F135" s="4" t="n"/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no_year_in_pairs</t>
        </is>
      </c>
      <c r="B136" s="2" t="n"/>
      <c r="C136" s="3" t="inlineStr">
        <is>
          <t>EBS.20.72, Sup. 1</t>
        </is>
      </c>
      <c r="D136" s="4" t="inlineStr">
        <is>
          <t>Dominica</t>
        </is>
      </c>
      <c r="E136" s="4" t="inlineStr">
        <is>
          <t>DMA</t>
        </is>
      </c>
      <c r="F136" s="4" t="n"/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1.321844902161179</v>
      </c>
      <c r="Q136" t="n">
        <v>1.798144164933523</v>
      </c>
      <c r="R136" t="n">
        <v>2.286264621000774</v>
      </c>
      <c r="S136" t="n">
        <v>2.806689699349055</v>
      </c>
      <c r="T136" t="n">
        <v>3.205994603432256</v>
      </c>
      <c r="U136" t="n">
        <v>9.069251775602067</v>
      </c>
      <c r="V136" t="n">
        <v>10.7357663345677</v>
      </c>
      <c r="W136" t="n">
        <v>12.41312184739679</v>
      </c>
      <c r="X136" t="n">
        <v>14.23012812936576</v>
      </c>
      <c r="Y136" t="n">
        <v>15.53765965893475</v>
      </c>
      <c r="Z136" t="n">
        <v>16.43611542159138</v>
      </c>
      <c r="AA136" t="n">
        <v>18.53629593481303</v>
      </c>
      <c r="AB136" t="n">
        <v>20.46811457924372</v>
      </c>
      <c r="AC136" t="n">
        <v>22.33417180045582</v>
      </c>
      <c r="AD136" t="n">
        <v>23.60837622079309</v>
      </c>
      <c r="AE136" t="n">
        <v>24.07038274624163</v>
      </c>
      <c r="AF136" t="n">
        <v>26.04767240233555</v>
      </c>
      <c r="AG136" t="n">
        <v>27.97504297065505</v>
      </c>
      <c r="AH136" t="n">
        <v>29.58547289787294</v>
      </c>
      <c r="AI136" t="n">
        <v>29.48339033053362</v>
      </c>
      <c r="BI136" t="inlineStr">
        <is>
          <t>NEW_DS_TOT</t>
        </is>
      </c>
    </row>
    <row r="137">
      <c r="A137" t="inlineStr">
        <is>
          <t>no_year_in_pairs</t>
        </is>
      </c>
      <c r="B137" s="2" t="n"/>
      <c r="C137" s="3" t="inlineStr">
        <is>
          <t>EBS.20.72, Sup. 1</t>
        </is>
      </c>
      <c r="D137" s="4" t="inlineStr">
        <is>
          <t>Dominica</t>
        </is>
      </c>
      <c r="E137" s="4" t="inlineStr">
        <is>
          <t>DMA</t>
        </is>
      </c>
      <c r="F137" s="4" t="n"/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no_year_in_pairs</t>
        </is>
      </c>
      <c r="B138" s="2" t="n"/>
      <c r="C138" s="3" t="inlineStr">
        <is>
          <t>EBS.20.72, Sup. 1</t>
        </is>
      </c>
      <c r="D138" s="4" t="inlineStr">
        <is>
          <t>Dominica</t>
        </is>
      </c>
      <c r="E138" s="4" t="inlineStr">
        <is>
          <t>DMA</t>
        </is>
      </c>
      <c r="F138" s="4" t="n"/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1.321844902161179</v>
      </c>
      <c r="Q138" t="n">
        <v>1.798144164933523</v>
      </c>
      <c r="R138" t="n">
        <v>2.286264621000774</v>
      </c>
      <c r="S138" t="n">
        <v>2.806689699349055</v>
      </c>
      <c r="T138" t="n">
        <v>3.205994603432256</v>
      </c>
      <c r="U138" t="n">
        <v>3.499912926657563</v>
      </c>
      <c r="V138" t="n">
        <v>3.73707018405145</v>
      </c>
      <c r="W138" t="n">
        <v>3.934675935874971</v>
      </c>
      <c r="X138" t="n">
        <v>4.121941938928465</v>
      </c>
      <c r="Y138" t="n">
        <v>4.239885501501237</v>
      </c>
      <c r="Z138" t="n">
        <v>4.422497256949384</v>
      </c>
      <c r="AA138" t="n">
        <v>4.721252322874731</v>
      </c>
      <c r="AB138" t="n">
        <v>5.097083721536828</v>
      </c>
      <c r="AC138" t="n">
        <v>5.408687228069031</v>
      </c>
      <c r="AD138" t="n">
        <v>5.362070840256825</v>
      </c>
      <c r="AE138" t="n">
        <v>5.558437353887948</v>
      </c>
      <c r="AF138" t="n">
        <v>5.74528004662734</v>
      </c>
      <c r="AG138" t="n">
        <v>5.879139375854367</v>
      </c>
      <c r="AH138" t="n">
        <v>5.957850524315202</v>
      </c>
      <c r="AI138" t="n">
        <v>5.96762458259567</v>
      </c>
      <c r="BI138" t="inlineStr">
        <is>
          <t>NEW_DS_I</t>
        </is>
      </c>
    </row>
    <row r="139">
      <c r="A139" t="inlineStr">
        <is>
          <t>no_year_in_pairs</t>
        </is>
      </c>
      <c r="B139" s="2" t="n"/>
      <c r="C139" s="3" t="inlineStr">
        <is>
          <t>EBS.20.72, Sup. 1</t>
        </is>
      </c>
      <c r="D139" s="4" t="inlineStr">
        <is>
          <t>Dominica</t>
        </is>
      </c>
      <c r="E139" s="4" t="inlineStr">
        <is>
          <t>DMA</t>
        </is>
      </c>
      <c r="F139" s="4" t="n"/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0.8987453644207536</v>
      </c>
      <c r="Q139" t="n">
        <v>1.368213088124444</v>
      </c>
      <c r="R139" t="n">
        <v>1.757935701837374</v>
      </c>
      <c r="S139" t="n">
        <v>2.139581060866889</v>
      </c>
      <c r="T139" t="n">
        <v>2.424815573354187</v>
      </c>
      <c r="U139" t="n">
        <v>2.614774674890301</v>
      </c>
      <c r="V139" t="n">
        <v>2.791703050700037</v>
      </c>
      <c r="W139" t="n">
        <v>2.957187415896434</v>
      </c>
      <c r="X139" t="n">
        <v>3.103359600380579</v>
      </c>
      <c r="Y139" t="n">
        <v>3.187090637708075</v>
      </c>
      <c r="Z139" t="n">
        <v>3.22802312423842</v>
      </c>
      <c r="AA139" t="n">
        <v>3.243374566270179</v>
      </c>
      <c r="AB139" t="n">
        <v>3.212611194437295</v>
      </c>
      <c r="AC139" t="n">
        <v>3.169142010600011</v>
      </c>
      <c r="AD139" t="n">
        <v>2.79545925221488</v>
      </c>
      <c r="AE139" t="n">
        <v>2.758836332148605</v>
      </c>
      <c r="AF139" t="n">
        <v>2.714761040902537</v>
      </c>
      <c r="AG139" t="n">
        <v>2.679050003014359</v>
      </c>
      <c r="AH139" t="n">
        <v>2.660858433987371</v>
      </c>
      <c r="AI139" t="n">
        <v>2.642742660384601</v>
      </c>
      <c r="BI139" t="inlineStr">
        <is>
          <t>NEW_DS_ML</t>
        </is>
      </c>
    </row>
    <row r="140">
      <c r="A140" t="inlineStr">
        <is>
          <t>no_year_in_pairs</t>
        </is>
      </c>
      <c r="B140" s="2" t="n"/>
      <c r="C140" s="3" t="inlineStr">
        <is>
          <t>EBS.20.72, Sup. 1</t>
        </is>
      </c>
      <c r="D140" s="4" t="inlineStr">
        <is>
          <t>Dominica</t>
        </is>
      </c>
      <c r="E140" s="4" t="inlineStr">
        <is>
          <t>DMA</t>
        </is>
      </c>
      <c r="F140" s="4" t="n"/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0.01372341606300315</v>
      </c>
      <c r="Q140" t="n">
        <v>0.01372341606300315</v>
      </c>
      <c r="R140" t="n">
        <v>0.01372341606300315</v>
      </c>
      <c r="S140" t="n">
        <v>0.01372341606300315</v>
      </c>
      <c r="T140" t="n">
        <v>0.01372341606300315</v>
      </c>
      <c r="U140" t="n">
        <v>0.01372341606300315</v>
      </c>
      <c r="V140" t="n">
        <v>0.01097873285040252</v>
      </c>
      <c r="W140" t="n">
        <v>0.00823404963780189</v>
      </c>
      <c r="X140" t="n">
        <v>0.005489366425201261</v>
      </c>
      <c r="Y140" t="n">
        <v>0.002744683212600631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no_year_in_pairs</t>
        </is>
      </c>
      <c r="B141" s="2" t="n"/>
      <c r="C141" s="3" t="inlineStr">
        <is>
          <t>EBS.20.72, Sup. 1</t>
        </is>
      </c>
      <c r="D141" s="4" t="inlineStr">
        <is>
          <t>Dominica</t>
        </is>
      </c>
      <c r="E141" s="4" t="inlineStr">
        <is>
          <t>DMA</t>
        </is>
      </c>
      <c r="F141" s="4" t="n"/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0.2325</v>
      </c>
      <c r="Q141" t="n">
        <v>0.42</v>
      </c>
      <c r="R141" t="n">
        <v>0.57</v>
      </c>
      <c r="S141" t="n">
        <v>0.705</v>
      </c>
      <c r="T141" t="n">
        <v>0.8175</v>
      </c>
      <c r="U141" t="n">
        <v>0.9107875792897147</v>
      </c>
      <c r="V141" t="n">
        <v>0.9880619331420262</v>
      </c>
      <c r="W141" t="n">
        <v>1.06807391750973</v>
      </c>
      <c r="X141" t="n">
        <v>1.138483062551036</v>
      </c>
      <c r="Y141" t="n">
        <v>1.189508011754857</v>
      </c>
      <c r="Z141" t="n">
        <v>1.226486299235237</v>
      </c>
      <c r="AA141" t="n">
        <v>1.245570367109307</v>
      </c>
      <c r="AB141" t="n">
        <v>1.251042156505583</v>
      </c>
      <c r="AC141" t="n">
        <v>1.246153556076803</v>
      </c>
      <c r="AD141" t="n">
        <v>1.232880227651263</v>
      </c>
      <c r="AE141" t="n">
        <v>1.213041598221847</v>
      </c>
      <c r="AF141" t="n">
        <v>1.188053106186946</v>
      </c>
      <c r="AG141" t="n">
        <v>1.159010193597988</v>
      </c>
      <c r="AH141" t="n">
        <v>1.123450874616689</v>
      </c>
      <c r="AI141" t="n">
        <v>1.08476801215854</v>
      </c>
    </row>
    <row r="142">
      <c r="A142" t="inlineStr">
        <is>
          <t>no_year_in_pairs</t>
        </is>
      </c>
      <c r="B142" s="2" t="n"/>
      <c r="C142" s="3" t="inlineStr">
        <is>
          <t>EBS.20.72, Sup. 1</t>
        </is>
      </c>
      <c r="D142" s="4" t="inlineStr">
        <is>
          <t>Dominica</t>
        </is>
      </c>
      <c r="E142" s="4" t="inlineStr">
        <is>
          <t>DMA</t>
        </is>
      </c>
      <c r="F142" s="4" t="n"/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no_year_in_pairs</t>
        </is>
      </c>
      <c r="B143" s="2" t="n"/>
      <c r="C143" s="3" t="inlineStr">
        <is>
          <t>EBS.20.72, Sup. 1</t>
        </is>
      </c>
      <c r="D143" s="4" t="inlineStr">
        <is>
          <t>Dominica</t>
        </is>
      </c>
      <c r="E143" s="4" t="inlineStr">
        <is>
          <t>DMA</t>
        </is>
      </c>
      <c r="F143" s="4" t="n"/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CDB</t>
        </is>
      </c>
      <c r="M143" t="n">
        <v>111</v>
      </c>
      <c r="O143" t="n">
        <v>0</v>
      </c>
      <c r="P143" t="n">
        <v>0.3</v>
      </c>
      <c r="Q143" t="n">
        <v>0.45</v>
      </c>
      <c r="R143" t="n">
        <v>0.5700000000000001</v>
      </c>
      <c r="S143" t="n">
        <v>0.6900000000000001</v>
      </c>
      <c r="T143" t="n">
        <v>0.79</v>
      </c>
      <c r="U143" t="n">
        <v>0.87</v>
      </c>
      <c r="V143" t="n">
        <v>0.9378345578700544</v>
      </c>
      <c r="W143" t="n">
        <v>1.001103729904434</v>
      </c>
      <c r="X143" t="n">
        <v>1.061398282099468</v>
      </c>
      <c r="Y143" t="n">
        <v>1.082054317534552</v>
      </c>
      <c r="Z143" t="n">
        <v>1.076816140422961</v>
      </c>
      <c r="AA143" t="n">
        <v>1.054627119151021</v>
      </c>
      <c r="AB143" t="n">
        <v>1.020240275999089</v>
      </c>
      <c r="AC143" t="n">
        <v>0.9765437582695801</v>
      </c>
      <c r="AD143" t="n">
        <v>0.9252884341239938</v>
      </c>
      <c r="AE143" t="n">
        <v>0.8693377989869719</v>
      </c>
      <c r="AF143" t="n">
        <v>0.810470530823633</v>
      </c>
      <c r="AG143" t="n">
        <v>0.7497900976368209</v>
      </c>
      <c r="AH143" t="n">
        <v>0.6879825160886927</v>
      </c>
      <c r="AI143" t="n">
        <v>0.6254747725711998</v>
      </c>
    </row>
    <row r="144">
      <c r="A144" t="inlineStr">
        <is>
          <t>no_year_in_pairs</t>
        </is>
      </c>
      <c r="B144" s="2" t="n"/>
      <c r="C144" s="3" t="inlineStr">
        <is>
          <t>EBS.20.72, Sup. 1</t>
        </is>
      </c>
      <c r="D144" s="4" t="inlineStr">
        <is>
          <t>Dominica</t>
        </is>
      </c>
      <c r="E144" s="4" t="inlineStr">
        <is>
          <t>DMA</t>
        </is>
      </c>
      <c r="F144" s="4" t="n"/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MULTIRES</t>
        </is>
      </c>
      <c r="M144" t="n">
        <v>137</v>
      </c>
      <c r="O144" t="n">
        <v>0</v>
      </c>
      <c r="P144" t="n">
        <v>0.3525219483577505</v>
      </c>
      <c r="Q144" t="n">
        <v>0.4844896720614403</v>
      </c>
      <c r="R144" t="n">
        <v>0.6042122857743711</v>
      </c>
      <c r="S144" t="n">
        <v>0.7308576448038856</v>
      </c>
      <c r="T144" t="n">
        <v>0.8035921572911842</v>
      </c>
      <c r="U144" t="n">
        <v>0.8202636795375833</v>
      </c>
      <c r="V144" t="n">
        <v>0.8548278268375539</v>
      </c>
      <c r="W144" t="n">
        <v>0.8797757188444674</v>
      </c>
      <c r="X144" t="n">
        <v>0.8979888893048741</v>
      </c>
      <c r="Y144" t="n">
        <v>0.9127836252060649</v>
      </c>
      <c r="Z144" t="n">
        <v>0.9247206845802219</v>
      </c>
      <c r="AA144" t="n">
        <v>0.9431770800098506</v>
      </c>
      <c r="AB144" t="n">
        <v>0.9413287619326234</v>
      </c>
      <c r="AC144" t="n">
        <v>0.9464446962536287</v>
      </c>
      <c r="AD144" t="n">
        <v>0.6372905904396238</v>
      </c>
      <c r="AE144" t="n">
        <v>0.6764569349397863</v>
      </c>
      <c r="AF144" t="n">
        <v>0.7162374038919582</v>
      </c>
      <c r="AG144" t="n">
        <v>0.7702497117795497</v>
      </c>
      <c r="AH144" t="n">
        <v>0.8494250432819894</v>
      </c>
      <c r="AI144" t="n">
        <v>0.9324998756548608</v>
      </c>
    </row>
    <row r="145">
      <c r="A145" t="inlineStr">
        <is>
          <t>no_year_in_pairs</t>
        </is>
      </c>
      <c r="B145" s="2" t="n"/>
      <c r="C145" s="3" t="inlineStr">
        <is>
          <t>EBS.20.72, Sup. 1</t>
        </is>
      </c>
      <c r="D145" s="4" t="inlineStr">
        <is>
          <t>Dominica</t>
        </is>
      </c>
      <c r="E145" s="4" t="inlineStr">
        <is>
          <t>DMA</t>
        </is>
      </c>
      <c r="F145" s="4" t="n"/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no_year_in_pairs</t>
        </is>
      </c>
      <c r="B146" s="2" t="n"/>
      <c r="C146" s="3" t="inlineStr">
        <is>
          <t>EBS.20.72, Sup. 1</t>
        </is>
      </c>
      <c r="D146" s="4" t="inlineStr">
        <is>
          <t>Dominica</t>
        </is>
      </c>
      <c r="E146" s="4" t="inlineStr">
        <is>
          <t>DMA</t>
        </is>
      </c>
      <c r="F146" s="4" t="n"/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no_year_in_pairs</t>
        </is>
      </c>
      <c r="B147" s="2" t="n"/>
      <c r="C147" s="3" t="inlineStr">
        <is>
          <t>EBS.20.72, Sup. 1</t>
        </is>
      </c>
      <c r="D147" s="4" t="inlineStr">
        <is>
          <t>Dominica</t>
        </is>
      </c>
      <c r="E147" s="4" t="inlineStr">
        <is>
          <t>DMA</t>
        </is>
      </c>
      <c r="F147" s="4" t="n"/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no_year_in_pairs</t>
        </is>
      </c>
      <c r="B148" s="2" t="n"/>
      <c r="C148" s="3" t="inlineStr">
        <is>
          <t>EBS.20.72, Sup. 1</t>
        </is>
      </c>
      <c r="D148" s="4" t="inlineStr">
        <is>
          <t>Dominica</t>
        </is>
      </c>
      <c r="E148" s="4" t="inlineStr">
        <is>
          <t>DMA</t>
        </is>
      </c>
      <c r="F148" s="4" t="n"/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no_year_in_pairs</t>
        </is>
      </c>
      <c r="B149" s="2" t="n"/>
      <c r="C149" s="3" t="inlineStr">
        <is>
          <t>EBS.20.72, Sup. 1</t>
        </is>
      </c>
      <c r="D149" s="4" t="inlineStr">
        <is>
          <t>Dominica</t>
        </is>
      </c>
      <c r="E149" s="4" t="inlineStr">
        <is>
          <t>DMA</t>
        </is>
      </c>
      <c r="F149" s="4" t="n"/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no_year_in_pairs</t>
        </is>
      </c>
      <c r="B150" s="2" t="n"/>
      <c r="C150" s="3" t="inlineStr">
        <is>
          <t>EBS.20.72, Sup. 1</t>
        </is>
      </c>
      <c r="D150" s="4" t="inlineStr">
        <is>
          <t>Dominica</t>
        </is>
      </c>
      <c r="E150" s="4" t="inlineStr">
        <is>
          <t>DMA</t>
        </is>
      </c>
      <c r="F150" s="4" t="n"/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0.4230995377404251</v>
      </c>
      <c r="Q150" t="n">
        <v>0.4299310768090794</v>
      </c>
      <c r="R150" t="n">
        <v>0.5283289191633993</v>
      </c>
      <c r="S150" t="n">
        <v>0.6671086384821661</v>
      </c>
      <c r="T150" t="n">
        <v>0.7811790300780688</v>
      </c>
      <c r="U150" t="n">
        <v>0.8851382517672624</v>
      </c>
      <c r="V150" t="n">
        <v>0.9453671333514131</v>
      </c>
      <c r="W150" t="n">
        <v>0.977488519978537</v>
      </c>
      <c r="X150" t="n">
        <v>1.018582338547886</v>
      </c>
      <c r="Y150" t="n">
        <v>1.052794863793162</v>
      </c>
      <c r="Z150" t="n">
        <v>1.194474132710964</v>
      </c>
      <c r="AA150" t="n">
        <v>1.477877756604552</v>
      </c>
      <c r="AB150" t="n">
        <v>1.884472527099533</v>
      </c>
      <c r="AC150" t="n">
        <v>2.239545217469019</v>
      </c>
      <c r="AD150" t="n">
        <v>2.566611588041945</v>
      </c>
      <c r="AE150" t="n">
        <v>2.799601021739344</v>
      </c>
      <c r="AF150" t="n">
        <v>3.030519005724804</v>
      </c>
      <c r="AG150" t="n">
        <v>3.200089372840008</v>
      </c>
      <c r="AH150" t="n">
        <v>3.296992090327831</v>
      </c>
      <c r="AI150" t="n">
        <v>3.32488192221107</v>
      </c>
      <c r="BI150" t="inlineStr">
        <is>
          <t>NEW_DS_I_OB</t>
        </is>
      </c>
    </row>
    <row r="151">
      <c r="A151" t="inlineStr">
        <is>
          <t>no_year_in_pairs</t>
        </is>
      </c>
      <c r="B151" s="2" t="n"/>
      <c r="C151" s="3" t="inlineStr">
        <is>
          <t>EBS.20.72, Sup. 1</t>
        </is>
      </c>
      <c r="D151" s="4" t="inlineStr">
        <is>
          <t>Dominica</t>
        </is>
      </c>
      <c r="E151" s="4" t="inlineStr">
        <is>
          <t>DMA</t>
        </is>
      </c>
      <c r="F151" s="4" t="n"/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no_year_in_pairs</t>
        </is>
      </c>
      <c r="B152" s="2" t="n"/>
      <c r="C152" s="3" t="inlineStr">
        <is>
          <t>EBS.20.72, Sup. 1</t>
        </is>
      </c>
      <c r="D152" s="4" t="inlineStr">
        <is>
          <t>Dominica</t>
        </is>
      </c>
      <c r="E152" s="4" t="inlineStr">
        <is>
          <t>DMA</t>
        </is>
      </c>
      <c r="F152" s="4" t="n"/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no_year_in_pairs</t>
        </is>
      </c>
      <c r="B153" s="2" t="n"/>
      <c r="C153" s="3" t="inlineStr">
        <is>
          <t>EBS.20.72, Sup. 1</t>
        </is>
      </c>
      <c r="D153" s="4" t="inlineStr">
        <is>
          <t>Dominica</t>
        </is>
      </c>
      <c r="E153" s="4" t="inlineStr">
        <is>
          <t>DMA</t>
        </is>
      </c>
      <c r="F153" s="4" t="n"/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no_year_in_pairs</t>
        </is>
      </c>
      <c r="B154" s="2" t="n"/>
      <c r="C154" s="3" t="inlineStr">
        <is>
          <t>EBS.20.72, Sup. 1</t>
        </is>
      </c>
      <c r="D154" s="4" t="inlineStr">
        <is>
          <t>Dominica</t>
        </is>
      </c>
      <c r="E154" s="4" t="inlineStr">
        <is>
          <t>DMA</t>
        </is>
      </c>
      <c r="F154" s="4" t="n"/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no_year_in_pairs</t>
        </is>
      </c>
      <c r="B155" s="2" t="n"/>
      <c r="C155" s="3" t="inlineStr">
        <is>
          <t>EBS.20.72, Sup. 1</t>
        </is>
      </c>
      <c r="D155" s="4" t="inlineStr">
        <is>
          <t>Dominica</t>
        </is>
      </c>
      <c r="E155" s="4" t="inlineStr">
        <is>
          <t>DMA</t>
        </is>
      </c>
      <c r="F155" s="4" t="n"/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no_year_in_pairs</t>
        </is>
      </c>
      <c r="B156" s="2" t="n"/>
      <c r="C156" s="3" t="inlineStr">
        <is>
          <t>EBS.20.72, Sup. 1</t>
        </is>
      </c>
      <c r="D156" s="4" t="inlineStr">
        <is>
          <t>Dominica</t>
        </is>
      </c>
      <c r="E156" s="4" t="inlineStr">
        <is>
          <t>DMA</t>
        </is>
      </c>
      <c r="F156" s="4" t="n"/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no_year_in_pairs</t>
        </is>
      </c>
      <c r="B157" s="2" t="n"/>
      <c r="C157" s="3" t="inlineStr">
        <is>
          <t>EBS.20.72, Sup. 1</t>
        </is>
      </c>
      <c r="D157" s="4" t="inlineStr">
        <is>
          <t>Dominica</t>
        </is>
      </c>
      <c r="E157" s="4" t="inlineStr">
        <is>
          <t>DMA</t>
        </is>
      </c>
      <c r="F157" s="4" t="n"/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0.4230995377404251</v>
      </c>
      <c r="Q157" t="n">
        <v>0.4299310768090794</v>
      </c>
      <c r="R157" t="n">
        <v>0.5283289191633993</v>
      </c>
      <c r="S157" t="n">
        <v>0.6671086384821661</v>
      </c>
      <c r="T157" t="n">
        <v>0.7811790300780688</v>
      </c>
      <c r="U157" t="n">
        <v>0.8851382517672624</v>
      </c>
      <c r="V157" t="n">
        <v>0.9453671333514131</v>
      </c>
      <c r="W157" t="n">
        <v>0.977488519978537</v>
      </c>
      <c r="X157" t="n">
        <v>1.018582338547886</v>
      </c>
      <c r="Y157" t="n">
        <v>1.052794863793162</v>
      </c>
      <c r="Z157" t="n">
        <v>1.194474132710964</v>
      </c>
      <c r="AA157" t="n">
        <v>1.477877756604552</v>
      </c>
      <c r="AB157" t="n">
        <v>1.884472527099533</v>
      </c>
      <c r="AC157" t="n">
        <v>2.239545217469019</v>
      </c>
      <c r="AD157" t="n">
        <v>2.566611588041945</v>
      </c>
      <c r="AE157" t="n">
        <v>2.799601021739344</v>
      </c>
      <c r="AF157" t="n">
        <v>3.030519005724804</v>
      </c>
      <c r="AG157" t="n">
        <v>3.200089372840008</v>
      </c>
      <c r="AH157" t="n">
        <v>3.296992090327831</v>
      </c>
      <c r="AI157" t="n">
        <v>3.32488192221107</v>
      </c>
    </row>
    <row r="158">
      <c r="A158" t="inlineStr">
        <is>
          <t>no_year_in_pairs</t>
        </is>
      </c>
      <c r="B158" s="2" t="n"/>
      <c r="C158" s="3" t="inlineStr">
        <is>
          <t>EBS.20.72, Sup. 1</t>
        </is>
      </c>
      <c r="D158" s="4" t="inlineStr">
        <is>
          <t>Dominica</t>
        </is>
      </c>
      <c r="E158" s="4" t="inlineStr">
        <is>
          <t>DMA</t>
        </is>
      </c>
      <c r="F158" s="4" t="n"/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NPC2</t>
        </is>
      </c>
      <c r="M158" t="n">
        <v>397</v>
      </c>
      <c r="O158" t="n">
        <v>0</v>
      </c>
      <c r="P158" t="n">
        <v>0.4230995377404251</v>
      </c>
      <c r="Q158" t="n">
        <v>0.4299310768090794</v>
      </c>
      <c r="R158" t="n">
        <v>0.5283289191633993</v>
      </c>
      <c r="S158" t="n">
        <v>0.6671086384821661</v>
      </c>
      <c r="T158" t="n">
        <v>0.7811790300780688</v>
      </c>
      <c r="U158" t="n">
        <v>0.8851382517672624</v>
      </c>
      <c r="V158" t="n">
        <v>0.9453671333514131</v>
      </c>
      <c r="W158" t="n">
        <v>0.977488519978537</v>
      </c>
      <c r="X158" t="n">
        <v>1.018582338547886</v>
      </c>
      <c r="Y158" t="n">
        <v>1.052794863793162</v>
      </c>
      <c r="Z158" t="n">
        <v>1.194474132710964</v>
      </c>
      <c r="AA158" t="n">
        <v>1.477877756604552</v>
      </c>
      <c r="AB158" t="n">
        <v>1.884472527099533</v>
      </c>
      <c r="AC158" t="n">
        <v>2.239545217469019</v>
      </c>
      <c r="AD158" t="n">
        <v>2.566611588041945</v>
      </c>
      <c r="AE158" t="n">
        <v>2.799601021739344</v>
      </c>
      <c r="AF158" t="n">
        <v>3.030519005724804</v>
      </c>
      <c r="AG158" t="n">
        <v>3.200089372840008</v>
      </c>
      <c r="AH158" t="n">
        <v>3.296992090327831</v>
      </c>
      <c r="AI158" t="n">
        <v>3.32488192221107</v>
      </c>
    </row>
    <row r="159">
      <c r="A159" t="inlineStr">
        <is>
          <t>no_year_in_pairs</t>
        </is>
      </c>
      <c r="B159" s="2" t="n"/>
      <c r="C159" s="3" t="inlineStr">
        <is>
          <t>EBS.20.72, Sup. 1</t>
        </is>
      </c>
      <c r="D159" s="4" t="inlineStr">
        <is>
          <t>Dominica</t>
        </is>
      </c>
      <c r="E159" s="4" t="inlineStr">
        <is>
          <t>DMA</t>
        </is>
      </c>
      <c r="F159" s="4" t="n"/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no_year_in_pairs</t>
        </is>
      </c>
      <c r="B160" s="2" t="n"/>
      <c r="C160" s="3" t="inlineStr">
        <is>
          <t>EBS.20.72, Sup. 1</t>
        </is>
      </c>
      <c r="D160" s="4" t="inlineStr">
        <is>
          <t>Dominica</t>
        </is>
      </c>
      <c r="E160" s="4" t="inlineStr">
        <is>
          <t>DMA</t>
        </is>
      </c>
      <c r="F160" s="4" t="n"/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no_year_in_pairs</t>
        </is>
      </c>
      <c r="B161" s="2" t="n"/>
      <c r="C161" s="3" t="inlineStr">
        <is>
          <t>EBS.20.72, Sup. 1</t>
        </is>
      </c>
      <c r="D161" s="4" t="inlineStr">
        <is>
          <t>Dominica</t>
        </is>
      </c>
      <c r="E161" s="4" t="inlineStr">
        <is>
          <t>DMA</t>
        </is>
      </c>
      <c r="F161" s="4" t="n"/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no_year_in_pairs</t>
        </is>
      </c>
      <c r="B162" s="2" t="n"/>
      <c r="C162" s="3" t="inlineStr">
        <is>
          <t>EBS.20.72, Sup. 1</t>
        </is>
      </c>
      <c r="D162" s="4" t="inlineStr">
        <is>
          <t>Dominica</t>
        </is>
      </c>
      <c r="E162" s="4" t="inlineStr">
        <is>
          <t>DMA</t>
        </is>
      </c>
      <c r="F162" s="4" t="n"/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no_year_in_pairs</t>
        </is>
      </c>
      <c r="B163" s="2" t="n"/>
      <c r="C163" s="3" t="inlineStr">
        <is>
          <t>EBS.20.72, Sup. 1</t>
        </is>
      </c>
      <c r="D163" s="4" t="inlineStr">
        <is>
          <t>Dominica</t>
        </is>
      </c>
      <c r="E163" s="4" t="inlineStr">
        <is>
          <t>DMA</t>
        </is>
      </c>
      <c r="F163" s="4" t="n"/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no_year_in_pairs</t>
        </is>
      </c>
      <c r="B164" s="2" t="n"/>
      <c r="C164" s="3" t="inlineStr">
        <is>
          <t>EBS.20.72, Sup. 1</t>
        </is>
      </c>
      <c r="D164" s="4" t="inlineStr">
        <is>
          <t>Dominica</t>
        </is>
      </c>
      <c r="E164" s="4" t="inlineStr">
        <is>
          <t>DMA</t>
        </is>
      </c>
      <c r="F164" s="4" t="n"/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no_year_in_pairs</t>
        </is>
      </c>
      <c r="B165" s="2" t="n"/>
      <c r="C165" s="3" t="inlineStr">
        <is>
          <t>EBS.20.72, Sup. 1</t>
        </is>
      </c>
      <c r="D165" s="4" t="inlineStr">
        <is>
          <t>Dominica</t>
        </is>
      </c>
      <c r="E165" s="4" t="inlineStr">
        <is>
          <t>DMA</t>
        </is>
      </c>
      <c r="F165" s="4" t="n"/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no_year_in_pairs</t>
        </is>
      </c>
      <c r="B166" s="2" t="n"/>
      <c r="C166" s="3" t="inlineStr">
        <is>
          <t>EBS.20.72, Sup. 1</t>
        </is>
      </c>
      <c r="D166" s="4" t="inlineStr">
        <is>
          <t>Dominica</t>
        </is>
      </c>
      <c r="E166" s="4" t="inlineStr">
        <is>
          <t>DMA</t>
        </is>
      </c>
      <c r="F166" s="4" t="n"/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no_year_in_pairs</t>
        </is>
      </c>
      <c r="B167" s="2" t="n"/>
      <c r="C167" s="3" t="inlineStr">
        <is>
          <t>EBS.20.72, Sup. 1</t>
        </is>
      </c>
      <c r="D167" s="4" t="inlineStr">
        <is>
          <t>Dominica</t>
        </is>
      </c>
      <c r="E167" s="4" t="inlineStr">
        <is>
          <t>DMA</t>
        </is>
      </c>
      <c r="F167" s="4" t="n"/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no_year_in_pairs</t>
        </is>
      </c>
      <c r="B168" s="2" t="n"/>
      <c r="C168" s="3" t="inlineStr">
        <is>
          <t>EBS.20.72, Sup. 1</t>
        </is>
      </c>
      <c r="D168" s="4" t="inlineStr">
        <is>
          <t>Dominica</t>
        </is>
      </c>
      <c r="E168" s="4" t="inlineStr">
        <is>
          <t>DMA</t>
        </is>
      </c>
      <c r="F168" s="4" t="n"/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no_year_in_pairs</t>
        </is>
      </c>
      <c r="B169" s="2" t="n"/>
      <c r="C169" s="3" t="inlineStr">
        <is>
          <t>EBS.20.72, Sup. 1</t>
        </is>
      </c>
      <c r="D169" s="4" t="inlineStr">
        <is>
          <t>Dominica</t>
        </is>
      </c>
      <c r="E169" s="4" t="inlineStr">
        <is>
          <t>DMA</t>
        </is>
      </c>
      <c r="F169" s="4" t="n"/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no_year_in_pairs</t>
        </is>
      </c>
      <c r="B170" s="2" t="n"/>
      <c r="C170" s="3" t="inlineStr">
        <is>
          <t>EBS.20.72, Sup. 1</t>
        </is>
      </c>
      <c r="D170" s="4" t="inlineStr">
        <is>
          <t>Dominica</t>
        </is>
      </c>
      <c r="E170" s="4" t="inlineStr">
        <is>
          <t>DMA</t>
        </is>
      </c>
      <c r="F170" s="4" t="n"/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no_year_in_pairs</t>
        </is>
      </c>
      <c r="B171" s="2" t="n"/>
      <c r="C171" s="3" t="inlineStr">
        <is>
          <t>EBS.20.72, Sup. 1</t>
        </is>
      </c>
      <c r="D171" s="4" t="inlineStr">
        <is>
          <t>Dominica</t>
        </is>
      </c>
      <c r="E171" s="4" t="inlineStr">
        <is>
          <t>DMA</t>
        </is>
      </c>
      <c r="F171" s="4" t="n"/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no_year_in_pairs</t>
        </is>
      </c>
      <c r="B172" s="2" t="n"/>
      <c r="C172" s="3" t="inlineStr">
        <is>
          <t>EBS.20.72, Sup. 1</t>
        </is>
      </c>
      <c r="D172" s="4" t="inlineStr">
        <is>
          <t>Dominica</t>
        </is>
      </c>
      <c r="E172" s="4" t="inlineStr">
        <is>
          <t>DMA</t>
        </is>
      </c>
      <c r="F172" s="4" t="n"/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no_year_in_pairs</t>
        </is>
      </c>
      <c r="B173" s="2" t="n"/>
      <c r="C173" s="3" t="inlineStr">
        <is>
          <t>EBS.20.72, Sup. 1</t>
        </is>
      </c>
      <c r="D173" s="4" t="inlineStr">
        <is>
          <t>Dominica</t>
        </is>
      </c>
      <c r="E173" s="4" t="inlineStr">
        <is>
          <t>DMA</t>
        </is>
      </c>
      <c r="F173" s="4" t="n"/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no_year_in_pairs</t>
        </is>
      </c>
      <c r="B174" s="2" t="n"/>
      <c r="C174" s="3" t="inlineStr">
        <is>
          <t>EBS.20.72, Sup. 1</t>
        </is>
      </c>
      <c r="D174" s="4" t="inlineStr">
        <is>
          <t>Dominica</t>
        </is>
      </c>
      <c r="E174" s="4" t="inlineStr">
        <is>
          <t>DMA</t>
        </is>
      </c>
      <c r="F174" s="4" t="n"/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no_year_in_pairs</t>
        </is>
      </c>
      <c r="B175" s="2" t="n"/>
      <c r="C175" s="3" t="inlineStr">
        <is>
          <t>EBS.20.72, Sup. 1</t>
        </is>
      </c>
      <c r="D175" s="4" t="inlineStr">
        <is>
          <t>Dominica</t>
        </is>
      </c>
      <c r="E175" s="4" t="inlineStr">
        <is>
          <t>DMA</t>
        </is>
      </c>
      <c r="F175" s="4" t="n"/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no_year_in_pairs</t>
        </is>
      </c>
      <c r="B176" s="2" t="n"/>
      <c r="C176" s="3" t="inlineStr">
        <is>
          <t>EBS.20.72, Sup. 1</t>
        </is>
      </c>
      <c r="D176" s="4" t="inlineStr">
        <is>
          <t>Dominica</t>
        </is>
      </c>
      <c r="E176" s="4" t="inlineStr">
        <is>
          <t>DMA</t>
        </is>
      </c>
      <c r="F176" s="4" t="n"/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no_year_in_pairs</t>
        </is>
      </c>
      <c r="B177" s="2" t="n"/>
      <c r="C177" s="3" t="inlineStr">
        <is>
          <t>EBS.20.72, Sup. 1</t>
        </is>
      </c>
      <c r="D177" s="4" t="inlineStr">
        <is>
          <t>Dominica</t>
        </is>
      </c>
      <c r="E177" s="4" t="inlineStr">
        <is>
          <t>DMA</t>
        </is>
      </c>
      <c r="F177" s="4" t="n"/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no_year_in_pairs</t>
        </is>
      </c>
      <c r="B178" s="2" t="n"/>
      <c r="C178" s="3" t="inlineStr">
        <is>
          <t>EBS.20.72, Sup. 1</t>
        </is>
      </c>
      <c r="D178" s="4" t="inlineStr">
        <is>
          <t>Dominica</t>
        </is>
      </c>
      <c r="E178" s="4" t="inlineStr">
        <is>
          <t>DMA</t>
        </is>
      </c>
      <c r="F178" s="4" t="n"/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no_year_in_pairs</t>
        </is>
      </c>
      <c r="B179" s="2" t="n"/>
      <c r="C179" s="3" t="inlineStr">
        <is>
          <t>EBS.20.72, Sup. 1</t>
        </is>
      </c>
      <c r="D179" s="4" t="inlineStr">
        <is>
          <t>Dominica</t>
        </is>
      </c>
      <c r="E179" s="4" t="inlineStr">
        <is>
          <t>DMA</t>
        </is>
      </c>
      <c r="F179" s="4" t="n"/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no_year_in_pairs</t>
        </is>
      </c>
      <c r="B180" s="2" t="n"/>
      <c r="C180" s="3" t="inlineStr">
        <is>
          <t>EBS.20.72, Sup. 1</t>
        </is>
      </c>
      <c r="D180" s="4" t="inlineStr">
        <is>
          <t>Dominica</t>
        </is>
      </c>
      <c r="E180" s="4" t="inlineStr">
        <is>
          <t>DMA</t>
        </is>
      </c>
      <c r="F180" s="4" t="n"/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no_year_in_pairs</t>
        </is>
      </c>
      <c r="B181" s="2" t="n"/>
      <c r="C181" s="3" t="inlineStr">
        <is>
          <t>EBS.20.72, Sup. 1</t>
        </is>
      </c>
      <c r="D181" s="4" t="inlineStr">
        <is>
          <t>Dominica</t>
        </is>
      </c>
      <c r="E181" s="4" t="inlineStr">
        <is>
          <t>DMA</t>
        </is>
      </c>
      <c r="F181" s="4" t="n"/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no_year_in_pairs</t>
        </is>
      </c>
      <c r="B182" s="2" t="n"/>
      <c r="C182" s="3" t="inlineStr">
        <is>
          <t>EBS.20.72, Sup. 1</t>
        </is>
      </c>
      <c r="D182" s="4" t="inlineStr">
        <is>
          <t>Dominica</t>
        </is>
      </c>
      <c r="E182" s="4" t="inlineStr">
        <is>
          <t>DMA</t>
        </is>
      </c>
      <c r="F182" s="4" t="n"/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no_year_in_pairs</t>
        </is>
      </c>
      <c r="B183" s="2" t="n"/>
      <c r="C183" s="3" t="inlineStr">
        <is>
          <t>EBS.20.72, Sup. 1</t>
        </is>
      </c>
      <c r="D183" s="4" t="inlineStr">
        <is>
          <t>Dominica</t>
        </is>
      </c>
      <c r="E183" s="4" t="inlineStr">
        <is>
          <t>DMA</t>
        </is>
      </c>
      <c r="F183" s="4" t="n"/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no_year_in_pairs</t>
        </is>
      </c>
      <c r="B184" s="2" t="n"/>
      <c r="C184" s="3" t="inlineStr">
        <is>
          <t>EBS.20.72, Sup. 1</t>
        </is>
      </c>
      <c r="D184" s="4" t="inlineStr">
        <is>
          <t>Dominica</t>
        </is>
      </c>
      <c r="E184" s="4" t="inlineStr">
        <is>
          <t>DMA</t>
        </is>
      </c>
      <c r="F184" s="4" t="n"/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5.569338848944504</v>
      </c>
      <c r="V184" t="n">
        <v>6.998696150516251</v>
      </c>
      <c r="W184" t="n">
        <v>8.47844591152182</v>
      </c>
      <c r="X184" t="n">
        <v>10.1081861904373</v>
      </c>
      <c r="Y184" t="n">
        <v>11.29777415743351</v>
      </c>
      <c r="Z184" t="n">
        <v>12.013618164642</v>
      </c>
      <c r="AA184" t="n">
        <v>13.8150436119383</v>
      </c>
      <c r="AB184" t="n">
        <v>15.37103085770689</v>
      </c>
      <c r="AC184" t="n">
        <v>16.92548457238679</v>
      </c>
      <c r="AD184" t="n">
        <v>18.24630538053626</v>
      </c>
      <c r="AE184" t="n">
        <v>18.51194539235368</v>
      </c>
      <c r="AF184" t="n">
        <v>20.30239235570821</v>
      </c>
      <c r="AG184" t="n">
        <v>22.09590359480068</v>
      </c>
      <c r="AH184" t="n">
        <v>23.62762237355773</v>
      </c>
      <c r="AI184" t="n">
        <v>23.51576574793796</v>
      </c>
      <c r="BI184" t="inlineStr">
        <is>
          <t>NEW_DP_TOT</t>
        </is>
      </c>
    </row>
    <row r="185">
      <c r="A185" t="inlineStr">
        <is>
          <t>no_year_in_pairs</t>
        </is>
      </c>
      <c r="B185" s="2" t="n"/>
      <c r="C185" s="3" t="inlineStr">
        <is>
          <t>EBS.20.72, Sup. 1</t>
        </is>
      </c>
      <c r="D185" s="4" t="inlineStr">
        <is>
          <t>Dominica</t>
        </is>
      </c>
      <c r="E185" s="4" t="inlineStr">
        <is>
          <t>DMA</t>
        </is>
      </c>
      <c r="F185" s="4" t="n"/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4.360483026829004</v>
      </c>
      <c r="V185" t="n">
        <v>5.770321645347453</v>
      </c>
      <c r="W185" t="n">
        <v>6.968934713912108</v>
      </c>
      <c r="X185" t="n">
        <v>8.20216150905968</v>
      </c>
      <c r="Y185" t="n">
        <v>9.065834071496173</v>
      </c>
      <c r="Z185" t="n">
        <v>9.484651731021248</v>
      </c>
      <c r="AA185" t="n">
        <v>10.99310907729414</v>
      </c>
      <c r="AB185" t="n">
        <v>12.33448348218264</v>
      </c>
      <c r="AC185" t="n">
        <v>13.62057516690343</v>
      </c>
      <c r="AD185" t="n">
        <v>14.65304343478578</v>
      </c>
      <c r="AE185" t="n">
        <v>15.49954734893125</v>
      </c>
      <c r="AF185" t="n">
        <v>16.24689171228103</v>
      </c>
      <c r="AG185" t="n">
        <v>16.87764684607863</v>
      </c>
      <c r="AH185" t="n">
        <v>17.48773096999549</v>
      </c>
      <c r="AI185" t="n">
        <v>16.43682346389302</v>
      </c>
      <c r="BI185" t="inlineStr">
        <is>
          <t>NEW_DP_ML</t>
        </is>
      </c>
    </row>
    <row r="186">
      <c r="A186" t="inlineStr">
        <is>
          <t>no_year_in_pairs</t>
        </is>
      </c>
      <c r="B186" s="2" t="n"/>
      <c r="C186" s="3" t="inlineStr">
        <is>
          <t>EBS.20.72, Sup. 1</t>
        </is>
      </c>
      <c r="D186" s="4" t="inlineStr">
        <is>
          <t>Dominica</t>
        </is>
      </c>
      <c r="E186" s="4" t="inlineStr">
        <is>
          <t>DMA</t>
        </is>
      </c>
      <c r="F186" s="4" t="n"/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1.097873285040252</v>
      </c>
      <c r="V186" t="n">
        <v>1.097873285040252</v>
      </c>
      <c r="W186" t="n">
        <v>1.097873285040252</v>
      </c>
      <c r="X186" t="n">
        <v>1.097873285040252</v>
      </c>
      <c r="Y186" t="n">
        <v>1.097873285040252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no_year_in_pairs</t>
        </is>
      </c>
      <c r="B187" s="2" t="n"/>
      <c r="C187" s="3" t="inlineStr">
        <is>
          <t>EBS.20.72, Sup. 1</t>
        </is>
      </c>
      <c r="D187" s="4" t="inlineStr">
        <is>
          <t>Dominica</t>
        </is>
      </c>
      <c r="E187" s="4" t="inlineStr">
        <is>
          <t>DMA</t>
        </is>
      </c>
      <c r="F187" s="4" t="n"/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1.033333333333333</v>
      </c>
      <c r="AA187" t="n">
        <v>1.866666666666667</v>
      </c>
      <c r="AB187" t="n">
        <v>2.533333333333333</v>
      </c>
      <c r="AC187" t="n">
        <v>3.133333333333333</v>
      </c>
      <c r="AD187" t="n">
        <v>3.633333333333333</v>
      </c>
      <c r="AE187" t="n">
        <v>4.047944796843177</v>
      </c>
      <c r="AF187" t="n">
        <v>4.391386369520117</v>
      </c>
      <c r="AG187" t="n">
        <v>4.746995188932133</v>
      </c>
      <c r="AH187" t="n">
        <v>5.05992472244905</v>
      </c>
      <c r="AI187" t="n">
        <v>5.286702274466033</v>
      </c>
    </row>
    <row r="188">
      <c r="A188" t="inlineStr">
        <is>
          <t>no_year_in_pairs</t>
        </is>
      </c>
      <c r="B188" s="2" t="n"/>
      <c r="C188" s="3" t="inlineStr">
        <is>
          <t>EBS.20.72, Sup. 1</t>
        </is>
      </c>
      <c r="D188" s="4" t="inlineStr">
        <is>
          <t>Dominica</t>
        </is>
      </c>
      <c r="E188" s="4" t="inlineStr">
        <is>
          <t>DMA</t>
        </is>
      </c>
      <c r="F188" s="4" t="n"/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no_year_in_pairs</t>
        </is>
      </c>
      <c r="B189" s="2" t="n"/>
      <c r="C189" s="3" t="inlineStr">
        <is>
          <t>EBS.20.72, Sup. 1</t>
        </is>
      </c>
      <c r="D189" s="4" t="inlineStr">
        <is>
          <t>Dominica</t>
        </is>
      </c>
      <c r="E189" s="4" t="inlineStr">
        <is>
          <t>DMA</t>
        </is>
      </c>
      <c r="F189" s="4" t="n"/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CDB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1.5</v>
      </c>
      <c r="V189" t="n">
        <v>2.25</v>
      </c>
      <c r="W189" t="n">
        <v>2.85</v>
      </c>
      <c r="X189" t="n">
        <v>3.45</v>
      </c>
      <c r="Y189" t="n">
        <v>3.95</v>
      </c>
      <c r="Z189" t="n">
        <v>4.35</v>
      </c>
      <c r="AA189" t="n">
        <v>4.764172789350272</v>
      </c>
      <c r="AB189" t="n">
        <v>5.193018649522169</v>
      </c>
      <c r="AC189" t="n">
        <v>5.636991410497339</v>
      </c>
      <c r="AD189" t="n">
        <v>5.91277158767276</v>
      </c>
      <c r="AE189" t="n">
        <v>6.084080702114802</v>
      </c>
      <c r="AF189" t="n">
        <v>6.190635595755106</v>
      </c>
      <c r="AG189" t="n">
        <v>6.256910019462959</v>
      </c>
      <c r="AH189" t="n">
        <v>6.298078363291522</v>
      </c>
      <c r="AI189" t="n">
        <v>6.323651313088457</v>
      </c>
    </row>
    <row r="190">
      <c r="A190" t="inlineStr">
        <is>
          <t>no_year_in_pairs</t>
        </is>
      </c>
      <c r="B190" s="2" t="n"/>
      <c r="C190" s="3" t="inlineStr">
        <is>
          <t>EBS.20.72, Sup. 1</t>
        </is>
      </c>
      <c r="D190" s="4" t="inlineStr">
        <is>
          <t>Dominica</t>
        </is>
      </c>
      <c r="E190" s="4" t="inlineStr">
        <is>
          <t>DMA</t>
        </is>
      </c>
      <c r="F190" s="4" t="n"/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MULTIRES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1.762609741788753</v>
      </c>
      <c r="V190" t="n">
        <v>2.422448360307202</v>
      </c>
      <c r="W190" t="n">
        <v>3.021061428871856</v>
      </c>
      <c r="X190" t="n">
        <v>3.654288224019428</v>
      </c>
      <c r="Y190" t="n">
        <v>4.017960786455921</v>
      </c>
      <c r="Z190" t="n">
        <v>4.101318397687916</v>
      </c>
      <c r="AA190" t="n">
        <v>4.362269621277207</v>
      </c>
      <c r="AB190" t="n">
        <v>4.608131499327135</v>
      </c>
      <c r="AC190" t="n">
        <v>4.850250423072761</v>
      </c>
      <c r="AD190" t="n">
        <v>5.106938513779687</v>
      </c>
      <c r="AE190" t="n">
        <v>5.367521849973267</v>
      </c>
      <c r="AF190" t="n">
        <v>5.664869747005807</v>
      </c>
      <c r="AG190" t="n">
        <v>5.873741637683532</v>
      </c>
      <c r="AH190" t="n">
        <v>6.129727884254915</v>
      </c>
      <c r="AI190" t="n">
        <v>4.826469876338527</v>
      </c>
    </row>
    <row r="191">
      <c r="A191" t="inlineStr">
        <is>
          <t>no_year_in_pairs</t>
        </is>
      </c>
      <c r="B191" s="2" t="n"/>
      <c r="C191" s="3" t="inlineStr">
        <is>
          <t>EBS.20.72, Sup. 1</t>
        </is>
      </c>
      <c r="D191" s="4" t="inlineStr">
        <is>
          <t>Dominica</t>
        </is>
      </c>
      <c r="E191" s="4" t="inlineStr">
        <is>
          <t>DMA</t>
        </is>
      </c>
      <c r="F191" s="4" t="n"/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no_year_in_pairs</t>
        </is>
      </c>
      <c r="B192" s="2" t="n"/>
      <c r="C192" s="3" t="inlineStr">
        <is>
          <t>EBS.20.72, Sup. 1</t>
        </is>
      </c>
      <c r="D192" s="4" t="inlineStr">
        <is>
          <t>Dominica</t>
        </is>
      </c>
      <c r="E192" s="4" t="inlineStr">
        <is>
          <t>DMA</t>
        </is>
      </c>
      <c r="F192" s="4" t="n"/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no_year_in_pairs</t>
        </is>
      </c>
      <c r="B193" s="2" t="n"/>
      <c r="C193" s="3" t="inlineStr">
        <is>
          <t>EBS.20.72, Sup. 1</t>
        </is>
      </c>
      <c r="D193" s="4" t="inlineStr">
        <is>
          <t>Dominica</t>
        </is>
      </c>
      <c r="E193" s="4" t="inlineStr">
        <is>
          <t>DMA</t>
        </is>
      </c>
      <c r="F193" s="4" t="n"/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no_year_in_pairs</t>
        </is>
      </c>
      <c r="B194" s="2" t="n"/>
      <c r="C194" s="3" t="inlineStr">
        <is>
          <t>EBS.20.72, Sup. 1</t>
        </is>
      </c>
      <c r="D194" s="4" t="inlineStr">
        <is>
          <t>Dominica</t>
        </is>
      </c>
      <c r="E194" s="4" t="inlineStr">
        <is>
          <t>DMA</t>
        </is>
      </c>
      <c r="F194" s="4" t="n"/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no_year_in_pairs</t>
        </is>
      </c>
      <c r="B195" s="2" t="n"/>
      <c r="C195" s="3" t="inlineStr">
        <is>
          <t>EBS.20.72, Sup. 1</t>
        </is>
      </c>
      <c r="D195" s="4" t="inlineStr">
        <is>
          <t>Dominica</t>
        </is>
      </c>
      <c r="E195" s="4" t="inlineStr">
        <is>
          <t>DMA</t>
        </is>
      </c>
      <c r="F195" s="4" t="n"/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no_year_in_pairs</t>
        </is>
      </c>
      <c r="B196" s="2" t="n"/>
      <c r="C196" s="3" t="inlineStr">
        <is>
          <t>EBS.20.72, Sup. 1</t>
        </is>
      </c>
      <c r="D196" s="4" t="inlineStr">
        <is>
          <t>Dominica</t>
        </is>
      </c>
      <c r="E196" s="4" t="inlineStr">
        <is>
          <t>DMA</t>
        </is>
      </c>
      <c r="F196" s="4" t="n"/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1.2088558221155</v>
      </c>
      <c r="V196" t="n">
        <v>1.228374505168798</v>
      </c>
      <c r="W196" t="n">
        <v>1.509511197609712</v>
      </c>
      <c r="X196" t="n">
        <v>1.906024681377617</v>
      </c>
      <c r="Y196" t="n">
        <v>2.231940085937339</v>
      </c>
      <c r="Z196" t="n">
        <v>2.52896643362075</v>
      </c>
      <c r="AA196" t="n">
        <v>2.821934534644158</v>
      </c>
      <c r="AB196" t="n">
        <v>3.03654737552425</v>
      </c>
      <c r="AC196" t="n">
        <v>3.30490940548336</v>
      </c>
      <c r="AD196" t="n">
        <v>3.593261945750482</v>
      </c>
      <c r="AE196" t="n">
        <v>3.012398043422436</v>
      </c>
      <c r="AF196" t="n">
        <v>4.055500643427178</v>
      </c>
      <c r="AG196" t="n">
        <v>5.218256748722054</v>
      </c>
      <c r="AH196" t="n">
        <v>6.13989140356225</v>
      </c>
      <c r="AI196" t="n">
        <v>7.078942284044939</v>
      </c>
      <c r="BI196" t="inlineStr">
        <is>
          <t>NEW_DP_OB</t>
        </is>
      </c>
    </row>
    <row r="197">
      <c r="A197" t="inlineStr">
        <is>
          <t>no_year_in_pairs</t>
        </is>
      </c>
      <c r="B197" s="2" t="n"/>
      <c r="C197" s="3" t="inlineStr">
        <is>
          <t>EBS.20.72, Sup. 1</t>
        </is>
      </c>
      <c r="D197" s="4" t="inlineStr">
        <is>
          <t>Dominica</t>
        </is>
      </c>
      <c r="E197" s="4" t="inlineStr">
        <is>
          <t>DMA</t>
        </is>
      </c>
      <c r="F197" s="4" t="n"/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no_year_in_pairs</t>
        </is>
      </c>
      <c r="B198" s="2" t="n"/>
      <c r="C198" s="3" t="inlineStr">
        <is>
          <t>EBS.20.72, Sup. 1</t>
        </is>
      </c>
      <c r="D198" s="4" t="inlineStr">
        <is>
          <t>Dominica</t>
        </is>
      </c>
      <c r="E198" s="4" t="inlineStr">
        <is>
          <t>DMA</t>
        </is>
      </c>
      <c r="F198" s="4" t="n"/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no_year_in_pairs</t>
        </is>
      </c>
      <c r="B199" s="2" t="n"/>
      <c r="C199" s="3" t="inlineStr">
        <is>
          <t>EBS.20.72, Sup. 1</t>
        </is>
      </c>
      <c r="D199" s="4" t="inlineStr">
        <is>
          <t>Dominica</t>
        </is>
      </c>
      <c r="E199" s="4" t="inlineStr">
        <is>
          <t>DMA</t>
        </is>
      </c>
      <c r="F199" s="4" t="n"/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no_year_in_pairs</t>
        </is>
      </c>
      <c r="B200" s="2" t="n"/>
      <c r="C200" s="3" t="inlineStr">
        <is>
          <t>EBS.20.72, Sup. 1</t>
        </is>
      </c>
      <c r="D200" s="4" t="inlineStr">
        <is>
          <t>Dominica</t>
        </is>
      </c>
      <c r="E200" s="4" t="inlineStr">
        <is>
          <t>DMA</t>
        </is>
      </c>
      <c r="F200" s="4" t="n"/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no_year_in_pairs</t>
        </is>
      </c>
      <c r="B201" s="2" t="n"/>
      <c r="C201" s="3" t="inlineStr">
        <is>
          <t>EBS.20.72, Sup. 1</t>
        </is>
      </c>
      <c r="D201" s="4" t="inlineStr">
        <is>
          <t>Dominica</t>
        </is>
      </c>
      <c r="E201" s="4" t="inlineStr">
        <is>
          <t>DMA</t>
        </is>
      </c>
      <c r="F201" s="4" t="n"/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no_year_in_pairs</t>
        </is>
      </c>
      <c r="B202" s="2" t="n"/>
      <c r="C202" s="3" t="inlineStr">
        <is>
          <t>EBS.20.72, Sup. 1</t>
        </is>
      </c>
      <c r="D202" s="4" t="inlineStr">
        <is>
          <t>Dominica</t>
        </is>
      </c>
      <c r="E202" s="4" t="inlineStr">
        <is>
          <t>DMA</t>
        </is>
      </c>
      <c r="F202" s="4" t="n"/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no_year_in_pairs</t>
        </is>
      </c>
      <c r="B203" s="2" t="n"/>
      <c r="C203" s="3" t="inlineStr">
        <is>
          <t>EBS.20.72, Sup. 1</t>
        </is>
      </c>
      <c r="D203" s="4" t="inlineStr">
        <is>
          <t>Dominica</t>
        </is>
      </c>
      <c r="E203" s="4" t="inlineStr">
        <is>
          <t>DMA</t>
        </is>
      </c>
      <c r="F203" s="4" t="n"/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1.2088558221155</v>
      </c>
      <c r="V203" t="n">
        <v>1.228374505168798</v>
      </c>
      <c r="W203" t="n">
        <v>1.509511197609712</v>
      </c>
      <c r="X203" t="n">
        <v>1.906024681377617</v>
      </c>
      <c r="Y203" t="n">
        <v>2.231940085937339</v>
      </c>
      <c r="Z203" t="n">
        <v>2.52896643362075</v>
      </c>
      <c r="AA203" t="n">
        <v>2.821934534644158</v>
      </c>
      <c r="AB203" t="n">
        <v>3.03654737552425</v>
      </c>
      <c r="AC203" t="n">
        <v>3.30490940548336</v>
      </c>
      <c r="AD203" t="n">
        <v>3.593261945750482</v>
      </c>
      <c r="AE203" t="n">
        <v>3.012398043422436</v>
      </c>
      <c r="AF203" t="n">
        <v>4.055500643427178</v>
      </c>
      <c r="AG203" t="n">
        <v>5.218256748722054</v>
      </c>
      <c r="AH203" t="n">
        <v>6.13989140356225</v>
      </c>
      <c r="AI203" t="n">
        <v>7.078942284044939</v>
      </c>
    </row>
    <row r="204">
      <c r="A204" t="inlineStr">
        <is>
          <t>no_year_in_pairs</t>
        </is>
      </c>
      <c r="B204" s="2" t="n"/>
      <c r="C204" s="3" t="inlineStr">
        <is>
          <t>EBS.20.72, Sup. 1</t>
        </is>
      </c>
      <c r="D204" s="4" t="inlineStr">
        <is>
          <t>Dominica</t>
        </is>
      </c>
      <c r="E204" s="4" t="inlineStr">
        <is>
          <t>DMA</t>
        </is>
      </c>
      <c r="F204" s="4" t="n"/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NPC2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1.2088558221155</v>
      </c>
      <c r="V204" t="n">
        <v>1.228374505168798</v>
      </c>
      <c r="W204" t="n">
        <v>1.509511197609712</v>
      </c>
      <c r="X204" t="n">
        <v>1.906024681377617</v>
      </c>
      <c r="Y204" t="n">
        <v>2.231940085937339</v>
      </c>
      <c r="Z204" t="n">
        <v>2.52896643362075</v>
      </c>
      <c r="AA204" t="n">
        <v>2.821934534644158</v>
      </c>
      <c r="AB204" t="n">
        <v>3.03654737552425</v>
      </c>
      <c r="AC204" t="n">
        <v>3.30490940548336</v>
      </c>
      <c r="AD204" t="n">
        <v>3.593261945750482</v>
      </c>
      <c r="AE204" t="n">
        <v>3.012398043422436</v>
      </c>
      <c r="AF204" t="n">
        <v>4.055500643427178</v>
      </c>
      <c r="AG204" t="n">
        <v>5.218256748722054</v>
      </c>
      <c r="AH204" t="n">
        <v>6.13989140356225</v>
      </c>
      <c r="AI204" t="n">
        <v>7.078942284044939</v>
      </c>
    </row>
    <row r="205">
      <c r="A205" t="inlineStr">
        <is>
          <t>no_year_in_pairs</t>
        </is>
      </c>
      <c r="B205" s="2" t="n"/>
      <c r="C205" s="3" t="inlineStr">
        <is>
          <t>EBS.20.72, Sup. 1</t>
        </is>
      </c>
      <c r="D205" s="4" t="inlineStr">
        <is>
          <t>Dominica</t>
        </is>
      </c>
      <c r="E205" s="4" t="inlineStr">
        <is>
          <t>DMA</t>
        </is>
      </c>
      <c r="F205" s="4" t="n"/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no_year_in_pairs</t>
        </is>
      </c>
      <c r="B206" s="2" t="n"/>
      <c r="C206" s="3" t="inlineStr">
        <is>
          <t>EBS.20.72, Sup. 1</t>
        </is>
      </c>
      <c r="D206" s="4" t="inlineStr">
        <is>
          <t>Dominica</t>
        </is>
      </c>
      <c r="E206" s="4" t="inlineStr">
        <is>
          <t>DMA</t>
        </is>
      </c>
      <c r="F206" s="4" t="n"/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no_year_in_pairs</t>
        </is>
      </c>
      <c r="B207" s="2" t="n"/>
      <c r="C207" s="3" t="inlineStr">
        <is>
          <t>EBS.20.72, Sup. 1</t>
        </is>
      </c>
      <c r="D207" s="4" t="inlineStr">
        <is>
          <t>Dominica</t>
        </is>
      </c>
      <c r="E207" s="4" t="inlineStr">
        <is>
          <t>DMA</t>
        </is>
      </c>
      <c r="F207" s="4" t="n"/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no_year_in_pairs</t>
        </is>
      </c>
      <c r="B208" s="2" t="n"/>
      <c r="C208" s="3" t="inlineStr">
        <is>
          <t>EBS.20.72, Sup. 1</t>
        </is>
      </c>
      <c r="D208" s="4" t="inlineStr">
        <is>
          <t>Dominica</t>
        </is>
      </c>
      <c r="E208" s="4" t="inlineStr">
        <is>
          <t>DMA</t>
        </is>
      </c>
      <c r="F208" s="4" t="n"/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no_year_in_pairs</t>
        </is>
      </c>
      <c r="B209" s="2" t="n"/>
      <c r="C209" s="3" t="inlineStr">
        <is>
          <t>EBS.20.72, Sup. 1</t>
        </is>
      </c>
      <c r="D209" s="4" t="inlineStr">
        <is>
          <t>Dominica</t>
        </is>
      </c>
      <c r="E209" s="4" t="inlineStr">
        <is>
          <t>DMA</t>
        </is>
      </c>
      <c r="F209" s="4" t="n"/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no_year_in_pairs</t>
        </is>
      </c>
      <c r="B210" s="2" t="n"/>
      <c r="C210" s="3" t="inlineStr">
        <is>
          <t>EBS.20.72, Sup. 1</t>
        </is>
      </c>
      <c r="D210" s="4" t="inlineStr">
        <is>
          <t>Dominica</t>
        </is>
      </c>
      <c r="E210" s="4" t="inlineStr">
        <is>
          <t>DMA</t>
        </is>
      </c>
      <c r="F210" s="4" t="n"/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no_year_in_pairs</t>
        </is>
      </c>
      <c r="B211" s="2" t="n"/>
      <c r="C211" s="3" t="inlineStr">
        <is>
          <t>EBS.20.72, Sup. 1</t>
        </is>
      </c>
      <c r="D211" s="4" t="inlineStr">
        <is>
          <t>Dominica</t>
        </is>
      </c>
      <c r="E211" s="4" t="inlineStr">
        <is>
          <t>DMA</t>
        </is>
      </c>
      <c r="F211" s="4" t="n"/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no_year_in_pairs</t>
        </is>
      </c>
      <c r="B212" s="2" t="n"/>
      <c r="C212" s="3" t="inlineStr">
        <is>
          <t>EBS.20.72, Sup. 1</t>
        </is>
      </c>
      <c r="D212" s="4" t="inlineStr">
        <is>
          <t>Dominica</t>
        </is>
      </c>
      <c r="E212" s="4" t="inlineStr">
        <is>
          <t>DMA</t>
        </is>
      </c>
      <c r="F212" s="4" t="n"/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no_year_in_pairs</t>
        </is>
      </c>
      <c r="B213" s="2" t="n"/>
      <c r="C213" s="3" t="inlineStr">
        <is>
          <t>EBS.20.72, Sup. 1</t>
        </is>
      </c>
      <c r="D213" s="4" t="inlineStr">
        <is>
          <t>Dominica</t>
        </is>
      </c>
      <c r="E213" s="4" t="inlineStr">
        <is>
          <t>DMA</t>
        </is>
      </c>
      <c r="F213" s="4" t="n"/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no_year_in_pairs</t>
        </is>
      </c>
      <c r="B214" s="2" t="n"/>
      <c r="C214" s="3" t="inlineStr">
        <is>
          <t>EBS.20.72, Sup. 1</t>
        </is>
      </c>
      <c r="D214" s="4" t="inlineStr">
        <is>
          <t>Dominica</t>
        </is>
      </c>
      <c r="E214" s="4" t="inlineStr">
        <is>
          <t>DMA</t>
        </is>
      </c>
      <c r="F214" s="4" t="n"/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no_year_in_pairs</t>
        </is>
      </c>
      <c r="B215" s="2" t="n"/>
      <c r="C215" s="3" t="inlineStr">
        <is>
          <t>EBS.20.72, Sup. 1</t>
        </is>
      </c>
      <c r="D215" s="4" t="inlineStr">
        <is>
          <t>Dominica</t>
        </is>
      </c>
      <c r="E215" s="4" t="inlineStr">
        <is>
          <t>DMA</t>
        </is>
      </c>
      <c r="F215" s="4" t="n"/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no_year_in_pairs</t>
        </is>
      </c>
      <c r="B216" s="2" t="n"/>
      <c r="C216" s="3" t="inlineStr">
        <is>
          <t>EBS.20.72, Sup. 1</t>
        </is>
      </c>
      <c r="D216" s="4" t="inlineStr">
        <is>
          <t>Dominica</t>
        </is>
      </c>
      <c r="E216" s="4" t="inlineStr">
        <is>
          <t>DMA</t>
        </is>
      </c>
      <c r="F216" s="4" t="n"/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no_year_in_pairs</t>
        </is>
      </c>
      <c r="B217" s="2" t="n"/>
      <c r="C217" s="3" t="inlineStr">
        <is>
          <t>EBS.20.72, Sup. 1</t>
        </is>
      </c>
      <c r="D217" s="4" t="inlineStr">
        <is>
          <t>Dominica</t>
        </is>
      </c>
      <c r="E217" s="4" t="inlineStr">
        <is>
          <t>DMA</t>
        </is>
      </c>
      <c r="F217" s="4" t="n"/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no_year_in_pairs</t>
        </is>
      </c>
      <c r="B218" s="2" t="n"/>
      <c r="C218" s="3" t="inlineStr">
        <is>
          <t>EBS.20.72, Sup. 1</t>
        </is>
      </c>
      <c r="D218" s="4" t="inlineStr">
        <is>
          <t>Dominica</t>
        </is>
      </c>
      <c r="E218" s="4" t="inlineStr">
        <is>
          <t>DMA</t>
        </is>
      </c>
      <c r="F218" s="4" t="n"/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no_year_in_pairs</t>
        </is>
      </c>
      <c r="B219" s="2" t="n"/>
      <c r="C219" s="3" t="inlineStr">
        <is>
          <t>EBS.20.72, Sup. 1</t>
        </is>
      </c>
      <c r="D219" s="4" t="inlineStr">
        <is>
          <t>Dominica</t>
        </is>
      </c>
      <c r="E219" s="4" t="inlineStr">
        <is>
          <t>DMA</t>
        </is>
      </c>
      <c r="F219" s="4" t="n"/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no_year_in_pairs</t>
        </is>
      </c>
      <c r="B220" s="2" t="n"/>
      <c r="C220" s="3" t="inlineStr">
        <is>
          <t>EBS.20.72, Sup. 1</t>
        </is>
      </c>
      <c r="D220" s="4" t="inlineStr">
        <is>
          <t>Dominica</t>
        </is>
      </c>
      <c r="E220" s="4" t="inlineStr">
        <is>
          <t>DMA</t>
        </is>
      </c>
      <c r="F220" s="4" t="n"/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no_year_in_pairs</t>
        </is>
      </c>
      <c r="B221" s="2" t="n"/>
      <c r="C221" s="3" t="inlineStr">
        <is>
          <t>EBS.20.72, Sup. 1</t>
        </is>
      </c>
      <c r="D221" s="4" t="inlineStr">
        <is>
          <t>Dominica</t>
        </is>
      </c>
      <c r="E221" s="4" t="inlineStr">
        <is>
          <t>DMA</t>
        </is>
      </c>
      <c r="F221" s="4" t="n"/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no_year_in_pairs</t>
        </is>
      </c>
      <c r="B222" s="2" t="n"/>
      <c r="C222" s="3" t="inlineStr">
        <is>
          <t>EBS.20.72, Sup. 1</t>
        </is>
      </c>
      <c r="D222" s="4" t="inlineStr">
        <is>
          <t>Dominica</t>
        </is>
      </c>
      <c r="E222" s="4" t="inlineStr">
        <is>
          <t>DMA</t>
        </is>
      </c>
      <c r="F222" s="4" t="n"/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no_year_in_pairs</t>
        </is>
      </c>
      <c r="B223" s="2" t="n"/>
      <c r="C223" s="3" t="inlineStr">
        <is>
          <t>EBS.20.72, Sup. 1</t>
        </is>
      </c>
      <c r="D223" s="4" t="inlineStr">
        <is>
          <t>Dominica</t>
        </is>
      </c>
      <c r="E223" s="4" t="inlineStr">
        <is>
          <t>DMA</t>
        </is>
      </c>
      <c r="F223" s="4" t="n"/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no_year_in_pairs</t>
        </is>
      </c>
      <c r="B224" s="2" t="n"/>
      <c r="C224" s="3" t="inlineStr">
        <is>
          <t>EBS.20.72, Sup. 1</t>
        </is>
      </c>
      <c r="D224" s="4" t="inlineStr">
        <is>
          <t>Dominica</t>
        </is>
      </c>
      <c r="E224" s="4" t="inlineStr">
        <is>
          <t>DMA</t>
        </is>
      </c>
      <c r="F224" s="4" t="n"/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no_year_in_pairs</t>
        </is>
      </c>
      <c r="B225" s="2" t="n"/>
      <c r="C225" s="3" t="inlineStr">
        <is>
          <t>EBS.20.72, Sup. 1</t>
        </is>
      </c>
      <c r="D225" s="4" t="inlineStr">
        <is>
          <t>Dominica</t>
        </is>
      </c>
      <c r="E225" s="4" t="inlineStr">
        <is>
          <t>DMA</t>
        </is>
      </c>
      <c r="F225" s="4" t="n"/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no_year_in_pairs</t>
        </is>
      </c>
      <c r="B226" s="2" t="n"/>
      <c r="C226" s="3" t="inlineStr">
        <is>
          <t>EBS.20.72, Sup. 1</t>
        </is>
      </c>
      <c r="D226" s="4" t="inlineStr">
        <is>
          <t>Dominica</t>
        </is>
      </c>
      <c r="E226" s="4" t="inlineStr">
        <is>
          <t>DMA</t>
        </is>
      </c>
      <c r="F226" s="4" t="n"/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no_year_in_pairs</t>
        </is>
      </c>
      <c r="B227" s="2" t="n"/>
      <c r="C227" s="3" t="inlineStr">
        <is>
          <t>EBS.20.72, Sup. 1</t>
        </is>
      </c>
      <c r="D227" s="4" t="inlineStr">
        <is>
          <t>Dominica</t>
        </is>
      </c>
      <c r="E227" s="4" t="inlineStr">
        <is>
          <t>DMA</t>
        </is>
      </c>
      <c r="F227" s="4" t="n"/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no_year_in_pairs</t>
        </is>
      </c>
      <c r="B228" s="2" t="n"/>
      <c r="C228" s="3" t="inlineStr">
        <is>
          <t>EBS.20.72, Sup. 1</t>
        </is>
      </c>
      <c r="D228" s="4" t="inlineStr">
        <is>
          <t>Dominica</t>
        </is>
      </c>
      <c r="E228" s="4" t="inlineStr">
        <is>
          <t>DMA</t>
        </is>
      </c>
      <c r="F228" s="4" t="n"/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no_year_in_pairs</t>
        </is>
      </c>
      <c r="B229" s="2" t="n"/>
      <c r="C229" s="3" t="inlineStr">
        <is>
          <t>EBS.20.72, Sup. 1</t>
        </is>
      </c>
      <c r="D229" s="4" t="inlineStr">
        <is>
          <t>Dominica</t>
        </is>
      </c>
      <c r="E229" s="4" t="inlineStr">
        <is>
          <t>DMA</t>
        </is>
      </c>
      <c r="F229" s="4" t="n"/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no_year_in_pairs</t>
        </is>
      </c>
      <c r="B230" s="2" t="n"/>
      <c r="C230" s="3" t="inlineStr">
        <is>
          <t>EBS.20.72, Sup. 1</t>
        </is>
      </c>
      <c r="D230" s="4" t="inlineStr">
        <is>
          <t>Dominica</t>
        </is>
      </c>
      <c r="E230" s="4" t="inlineStr">
        <is>
          <t>DMA</t>
        </is>
      </c>
      <c r="F230" s="4" t="n"/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272.9878593217654</v>
      </c>
      <c r="O230" t="n">
        <v>255.5948204947045</v>
      </c>
      <c r="P230" t="n">
        <v>238.6978912744174</v>
      </c>
      <c r="Q230" t="n">
        <v>222.4223376169058</v>
      </c>
      <c r="R230" t="n">
        <v>204.2343319958541</v>
      </c>
      <c r="S230" t="n">
        <v>186.2145892929044</v>
      </c>
      <c r="T230" t="n">
        <v>169.1750574383795</v>
      </c>
      <c r="U230" t="n">
        <v>152.6484402453385</v>
      </c>
      <c r="V230" t="n">
        <v>136.2285660725722</v>
      </c>
      <c r="W230" t="n">
        <v>120.1527634951677</v>
      </c>
      <c r="X230" t="n">
        <v>104.5889924022424</v>
      </c>
      <c r="Y230" t="n">
        <v>91.37613548003178</v>
      </c>
      <c r="Z230" t="n">
        <v>79.41596621443502</v>
      </c>
      <c r="AA230" t="n">
        <v>68.69367706934867</v>
      </c>
      <c r="AB230" t="n">
        <v>59.88711421932462</v>
      </c>
      <c r="AC230" t="n">
        <v>49.93800418059183</v>
      </c>
      <c r="AD230" t="n">
        <v>41.94975674801302</v>
      </c>
      <c r="AE230" t="n">
        <v>34.03915580626663</v>
      </c>
      <c r="AF230" t="n">
        <v>21.75529687107354</v>
      </c>
      <c r="AG230" t="n">
        <v>14.03614390157652</v>
      </c>
      <c r="AH230" t="n">
        <v>7.399676743709602</v>
      </c>
      <c r="AI230" t="n">
        <v>2.660083283715079</v>
      </c>
      <c r="BI230" t="inlineStr">
        <is>
          <t>PV_OLD_MLT</t>
        </is>
      </c>
    </row>
    <row r="231">
      <c r="A231" t="inlineStr">
        <is>
          <t>no_year_in_pairs</t>
        </is>
      </c>
      <c r="B231" s="2" t="n"/>
      <c r="C231" s="3" t="inlineStr">
        <is>
          <t>EBS.20.72, Sup. 1</t>
        </is>
      </c>
      <c r="D231" s="4" t="inlineStr">
        <is>
          <t>Dominica</t>
        </is>
      </c>
      <c r="E231" s="4" t="inlineStr">
        <is>
          <t>DMA</t>
        </is>
      </c>
      <c r="F231" s="4" t="n"/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no_year_in_pairs</t>
        </is>
      </c>
      <c r="B232" s="2" t="n"/>
      <c r="C232" s="3" t="inlineStr">
        <is>
          <t>EBS.20.72, Sup. 1</t>
        </is>
      </c>
      <c r="D232" s="4" t="inlineStr">
        <is>
          <t>Dominica</t>
        </is>
      </c>
      <c r="E232" s="4" t="inlineStr">
        <is>
          <t>DMA</t>
        </is>
      </c>
      <c r="F232" s="4" t="n"/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112.2982627740333</v>
      </c>
      <c r="O232" t="n">
        <v>110.227378023846</v>
      </c>
      <c r="P232" t="n">
        <v>104.8031667768902</v>
      </c>
      <c r="Q232" t="n">
        <v>98.66482548610507</v>
      </c>
      <c r="R232" t="n">
        <v>92.08248046411404</v>
      </c>
      <c r="S232" t="n">
        <v>84.97870222806051</v>
      </c>
      <c r="T232" t="n">
        <v>78.12540947560827</v>
      </c>
      <c r="U232" t="n">
        <v>71.67604656919238</v>
      </c>
      <c r="V232" t="n">
        <v>65.5840276736609</v>
      </c>
      <c r="W232" t="n">
        <v>59.80742841019665</v>
      </c>
      <c r="X232" t="n">
        <v>54.30841588432249</v>
      </c>
      <c r="Y232" t="n">
        <v>49.05274721808818</v>
      </c>
      <c r="Z232" t="n">
        <v>44.00932799411568</v>
      </c>
      <c r="AA232" t="n">
        <v>39.14982309718757</v>
      </c>
      <c r="AB232" t="n">
        <v>34.44831338060317</v>
      </c>
      <c r="AC232" t="n">
        <v>29.88099240690135</v>
      </c>
      <c r="AD232" t="n">
        <v>25.42589823086483</v>
      </c>
      <c r="AE232" t="n">
        <v>21.06267582016076</v>
      </c>
      <c r="AF232" t="n">
        <v>16.77236625704677</v>
      </c>
      <c r="AG232" t="n">
        <v>12.53721934332435</v>
      </c>
      <c r="AH232" t="n">
        <v>8.340526648923776</v>
      </c>
      <c r="AI232" t="n">
        <v>4.166472409810926</v>
      </c>
      <c r="BI232" t="inlineStr">
        <is>
          <t>PV_OLD_ML</t>
        </is>
      </c>
    </row>
    <row r="233">
      <c r="A233" t="inlineStr">
        <is>
          <t>no_year_in_pairs</t>
        </is>
      </c>
      <c r="B233" s="2" t="n"/>
      <c r="C233" s="3" t="inlineStr">
        <is>
          <t>EBS.20.72, Sup. 1</t>
        </is>
      </c>
      <c r="D233" s="4" t="inlineStr">
        <is>
          <t>Dominica</t>
        </is>
      </c>
      <c r="E233" s="4" t="inlineStr">
        <is>
          <t>DMA</t>
        </is>
      </c>
      <c r="F233" s="4" t="n"/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6.75325252308109</v>
      </c>
      <c r="O233" t="n">
        <v>6.808954334420329</v>
      </c>
      <c r="P233" t="n">
        <v>6.16253927336357</v>
      </c>
      <c r="Q233" t="n">
        <v>5.060862237031747</v>
      </c>
      <c r="R233" t="n">
        <v>4.468022941475927</v>
      </c>
      <c r="S233" t="n">
        <v>3.845541681142316</v>
      </c>
      <c r="T233" t="n">
        <v>3.304720681084206</v>
      </c>
      <c r="U233" t="n">
        <v>2.83460504423581</v>
      </c>
      <c r="V233" t="n">
        <v>2.425697183396298</v>
      </c>
      <c r="W233" t="n">
        <v>2.06976234608848</v>
      </c>
      <c r="X233" t="n">
        <v>1.759660061079093</v>
      </c>
      <c r="Y233" t="n">
        <v>1.489198049921201</v>
      </c>
      <c r="Z233" t="n">
        <v>1.253005607743543</v>
      </c>
      <c r="AA233" t="n">
        <v>1.046423856926507</v>
      </c>
      <c r="AB233" t="n">
        <v>0.8654106234626787</v>
      </c>
      <c r="AC233" t="n">
        <v>0.7064579858027107</v>
      </c>
      <c r="AD233" t="n">
        <v>0.5665208059884291</v>
      </c>
      <c r="AE233" t="n">
        <v>0.4429547782081687</v>
      </c>
      <c r="AF233" t="n">
        <v>0.3334627251966681</v>
      </c>
      <c r="AG233" t="n">
        <v>0.2360480421494876</v>
      </c>
      <c r="AH233" t="n">
        <v>0.1489743345017046</v>
      </c>
      <c r="AI233" t="n">
        <v>0.07073042304161201</v>
      </c>
    </row>
    <row r="234">
      <c r="A234" t="inlineStr">
        <is>
          <t>no_year_in_pairs</t>
        </is>
      </c>
      <c r="B234" s="2" t="n"/>
      <c r="C234" s="3" t="inlineStr">
        <is>
          <t>EBS.20.72, Sup. 1</t>
        </is>
      </c>
      <c r="D234" s="4" t="inlineStr">
        <is>
          <t>Dominica</t>
        </is>
      </c>
      <c r="E234" s="4" t="inlineStr">
        <is>
          <t>DMA</t>
        </is>
      </c>
      <c r="F234" s="4" t="n"/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small economy</t>
        </is>
      </c>
      <c r="N234" t="n">
        <v>20.76002083892339</v>
      </c>
      <c r="O234" t="n">
        <v>20.61845865864735</v>
      </c>
      <c r="P234" t="n">
        <v>20.31442507306119</v>
      </c>
      <c r="Q234" t="n">
        <v>19.84811699338092</v>
      </c>
      <c r="R234" t="n">
        <v>19.22079139860553</v>
      </c>
      <c r="S234" t="n">
        <v>18.45106652409137</v>
      </c>
      <c r="T234" t="n">
        <v>17.61359539336324</v>
      </c>
      <c r="U234" t="n">
        <v>16.75319879008031</v>
      </c>
      <c r="V234" t="n">
        <v>15.86852644919579</v>
      </c>
      <c r="W234" t="n">
        <v>14.95816278854278</v>
      </c>
      <c r="X234" t="n">
        <v>14.02062361933527</v>
      </c>
      <c r="Y234" t="n">
        <v>13.05435269244842</v>
      </c>
      <c r="Z234" t="n">
        <v>12.05771807226495</v>
      </c>
      <c r="AA234" t="n">
        <v>11.02900832946273</v>
      </c>
      <c r="AB234" t="n">
        <v>9.966428543688258</v>
      </c>
      <c r="AC234" t="n">
        <v>8.868096106607521</v>
      </c>
      <c r="AD234" t="n">
        <v>7.732036315350527</v>
      </c>
      <c r="AE234" t="n">
        <v>6.556177745866645</v>
      </c>
      <c r="AF234" t="n">
        <v>5.338347395183577</v>
      </c>
      <c r="AG234" t="n">
        <v>4.076265581012817</v>
      </c>
      <c r="AH234" t="n">
        <v>2.767540586566218</v>
      </c>
      <c r="AI234" t="n">
        <v>1.409663037841828</v>
      </c>
    </row>
    <row r="235">
      <c r="A235" t="inlineStr">
        <is>
          <t>no_year_in_pairs</t>
        </is>
      </c>
      <c r="B235" s="2" t="n"/>
      <c r="C235" s="3" t="inlineStr">
        <is>
          <t>EBS.20.72, Sup. 1</t>
        </is>
      </c>
      <c r="D235" s="4" t="inlineStr">
        <is>
          <t>Dominica</t>
        </is>
      </c>
      <c r="E235" s="4" t="inlineStr">
        <is>
          <t>DMA</t>
        </is>
      </c>
      <c r="F235" s="4" t="n"/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no_year_in_pairs</t>
        </is>
      </c>
      <c r="B236" s="2" t="n"/>
      <c r="C236" s="3" t="inlineStr">
        <is>
          <t>EBS.20.72, Sup. 1</t>
        </is>
      </c>
      <c r="D236" s="4" t="inlineStr">
        <is>
          <t>Dominica</t>
        </is>
      </c>
      <c r="E236" s="4" t="inlineStr">
        <is>
          <t>DMA</t>
        </is>
      </c>
      <c r="F236" s="4" t="n"/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CDB</t>
        </is>
      </c>
      <c r="N236" t="n">
        <v>84.78498941202879</v>
      </c>
      <c r="O236" t="n">
        <v>82.79996503077837</v>
      </c>
      <c r="P236" t="n">
        <v>78.32620243046546</v>
      </c>
      <c r="Q236" t="n">
        <v>73.7558462556924</v>
      </c>
      <c r="R236" t="n">
        <v>68.39366612403259</v>
      </c>
      <c r="S236" t="n">
        <v>62.68209402282682</v>
      </c>
      <c r="T236" t="n">
        <v>57.20709340116082</v>
      </c>
      <c r="U236" t="n">
        <v>52.08824273487627</v>
      </c>
      <c r="V236" t="n">
        <v>47.28980404106881</v>
      </c>
      <c r="W236" t="n">
        <v>42.77950327556538</v>
      </c>
      <c r="X236" t="n">
        <v>38.52813220390814</v>
      </c>
      <c r="Y236" t="n">
        <v>34.50919647571855</v>
      </c>
      <c r="Z236" t="n">
        <v>30.69860431410718</v>
      </c>
      <c r="AA236" t="n">
        <v>27.07439091079834</v>
      </c>
      <c r="AB236" t="n">
        <v>23.61647421345223</v>
      </c>
      <c r="AC236" t="n">
        <v>20.30643831449112</v>
      </c>
      <c r="AD236" t="n">
        <v>17.12734110952587</v>
      </c>
      <c r="AE236" t="n">
        <v>14.06354329608594</v>
      </c>
      <c r="AF236" t="n">
        <v>11.10055613666652</v>
      </c>
      <c r="AG236" t="n">
        <v>8.22490572016204</v>
      </c>
      <c r="AH236" t="n">
        <v>5.424011727855853</v>
      </c>
      <c r="AI236" t="n">
        <v>2.686078948927486</v>
      </c>
    </row>
    <row r="237">
      <c r="A237" t="inlineStr">
        <is>
          <t>no_year_in_pairs</t>
        </is>
      </c>
      <c r="B237" s="2" t="n"/>
      <c r="C237" s="3" t="inlineStr">
        <is>
          <t>EBS.20.72, Sup. 1</t>
        </is>
      </c>
      <c r="D237" s="4" t="inlineStr">
        <is>
          <t>Dominica</t>
        </is>
      </c>
      <c r="E237" s="4" t="inlineStr">
        <is>
          <t>DMA</t>
        </is>
      </c>
      <c r="F237" s="4" t="n"/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MULTIRES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no_year_in_pairs</t>
        </is>
      </c>
      <c r="B238" s="2" t="n"/>
      <c r="C238" s="3" t="inlineStr">
        <is>
          <t>EBS.20.72, Sup. 1</t>
        </is>
      </c>
      <c r="D238" s="4" t="inlineStr">
        <is>
          <t>Dominica</t>
        </is>
      </c>
      <c r="E238" s="4" t="inlineStr">
        <is>
          <t>DMA</t>
        </is>
      </c>
      <c r="F238" s="4" t="n"/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no_year_in_pairs</t>
        </is>
      </c>
      <c r="B239" s="2" t="n"/>
      <c r="C239" s="3" t="inlineStr">
        <is>
          <t>EBS.20.72, Sup. 1</t>
        </is>
      </c>
      <c r="D239" s="4" t="inlineStr">
        <is>
          <t>Dominica</t>
        </is>
      </c>
      <c r="E239" s="4" t="inlineStr">
        <is>
          <t>DMA</t>
        </is>
      </c>
      <c r="F239" s="4" t="n"/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25.69928374806636</v>
      </c>
      <c r="O239" t="n">
        <v>23.50109175028449</v>
      </c>
      <c r="P239" t="n">
        <v>21.35210670816909</v>
      </c>
      <c r="Q239" t="n">
        <v>19.20411208061457</v>
      </c>
      <c r="R239" t="n">
        <v>16.79489683279345</v>
      </c>
      <c r="S239" t="n">
        <v>14.15385245221091</v>
      </c>
      <c r="T239" t="n">
        <v>13.0228906640785</v>
      </c>
      <c r="U239" t="n">
        <v>11.09523986990509</v>
      </c>
      <c r="V239" t="n">
        <v>8.759048832022197</v>
      </c>
      <c r="W239" t="n">
        <v>6.115569878670836</v>
      </c>
      <c r="X239" t="n">
        <v>3.292111416627527</v>
      </c>
      <c r="Y239" t="n">
        <v>2.480042218301026</v>
      </c>
      <c r="Z239" t="n">
        <v>2.553391741383365</v>
      </c>
      <c r="AA239" t="n">
        <v>2.517924791277264</v>
      </c>
      <c r="AB239" t="n">
        <v>2.409990805227502</v>
      </c>
      <c r="AC239" t="n">
        <v>2.24878321500526</v>
      </c>
      <c r="AD239" t="n">
        <v>2.041789058892385</v>
      </c>
      <c r="AE239" t="n">
        <v>1.775674212612011</v>
      </c>
      <c r="AF239" t="n">
        <v>1.470745514705158</v>
      </c>
      <c r="AG239" t="n">
        <v>1.13647601059344</v>
      </c>
      <c r="AH239" t="n">
        <v>0.7780180298574884</v>
      </c>
      <c r="AI239" t="n">
        <v>0.3983726929029009</v>
      </c>
    </row>
    <row r="240">
      <c r="A240" t="inlineStr">
        <is>
          <t>no_year_in_pairs</t>
        </is>
      </c>
      <c r="B240" s="2" t="n"/>
      <c r="C240" s="3" t="inlineStr">
        <is>
          <t>EBS.20.72, Sup. 1</t>
        </is>
      </c>
      <c r="D240" s="4" t="inlineStr">
        <is>
          <t>Dominica</t>
        </is>
      </c>
      <c r="E240" s="4" t="inlineStr">
        <is>
          <t>DMA</t>
        </is>
      </c>
      <c r="F240" s="4" t="n"/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25.69928374806636</v>
      </c>
      <c r="O240" t="n">
        <v>23.50109175028449</v>
      </c>
      <c r="P240" t="n">
        <v>21.35210670816909</v>
      </c>
      <c r="Q240" t="n">
        <v>19.20411208061457</v>
      </c>
      <c r="R240" t="n">
        <v>16.79489683279345</v>
      </c>
      <c r="S240" t="n">
        <v>14.15385245221091</v>
      </c>
      <c r="T240" t="n">
        <v>13.0228906640785</v>
      </c>
      <c r="U240" t="n">
        <v>11.09523986990509</v>
      </c>
      <c r="V240" t="n">
        <v>8.759048832022197</v>
      </c>
      <c r="W240" t="n">
        <v>6.115569878670836</v>
      </c>
      <c r="X240" t="n">
        <v>3.292111416627527</v>
      </c>
      <c r="Y240" t="n">
        <v>2.480042218301026</v>
      </c>
      <c r="Z240" t="n">
        <v>2.553391741383365</v>
      </c>
      <c r="AA240" t="n">
        <v>2.517924791277264</v>
      </c>
      <c r="AB240" t="n">
        <v>2.409990805227502</v>
      </c>
      <c r="AC240" t="n">
        <v>2.24878321500526</v>
      </c>
      <c r="AD240" t="n">
        <v>2.041789058892385</v>
      </c>
      <c r="AE240" t="n">
        <v>1.775674212612011</v>
      </c>
      <c r="AF240" t="n">
        <v>1.470745514705158</v>
      </c>
      <c r="AG240" t="n">
        <v>1.13647601059344</v>
      </c>
      <c r="AH240" t="n">
        <v>0.7780180298574884</v>
      </c>
      <c r="AI240" t="n">
        <v>0.3983726929029009</v>
      </c>
    </row>
    <row r="241">
      <c r="A241" t="inlineStr">
        <is>
          <t>no_year_in_pairs</t>
        </is>
      </c>
      <c r="B241" s="2" t="n"/>
      <c r="C241" s="3" t="inlineStr">
        <is>
          <t>EBS.20.72, Sup. 1</t>
        </is>
      </c>
      <c r="D241" s="4" t="inlineStr">
        <is>
          <t>Dominica</t>
        </is>
      </c>
      <c r="E241" s="4" t="inlineStr">
        <is>
          <t>DMA</t>
        </is>
      </c>
      <c r="F241" s="4" t="n"/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no_year_in_pairs</t>
        </is>
      </c>
      <c r="B242" s="2" t="n"/>
      <c r="C242" s="3" t="inlineStr">
        <is>
          <t>EBS.20.72, Sup. 1</t>
        </is>
      </c>
      <c r="D242" s="4" t="inlineStr">
        <is>
          <t>Dominica</t>
        </is>
      </c>
      <c r="E242" s="4" t="inlineStr">
        <is>
          <t>DMA</t>
        </is>
      </c>
      <c r="F242" s="4" t="n"/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no_year_in_pairs</t>
        </is>
      </c>
      <c r="B243" s="2" t="n"/>
      <c r="C243" s="3" t="inlineStr">
        <is>
          <t>EBS.20.72, Sup. 1</t>
        </is>
      </c>
      <c r="D243" s="4" t="inlineStr">
        <is>
          <t>Dominica</t>
        </is>
      </c>
      <c r="E243" s="4" t="inlineStr">
        <is>
          <t>DMA</t>
        </is>
      </c>
      <c r="F243" s="4" t="n"/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57.1914533603541</v>
      </c>
      <c r="O243" t="n">
        <v>52.57038654161596</v>
      </c>
      <c r="P243" t="n">
        <v>47.16356498643861</v>
      </c>
      <c r="Q243" t="n">
        <v>42.10229765588519</v>
      </c>
      <c r="R243" t="n">
        <v>36.97279899376952</v>
      </c>
      <c r="S243" t="n">
        <v>31.73854946888807</v>
      </c>
      <c r="T243" t="n">
        <v>27.11111038318147</v>
      </c>
      <c r="U243" t="n">
        <v>22.50201517388107</v>
      </c>
      <c r="V243" t="n">
        <v>18.0180658103486</v>
      </c>
      <c r="W243" t="n">
        <v>13.62066674372385</v>
      </c>
      <c r="X243" t="n">
        <v>9.335347344946411</v>
      </c>
      <c r="Y243" t="n">
        <v>5.197814187956889</v>
      </c>
      <c r="Z243" t="n">
        <v>1.129553479465744</v>
      </c>
      <c r="AA243" t="n">
        <v>-1.728353068433258</v>
      </c>
      <c r="AB243" t="n">
        <v>-2.695598058166582</v>
      </c>
      <c r="AC243" t="n">
        <v>-2.887307336817081</v>
      </c>
      <c r="AD243" t="n">
        <v>-3.043717488005881</v>
      </c>
      <c r="AE243" t="n">
        <v>-3.201089274885732</v>
      </c>
      <c r="AF243" t="n">
        <v>-3.364969038891039</v>
      </c>
      <c r="AG243" t="n">
        <v>-3.536858393298695</v>
      </c>
      <c r="AH243" t="n">
        <v>-3.716073929043808</v>
      </c>
      <c r="AI243" t="n">
        <v>-1.90476181900812</v>
      </c>
      <c r="BI243" t="inlineStr">
        <is>
          <t>PV_OLD_OB</t>
        </is>
      </c>
    </row>
    <row r="244">
      <c r="A244" t="inlineStr">
        <is>
          <t>no_year_in_pairs</t>
        </is>
      </c>
      <c r="B244" s="2" t="n"/>
      <c r="C244" s="3" t="inlineStr">
        <is>
          <t>EBS.20.72, Sup. 1</t>
        </is>
      </c>
      <c r="D244" s="4" t="inlineStr">
        <is>
          <t>Dominica</t>
        </is>
      </c>
      <c r="E244" s="4" t="inlineStr">
        <is>
          <t>DMA</t>
        </is>
      </c>
      <c r="F244" s="4" t="n"/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17.46809119978489</v>
      </c>
      <c r="O244" t="n">
        <v>15.68792438940376</v>
      </c>
      <c r="P244" t="n">
        <v>13.71334105331839</v>
      </c>
      <c r="Q244" t="n">
        <v>11.69234425413246</v>
      </c>
      <c r="R244" t="n">
        <v>9.620196503876132</v>
      </c>
      <c r="S244" t="n">
        <v>7.493639106847713</v>
      </c>
      <c r="T244" t="n">
        <v>5.83378714198322</v>
      </c>
      <c r="U244" t="n">
        <v>4.538047328629493</v>
      </c>
      <c r="V244" t="n">
        <v>3.526370506885767</v>
      </c>
      <c r="W244" t="n">
        <v>2.736297312879784</v>
      </c>
      <c r="X244" t="n">
        <v>2.11909260178221</v>
      </c>
      <c r="Y244" t="n">
        <v>1.636729357529669</v>
      </c>
      <c r="Z244" t="n">
        <v>1.259535407700553</v>
      </c>
      <c r="AA244" t="n">
        <v>0.964357286710287</v>
      </c>
      <c r="AB244" t="n">
        <v>0.7331275997109412</v>
      </c>
      <c r="AC244" t="n">
        <v>0.5517472145215524</v>
      </c>
      <c r="AD244" t="n">
        <v>0.409213095417653</v>
      </c>
      <c r="AE244" t="n">
        <v>0.2969377967986517</v>
      </c>
      <c r="AF244" t="n">
        <v>0.2082184977015372</v>
      </c>
      <c r="AG244" t="n">
        <v>0.1378227141024482</v>
      </c>
      <c r="AH244" t="n">
        <v>0.08166504784755982</v>
      </c>
      <c r="AI244" t="n">
        <v>0.03655496588488742</v>
      </c>
    </row>
    <row r="245">
      <c r="A245" t="inlineStr">
        <is>
          <t>no_year_in_pairs</t>
        </is>
      </c>
      <c r="B245" s="2" t="n"/>
      <c r="C245" s="3" t="inlineStr">
        <is>
          <t>EBS.20.72, Sup. 1</t>
        </is>
      </c>
      <c r="D245" s="4" t="inlineStr">
        <is>
          <t>Dominica</t>
        </is>
      </c>
      <c r="E245" s="4" t="inlineStr">
        <is>
          <t>DMA</t>
        </is>
      </c>
      <c r="F245" s="4" t="n"/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17.46809119978489</v>
      </c>
      <c r="O245" t="n">
        <v>15.68792438940376</v>
      </c>
      <c r="P245" t="n">
        <v>13.71334105331839</v>
      </c>
      <c r="Q245" t="n">
        <v>11.69234425413246</v>
      </c>
      <c r="R245" t="n">
        <v>9.620196503876132</v>
      </c>
      <c r="S245" t="n">
        <v>7.493639106847713</v>
      </c>
      <c r="T245" t="n">
        <v>5.83378714198322</v>
      </c>
      <c r="U245" t="n">
        <v>4.538047328629493</v>
      </c>
      <c r="V245" t="n">
        <v>3.526370506885767</v>
      </c>
      <c r="W245" t="n">
        <v>2.736297312879784</v>
      </c>
      <c r="X245" t="n">
        <v>2.11909260178221</v>
      </c>
      <c r="Y245" t="n">
        <v>1.636729357529669</v>
      </c>
      <c r="Z245" t="n">
        <v>1.259535407700553</v>
      </c>
      <c r="AA245" t="n">
        <v>0.964357286710287</v>
      </c>
      <c r="AB245" t="n">
        <v>0.7331275997109412</v>
      </c>
      <c r="AC245" t="n">
        <v>0.5517472145215524</v>
      </c>
      <c r="AD245" t="n">
        <v>0.409213095417653</v>
      </c>
      <c r="AE245" t="n">
        <v>0.2969377967986517</v>
      </c>
      <c r="AF245" t="n">
        <v>0.2082184977015372</v>
      </c>
      <c r="AG245" t="n">
        <v>0.1378227141024482</v>
      </c>
      <c r="AH245" t="n">
        <v>0.08166504784755982</v>
      </c>
      <c r="AI245" t="n">
        <v>0.03655496588488742</v>
      </c>
    </row>
    <row r="246">
      <c r="A246" t="inlineStr">
        <is>
          <t>no_year_in_pairs</t>
        </is>
      </c>
      <c r="B246" s="2" t="n"/>
      <c r="C246" s="3" t="inlineStr">
        <is>
          <t>EBS.20.72, Sup. 1</t>
        </is>
      </c>
      <c r="D246" s="4" t="inlineStr">
        <is>
          <t>Dominica</t>
        </is>
      </c>
      <c r="E246" s="4" t="inlineStr">
        <is>
          <t>DMA</t>
        </is>
      </c>
      <c r="F246" s="4" t="n"/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no_year_in_pairs</t>
        </is>
      </c>
      <c r="B247" s="2" t="n"/>
      <c r="C247" s="3" t="inlineStr">
        <is>
          <t>EBS.20.72, Sup. 1</t>
        </is>
      </c>
      <c r="D247" s="4" t="inlineStr">
        <is>
          <t>Dominica</t>
        </is>
      </c>
      <c r="E247" s="4" t="inlineStr">
        <is>
          <t>DMA</t>
        </is>
      </c>
      <c r="F247" s="4" t="n"/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no_year_in_pairs</t>
        </is>
      </c>
      <c r="B248" s="2" t="n"/>
      <c r="C248" s="3" t="inlineStr">
        <is>
          <t>EBS.20.72, Sup. 1</t>
        </is>
      </c>
      <c r="D248" s="4" t="inlineStr">
        <is>
          <t>Dominica</t>
        </is>
      </c>
      <c r="E248" s="4" t="inlineStr">
        <is>
          <t>DMA</t>
        </is>
      </c>
      <c r="F248" s="4" t="n"/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no_year_in_pairs</t>
        </is>
      </c>
      <c r="B249" s="2" t="n"/>
      <c r="C249" s="3" t="inlineStr">
        <is>
          <t>EBS.20.72, Sup. 1</t>
        </is>
      </c>
      <c r="D249" s="4" t="inlineStr">
        <is>
          <t>Dominica</t>
        </is>
      </c>
      <c r="E249" s="4" t="inlineStr">
        <is>
          <t>DMA</t>
        </is>
      </c>
      <c r="F249" s="4" t="n"/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no_year_in_pairs</t>
        </is>
      </c>
      <c r="B250" s="2" t="n"/>
      <c r="C250" s="3" t="inlineStr">
        <is>
          <t>EBS.20.72, Sup. 1</t>
        </is>
      </c>
      <c r="D250" s="4" t="inlineStr">
        <is>
          <t>Dominica</t>
        </is>
      </c>
      <c r="E250" s="4" t="inlineStr">
        <is>
          <t>DMA</t>
        </is>
      </c>
      <c r="F250" s="4" t="n"/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39.72336216056922</v>
      </c>
      <c r="O250" t="n">
        <v>36.8824621522122</v>
      </c>
      <c r="P250" t="n">
        <v>33.45022393312021</v>
      </c>
      <c r="Q250" t="n">
        <v>30.40995340175272</v>
      </c>
      <c r="R250" t="n">
        <v>27.35260248989339</v>
      </c>
      <c r="S250" t="n">
        <v>24.24491036204036</v>
      </c>
      <c r="T250" t="n">
        <v>21.27732324119825</v>
      </c>
      <c r="U250" t="n">
        <v>17.96396784525157</v>
      </c>
      <c r="V250" t="n">
        <v>14.49169530346283</v>
      </c>
      <c r="W250" t="n">
        <v>10.88436943084406</v>
      </c>
      <c r="X250" t="n">
        <v>7.216254743164201</v>
      </c>
      <c r="Y250" t="n">
        <v>3.56108483042722</v>
      </c>
      <c r="Z250" t="n">
        <v>-0.129981928234808</v>
      </c>
      <c r="AA250" t="n">
        <v>-2.692710355143545</v>
      </c>
      <c r="AB250" t="n">
        <v>-3.428725657877524</v>
      </c>
      <c r="AC250" t="n">
        <v>-3.439054551338633</v>
      </c>
      <c r="AD250" t="n">
        <v>-3.452930583423534</v>
      </c>
      <c r="AE250" t="n">
        <v>-3.498027071684384</v>
      </c>
      <c r="AF250" t="n">
        <v>-3.573187536592576</v>
      </c>
      <c r="AG250" t="n">
        <v>-3.674681107401143</v>
      </c>
      <c r="AH250" t="n">
        <v>-3.797738976891368</v>
      </c>
      <c r="AI250" t="n">
        <v>-1.941316784893008</v>
      </c>
    </row>
    <row r="251">
      <c r="A251" t="inlineStr">
        <is>
          <t>no_year_in_pairs</t>
        </is>
      </c>
      <c r="B251" s="2" t="n"/>
      <c r="C251" s="3" t="inlineStr">
        <is>
          <t>EBS.20.72, Sup. 1</t>
        </is>
      </c>
      <c r="D251" s="4" t="inlineStr">
        <is>
          <t>Dominica</t>
        </is>
      </c>
      <c r="E251" s="4" t="inlineStr">
        <is>
          <t>DMA</t>
        </is>
      </c>
      <c r="F251" s="4" t="n"/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NPC2</t>
        </is>
      </c>
      <c r="N251" t="n">
        <v>1.075084092582566</v>
      </c>
      <c r="O251" t="n">
        <v>0.836710000915398</v>
      </c>
      <c r="P251" t="n">
        <v>0.3063415009611679</v>
      </c>
      <c r="Q251" t="n">
        <v>0.2242403537870041</v>
      </c>
      <c r="R251" t="n">
        <v>0.1836720011059839</v>
      </c>
      <c r="S251" t="n">
        <v>0.1426243048649868</v>
      </c>
      <c r="T251" t="n">
        <v>0.1106882117652103</v>
      </c>
      <c r="U251" t="n">
        <v>0.08583808733836308</v>
      </c>
      <c r="V251" t="n">
        <v>0.06649846941103763</v>
      </c>
      <c r="W251" t="n">
        <v>0.05144401515980903</v>
      </c>
      <c r="X251" t="n">
        <v>0.03972168502665299</v>
      </c>
      <c r="Y251" t="n">
        <v>0.03059022131248534</v>
      </c>
      <c r="Z251" t="n">
        <v>0.02347307767454375</v>
      </c>
      <c r="AA251" t="n">
        <v>0.01792181003828244</v>
      </c>
      <c r="AB251" t="n">
        <v>0.01358760385316057</v>
      </c>
      <c r="AC251" t="n">
        <v>0.01019912937225708</v>
      </c>
      <c r="AD251" t="n">
        <v>0.007545318537529122</v>
      </c>
      <c r="AE251" t="n">
        <v>0.005461969631052917</v>
      </c>
      <c r="AF251" t="n">
        <v>0.003821328960006794</v>
      </c>
      <c r="AG251" t="n">
        <v>0.002523987919542424</v>
      </c>
      <c r="AH251" t="n">
        <v>0.001492580831527465</v>
      </c>
      <c r="AI251" t="n">
        <v>0.0006668833280104923</v>
      </c>
    </row>
    <row r="252">
      <c r="A252" t="inlineStr">
        <is>
          <t>no_year_in_pairs</t>
        </is>
      </c>
      <c r="B252" s="2" t="n"/>
      <c r="C252" s="3" t="inlineStr">
        <is>
          <t>EBS.20.72, Sup. 1</t>
        </is>
      </c>
      <c r="D252" s="4" t="inlineStr">
        <is>
          <t>Dominica</t>
        </is>
      </c>
      <c r="E252" s="4" t="inlineStr">
        <is>
          <t>DMA</t>
        </is>
      </c>
      <c r="F252" s="4" t="n"/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1.476255116467854</v>
      </c>
      <c r="O252" t="n">
        <v>1.183219020439395</v>
      </c>
      <c r="P252" t="n">
        <v>0.8878798233132167</v>
      </c>
      <c r="Q252" t="n">
        <v>0.5901223700344337</v>
      </c>
      <c r="R252" t="n">
        <v>0.2898257848324514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no_year_in_pairs</t>
        </is>
      </c>
      <c r="B253" s="2" t="n"/>
      <c r="C253" s="3" t="inlineStr">
        <is>
          <t>EBS.20.72, Sup. 1</t>
        </is>
      </c>
      <c r="D253" s="4" t="inlineStr">
        <is>
          <t>Dominica</t>
        </is>
      </c>
      <c r="E253" s="4" t="inlineStr">
        <is>
          <t>DMA</t>
        </is>
      </c>
      <c r="F253" s="4" t="n"/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25.13918443444646</v>
      </c>
      <c r="O253" t="n">
        <v>23.05245580431692</v>
      </c>
      <c r="P253" t="n">
        <v>20.91823252045871</v>
      </c>
      <c r="Q253" t="n">
        <v>18.73247696129646</v>
      </c>
      <c r="R253" t="n">
        <v>16.49261247602795</v>
      </c>
      <c r="S253" t="n">
        <v>14.19487539612565</v>
      </c>
      <c r="T253" t="n">
        <v>12.19856715454435</v>
      </c>
      <c r="U253" t="n">
        <v>10.4632504344261</v>
      </c>
      <c r="V253" t="n">
        <v>8.953867220879701</v>
      </c>
      <c r="W253" t="n">
        <v>7.640020943708057</v>
      </c>
      <c r="X253" t="n">
        <v>6.495354303587431</v>
      </c>
      <c r="Y253" t="n">
        <v>5.497010022362762</v>
      </c>
      <c r="Z253" t="n">
        <v>4.625163459290421</v>
      </c>
      <c r="AA253" t="n">
        <v>3.862617509401599</v>
      </c>
      <c r="AB253" t="n">
        <v>3.194451477917839</v>
      </c>
      <c r="AC253" t="n">
        <v>2.607716732036921</v>
      </c>
      <c r="AD253" t="n">
        <v>2.091172891137625</v>
      </c>
      <c r="AE253" t="n">
        <v>1.635059148213774</v>
      </c>
      <c r="AF253" t="n">
        <v>1.230896036203164</v>
      </c>
      <c r="AG253" t="n">
        <v>0.8713135776130424</v>
      </c>
      <c r="AH253" t="n">
        <v>0.5499022972763187</v>
      </c>
      <c r="AI253" t="n">
        <v>0.2610840473084485</v>
      </c>
    </row>
    <row r="254">
      <c r="A254" t="inlineStr">
        <is>
          <t>no_year_in_pairs</t>
        </is>
      </c>
      <c r="B254" s="2" t="n"/>
      <c r="C254" s="3" t="inlineStr">
        <is>
          <t>EBS.20.72, Sup. 1</t>
        </is>
      </c>
      <c r="D254" s="4" t="inlineStr">
        <is>
          <t>Dominica</t>
        </is>
      </c>
      <c r="E254" s="4" t="inlineStr">
        <is>
          <t>DMA</t>
        </is>
      </c>
      <c r="F254" s="4" t="n"/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0.04797985021799953</v>
      </c>
      <c r="O254" t="n">
        <v>0.04731054115823879</v>
      </c>
      <c r="P254" t="n">
        <v>0.04639985262465142</v>
      </c>
      <c r="Q254" t="n">
        <v>0.04525985797313718</v>
      </c>
      <c r="R254" t="n">
        <v>0.04396038003591485</v>
      </c>
      <c r="S254" t="n">
        <v>0.04249788743076368</v>
      </c>
      <c r="T254" t="n">
        <v>0.04086971186494003</v>
      </c>
      <c r="U254" t="n">
        <v>0.03906460161740235</v>
      </c>
      <c r="V254" t="n">
        <v>0.03708042005497786</v>
      </c>
      <c r="W254" t="n">
        <v>0.03491540496196697</v>
      </c>
      <c r="X254" t="n">
        <v>0.03255638141347733</v>
      </c>
      <c r="Y254" t="n">
        <v>0.02998937201740188</v>
      </c>
      <c r="Z254" t="n">
        <v>0.02719952350367703</v>
      </c>
      <c r="AA254" t="n">
        <v>0.02417093032072629</v>
      </c>
      <c r="AB254" t="n">
        <v>0.020888701051083</v>
      </c>
      <c r="AC254" t="n">
        <v>0.01770293209297101</v>
      </c>
      <c r="AD254" t="n">
        <v>0.01444817010939912</v>
      </c>
      <c r="AE254" t="n">
        <v>0.0111703974992702</v>
      </c>
      <c r="AF254" t="n">
        <v>0.008081476817806231</v>
      </c>
      <c r="AG254" t="n">
        <v>0.004871327151281563</v>
      </c>
      <c r="AH254" t="n">
        <v>0.002746279272020781</v>
      </c>
      <c r="AI254" t="n">
        <v>0</v>
      </c>
    </row>
    <row r="255">
      <c r="A255" t="inlineStr">
        <is>
          <t>no_year_in_pairs</t>
        </is>
      </c>
      <c r="B255" s="2" t="n"/>
      <c r="C255" s="3" t="inlineStr">
        <is>
          <t>EBS.20.72, Sup. 1</t>
        </is>
      </c>
      <c r="D255" s="4" t="inlineStr">
        <is>
          <t>Dominica</t>
        </is>
      </c>
      <c r="E255" s="4" t="inlineStr">
        <is>
          <t>DMA</t>
        </is>
      </c>
      <c r="F255" s="4" t="n"/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11.98485866685433</v>
      </c>
      <c r="O255" t="n">
        <v>11.76276678538224</v>
      </c>
      <c r="P255" t="n">
        <v>11.29137023576246</v>
      </c>
      <c r="Q255" t="n">
        <v>10.81785385866169</v>
      </c>
      <c r="R255" t="n">
        <v>10.34253184789108</v>
      </c>
      <c r="S255" t="n">
        <v>9.864912773618965</v>
      </c>
      <c r="T255" t="n">
        <v>8.927198163023757</v>
      </c>
      <c r="U255" t="n">
        <v>7.375814721869713</v>
      </c>
      <c r="V255" t="n">
        <v>5.434249193117111</v>
      </c>
      <c r="W255" t="n">
        <v>3.157989067014228</v>
      </c>
      <c r="X255" t="n">
        <v>0.6486223731366392</v>
      </c>
      <c r="Y255" t="n">
        <v>-1.996504785265429</v>
      </c>
      <c r="Z255" t="n">
        <v>-4.80581798870345</v>
      </c>
      <c r="AA255" t="n">
        <v>-6.597420604904153</v>
      </c>
      <c r="AB255" t="n">
        <v>-6.657653440699606</v>
      </c>
      <c r="AC255" t="n">
        <v>-6.074673344840782</v>
      </c>
      <c r="AD255" t="n">
        <v>-5.566096963208087</v>
      </c>
      <c r="AE255" t="n">
        <v>-5.149718587028482</v>
      </c>
      <c r="AF255" t="n">
        <v>-4.815986378573553</v>
      </c>
      <c r="AG255" t="n">
        <v>-4.55339000008501</v>
      </c>
      <c r="AH255" t="n">
        <v>-4.351880134271235</v>
      </c>
      <c r="AI255" t="n">
        <v>-2.203067715529467</v>
      </c>
    </row>
    <row r="256">
      <c r="A256" t="inlineStr">
        <is>
          <t>no_year_in_pairs</t>
        </is>
      </c>
      <c r="B256" s="2" t="n"/>
      <c r="C256" s="3" t="inlineStr">
        <is>
          <t>EBS.20.72, Sup. 1</t>
        </is>
      </c>
      <c r="D256" s="4" t="inlineStr">
        <is>
          <t>Dominica</t>
        </is>
      </c>
      <c r="E256" s="4" t="inlineStr">
        <is>
          <t>DMA</t>
        </is>
      </c>
      <c r="F256" s="4" t="n"/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77.79885943931166</v>
      </c>
      <c r="O256" t="n">
        <v>69.29596417895797</v>
      </c>
      <c r="P256" t="n">
        <v>65.37905280291947</v>
      </c>
      <c r="Q256" t="n">
        <v>62.451102394301</v>
      </c>
      <c r="R256" t="n">
        <v>58.38415570517713</v>
      </c>
      <c r="S256" t="n">
        <v>55.34348514374488</v>
      </c>
      <c r="T256" t="n">
        <v>50.91564691551125</v>
      </c>
      <c r="U256" t="n">
        <v>47.37513863235993</v>
      </c>
      <c r="V256" t="n">
        <v>43.86742375654048</v>
      </c>
      <c r="W256" t="n">
        <v>40.60909846257633</v>
      </c>
      <c r="X256" t="n">
        <v>37.65311775634596</v>
      </c>
      <c r="Y256" t="n">
        <v>34.64553185568568</v>
      </c>
      <c r="Z256" t="n">
        <v>31.72369299947023</v>
      </c>
      <c r="AA256" t="n">
        <v>28.75428224931709</v>
      </c>
      <c r="AB256" t="n">
        <v>25.72440809166052</v>
      </c>
      <c r="AC256" t="n">
        <v>20.69553589550231</v>
      </c>
      <c r="AD256" t="n">
        <v>17.52578694626168</v>
      </c>
      <c r="AE256" t="n">
        <v>14.4018950483796</v>
      </c>
      <c r="AF256" t="n">
        <v>6.877154138212651</v>
      </c>
      <c r="AG256" t="n">
        <v>3.899306940957433</v>
      </c>
      <c r="AH256" t="n">
        <v>1.997205993972145</v>
      </c>
      <c r="AI256" t="n">
        <v>9.372590183533008e-12</v>
      </c>
      <c r="BI256" t="inlineStr">
        <is>
          <t>PV_OLD_COM</t>
        </is>
      </c>
    </row>
    <row r="257">
      <c r="A257" t="inlineStr">
        <is>
          <t>no_year_in_pairs</t>
        </is>
      </c>
      <c r="B257" s="2" t="n"/>
      <c r="C257" s="3" t="inlineStr">
        <is>
          <t>EBS.20.72, Sup. 1</t>
        </is>
      </c>
      <c r="D257" s="4" t="inlineStr">
        <is>
          <t>Dominica</t>
        </is>
      </c>
      <c r="E257" s="4" t="inlineStr">
        <is>
          <t>DMA</t>
        </is>
      </c>
      <c r="F257" s="4" t="n"/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no_year_in_pairs</t>
        </is>
      </c>
      <c r="B258" s="2" t="n"/>
      <c r="C258" s="3" t="inlineStr">
        <is>
          <t>EBS.20.72, Sup. 1</t>
        </is>
      </c>
      <c r="D258" s="4" t="inlineStr">
        <is>
          <t>Dominica</t>
        </is>
      </c>
      <c r="E258" s="4" t="inlineStr">
        <is>
          <t>DMA</t>
        </is>
      </c>
      <c r="F258" s="4" t="n"/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77.79885943931166</v>
      </c>
      <c r="O258" t="n">
        <v>69.29596417895797</v>
      </c>
      <c r="P258" t="n">
        <v>65.37905280291947</v>
      </c>
      <c r="Q258" t="n">
        <v>62.451102394301</v>
      </c>
      <c r="R258" t="n">
        <v>58.38415570517713</v>
      </c>
      <c r="S258" t="n">
        <v>55.34348514374488</v>
      </c>
      <c r="T258" t="n">
        <v>50.91564691551125</v>
      </c>
      <c r="U258" t="n">
        <v>47.37513863235993</v>
      </c>
      <c r="V258" t="n">
        <v>43.86742375654048</v>
      </c>
      <c r="W258" t="n">
        <v>40.60909846257633</v>
      </c>
      <c r="X258" t="n">
        <v>37.65311775634596</v>
      </c>
      <c r="Y258" t="n">
        <v>34.64553185568568</v>
      </c>
      <c r="Z258" t="n">
        <v>31.72369299947023</v>
      </c>
      <c r="AA258" t="n">
        <v>28.75428224931709</v>
      </c>
      <c r="AB258" t="n">
        <v>25.72440809166052</v>
      </c>
      <c r="AC258" t="n">
        <v>20.69553589550231</v>
      </c>
      <c r="AD258" t="n">
        <v>17.52578694626168</v>
      </c>
      <c r="AE258" t="n">
        <v>14.4018950483796</v>
      </c>
      <c r="AF258" t="n">
        <v>6.877154138212651</v>
      </c>
      <c r="AG258" t="n">
        <v>3.899306940957433</v>
      </c>
      <c r="AH258" t="n">
        <v>1.997205993972145</v>
      </c>
      <c r="AI258" t="n">
        <v>9.372590183533008e-12</v>
      </c>
    </row>
    <row r="259">
      <c r="A259" t="inlineStr">
        <is>
          <t>no_year_in_pairs</t>
        </is>
      </c>
      <c r="B259" s="2" t="n"/>
      <c r="C259" s="3" t="inlineStr">
        <is>
          <t>EBS.20.72, Sup. 1</t>
        </is>
      </c>
      <c r="D259" s="4" t="inlineStr">
        <is>
          <t>Dominica</t>
        </is>
      </c>
      <c r="E259" s="4" t="inlineStr">
        <is>
          <t>DMA</t>
        </is>
      </c>
      <c r="F259" s="4" t="n"/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no_year_in_pairs</t>
        </is>
      </c>
      <c r="B260" s="2" t="n"/>
      <c r="C260" s="3" t="inlineStr">
        <is>
          <t>EBS.20.72, Sup. 1</t>
        </is>
      </c>
      <c r="D260" s="4" t="inlineStr">
        <is>
          <t>Dominica</t>
        </is>
      </c>
      <c r="E260" s="4" t="inlineStr">
        <is>
          <t>DMA</t>
        </is>
      </c>
      <c r="F260" s="4" t="n"/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no_year_in_pairs</t>
        </is>
      </c>
      <c r="B261" s="2" t="n"/>
      <c r="C261" s="3" t="inlineStr">
        <is>
          <t>EBS.20.72, Sup. 1</t>
        </is>
      </c>
      <c r="D261" s="4" t="inlineStr">
        <is>
          <t>Dominica</t>
        </is>
      </c>
      <c r="E261" s="4" t="inlineStr">
        <is>
          <t>DMA</t>
        </is>
      </c>
      <c r="F261" s="4" t="n"/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no_year_in_pairs</t>
        </is>
      </c>
      <c r="B262" s="2" t="n"/>
      <c r="C262" s="3" t="inlineStr">
        <is>
          <t>EBS.20.72, Sup. 1</t>
        </is>
      </c>
      <c r="D262" s="4" t="inlineStr">
        <is>
          <t>Dominica</t>
        </is>
      </c>
      <c r="E262" s="4" t="inlineStr">
        <is>
          <t>DMA</t>
        </is>
      </c>
      <c r="F262" s="4" t="n"/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no_year_in_pairs</t>
        </is>
      </c>
      <c r="B263" s="2" t="n"/>
      <c r="C263" s="3" t="inlineStr">
        <is>
          <t>EBS.20.72, Sup. 1</t>
        </is>
      </c>
      <c r="D263" s="4" t="inlineStr">
        <is>
          <t>Dominica</t>
        </is>
      </c>
      <c r="E263" s="4" t="inlineStr">
        <is>
          <t>DMA</t>
        </is>
      </c>
      <c r="F263" s="4" t="n"/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no_year_in_pairs</t>
        </is>
      </c>
      <c r="B264" s="2" t="n"/>
      <c r="C264" s="3" t="inlineStr">
        <is>
          <t>EBS.20.72, Sup. 1</t>
        </is>
      </c>
      <c r="D264" s="4" t="inlineStr">
        <is>
          <t>Dominica</t>
        </is>
      </c>
      <c r="E264" s="4" t="inlineStr">
        <is>
          <t>DMA</t>
        </is>
      </c>
      <c r="F264" s="4" t="n"/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no_year_in_pairs</t>
        </is>
      </c>
      <c r="B265" s="2" t="n"/>
      <c r="C265" s="3" t="inlineStr">
        <is>
          <t>EBS.20.72, Sup. 1</t>
        </is>
      </c>
      <c r="D265" s="4" t="inlineStr">
        <is>
          <t>Dominica</t>
        </is>
      </c>
      <c r="E265" s="4" t="inlineStr">
        <is>
          <t>DMA</t>
        </is>
      </c>
      <c r="F265" s="4" t="n"/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no_year_in_pairs</t>
        </is>
      </c>
      <c r="B266" s="2" t="n"/>
      <c r="C266" s="3" t="inlineStr">
        <is>
          <t>EBS.20.72, Sup. 1</t>
        </is>
      </c>
      <c r="D266" s="4" t="inlineStr">
        <is>
          <t>Dominica</t>
        </is>
      </c>
      <c r="E266" s="4" t="inlineStr">
        <is>
          <t>DMA</t>
        </is>
      </c>
      <c r="F266" s="4" t="n"/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no_year_in_pairs</t>
        </is>
      </c>
      <c r="B267" s="2" t="n"/>
      <c r="C267" s="3" t="inlineStr">
        <is>
          <t>EBS.20.72, Sup. 1</t>
        </is>
      </c>
      <c r="D267" s="4" t="inlineStr">
        <is>
          <t>Dominica</t>
        </is>
      </c>
      <c r="E267" s="4" t="inlineStr">
        <is>
          <t>DMA</t>
        </is>
      </c>
      <c r="F267" s="4" t="n"/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65.10394968873113</v>
      </c>
      <c r="P267" t="n">
        <v>93.61882080121457</v>
      </c>
      <c r="Q267" t="n">
        <v>120.9429975811373</v>
      </c>
      <c r="R267" t="n">
        <v>149.7905943082844</v>
      </c>
      <c r="S267" t="n">
        <v>173.4019570011291</v>
      </c>
      <c r="T267" t="n">
        <v>192.0480380847847</v>
      </c>
      <c r="U267" t="n">
        <v>207.1591659556717</v>
      </c>
      <c r="V267" t="n">
        <v>220.8061725928265</v>
      </c>
      <c r="W267" t="n">
        <v>233.5667298646409</v>
      </c>
      <c r="X267" t="n">
        <v>242.501285065357</v>
      </c>
      <c r="Y267" t="n">
        <v>251.6500630531321</v>
      </c>
      <c r="Z267" t="n">
        <v>263.3306230529237</v>
      </c>
      <c r="AA267" t="n">
        <v>274.9520278266904</v>
      </c>
      <c r="AB267" t="n">
        <v>284.0952488443363</v>
      </c>
      <c r="AC267" t="n">
        <v>272.5572853616276</v>
      </c>
      <c r="AD267" t="n">
        <v>277.514726458434</v>
      </c>
      <c r="AE267" t="n">
        <v>281.7067413020011</v>
      </c>
      <c r="AF267" t="n">
        <v>284.4004883772461</v>
      </c>
      <c r="AG267" t="n">
        <v>285.8780229448723</v>
      </c>
      <c r="AH267" t="n">
        <v>285.2173091234378</v>
      </c>
      <c r="AI267" t="n">
        <v>285.4868929155732</v>
      </c>
      <c r="BI267" t="inlineStr">
        <is>
          <t>PV_NEW_MLT</t>
        </is>
      </c>
    </row>
    <row r="268">
      <c r="A268" t="inlineStr">
        <is>
          <t>no_year_in_pairs</t>
        </is>
      </c>
      <c r="B268" s="2" t="n"/>
      <c r="C268" s="3" t="inlineStr">
        <is>
          <t>EBS.20.72, Sup. 1</t>
        </is>
      </c>
      <c r="D268" s="4" t="inlineStr">
        <is>
          <t>Dominica</t>
        </is>
      </c>
      <c r="E268" s="4" t="inlineStr">
        <is>
          <t>DMA</t>
        </is>
      </c>
      <c r="F268" s="4" t="n"/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54.44781984261746</v>
      </c>
      <c r="P268" t="n">
        <v>82.68092574740409</v>
      </c>
      <c r="Q268" t="n">
        <v>107.4099036108568</v>
      </c>
      <c r="R268" t="n">
        <v>132.6138866248355</v>
      </c>
      <c r="S268" t="n">
        <v>153.1605605476525</v>
      </c>
      <c r="T268" t="n">
        <v>168.9574474226008</v>
      </c>
      <c r="U268" t="n">
        <v>182.425510083268</v>
      </c>
      <c r="V268" t="n">
        <v>195.1177516958232</v>
      </c>
      <c r="W268" t="n">
        <v>206.7152617446371</v>
      </c>
      <c r="X268" t="n">
        <v>214.6900072274857</v>
      </c>
      <c r="Y268" t="n">
        <v>220.1971733309646</v>
      </c>
      <c r="Z268" t="n">
        <v>224.6614649833174</v>
      </c>
      <c r="AA268" t="n">
        <v>225.9212305702218</v>
      </c>
      <c r="AB268" t="n">
        <v>225.9143840650482</v>
      </c>
      <c r="AC268" t="n">
        <v>205.8610853365279</v>
      </c>
      <c r="AD268" t="n">
        <v>204.6080684809182</v>
      </c>
      <c r="AE268" t="n">
        <v>202.4954339588411</v>
      </c>
      <c r="AF268" t="n">
        <v>200.4689122542722</v>
      </c>
      <c r="AG268" t="n">
        <v>199.1277132001895</v>
      </c>
      <c r="AH268" t="n">
        <v>197.4515900328765</v>
      </c>
      <c r="AI268" t="n">
        <v>197.6660933769489</v>
      </c>
      <c r="BI268" t="inlineStr">
        <is>
          <t>PV_NEW_ML</t>
        </is>
      </c>
    </row>
    <row r="269">
      <c r="A269" t="inlineStr">
        <is>
          <t>no_year_in_pairs</t>
        </is>
      </c>
      <c r="B269" s="2" t="n"/>
      <c r="C269" s="3" t="inlineStr">
        <is>
          <t>EBS.20.72, Sup. 1</t>
        </is>
      </c>
      <c r="D269" s="4" t="inlineStr">
        <is>
          <t>Dominica</t>
        </is>
      </c>
      <c r="E269" s="4" t="inlineStr">
        <is>
          <t>DMA</t>
        </is>
      </c>
      <c r="F269" s="4" t="n"/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3.81252455338248</v>
      </c>
      <c r="P269" t="n">
        <v>3.9894273649886</v>
      </c>
      <c r="Q269" t="n">
        <v>4.175175317175027</v>
      </c>
      <c r="R269" t="n">
        <v>4.370210666970776</v>
      </c>
      <c r="S269" t="n">
        <v>4.574997784256311</v>
      </c>
      <c r="T269" t="n">
        <v>4.790024257406124</v>
      </c>
      <c r="U269" t="n">
        <v>3.917928769173175</v>
      </c>
      <c r="V269" t="n">
        <v>3.004973189741179</v>
      </c>
      <c r="W269" t="n">
        <v>2.049114514550185</v>
      </c>
      <c r="X269" t="n">
        <v>1.04820758881224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no_year_in_pairs</t>
        </is>
      </c>
      <c r="B270" s="2" t="n"/>
      <c r="C270" s="3" t="inlineStr">
        <is>
          <t>EBS.20.72, Sup. 1</t>
        </is>
      </c>
      <c r="D270" s="4" t="inlineStr">
        <is>
          <t>Dominica</t>
        </is>
      </c>
      <c r="E270" s="4" t="inlineStr">
        <is>
          <t>DMA</t>
        </is>
      </c>
      <c r="F270" s="4" t="n"/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12.09873785891116</v>
      </c>
      <c r="P270" t="n">
        <v>22.22822141226894</v>
      </c>
      <c r="Q270" t="n">
        <v>30.72526981121217</v>
      </c>
      <c r="R270" t="n">
        <v>38.71660689726959</v>
      </c>
      <c r="S270" t="n">
        <v>45.80166523838041</v>
      </c>
      <c r="T270" t="n">
        <v>52.12870857478824</v>
      </c>
      <c r="U270" t="n">
        <v>57.84552696391906</v>
      </c>
      <c r="V270" t="n">
        <v>63.91337159160157</v>
      </c>
      <c r="W270" t="n">
        <v>69.70488792560661</v>
      </c>
      <c r="X270" t="n">
        <v>74.70686424721244</v>
      </c>
      <c r="Y270" t="n">
        <v>79.17696012178196</v>
      </c>
      <c r="Z270" t="n">
        <v>82.27236850776099</v>
      </c>
      <c r="AA270" t="n">
        <v>84.28701474044608</v>
      </c>
      <c r="AB270" t="n">
        <v>85.45131310261672</v>
      </c>
      <c r="AC270" t="n">
        <v>85.87656313091195</v>
      </c>
      <c r="AD270" t="n">
        <v>85.68984753167182</v>
      </c>
      <c r="AE270" t="n">
        <v>84.99285225561131</v>
      </c>
      <c r="AF270" t="n">
        <v>83.86561091028516</v>
      </c>
      <c r="AG270" t="n">
        <v>82.15513123140639</v>
      </c>
      <c r="AH270" t="n">
        <v>80.04134642604885</v>
      </c>
      <c r="AI270" t="n">
        <v>77.60449148955041</v>
      </c>
    </row>
    <row r="271">
      <c r="A271" t="inlineStr">
        <is>
          <t>no_year_in_pairs</t>
        </is>
      </c>
      <c r="B271" s="2" t="n"/>
      <c r="C271" s="3" t="inlineStr">
        <is>
          <t>EBS.20.72, Sup. 1</t>
        </is>
      </c>
      <c r="D271" s="4" t="inlineStr">
        <is>
          <t>Dominica</t>
        </is>
      </c>
      <c r="E271" s="4" t="inlineStr">
        <is>
          <t>DMA</t>
        </is>
      </c>
      <c r="F271" s="4" t="n"/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no_year_in_pairs</t>
        </is>
      </c>
      <c r="B272" s="2" t="n"/>
      <c r="C272" s="3" t="inlineStr">
        <is>
          <t>EBS.20.72, Sup. 1</t>
        </is>
      </c>
      <c r="D272" s="4" t="inlineStr">
        <is>
          <t>Dominica</t>
        </is>
      </c>
      <c r="E272" s="4" t="inlineStr">
        <is>
          <t>DMA</t>
        </is>
      </c>
      <c r="F272" s="4" t="n"/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CDB</t>
        </is>
      </c>
      <c r="M272" t="n">
        <v>109</v>
      </c>
      <c r="O272" t="n">
        <v>17.71736147449672</v>
      </c>
      <c r="P272" t="n">
        <v>27.16191028546991</v>
      </c>
      <c r="Q272" t="n">
        <v>35.15695038954209</v>
      </c>
      <c r="R272" t="n">
        <v>43.43174249881788</v>
      </c>
      <c r="S272" t="n">
        <v>50.81911678192435</v>
      </c>
      <c r="T272" t="n">
        <v>57.29470234755303</v>
      </c>
      <c r="U272" t="n">
        <v>62.68147014614359</v>
      </c>
      <c r="V272" t="n">
        <v>67.69305384325204</v>
      </c>
      <c r="W272" t="n">
        <v>72.47062006619515</v>
      </c>
      <c r="X272" t="n">
        <v>74.84015084508393</v>
      </c>
      <c r="Y272" t="n">
        <v>75.57353440610063</v>
      </c>
      <c r="Z272" t="n">
        <v>75.1839760309839</v>
      </c>
      <c r="AA272" t="n">
        <v>73.90718020492915</v>
      </c>
      <c r="AB272" t="n">
        <v>71.87554324226569</v>
      </c>
      <c r="AC272" t="n">
        <v>69.15784203262638</v>
      </c>
      <c r="AD272" t="n">
        <v>65.96530573879105</v>
      </c>
      <c r="AE272" t="n">
        <v>62.42670552905471</v>
      </c>
      <c r="AF272" t="n">
        <v>58.61933506849205</v>
      </c>
      <c r="AG272" t="n">
        <v>54.58857537524899</v>
      </c>
      <c r="AH272" t="n">
        <v>50.35988000702081</v>
      </c>
      <c r="AI272" t="n">
        <v>45.9461016659773</v>
      </c>
    </row>
    <row r="273">
      <c r="A273" t="inlineStr">
        <is>
          <t>no_year_in_pairs</t>
        </is>
      </c>
      <c r="B273" s="2" t="n"/>
      <c r="C273" s="3" t="inlineStr">
        <is>
          <t>EBS.20.72, Sup. 1</t>
        </is>
      </c>
      <c r="D273" s="4" t="inlineStr">
        <is>
          <t>Dominica</t>
        </is>
      </c>
      <c r="E273" s="4" t="inlineStr">
        <is>
          <t>DMA</t>
        </is>
      </c>
      <c r="F273" s="4" t="n"/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MULTIRES</t>
        </is>
      </c>
      <c r="M273" t="n">
        <v>135</v>
      </c>
      <c r="O273" t="n">
        <v>20.8191959558271</v>
      </c>
      <c r="P273" t="n">
        <v>29.30136668467664</v>
      </c>
      <c r="Q273" t="n">
        <v>37.35250809292747</v>
      </c>
      <c r="R273" t="n">
        <v>46.09532656177722</v>
      </c>
      <c r="S273" t="n">
        <v>51.96478074309141</v>
      </c>
      <c r="T273" t="n">
        <v>54.74401224285334</v>
      </c>
      <c r="U273" t="n">
        <v>57.98058420403213</v>
      </c>
      <c r="V273" t="n">
        <v>60.50635307122845</v>
      </c>
      <c r="W273" t="n">
        <v>62.49063923828513</v>
      </c>
      <c r="X273" t="n">
        <v>64.0947845463771</v>
      </c>
      <c r="Y273" t="n">
        <v>65.44667880308195</v>
      </c>
      <c r="Z273" t="n">
        <v>67.20512044457253</v>
      </c>
      <c r="AA273" t="n">
        <v>67.72703562484664</v>
      </c>
      <c r="AB273" t="n">
        <v>68.58752772016578</v>
      </c>
      <c r="AC273" t="n">
        <v>50.82668017298959</v>
      </c>
      <c r="AD273" t="n">
        <v>52.95291521045537</v>
      </c>
      <c r="AE273" t="n">
        <v>55.07587617417503</v>
      </c>
      <c r="AF273" t="n">
        <v>57.98396627549501</v>
      </c>
      <c r="AG273" t="n">
        <v>62.38400659353417</v>
      </c>
      <c r="AH273" t="n">
        <v>67.0503635998068</v>
      </c>
      <c r="AI273" t="n">
        <v>74.11550022142114</v>
      </c>
    </row>
    <row r="274">
      <c r="A274" t="inlineStr">
        <is>
          <t>no_year_in_pairs</t>
        </is>
      </c>
      <c r="B274" s="2" t="n"/>
      <c r="C274" s="3" t="inlineStr">
        <is>
          <t>EBS.20.72, Sup. 1</t>
        </is>
      </c>
      <c r="D274" s="4" t="inlineStr">
        <is>
          <t>Dominica</t>
        </is>
      </c>
      <c r="E274" s="4" t="inlineStr">
        <is>
          <t>DMA</t>
        </is>
      </c>
      <c r="F274" s="4" t="n"/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no_year_in_pairs</t>
        </is>
      </c>
      <c r="B275" s="2" t="n"/>
      <c r="C275" s="3" t="inlineStr">
        <is>
          <t>EBS.20.72, Sup. 1</t>
        </is>
      </c>
      <c r="D275" s="4" t="inlineStr">
        <is>
          <t>Dominica</t>
        </is>
      </c>
      <c r="E275" s="4" t="inlineStr">
        <is>
          <t>DMA</t>
        </is>
      </c>
      <c r="F275" s="4" t="n"/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no_year_in_pairs</t>
        </is>
      </c>
      <c r="B276" s="2" t="n"/>
      <c r="C276" s="3" t="inlineStr">
        <is>
          <t>EBS.20.72, Sup. 1</t>
        </is>
      </c>
      <c r="D276" s="4" t="inlineStr">
        <is>
          <t>Dominica</t>
        </is>
      </c>
      <c r="E276" s="4" t="inlineStr">
        <is>
          <t>DMA</t>
        </is>
      </c>
      <c r="F276" s="4" t="n"/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no_year_in_pairs</t>
        </is>
      </c>
      <c r="B277" s="2" t="n"/>
      <c r="C277" s="3" t="inlineStr">
        <is>
          <t>EBS.20.72, Sup. 1</t>
        </is>
      </c>
      <c r="D277" s="4" t="inlineStr">
        <is>
          <t>Dominica</t>
        </is>
      </c>
      <c r="E277" s="4" t="inlineStr">
        <is>
          <t>DMA</t>
        </is>
      </c>
      <c r="F277" s="4" t="n"/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no_year_in_pairs</t>
        </is>
      </c>
      <c r="B278" s="2" t="n"/>
      <c r="C278" s="3" t="inlineStr">
        <is>
          <t>EBS.20.72, Sup. 1</t>
        </is>
      </c>
      <c r="D278" s="4" t="inlineStr">
        <is>
          <t>Dominica</t>
        </is>
      </c>
      <c r="E278" s="4" t="inlineStr">
        <is>
          <t>DMA</t>
        </is>
      </c>
      <c r="F278" s="4" t="n"/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no_year_in_pairs</t>
        </is>
      </c>
      <c r="B279" s="2" t="n"/>
      <c r="C279" s="3" t="inlineStr">
        <is>
          <t>EBS.20.72, Sup. 1</t>
        </is>
      </c>
      <c r="D279" s="4" t="inlineStr">
        <is>
          <t>Dominica</t>
        </is>
      </c>
      <c r="E279" s="4" t="inlineStr">
        <is>
          <t>DMA</t>
        </is>
      </c>
      <c r="F279" s="4" t="n"/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10.65612984611368</v>
      </c>
      <c r="P279" t="n">
        <v>10.93789505381048</v>
      </c>
      <c r="Q279" t="n">
        <v>13.5330939702805</v>
      </c>
      <c r="R279" t="n">
        <v>17.17670768344891</v>
      </c>
      <c r="S279" t="n">
        <v>20.24139645347665</v>
      </c>
      <c r="T279" t="n">
        <v>23.09059066218394</v>
      </c>
      <c r="U279" t="n">
        <v>24.73365587240372</v>
      </c>
      <c r="V279" t="n">
        <v>25.68842089700322</v>
      </c>
      <c r="W279" t="n">
        <v>26.85146812000384</v>
      </c>
      <c r="X279" t="n">
        <v>27.81127783787132</v>
      </c>
      <c r="Y279" t="n">
        <v>31.45288972216753</v>
      </c>
      <c r="Z279" t="n">
        <v>38.66915806960635</v>
      </c>
      <c r="AA279" t="n">
        <v>49.0307972564686</v>
      </c>
      <c r="AB279" t="n">
        <v>58.18086477928809</v>
      </c>
      <c r="AC279" t="n">
        <v>66.69620002509966</v>
      </c>
      <c r="AD279" t="n">
        <v>72.90665797751579</v>
      </c>
      <c r="AE279" t="n">
        <v>79.21130734316</v>
      </c>
      <c r="AF279" t="n">
        <v>83.93157612297389</v>
      </c>
      <c r="AG279" t="n">
        <v>86.75030974468277</v>
      </c>
      <c r="AH279" t="n">
        <v>87.76571909056128</v>
      </c>
      <c r="AI279" t="n">
        <v>87.82079953862434</v>
      </c>
      <c r="BI279" t="inlineStr">
        <is>
          <t>PV_NEW_OB</t>
        </is>
      </c>
    </row>
    <row r="280">
      <c r="A280" t="inlineStr">
        <is>
          <t>no_year_in_pairs</t>
        </is>
      </c>
      <c r="B280" s="2" t="n"/>
      <c r="C280" s="3" t="inlineStr">
        <is>
          <t>EBS.20.72, Sup. 1</t>
        </is>
      </c>
      <c r="D280" s="4" t="inlineStr">
        <is>
          <t>Dominica</t>
        </is>
      </c>
      <c r="E280" s="4" t="inlineStr">
        <is>
          <t>DMA</t>
        </is>
      </c>
      <c r="F280" s="4" t="n"/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no_year_in_pairs</t>
        </is>
      </c>
      <c r="B281" s="2" t="n"/>
      <c r="C281" s="3" t="inlineStr">
        <is>
          <t>EBS.20.72, Sup. 1</t>
        </is>
      </c>
      <c r="D281" s="4" t="inlineStr">
        <is>
          <t>Dominica</t>
        </is>
      </c>
      <c r="E281" s="4" t="inlineStr">
        <is>
          <t>DMA</t>
        </is>
      </c>
      <c r="F281" s="4" t="n"/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no_year_in_pairs</t>
        </is>
      </c>
      <c r="B282" s="2" t="n"/>
      <c r="C282" s="3" t="inlineStr">
        <is>
          <t>EBS.20.72, Sup. 1</t>
        </is>
      </c>
      <c r="D282" s="4" t="inlineStr">
        <is>
          <t>Dominica</t>
        </is>
      </c>
      <c r="E282" s="4" t="inlineStr">
        <is>
          <t>DMA</t>
        </is>
      </c>
      <c r="F282" s="4" t="n"/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no_year_in_pairs</t>
        </is>
      </c>
      <c r="B283" s="2" t="n"/>
      <c r="C283" s="3" t="inlineStr">
        <is>
          <t>EBS.20.72, Sup. 1</t>
        </is>
      </c>
      <c r="D283" s="4" t="inlineStr">
        <is>
          <t>Dominica</t>
        </is>
      </c>
      <c r="E283" s="4" t="inlineStr">
        <is>
          <t>DMA</t>
        </is>
      </c>
      <c r="F283" s="4" t="n"/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no_year_in_pairs</t>
        </is>
      </c>
      <c r="B284" s="2" t="n"/>
      <c r="C284" s="3" t="inlineStr">
        <is>
          <t>EBS.20.72, Sup. 1</t>
        </is>
      </c>
      <c r="D284" s="4" t="inlineStr">
        <is>
          <t>Dominica</t>
        </is>
      </c>
      <c r="E284" s="4" t="inlineStr">
        <is>
          <t>DMA</t>
        </is>
      </c>
      <c r="F284" s="4" t="n"/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no_year_in_pairs</t>
        </is>
      </c>
      <c r="B285" s="2" t="n"/>
      <c r="C285" s="3" t="inlineStr">
        <is>
          <t>EBS.20.72, Sup. 1</t>
        </is>
      </c>
      <c r="D285" s="4" t="inlineStr">
        <is>
          <t>Dominica</t>
        </is>
      </c>
      <c r="E285" s="4" t="inlineStr">
        <is>
          <t>DMA</t>
        </is>
      </c>
      <c r="F285" s="4" t="n"/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no_year_in_pairs</t>
        </is>
      </c>
      <c r="B286" s="2" t="n"/>
      <c r="C286" s="3" t="inlineStr">
        <is>
          <t>EBS.20.72, Sup. 1</t>
        </is>
      </c>
      <c r="D286" s="4" t="inlineStr">
        <is>
          <t>Dominica</t>
        </is>
      </c>
      <c r="E286" s="4" t="inlineStr">
        <is>
          <t>DMA</t>
        </is>
      </c>
      <c r="F286" s="4" t="n"/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10.65612984611368</v>
      </c>
      <c r="P286" t="n">
        <v>10.93789505381048</v>
      </c>
      <c r="Q286" t="n">
        <v>13.5330939702805</v>
      </c>
      <c r="R286" t="n">
        <v>17.17670768344891</v>
      </c>
      <c r="S286" t="n">
        <v>20.24139645347665</v>
      </c>
      <c r="T286" t="n">
        <v>23.09059066218394</v>
      </c>
      <c r="U286" t="n">
        <v>24.73365587240372</v>
      </c>
      <c r="V286" t="n">
        <v>25.68842089700322</v>
      </c>
      <c r="W286" t="n">
        <v>26.85146812000384</v>
      </c>
      <c r="X286" t="n">
        <v>27.81127783787132</v>
      </c>
      <c r="Y286" t="n">
        <v>31.45288972216753</v>
      </c>
      <c r="Z286" t="n">
        <v>38.66915806960635</v>
      </c>
      <c r="AA286" t="n">
        <v>49.0307972564686</v>
      </c>
      <c r="AB286" t="n">
        <v>58.18086477928809</v>
      </c>
      <c r="AC286" t="n">
        <v>66.69620002509966</v>
      </c>
      <c r="AD286" t="n">
        <v>72.90665797751579</v>
      </c>
      <c r="AE286" t="n">
        <v>79.21130734316</v>
      </c>
      <c r="AF286" t="n">
        <v>83.93157612297389</v>
      </c>
      <c r="AG286" t="n">
        <v>86.75030974468277</v>
      </c>
      <c r="AH286" t="n">
        <v>87.76571909056128</v>
      </c>
      <c r="AI286" t="n">
        <v>87.82079953862434</v>
      </c>
    </row>
    <row r="287">
      <c r="A287" t="inlineStr">
        <is>
          <t>no_year_in_pairs</t>
        </is>
      </c>
      <c r="B287" s="2" t="n"/>
      <c r="C287" s="3" t="inlineStr">
        <is>
          <t>EBS.20.72, Sup. 1</t>
        </is>
      </c>
      <c r="D287" s="4" t="inlineStr">
        <is>
          <t>Dominica</t>
        </is>
      </c>
      <c r="E287" s="4" t="inlineStr">
        <is>
          <t>DMA</t>
        </is>
      </c>
      <c r="F287" s="4" t="n"/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NPC2</t>
        </is>
      </c>
      <c r="M287" t="n">
        <v>395</v>
      </c>
      <c r="O287" t="n">
        <v>10.65612984611368</v>
      </c>
      <c r="P287" t="n">
        <v>10.93789505381048</v>
      </c>
      <c r="Q287" t="n">
        <v>13.5330939702805</v>
      </c>
      <c r="R287" t="n">
        <v>17.17670768344891</v>
      </c>
      <c r="S287" t="n">
        <v>20.24139645347665</v>
      </c>
      <c r="T287" t="n">
        <v>23.09059066218394</v>
      </c>
      <c r="U287" t="n">
        <v>24.73365587240372</v>
      </c>
      <c r="V287" t="n">
        <v>25.68842089700322</v>
      </c>
      <c r="W287" t="n">
        <v>26.85146812000384</v>
      </c>
      <c r="X287" t="n">
        <v>27.81127783787132</v>
      </c>
      <c r="Y287" t="n">
        <v>31.45288972216753</v>
      </c>
      <c r="Z287" t="n">
        <v>38.66915806960635</v>
      </c>
      <c r="AA287" t="n">
        <v>49.0307972564686</v>
      </c>
      <c r="AB287" t="n">
        <v>58.18086477928809</v>
      </c>
      <c r="AC287" t="n">
        <v>66.69620002509966</v>
      </c>
      <c r="AD287" t="n">
        <v>72.90665797751579</v>
      </c>
      <c r="AE287" t="n">
        <v>79.21130734316</v>
      </c>
      <c r="AF287" t="n">
        <v>83.93157612297389</v>
      </c>
      <c r="AG287" t="n">
        <v>86.75030974468277</v>
      </c>
      <c r="AH287" t="n">
        <v>87.76571909056128</v>
      </c>
      <c r="AI287" t="n">
        <v>87.82079953862434</v>
      </c>
    </row>
    <row r="288">
      <c r="A288" t="inlineStr">
        <is>
          <t>no_year_in_pairs</t>
        </is>
      </c>
      <c r="B288" s="2" t="n"/>
      <c r="C288" s="3" t="inlineStr">
        <is>
          <t>EBS.20.72, Sup. 1</t>
        </is>
      </c>
      <c r="D288" s="4" t="inlineStr">
        <is>
          <t>Dominica</t>
        </is>
      </c>
      <c r="E288" s="4" t="inlineStr">
        <is>
          <t>DMA</t>
        </is>
      </c>
      <c r="F288" s="4" t="n"/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no_year_in_pairs</t>
        </is>
      </c>
      <c r="B289" s="2" t="n"/>
      <c r="C289" s="3" t="inlineStr">
        <is>
          <t>EBS.20.72, Sup. 1</t>
        </is>
      </c>
      <c r="D289" s="4" t="inlineStr">
        <is>
          <t>Dominica</t>
        </is>
      </c>
      <c r="E289" s="4" t="inlineStr">
        <is>
          <t>DMA</t>
        </is>
      </c>
      <c r="F289" s="4" t="n"/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no_year_in_pairs</t>
        </is>
      </c>
      <c r="B290" s="2" t="n"/>
      <c r="C290" s="3" t="inlineStr">
        <is>
          <t>EBS.20.72, Sup. 1</t>
        </is>
      </c>
      <c r="D290" s="4" t="inlineStr">
        <is>
          <t>Dominica</t>
        </is>
      </c>
      <c r="E290" s="4" t="inlineStr">
        <is>
          <t>DMA</t>
        </is>
      </c>
      <c r="F290" s="4" t="n"/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no_year_in_pairs</t>
        </is>
      </c>
      <c r="B291" s="2" t="n"/>
      <c r="C291" s="3" t="inlineStr">
        <is>
          <t>EBS.20.72, Sup. 1</t>
        </is>
      </c>
      <c r="D291" s="4" t="inlineStr">
        <is>
          <t>Dominica</t>
        </is>
      </c>
      <c r="E291" s="4" t="inlineStr">
        <is>
          <t>DMA</t>
        </is>
      </c>
      <c r="F291" s="4" t="n"/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no_year_in_pairs</t>
        </is>
      </c>
      <c r="B292" s="2" t="n"/>
      <c r="C292" s="3" t="inlineStr">
        <is>
          <t>EBS.20.72, Sup. 1</t>
        </is>
      </c>
      <c r="D292" s="4" t="inlineStr">
        <is>
          <t>Dominica</t>
        </is>
      </c>
      <c r="E292" s="4" t="inlineStr">
        <is>
          <t>DMA</t>
        </is>
      </c>
      <c r="F292" s="4" t="n"/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no_year_in_pairs</t>
        </is>
      </c>
      <c r="B293" s="2" t="n"/>
      <c r="C293" s="3" t="inlineStr">
        <is>
          <t>EBS.20.72, Sup. 1</t>
        </is>
      </c>
      <c r="D293" s="4" t="inlineStr">
        <is>
          <t>Dominica</t>
        </is>
      </c>
      <c r="E293" s="4" t="inlineStr">
        <is>
          <t>DMA</t>
        </is>
      </c>
      <c r="F293" s="4" t="n"/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no_year_in_pairs</t>
        </is>
      </c>
      <c r="B294" s="2" t="n"/>
      <c r="C294" s="3" t="inlineStr">
        <is>
          <t>EBS.20.72, Sup. 1</t>
        </is>
      </c>
      <c r="D294" s="4" t="inlineStr">
        <is>
          <t>Dominica</t>
        </is>
      </c>
      <c r="E294" s="4" t="inlineStr">
        <is>
          <t>DMA</t>
        </is>
      </c>
      <c r="F294" s="4" t="n"/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no_year_in_pairs</t>
        </is>
      </c>
      <c r="B295" s="2" t="n"/>
      <c r="C295" s="3" t="inlineStr">
        <is>
          <t>EBS.20.72, Sup. 1</t>
        </is>
      </c>
      <c r="D295" s="4" t="inlineStr">
        <is>
          <t>Dominica</t>
        </is>
      </c>
      <c r="E295" s="4" t="inlineStr">
        <is>
          <t>DMA</t>
        </is>
      </c>
      <c r="F295" s="4" t="n"/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no_year_in_pairs</t>
        </is>
      </c>
      <c r="B296" s="2" t="n"/>
      <c r="C296" s="3" t="inlineStr">
        <is>
          <t>EBS.20.72, Sup. 1</t>
        </is>
      </c>
      <c r="D296" s="4" t="inlineStr">
        <is>
          <t>Dominica</t>
        </is>
      </c>
      <c r="E296" s="4" t="inlineStr">
        <is>
          <t>DMA</t>
        </is>
      </c>
      <c r="F296" s="4" t="n"/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no_year_in_pairs</t>
        </is>
      </c>
      <c r="B297" s="2" t="n"/>
      <c r="C297" s="3" t="inlineStr">
        <is>
          <t>EBS.20.72, Sup. 1</t>
        </is>
      </c>
      <c r="D297" s="4" t="inlineStr">
        <is>
          <t>Dominica</t>
        </is>
      </c>
      <c r="E297" s="4" t="inlineStr">
        <is>
          <t>DMA</t>
        </is>
      </c>
      <c r="F297" s="4" t="n"/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no_year_in_pairs</t>
        </is>
      </c>
      <c r="B298" s="2" t="n"/>
      <c r="C298" s="3" t="inlineStr">
        <is>
          <t>EBS.20.72, Sup. 1</t>
        </is>
      </c>
      <c r="D298" s="4" t="inlineStr">
        <is>
          <t>Dominica</t>
        </is>
      </c>
      <c r="E298" s="4" t="inlineStr">
        <is>
          <t>DMA</t>
        </is>
      </c>
      <c r="F298" s="4" t="n"/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no_year_in_pairs</t>
        </is>
      </c>
      <c r="B299" s="2" t="n"/>
      <c r="C299" s="3" t="inlineStr">
        <is>
          <t>EBS.20.72, Sup. 1</t>
        </is>
      </c>
      <c r="D299" s="4" t="inlineStr">
        <is>
          <t>Dominica</t>
        </is>
      </c>
      <c r="E299" s="4" t="inlineStr">
        <is>
          <t>DMA</t>
        </is>
      </c>
      <c r="F299" s="4" t="n"/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no_year_in_pairs</t>
        </is>
      </c>
      <c r="B300" s="2" t="n"/>
      <c r="C300" s="3" t="inlineStr">
        <is>
          <t>EBS.20.72, Sup. 1</t>
        </is>
      </c>
      <c r="D300" s="4" t="inlineStr">
        <is>
          <t>Dominica</t>
        </is>
      </c>
      <c r="E300" s="4" t="inlineStr">
        <is>
          <t>DMA</t>
        </is>
      </c>
      <c r="F300" s="4" t="n"/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no_year_in_pairs</t>
        </is>
      </c>
      <c r="B301" s="2" t="n"/>
      <c r="C301" s="3" t="inlineStr">
        <is>
          <t>EBS.20.72, Sup. 1</t>
        </is>
      </c>
      <c r="D301" s="4" t="inlineStr">
        <is>
          <t>Dominica</t>
        </is>
      </c>
      <c r="E301" s="4" t="inlineStr">
        <is>
          <t>DMA</t>
        </is>
      </c>
      <c r="F301" s="4" t="n"/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no_year_in_pairs</t>
        </is>
      </c>
      <c r="B302" s="2" t="n"/>
      <c r="C302" s="3" t="inlineStr">
        <is>
          <t>EBS.20.72, Sup. 1</t>
        </is>
      </c>
      <c r="D302" s="4" t="inlineStr">
        <is>
          <t>Dominica</t>
        </is>
      </c>
      <c r="E302" s="4" t="inlineStr">
        <is>
          <t>DMA</t>
        </is>
      </c>
      <c r="F302" s="4" t="n"/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no_year_in_pairs</t>
        </is>
      </c>
      <c r="B303" s="2" t="n"/>
      <c r="C303" s="3" t="inlineStr">
        <is>
          <t>EBS.20.72, Sup. 1</t>
        </is>
      </c>
      <c r="D303" s="4" t="inlineStr">
        <is>
          <t>Dominica</t>
        </is>
      </c>
      <c r="E303" s="4" t="inlineStr">
        <is>
          <t>DMA</t>
        </is>
      </c>
      <c r="F303" s="4" t="n"/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no_year_in_pairs</t>
        </is>
      </c>
      <c r="B304" s="2" t="n"/>
      <c r="C304" s="3" t="inlineStr">
        <is>
          <t>EBS.20.72, Sup. 1</t>
        </is>
      </c>
      <c r="D304" s="4" t="inlineStr">
        <is>
          <t>Dominica</t>
        </is>
      </c>
      <c r="E304" s="4" t="inlineStr">
        <is>
          <t>DMA</t>
        </is>
      </c>
      <c r="F304" s="4" t="n"/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no_year_in_pairs</t>
        </is>
      </c>
      <c r="B305" s="2" t="n"/>
      <c r="C305" s="3" t="inlineStr">
        <is>
          <t>EBS.20.72, Sup. 1</t>
        </is>
      </c>
      <c r="D305" s="4" t="inlineStr">
        <is>
          <t>Dominica</t>
        </is>
      </c>
      <c r="E305" s="4" t="inlineStr">
        <is>
          <t>DMA</t>
        </is>
      </c>
      <c r="F305" s="4" t="n"/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no_year_in_pairs</t>
        </is>
      </c>
      <c r="B306" s="2" t="n"/>
      <c r="C306" s="3" t="inlineStr">
        <is>
          <t>EBS.20.72, Sup. 1</t>
        </is>
      </c>
      <c r="D306" s="4" t="inlineStr">
        <is>
          <t>Dominica</t>
        </is>
      </c>
      <c r="E306" s="4" t="inlineStr">
        <is>
          <t>DMA</t>
        </is>
      </c>
      <c r="F306" s="4" t="n"/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no_year_in_pairs</t>
        </is>
      </c>
      <c r="B307" s="2" t="n"/>
      <c r="C307" s="3" t="inlineStr">
        <is>
          <t>EBS.20.72, Sup. 1</t>
        </is>
      </c>
      <c r="D307" s="4" t="inlineStr">
        <is>
          <t>Dominica</t>
        </is>
      </c>
      <c r="E307" s="4" t="inlineStr">
        <is>
          <t>DMA</t>
        </is>
      </c>
      <c r="F307" s="4" t="n"/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no_year_in_pairs</t>
        </is>
      </c>
      <c r="B308" s="2" t="n"/>
      <c r="C308" s="3" t="inlineStr">
        <is>
          <t>EBS.20.72, Sup. 1</t>
        </is>
      </c>
      <c r="D308" s="4" t="inlineStr">
        <is>
          <t>Dominica</t>
        </is>
      </c>
      <c r="E308" s="4" t="inlineStr">
        <is>
          <t>DMA</t>
        </is>
      </c>
      <c r="F308" s="4" t="n"/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no_year_in_pairs</t>
        </is>
      </c>
      <c r="B309" s="2" t="n"/>
      <c r="C309" s="3" t="inlineStr">
        <is>
          <t>EBS.20.72, Sup. 1</t>
        </is>
      </c>
      <c r="D309" s="4" t="inlineStr">
        <is>
          <t>Dominica</t>
        </is>
      </c>
      <c r="E309" s="4" t="inlineStr">
        <is>
          <t>DMA</t>
        </is>
      </c>
      <c r="F309" s="4" t="n"/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no_year_in_pairs</t>
        </is>
      </c>
      <c r="B310" s="2" t="n"/>
      <c r="C310" s="3" t="inlineStr">
        <is>
          <t>EBS.20.72, Sup. 1</t>
        </is>
      </c>
      <c r="D310" s="4" t="inlineStr">
        <is>
          <t>Dominica</t>
        </is>
      </c>
      <c r="E310" s="4" t="inlineStr">
        <is>
          <t>DMA</t>
        </is>
      </c>
      <c r="F310" s="4" t="n"/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no_year_in_pairs</t>
        </is>
      </c>
      <c r="B311" s="2" t="n"/>
      <c r="C311" s="3" t="inlineStr">
        <is>
          <t>EBS.20.72, Sup. 1</t>
        </is>
      </c>
      <c r="D311" s="4" t="inlineStr">
        <is>
          <t>Dominica</t>
        </is>
      </c>
      <c r="E311" s="4" t="inlineStr">
        <is>
          <t>DMA</t>
        </is>
      </c>
      <c r="F311" s="4" t="n"/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no_year_in_pairs</t>
        </is>
      </c>
      <c r="B312" s="2" t="n"/>
      <c r="C312" s="3" t="inlineStr">
        <is>
          <t>EBS.20.72, Sup. 1</t>
        </is>
      </c>
      <c r="D312" s="4" t="inlineStr">
        <is>
          <t>Dominica</t>
        </is>
      </c>
      <c r="E312" s="4" t="inlineStr">
        <is>
          <t>DMA</t>
        </is>
      </c>
      <c r="F312" s="4" t="n"/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no_year_in_pairs</t>
        </is>
      </c>
      <c r="B313" s="2" t="n"/>
      <c r="C313" s="3" t="inlineStr">
        <is>
          <t>EBS.20.72, Sup. 1</t>
        </is>
      </c>
      <c r="D313" s="4" t="inlineStr">
        <is>
          <t>Dominica</t>
        </is>
      </c>
      <c r="E313" s="4" t="inlineStr">
        <is>
          <t>DMA</t>
        </is>
      </c>
      <c r="F313" s="4" t="n"/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113.8301194821313</v>
      </c>
      <c r="P313" t="n">
        <v>167.2220786830333</v>
      </c>
      <c r="Q313" t="n">
        <v>214.0057069787355</v>
      </c>
      <c r="R313" t="n">
        <v>260.635377719366</v>
      </c>
      <c r="S313" t="n">
        <v>296.1679830136931</v>
      </c>
      <c r="T313" t="n">
        <v>321.2437426204624</v>
      </c>
      <c r="U313" t="n">
        <v>342.4098122208514</v>
      </c>
      <c r="V313" t="n">
        <v>361.7196638259331</v>
      </c>
      <c r="W313" t="n">
        <v>379.0345579139258</v>
      </c>
      <c r="X313" t="n">
        <v>389.2625890443161</v>
      </c>
      <c r="Y313" t="n">
        <v>397.813021428187</v>
      </c>
      <c r="Z313" t="n">
        <v>408.0815476241248</v>
      </c>
      <c r="AA313" t="n">
        <v>416.8045968634261</v>
      </c>
      <c r="AB313" t="n">
        <v>422.4396591426285</v>
      </c>
      <c r="AC313" t="n">
        <v>393.9736924682048</v>
      </c>
      <c r="AD313" t="n">
        <v>396.3069537767128</v>
      </c>
      <c r="AE313" t="n">
        <v>397.6641316029082</v>
      </c>
      <c r="AF313" t="n">
        <v>397.9697983596548</v>
      </c>
      <c r="AG313" t="n">
        <v>397.7339798953267</v>
      </c>
      <c r="AH313" t="n">
        <v>395.4298261259659</v>
      </c>
      <c r="AI313" t="n">
        <v>394.6950732106673</v>
      </c>
      <c r="BI313" t="inlineStr">
        <is>
          <t>NOM_NEW_MLT</t>
        </is>
      </c>
    </row>
    <row r="314">
      <c r="A314" t="inlineStr">
        <is>
          <t>no_year_in_pairs</t>
        </is>
      </c>
      <c r="B314" s="2" t="n"/>
      <c r="C314" s="3" t="inlineStr">
        <is>
          <t>EBS.20.72, Sup. 1</t>
        </is>
      </c>
      <c r="D314" s="4" t="inlineStr">
        <is>
          <t>Dominica</t>
        </is>
      </c>
      <c r="E314" s="4" t="inlineStr">
        <is>
          <t>DMA</t>
        </is>
      </c>
      <c r="F314" s="4" t="n"/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101.7415612609763</v>
      </c>
      <c r="P314" t="n">
        <v>154.9383336313453</v>
      </c>
      <c r="Q314" t="n">
        <v>198.9105950026384</v>
      </c>
      <c r="R314" t="n">
        <v>241.5751309055898</v>
      </c>
      <c r="S314" t="n">
        <v>273.8485821543197</v>
      </c>
      <c r="T314" t="n">
        <v>295.9540782842549</v>
      </c>
      <c r="U314" t="n">
        <v>315.3993226965253</v>
      </c>
      <c r="V314" t="n">
        <v>333.7914203979749</v>
      </c>
      <c r="W314" t="n">
        <v>349.9322053839862</v>
      </c>
      <c r="X314" t="n">
        <v>359.1827357930829</v>
      </c>
      <c r="Y314" t="n">
        <v>363.6851890650166</v>
      </c>
      <c r="Z314" t="n">
        <v>365.8564688639948</v>
      </c>
      <c r="AA314" t="n">
        <v>362.9625246605823</v>
      </c>
      <c r="AB314" t="n">
        <v>358.452652929228</v>
      </c>
      <c r="AC314" t="n">
        <v>320.6419328098635</v>
      </c>
      <c r="AD314" t="n">
        <v>316.3183531555887</v>
      </c>
      <c r="AE314" t="n">
        <v>311.0778742964852</v>
      </c>
      <c r="AF314" t="n">
        <v>306.5386734213688</v>
      </c>
      <c r="AG314" t="n">
        <v>303.5342058859601</v>
      </c>
      <c r="AH314" t="n">
        <v>300.4331997770781</v>
      </c>
      <c r="AI314" t="n">
        <v>299.8907399917116</v>
      </c>
      <c r="BI314" t="inlineStr">
        <is>
          <t>NOM_NEW_ML</t>
        </is>
      </c>
    </row>
    <row r="315">
      <c r="A315" t="inlineStr">
        <is>
          <t>no_year_in_pairs</t>
        </is>
      </c>
      <c r="B315" s="2" t="n"/>
      <c r="C315" s="3" t="inlineStr">
        <is>
          <t>EBS.20.72, Sup. 1</t>
        </is>
      </c>
      <c r="D315" s="4" t="inlineStr">
        <is>
          <t>Dominica</t>
        </is>
      </c>
      <c r="E315" s="4" t="inlineStr">
        <is>
          <t>DMA</t>
        </is>
      </c>
      <c r="F315" s="4" t="n"/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5.48936642520126</v>
      </c>
      <c r="P315" t="n">
        <v>5.48936642520126</v>
      </c>
      <c r="Q315" t="n">
        <v>5.48936642520126</v>
      </c>
      <c r="R315" t="n">
        <v>5.48936642520126</v>
      </c>
      <c r="S315" t="n">
        <v>5.48936642520126</v>
      </c>
      <c r="T315" t="n">
        <v>5.48936642520126</v>
      </c>
      <c r="U315" t="n">
        <v>4.391493140161008</v>
      </c>
      <c r="V315" t="n">
        <v>3.293619855120756</v>
      </c>
      <c r="W315" t="n">
        <v>2.195746570080504</v>
      </c>
      <c r="X315" t="n">
        <v>1.097873285040252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no_year_in_pairs</t>
        </is>
      </c>
      <c r="B316" s="2" t="n"/>
      <c r="C316" s="3" t="inlineStr">
        <is>
          <t>EBS.20.72, Sup. 1</t>
        </is>
      </c>
      <c r="D316" s="4" t="inlineStr">
        <is>
          <t>Dominica</t>
        </is>
      </c>
      <c r="E316" s="4" t="inlineStr">
        <is>
          <t>DMA</t>
        </is>
      </c>
      <c r="F316" s="4" t="n"/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31</v>
      </c>
      <c r="P316" t="n">
        <v>56</v>
      </c>
      <c r="Q316" t="n">
        <v>76</v>
      </c>
      <c r="R316" t="n">
        <v>94</v>
      </c>
      <c r="S316" t="n">
        <v>109</v>
      </c>
      <c r="T316" t="n">
        <v>121.4383439052953</v>
      </c>
      <c r="U316" t="n">
        <v>131.7415910856035</v>
      </c>
      <c r="V316" t="n">
        <v>142.409855667964</v>
      </c>
      <c r="W316" t="n">
        <v>151.7977416734715</v>
      </c>
      <c r="X316" t="n">
        <v>158.601068233981</v>
      </c>
      <c r="Y316" t="n">
        <v>163.5315065646983</v>
      </c>
      <c r="Z316" t="n">
        <v>166.0760489479076</v>
      </c>
      <c r="AA316" t="n">
        <v>166.8056208674111</v>
      </c>
      <c r="AB316" t="n">
        <v>166.153807476907</v>
      </c>
      <c r="AC316" t="n">
        <v>164.3840303535018</v>
      </c>
      <c r="AD316" t="n">
        <v>161.7388797629129</v>
      </c>
      <c r="AE316" t="n">
        <v>158.4070808249261</v>
      </c>
      <c r="AF316" t="n">
        <v>154.5346924797317</v>
      </c>
      <c r="AG316" t="n">
        <v>149.7934499488919</v>
      </c>
      <c r="AH316" t="n">
        <v>144.635734954472</v>
      </c>
      <c r="AI316" t="n">
        <v>139.1762038171238</v>
      </c>
    </row>
    <row r="317">
      <c r="A317" t="inlineStr">
        <is>
          <t>no_year_in_pairs</t>
        </is>
      </c>
      <c r="B317" s="2" t="n"/>
      <c r="C317" s="3" t="inlineStr">
        <is>
          <t>EBS.20.72, Sup. 1</t>
        </is>
      </c>
      <c r="D317" s="4" t="inlineStr">
        <is>
          <t>Dominica</t>
        </is>
      </c>
      <c r="E317" s="4" t="inlineStr">
        <is>
          <t>DMA</t>
        </is>
      </c>
      <c r="F317" s="4" t="n"/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no_year_in_pairs</t>
        </is>
      </c>
      <c r="B318" s="2" t="n"/>
      <c r="C318" s="3" t="inlineStr">
        <is>
          <t>EBS.20.72, Sup. 1</t>
        </is>
      </c>
      <c r="D318" s="4" t="inlineStr">
        <is>
          <t>Dominica</t>
        </is>
      </c>
      <c r="E318" s="4" t="inlineStr">
        <is>
          <t>DMA</t>
        </is>
      </c>
      <c r="F318" s="4" t="n"/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CDB</t>
        </is>
      </c>
      <c r="M318" t="n">
        <v>108</v>
      </c>
      <c r="O318" t="n">
        <v>30</v>
      </c>
      <c r="P318" t="n">
        <v>45</v>
      </c>
      <c r="Q318" t="n">
        <v>57</v>
      </c>
      <c r="R318" t="n">
        <v>69</v>
      </c>
      <c r="S318" t="n">
        <v>79</v>
      </c>
      <c r="T318" t="n">
        <v>87</v>
      </c>
      <c r="U318" t="n">
        <v>93.78345578700544</v>
      </c>
      <c r="V318" t="n">
        <v>100.1103729904434</v>
      </c>
      <c r="W318" t="n">
        <v>106.1398282099468</v>
      </c>
      <c r="X318" t="n">
        <v>108.2054317534552</v>
      </c>
      <c r="Y318" t="n">
        <v>107.681614042296</v>
      </c>
      <c r="Z318" t="n">
        <v>105.4627119151021</v>
      </c>
      <c r="AA318" t="n">
        <v>102.0240275999089</v>
      </c>
      <c r="AB318" t="n">
        <v>97.654375826958</v>
      </c>
      <c r="AC318" t="n">
        <v>92.52884341239937</v>
      </c>
      <c r="AD318" t="n">
        <v>86.9337798986972</v>
      </c>
      <c r="AE318" t="n">
        <v>81.04705308236329</v>
      </c>
      <c r="AF318" t="n">
        <v>74.97900976368209</v>
      </c>
      <c r="AG318" t="n">
        <v>68.79825160886926</v>
      </c>
      <c r="AH318" t="n">
        <v>62.54747725711998</v>
      </c>
      <c r="AI318" t="n">
        <v>56.25321024759741</v>
      </c>
    </row>
    <row r="319">
      <c r="A319" t="inlineStr">
        <is>
          <t>no_year_in_pairs</t>
        </is>
      </c>
      <c r="B319" s="2" t="n"/>
      <c r="C319" s="3" t="inlineStr">
        <is>
          <t>EBS.20.72, Sup. 1</t>
        </is>
      </c>
      <c r="D319" s="4" t="inlineStr">
        <is>
          <t>Dominica</t>
        </is>
      </c>
      <c r="E319" s="4" t="inlineStr">
        <is>
          <t>DMA</t>
        </is>
      </c>
      <c r="F319" s="4" t="n"/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MULTIRES</t>
        </is>
      </c>
      <c r="M319" t="n">
        <v>134</v>
      </c>
      <c r="O319" t="n">
        <v>35.25219483577505</v>
      </c>
      <c r="P319" t="n">
        <v>48.44896720614403</v>
      </c>
      <c r="Q319" t="n">
        <v>60.42122857743711</v>
      </c>
      <c r="R319" t="n">
        <v>73.08576448038856</v>
      </c>
      <c r="S319" t="n">
        <v>80.35921572911842</v>
      </c>
      <c r="T319" t="n">
        <v>82.02636795375832</v>
      </c>
      <c r="U319" t="n">
        <v>85.48278268375539</v>
      </c>
      <c r="V319" t="n">
        <v>87.97757188444673</v>
      </c>
      <c r="W319" t="n">
        <v>89.79888893048741</v>
      </c>
      <c r="X319" t="n">
        <v>91.27836252060649</v>
      </c>
      <c r="Y319" t="n">
        <v>92.47206845802219</v>
      </c>
      <c r="Z319" t="n">
        <v>94.31770800098505</v>
      </c>
      <c r="AA319" t="n">
        <v>94.13287619326233</v>
      </c>
      <c r="AB319" t="n">
        <v>94.64446962536287</v>
      </c>
      <c r="AC319" t="n">
        <v>63.72905904396237</v>
      </c>
      <c r="AD319" t="n">
        <v>67.64569349397863</v>
      </c>
      <c r="AE319" t="n">
        <v>71.62374038919582</v>
      </c>
      <c r="AF319" t="n">
        <v>77.02497117795497</v>
      </c>
      <c r="AG319" t="n">
        <v>84.94250432819894</v>
      </c>
      <c r="AH319" t="n">
        <v>93.24998756548608</v>
      </c>
      <c r="AI319" t="n">
        <v>104.4613259269903</v>
      </c>
    </row>
    <row r="320">
      <c r="A320" t="inlineStr">
        <is>
          <t>no_year_in_pairs</t>
        </is>
      </c>
      <c r="B320" s="2" t="n"/>
      <c r="C320" s="3" t="inlineStr">
        <is>
          <t>EBS.20.72, Sup. 1</t>
        </is>
      </c>
      <c r="D320" s="4" t="inlineStr">
        <is>
          <t>Dominica</t>
        </is>
      </c>
      <c r="E320" s="4" t="inlineStr">
        <is>
          <t>DMA</t>
        </is>
      </c>
      <c r="F320" s="4" t="n"/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no_year_in_pairs</t>
        </is>
      </c>
      <c r="B321" s="2" t="n"/>
      <c r="C321" s="3" t="inlineStr">
        <is>
          <t>EBS.20.72, Sup. 1</t>
        </is>
      </c>
      <c r="D321" s="4" t="inlineStr">
        <is>
          <t>Dominica</t>
        </is>
      </c>
      <c r="E321" s="4" t="inlineStr">
        <is>
          <t>DMA</t>
        </is>
      </c>
      <c r="F321" s="4" t="n"/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no_year_in_pairs</t>
        </is>
      </c>
      <c r="B322" s="2" t="n"/>
      <c r="C322" s="3" t="inlineStr">
        <is>
          <t>EBS.20.72, Sup. 1</t>
        </is>
      </c>
      <c r="D322" s="4" t="inlineStr">
        <is>
          <t>Dominica</t>
        </is>
      </c>
      <c r="E322" s="4" t="inlineStr">
        <is>
          <t>DMA</t>
        </is>
      </c>
      <c r="F322" s="4" t="n"/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no_year_in_pairs</t>
        </is>
      </c>
      <c r="B323" s="2" t="n"/>
      <c r="C323" s="3" t="inlineStr">
        <is>
          <t>EBS.20.72, Sup. 1</t>
        </is>
      </c>
      <c r="D323" s="4" t="inlineStr">
        <is>
          <t>Dominica</t>
        </is>
      </c>
      <c r="E323" s="4" t="inlineStr">
        <is>
          <t>DMA</t>
        </is>
      </c>
      <c r="F323" s="4" t="n"/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no_year_in_pairs</t>
        </is>
      </c>
      <c r="B324" s="2" t="n"/>
      <c r="C324" s="3" t="inlineStr">
        <is>
          <t>EBS.20.72, Sup. 1</t>
        </is>
      </c>
      <c r="D324" s="4" t="inlineStr">
        <is>
          <t>Dominica</t>
        </is>
      </c>
      <c r="E324" s="4" t="inlineStr">
        <is>
          <t>DMA</t>
        </is>
      </c>
      <c r="F324" s="4" t="n"/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no_year_in_pairs</t>
        </is>
      </c>
      <c r="B325" s="2" t="n"/>
      <c r="C325" s="3" t="inlineStr">
        <is>
          <t>EBS.20.72, Sup. 1</t>
        </is>
      </c>
      <c r="D325" s="4" t="inlineStr">
        <is>
          <t>Dominica</t>
        </is>
      </c>
      <c r="E325" s="4" t="inlineStr">
        <is>
          <t>DMA</t>
        </is>
      </c>
      <c r="F325" s="4" t="n"/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12.088558221155</v>
      </c>
      <c r="P325" t="n">
        <v>12.28374505168798</v>
      </c>
      <c r="Q325" t="n">
        <v>15.09511197609712</v>
      </c>
      <c r="R325" t="n">
        <v>19.06024681377617</v>
      </c>
      <c r="S325" t="n">
        <v>22.31940085937339</v>
      </c>
      <c r="T325" t="n">
        <v>25.28966433620749</v>
      </c>
      <c r="U325" t="n">
        <v>27.01048952432609</v>
      </c>
      <c r="V325" t="n">
        <v>27.9282434279582</v>
      </c>
      <c r="W325" t="n">
        <v>29.10235252993959</v>
      </c>
      <c r="X325" t="n">
        <v>30.07985325123319</v>
      </c>
      <c r="Y325" t="n">
        <v>34.1278323631704</v>
      </c>
      <c r="Z325" t="n">
        <v>42.22507876013005</v>
      </c>
      <c r="AA325" t="n">
        <v>53.84207220284379</v>
      </c>
      <c r="AB325" t="n">
        <v>63.98700621340053</v>
      </c>
      <c r="AC325" t="n">
        <v>73.33175965834127</v>
      </c>
      <c r="AD325" t="n">
        <v>79.98860062112409</v>
      </c>
      <c r="AE325" t="n">
        <v>86.58625730642295</v>
      </c>
      <c r="AF325" t="n">
        <v>91.43112493828595</v>
      </c>
      <c r="AG325" t="n">
        <v>94.19977400936661</v>
      </c>
      <c r="AH325" t="n">
        <v>94.9966263488877</v>
      </c>
      <c r="AI325" t="n">
        <v>94.80433321895563</v>
      </c>
      <c r="BI325" t="inlineStr">
        <is>
          <t>NOM_NEW_OB</t>
        </is>
      </c>
    </row>
    <row r="326">
      <c r="A326" t="inlineStr">
        <is>
          <t>no_year_in_pairs</t>
        </is>
      </c>
      <c r="B326" s="2" t="n"/>
      <c r="C326" s="3" t="inlineStr">
        <is>
          <t>EBS.20.72, Sup. 1</t>
        </is>
      </c>
      <c r="D326" s="4" t="inlineStr">
        <is>
          <t>Dominica</t>
        </is>
      </c>
      <c r="E326" s="4" t="inlineStr">
        <is>
          <t>DMA</t>
        </is>
      </c>
      <c r="F326" s="4" t="n"/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no_year_in_pairs</t>
        </is>
      </c>
      <c r="B327" s="2" t="n"/>
      <c r="C327" s="3" t="inlineStr">
        <is>
          <t>EBS.20.72, Sup. 1</t>
        </is>
      </c>
      <c r="D327" s="4" t="inlineStr">
        <is>
          <t>Dominica</t>
        </is>
      </c>
      <c r="E327" s="4" t="inlineStr">
        <is>
          <t>DMA</t>
        </is>
      </c>
      <c r="F327" s="4" t="n"/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no_year_in_pairs</t>
        </is>
      </c>
      <c r="B328" s="2" t="n"/>
      <c r="C328" s="3" t="inlineStr">
        <is>
          <t>EBS.20.72, Sup. 1</t>
        </is>
      </c>
      <c r="D328" s="4" t="inlineStr">
        <is>
          <t>Dominica</t>
        </is>
      </c>
      <c r="E328" s="4" t="inlineStr">
        <is>
          <t>DMA</t>
        </is>
      </c>
      <c r="F328" s="4" t="n"/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no_year_in_pairs</t>
        </is>
      </c>
      <c r="B329" s="2" t="n"/>
      <c r="C329" s="3" t="inlineStr">
        <is>
          <t>EBS.20.72, Sup. 1</t>
        </is>
      </c>
      <c r="D329" s="4" t="inlineStr">
        <is>
          <t>Dominica</t>
        </is>
      </c>
      <c r="E329" s="4" t="inlineStr">
        <is>
          <t>DMA</t>
        </is>
      </c>
      <c r="F329" s="4" t="n"/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no_year_in_pairs</t>
        </is>
      </c>
      <c r="B330" s="2" t="n"/>
      <c r="C330" s="3" t="inlineStr">
        <is>
          <t>EBS.20.72, Sup. 1</t>
        </is>
      </c>
      <c r="D330" s="4" t="inlineStr">
        <is>
          <t>Dominica</t>
        </is>
      </c>
      <c r="E330" s="4" t="inlineStr">
        <is>
          <t>DMA</t>
        </is>
      </c>
      <c r="F330" s="4" t="n"/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no_year_in_pairs</t>
        </is>
      </c>
      <c r="B331" s="2" t="n"/>
      <c r="C331" s="3" t="inlineStr">
        <is>
          <t>EBS.20.72, Sup. 1</t>
        </is>
      </c>
      <c r="D331" s="4" t="inlineStr">
        <is>
          <t>Dominica</t>
        </is>
      </c>
      <c r="E331" s="4" t="inlineStr">
        <is>
          <t>DMA</t>
        </is>
      </c>
      <c r="F331" s="4" t="n"/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no_year_in_pairs</t>
        </is>
      </c>
      <c r="B332" s="2" t="n"/>
      <c r="C332" s="3" t="inlineStr">
        <is>
          <t>EBS.20.72, Sup. 1</t>
        </is>
      </c>
      <c r="D332" s="4" t="inlineStr">
        <is>
          <t>Dominica</t>
        </is>
      </c>
      <c r="E332" s="4" t="inlineStr">
        <is>
          <t>DMA</t>
        </is>
      </c>
      <c r="F332" s="4" t="n"/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12.088558221155</v>
      </c>
      <c r="P332" t="n">
        <v>12.28374505168798</v>
      </c>
      <c r="Q332" t="n">
        <v>15.09511197609712</v>
      </c>
      <c r="R332" t="n">
        <v>19.06024681377617</v>
      </c>
      <c r="S332" t="n">
        <v>22.31940085937339</v>
      </c>
      <c r="T332" t="n">
        <v>25.28966433620749</v>
      </c>
      <c r="U332" t="n">
        <v>27.01048952432609</v>
      </c>
      <c r="V332" t="n">
        <v>27.9282434279582</v>
      </c>
      <c r="W332" t="n">
        <v>29.10235252993959</v>
      </c>
      <c r="X332" t="n">
        <v>30.07985325123319</v>
      </c>
      <c r="Y332" t="n">
        <v>34.1278323631704</v>
      </c>
      <c r="Z332" t="n">
        <v>42.22507876013005</v>
      </c>
      <c r="AA332" t="n">
        <v>53.84207220284379</v>
      </c>
      <c r="AB332" t="n">
        <v>63.98700621340053</v>
      </c>
      <c r="AC332" t="n">
        <v>73.33175965834127</v>
      </c>
      <c r="AD332" t="n">
        <v>79.98860062112409</v>
      </c>
      <c r="AE332" t="n">
        <v>86.58625730642295</v>
      </c>
      <c r="AF332" t="n">
        <v>91.43112493828595</v>
      </c>
      <c r="AG332" t="n">
        <v>94.19977400936661</v>
      </c>
      <c r="AH332" t="n">
        <v>94.9966263488877</v>
      </c>
      <c r="AI332" t="n">
        <v>94.80433321895563</v>
      </c>
    </row>
    <row r="333">
      <c r="A333" t="inlineStr">
        <is>
          <t>no_year_in_pairs</t>
        </is>
      </c>
      <c r="B333" s="2" t="n"/>
      <c r="C333" s="3" t="inlineStr">
        <is>
          <t>EBS.20.72, Sup. 1</t>
        </is>
      </c>
      <c r="D333" s="4" t="inlineStr">
        <is>
          <t>Dominica</t>
        </is>
      </c>
      <c r="E333" s="4" t="inlineStr">
        <is>
          <t>DMA</t>
        </is>
      </c>
      <c r="F333" s="4" t="n"/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NPC2</t>
        </is>
      </c>
      <c r="M333" t="n">
        <v>394</v>
      </c>
      <c r="O333" t="n">
        <v>12.088558221155</v>
      </c>
      <c r="P333" t="n">
        <v>12.28374505168798</v>
      </c>
      <c r="Q333" t="n">
        <v>15.09511197609712</v>
      </c>
      <c r="R333" t="n">
        <v>19.06024681377617</v>
      </c>
      <c r="S333" t="n">
        <v>22.31940085937339</v>
      </c>
      <c r="T333" t="n">
        <v>25.28966433620749</v>
      </c>
      <c r="U333" t="n">
        <v>27.01048952432609</v>
      </c>
      <c r="V333" t="n">
        <v>27.9282434279582</v>
      </c>
      <c r="W333" t="n">
        <v>29.10235252993959</v>
      </c>
      <c r="X333" t="n">
        <v>30.07985325123319</v>
      </c>
      <c r="Y333" t="n">
        <v>34.1278323631704</v>
      </c>
      <c r="Z333" t="n">
        <v>42.22507876013005</v>
      </c>
      <c r="AA333" t="n">
        <v>53.84207220284379</v>
      </c>
      <c r="AB333" t="n">
        <v>63.98700621340053</v>
      </c>
      <c r="AC333" t="n">
        <v>73.33175965834127</v>
      </c>
      <c r="AD333" t="n">
        <v>79.98860062112409</v>
      </c>
      <c r="AE333" t="n">
        <v>86.58625730642295</v>
      </c>
      <c r="AF333" t="n">
        <v>91.43112493828595</v>
      </c>
      <c r="AG333" t="n">
        <v>94.19977400936661</v>
      </c>
      <c r="AH333" t="n">
        <v>94.9966263488877</v>
      </c>
      <c r="AI333" t="n">
        <v>94.80433321895563</v>
      </c>
    </row>
    <row r="334">
      <c r="A334" t="inlineStr">
        <is>
          <t>no_year_in_pairs</t>
        </is>
      </c>
      <c r="B334" s="2" t="n"/>
      <c r="C334" s="3" t="inlineStr">
        <is>
          <t>EBS.20.72, Sup. 1</t>
        </is>
      </c>
      <c r="D334" s="4" t="inlineStr">
        <is>
          <t>Dominica</t>
        </is>
      </c>
      <c r="E334" s="4" t="inlineStr">
        <is>
          <t>DMA</t>
        </is>
      </c>
      <c r="F334" s="4" t="n"/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no_year_in_pairs</t>
        </is>
      </c>
      <c r="B335" s="2" t="n"/>
      <c r="C335" s="3" t="inlineStr">
        <is>
          <t>EBS.20.72, Sup. 1</t>
        </is>
      </c>
      <c r="D335" s="4" t="inlineStr">
        <is>
          <t>Dominica</t>
        </is>
      </c>
      <c r="E335" s="4" t="inlineStr">
        <is>
          <t>DMA</t>
        </is>
      </c>
      <c r="F335" s="4" t="n"/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no_year_in_pairs</t>
        </is>
      </c>
      <c r="B336" s="2" t="n"/>
      <c r="C336" s="3" t="inlineStr">
        <is>
          <t>EBS.20.72, Sup. 1</t>
        </is>
      </c>
      <c r="D336" s="4" t="inlineStr">
        <is>
          <t>Dominica</t>
        </is>
      </c>
      <c r="E336" s="4" t="inlineStr">
        <is>
          <t>DMA</t>
        </is>
      </c>
      <c r="F336" s="4" t="n"/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no_year_in_pairs</t>
        </is>
      </c>
      <c r="B337" s="2" t="n"/>
      <c r="C337" s="3" t="inlineStr">
        <is>
          <t>EBS.20.72, Sup. 1</t>
        </is>
      </c>
      <c r="D337" s="4" t="inlineStr">
        <is>
          <t>Dominica</t>
        </is>
      </c>
      <c r="E337" s="4" t="inlineStr">
        <is>
          <t>DMA</t>
        </is>
      </c>
      <c r="F337" s="4" t="n"/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no_year_in_pairs</t>
        </is>
      </c>
      <c r="B338" s="2" t="n"/>
      <c r="C338" s="3" t="inlineStr">
        <is>
          <t>EBS.20.72, Sup. 1</t>
        </is>
      </c>
      <c r="D338" s="4" t="inlineStr">
        <is>
          <t>Dominica</t>
        </is>
      </c>
      <c r="E338" s="4" t="inlineStr">
        <is>
          <t>DMA</t>
        </is>
      </c>
      <c r="F338" s="4" t="n"/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no_year_in_pairs</t>
        </is>
      </c>
      <c r="B339" s="2" t="n"/>
      <c r="C339" s="3" t="inlineStr">
        <is>
          <t>EBS.20.72, Sup. 1</t>
        </is>
      </c>
      <c r="D339" s="4" t="inlineStr">
        <is>
          <t>Dominica</t>
        </is>
      </c>
      <c r="E339" s="4" t="inlineStr">
        <is>
          <t>DMA</t>
        </is>
      </c>
      <c r="F339" s="4" t="n"/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no_year_in_pairs</t>
        </is>
      </c>
      <c r="B340" s="2" t="n"/>
      <c r="C340" s="3" t="inlineStr">
        <is>
          <t>EBS.20.72, Sup. 1</t>
        </is>
      </c>
      <c r="D340" s="4" t="inlineStr">
        <is>
          <t>Dominica</t>
        </is>
      </c>
      <c r="E340" s="4" t="inlineStr">
        <is>
          <t>DMA</t>
        </is>
      </c>
      <c r="F340" s="4" t="n"/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no_year_in_pairs</t>
        </is>
      </c>
      <c r="B341" s="2" t="n"/>
      <c r="C341" s="3" t="inlineStr">
        <is>
          <t>EBS.20.72, Sup. 1</t>
        </is>
      </c>
      <c r="D341" s="4" t="inlineStr">
        <is>
          <t>Dominica</t>
        </is>
      </c>
      <c r="E341" s="4" t="inlineStr">
        <is>
          <t>DMA</t>
        </is>
      </c>
      <c r="F341" s="4" t="n"/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no_year_in_pairs</t>
        </is>
      </c>
      <c r="B342" s="2" t="n"/>
      <c r="C342" s="3" t="inlineStr">
        <is>
          <t>EBS.20.72, Sup. 1</t>
        </is>
      </c>
      <c r="D342" s="4" t="inlineStr">
        <is>
          <t>Dominica</t>
        </is>
      </c>
      <c r="E342" s="4" t="inlineStr">
        <is>
          <t>DMA</t>
        </is>
      </c>
      <c r="F342" s="4" t="n"/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no_year_in_pairs</t>
        </is>
      </c>
      <c r="B343" s="2" t="n"/>
      <c r="C343" s="3" t="inlineStr">
        <is>
          <t>EBS.20.72, Sup. 1</t>
        </is>
      </c>
      <c r="D343" s="4" t="inlineStr">
        <is>
          <t>Dominica</t>
        </is>
      </c>
      <c r="E343" s="4" t="inlineStr">
        <is>
          <t>DMA</t>
        </is>
      </c>
      <c r="F343" s="4" t="n"/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no_year_in_pairs</t>
        </is>
      </c>
      <c r="B344" s="2" t="n"/>
      <c r="C344" s="3" t="inlineStr">
        <is>
          <t>EBS.20.72, Sup. 1</t>
        </is>
      </c>
      <c r="D344" s="4" t="inlineStr">
        <is>
          <t>Dominica</t>
        </is>
      </c>
      <c r="E344" s="4" t="inlineStr">
        <is>
          <t>DMA</t>
        </is>
      </c>
      <c r="F344" s="4" t="n"/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no_year_in_pairs</t>
        </is>
      </c>
      <c r="B345" s="2" t="n"/>
      <c r="C345" s="3" t="inlineStr">
        <is>
          <t>EBS.20.72, Sup. 1</t>
        </is>
      </c>
      <c r="D345" s="4" t="inlineStr">
        <is>
          <t>Dominica</t>
        </is>
      </c>
      <c r="E345" s="4" t="inlineStr">
        <is>
          <t>DMA</t>
        </is>
      </c>
      <c r="F345" s="4" t="n"/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no_year_in_pairs</t>
        </is>
      </c>
      <c r="B346" s="2" t="n"/>
      <c r="C346" s="3" t="inlineStr">
        <is>
          <t>EBS.20.72, Sup. 1</t>
        </is>
      </c>
      <c r="D346" s="4" t="inlineStr">
        <is>
          <t>Dominica</t>
        </is>
      </c>
      <c r="E346" s="4" t="inlineStr">
        <is>
          <t>DMA</t>
        </is>
      </c>
      <c r="F346" s="4" t="n"/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no_year_in_pairs</t>
        </is>
      </c>
      <c r="B347" s="2" t="n"/>
      <c r="C347" s="3" t="inlineStr">
        <is>
          <t>EBS.20.72, Sup. 1</t>
        </is>
      </c>
      <c r="D347" s="4" t="inlineStr">
        <is>
          <t>Dominica</t>
        </is>
      </c>
      <c r="E347" s="4" t="inlineStr">
        <is>
          <t>DMA</t>
        </is>
      </c>
      <c r="F347" s="4" t="n"/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no_year_in_pairs</t>
        </is>
      </c>
      <c r="B348" s="2" t="n"/>
      <c r="C348" s="3" t="inlineStr">
        <is>
          <t>EBS.20.72, Sup. 1</t>
        </is>
      </c>
      <c r="D348" s="4" t="inlineStr">
        <is>
          <t>Dominica</t>
        </is>
      </c>
      <c r="E348" s="4" t="inlineStr">
        <is>
          <t>DMA</t>
        </is>
      </c>
      <c r="F348" s="4" t="n"/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no_year_in_pairs</t>
        </is>
      </c>
      <c r="B349" s="2" t="n"/>
      <c r="C349" s="3" t="inlineStr">
        <is>
          <t>EBS.20.72, Sup. 1</t>
        </is>
      </c>
      <c r="D349" s="4" t="inlineStr">
        <is>
          <t>Dominica</t>
        </is>
      </c>
      <c r="E349" s="4" t="inlineStr">
        <is>
          <t>DMA</t>
        </is>
      </c>
      <c r="F349" s="4" t="n"/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no_year_in_pairs</t>
        </is>
      </c>
      <c r="B350" s="2" t="n"/>
      <c r="C350" s="3" t="inlineStr">
        <is>
          <t>EBS.20.72, Sup. 1</t>
        </is>
      </c>
      <c r="D350" s="4" t="inlineStr">
        <is>
          <t>Dominica</t>
        </is>
      </c>
      <c r="E350" s="4" t="inlineStr">
        <is>
          <t>DMA</t>
        </is>
      </c>
      <c r="F350" s="4" t="n"/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no_year_in_pairs</t>
        </is>
      </c>
      <c r="B351" s="2" t="n"/>
      <c r="C351" s="3" t="inlineStr">
        <is>
          <t>EBS.20.72, Sup. 1</t>
        </is>
      </c>
      <c r="D351" s="4" t="inlineStr">
        <is>
          <t>Dominica</t>
        </is>
      </c>
      <c r="E351" s="4" t="inlineStr">
        <is>
          <t>DMA</t>
        </is>
      </c>
      <c r="F351" s="4" t="n"/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no_year_in_pairs</t>
        </is>
      </c>
      <c r="B352" s="2" t="n"/>
      <c r="C352" s="3" t="inlineStr">
        <is>
          <t>EBS.20.72, Sup. 1</t>
        </is>
      </c>
      <c r="D352" s="4" t="inlineStr">
        <is>
          <t>Dominica</t>
        </is>
      </c>
      <c r="E352" s="4" t="inlineStr">
        <is>
          <t>DMA</t>
        </is>
      </c>
      <c r="F352" s="4" t="n"/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no_year_in_pairs</t>
        </is>
      </c>
      <c r="B353" s="2" t="n"/>
      <c r="C353" s="3" t="inlineStr">
        <is>
          <t>EBS.20.72, Sup. 1</t>
        </is>
      </c>
      <c r="D353" s="4" t="inlineStr">
        <is>
          <t>Dominica</t>
        </is>
      </c>
      <c r="E353" s="4" t="inlineStr">
        <is>
          <t>DMA</t>
        </is>
      </c>
      <c r="F353" s="4" t="n"/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no_year_in_pairs</t>
        </is>
      </c>
      <c r="B354" s="2" t="n"/>
      <c r="C354" s="3" t="inlineStr">
        <is>
          <t>EBS.20.72, Sup. 1</t>
        </is>
      </c>
      <c r="D354" s="4" t="inlineStr">
        <is>
          <t>Dominica</t>
        </is>
      </c>
      <c r="E354" s="4" t="inlineStr">
        <is>
          <t>DMA</t>
        </is>
      </c>
      <c r="F354" s="4" t="n"/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no_year_in_pairs</t>
        </is>
      </c>
      <c r="B355" s="2" t="n"/>
      <c r="C355" s="3" t="inlineStr">
        <is>
          <t>EBS.20.72, Sup. 1</t>
        </is>
      </c>
      <c r="D355" s="4" t="inlineStr">
        <is>
          <t>Dominica</t>
        </is>
      </c>
      <c r="E355" s="4" t="inlineStr">
        <is>
          <t>DMA</t>
        </is>
      </c>
      <c r="F355" s="4" t="n"/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no_year_in_pairs</t>
        </is>
      </c>
      <c r="B356" s="2" t="n"/>
      <c r="C356" s="3" t="inlineStr">
        <is>
          <t>EBS.20.72, Sup. 1</t>
        </is>
      </c>
      <c r="D356" s="4" t="inlineStr">
        <is>
          <t>Dominica</t>
        </is>
      </c>
      <c r="E356" s="4" t="inlineStr">
        <is>
          <t>DMA</t>
        </is>
      </c>
      <c r="F356" s="4" t="n"/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no_year_in_pairs</t>
        </is>
      </c>
      <c r="B357" s="2" t="n"/>
      <c r="C357" s="3" t="inlineStr">
        <is>
          <t>EBS.20.72, Sup. 1</t>
        </is>
      </c>
      <c r="D357" s="4" t="inlineStr">
        <is>
          <t>Dominica</t>
        </is>
      </c>
      <c r="E357" s="4" t="inlineStr">
        <is>
          <t>DMA</t>
        </is>
      </c>
      <c r="F357" s="4" t="n"/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no_year_in_pairs</t>
        </is>
      </c>
      <c r="B358" s="2" t="n"/>
      <c r="C358" s="3" t="inlineStr">
        <is>
          <t>EBS.20.72, Sup. 1</t>
        </is>
      </c>
      <c r="D358" s="4" t="inlineStr">
        <is>
          <t>Dominica</t>
        </is>
      </c>
      <c r="E358" s="4" t="inlineStr">
        <is>
          <t>DMA</t>
        </is>
      </c>
      <c r="F358" s="4" t="n"/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no_year_in_pairs</t>
        </is>
      </c>
      <c r="B359" s="2" t="n"/>
      <c r="C359" s="3" t="inlineStr">
        <is>
          <t>EBS.20.72, Sup. 1</t>
        </is>
      </c>
      <c r="D359" s="4" t="inlineStr">
        <is>
          <t>Dominica</t>
        </is>
      </c>
      <c r="E359" s="4" t="inlineStr">
        <is>
          <t>DMA</t>
        </is>
      </c>
      <c r="F359" s="4" t="n"/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no_year_in_pairs</t>
        </is>
      </c>
      <c r="B360" s="2" t="n"/>
      <c r="C360" s="3" t="inlineStr">
        <is>
          <t>EBS.20.72, Sup. 1</t>
        </is>
      </c>
      <c r="D360" s="4" t="inlineStr">
        <is>
          <t>Dominica</t>
        </is>
      </c>
      <c r="E360" s="4" t="inlineStr">
        <is>
          <t>DMA</t>
        </is>
      </c>
      <c r="F360" s="4" t="n"/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no_year_in_pairs</t>
        </is>
      </c>
      <c r="B361" s="2" t="n"/>
      <c r="C361" s="3" t="inlineStr">
        <is>
          <t>EBS.20.72, Sup. 1</t>
        </is>
      </c>
      <c r="D361" s="4" t="inlineStr">
        <is>
          <t>Dominica</t>
        </is>
      </c>
      <c r="E361" s="4" t="inlineStr">
        <is>
          <t>DMA</t>
        </is>
      </c>
      <c r="F361" s="4" t="n"/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no_year_in_pairs</t>
        </is>
      </c>
      <c r="B362" s="2" t="n"/>
      <c r="C362" s="3" t="inlineStr">
        <is>
          <t>EBS.20.72, Sup. 1</t>
        </is>
      </c>
      <c r="D362" s="4" t="inlineStr">
        <is>
          <t>Dominica</t>
        </is>
      </c>
      <c r="E362" s="4" t="inlineStr">
        <is>
          <t>DMA</t>
        </is>
      </c>
      <c r="F362" s="4" t="n"/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no_year_in_pairs</t>
        </is>
      </c>
      <c r="B363" s="2" t="n"/>
      <c r="C363" s="3" t="inlineStr">
        <is>
          <t>EBS.20.72, Sup. 1</t>
        </is>
      </c>
      <c r="D363" s="4" t="inlineStr">
        <is>
          <t>Dominica</t>
        </is>
      </c>
      <c r="E363" s="4" t="inlineStr">
        <is>
          <t>DMA</t>
        </is>
      </c>
      <c r="F363" s="4" t="n"/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no_year_in_pairs</t>
        </is>
      </c>
      <c r="B364" s="2" t="n"/>
      <c r="C364" s="3" t="inlineStr">
        <is>
          <t>EBS.20.72, Sup. 1</t>
        </is>
      </c>
      <c r="D364" s="4" t="inlineStr">
        <is>
          <t>Dominica</t>
        </is>
      </c>
      <c r="E364" s="4" t="inlineStr">
        <is>
          <t>DMA</t>
        </is>
      </c>
      <c r="F364" s="4" t="n"/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no_year_in_pairs</t>
        </is>
      </c>
      <c r="B365" s="2" t="n"/>
      <c r="C365" s="3" t="inlineStr">
        <is>
          <t>EBS.20.72, Sup. 1</t>
        </is>
      </c>
      <c r="D365" s="4" t="inlineStr">
        <is>
          <t>Dominica</t>
        </is>
      </c>
      <c r="E365" s="4" t="inlineStr">
        <is>
          <t>DMA</t>
        </is>
      </c>
      <c r="F365" s="4" t="n"/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no_year_in_pairs</t>
        </is>
      </c>
      <c r="B366" s="2" t="n"/>
      <c r="C366" s="3" t="inlineStr">
        <is>
          <t>EBS.20.72, Sup. 1</t>
        </is>
      </c>
      <c r="D366" s="4" t="inlineStr">
        <is>
          <t>Dominica</t>
        </is>
      </c>
      <c r="E366" s="4" t="inlineStr">
        <is>
          <t>DMA</t>
        </is>
      </c>
      <c r="F366" s="4" t="n"/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no_year_in_pairs</t>
        </is>
      </c>
      <c r="B367" s="2" t="n"/>
      <c r="C367" s="3" t="inlineStr">
        <is>
          <t>EBS.20.72, Sup. 1</t>
        </is>
      </c>
      <c r="D367" s="4" t="inlineStr">
        <is>
          <t>Dominica</t>
        </is>
      </c>
      <c r="E367" s="4" t="inlineStr">
        <is>
          <t>DMA</t>
        </is>
      </c>
      <c r="F367" s="4" t="n"/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no_year_in_pairs</t>
        </is>
      </c>
      <c r="B368" s="2" t="n"/>
      <c r="C368" s="3" t="inlineStr">
        <is>
          <t>EBS.20.72, Sup. 1</t>
        </is>
      </c>
      <c r="D368" s="4" t="inlineStr">
        <is>
          <t>Dominica</t>
        </is>
      </c>
      <c r="E368" s="4" t="inlineStr">
        <is>
          <t>DMA</t>
        </is>
      </c>
      <c r="F368" s="4" t="n"/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no_year_in_pairs</t>
        </is>
      </c>
      <c r="B369" s="2" t="n"/>
      <c r="C369" s="3" t="inlineStr">
        <is>
          <t>EBS.20.72, Sup. 1</t>
        </is>
      </c>
      <c r="D369" s="4" t="inlineStr">
        <is>
          <t>Dominica</t>
        </is>
      </c>
      <c r="E369" s="4" t="inlineStr">
        <is>
          <t>DMA</t>
        </is>
      </c>
      <c r="F369" s="4" t="n"/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no_year_in_pairs</t>
        </is>
      </c>
      <c r="B370" s="2" t="n"/>
      <c r="C370" s="3" t="inlineStr">
        <is>
          <t>EBS.20.72, Sup. 1</t>
        </is>
      </c>
      <c r="D370" s="4" t="inlineStr">
        <is>
          <t>Dominica</t>
        </is>
      </c>
      <c r="E370" s="4" t="inlineStr">
        <is>
          <t>DMA</t>
        </is>
      </c>
      <c r="F370" s="4" t="n"/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no_year_in_pairs</t>
        </is>
      </c>
      <c r="B371" s="2" t="n"/>
      <c r="C371" s="3" t="inlineStr">
        <is>
          <t>EBS.20.72, Sup. 1</t>
        </is>
      </c>
      <c r="D371" s="4" t="inlineStr">
        <is>
          <t>Dominica</t>
        </is>
      </c>
      <c r="E371" s="4" t="inlineStr">
        <is>
          <t>DMA</t>
        </is>
      </c>
      <c r="F371" s="4" t="n"/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272.9878593217654</v>
      </c>
      <c r="O371" t="n">
        <v>320.6987701834356</v>
      </c>
      <c r="P371" t="n">
        <v>332.3167120756319</v>
      </c>
      <c r="Q371" t="n">
        <v>343.3653351980431</v>
      </c>
      <c r="R371" t="n">
        <v>354.0249263041385</v>
      </c>
      <c r="S371" t="n">
        <v>359.6165462940335</v>
      </c>
      <c r="T371" t="n">
        <v>361.2230955231641</v>
      </c>
      <c r="U371" t="n">
        <v>359.8076062010101</v>
      </c>
      <c r="V371" t="n">
        <v>357.0347386653987</v>
      </c>
      <c r="W371" t="n">
        <v>353.7194933598086</v>
      </c>
      <c r="X371" t="n">
        <v>347.0902774675994</v>
      </c>
      <c r="Y371" t="n">
        <v>343.0261985331639</v>
      </c>
      <c r="Z371" t="n">
        <v>342.7465892673587</v>
      </c>
      <c r="AA371" t="n">
        <v>343.6457048960391</v>
      </c>
      <c r="AB371" t="n">
        <v>343.9823630636608</v>
      </c>
      <c r="AC371" t="n">
        <v>322.4952895422194</v>
      </c>
      <c r="AD371" t="n">
        <v>319.4644832064471</v>
      </c>
      <c r="AE371" t="n">
        <v>315.7458971082677</v>
      </c>
      <c r="AF371" t="n">
        <v>306.1557852483197</v>
      </c>
      <c r="AG371" t="n">
        <v>299.9141668464488</v>
      </c>
      <c r="AH371" t="n">
        <v>292.6169858671474</v>
      </c>
      <c r="AI371" t="n">
        <v>288.1469761992883</v>
      </c>
      <c r="BI371" t="inlineStr">
        <is>
          <t>PV_D_TOT</t>
        </is>
      </c>
    </row>
    <row r="372">
      <c r="A372" t="inlineStr">
        <is>
          <t>no_year_in_pairs</t>
        </is>
      </c>
      <c r="B372" s="2" t="n"/>
      <c r="C372" s="3" t="inlineStr">
        <is>
          <t>EBS.20.72, Sup. 1</t>
        </is>
      </c>
      <c r="D372" s="4" t="inlineStr">
        <is>
          <t>Dominica</t>
        </is>
      </c>
      <c r="E372" s="4" t="inlineStr">
        <is>
          <t>DMA</t>
        </is>
      </c>
      <c r="F372" s="4" t="n"/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no_year_in_pairs</t>
        </is>
      </c>
      <c r="B373" s="2" t="n"/>
      <c r="C373" s="3" t="inlineStr">
        <is>
          <t>EBS.20.72, Sup. 1</t>
        </is>
      </c>
      <c r="D373" s="4" t="inlineStr">
        <is>
          <t>Dominica</t>
        </is>
      </c>
      <c r="E373" s="4" t="inlineStr">
        <is>
          <t>DMA</t>
        </is>
      </c>
      <c r="F373" s="4" t="n"/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5.684341886080801e-14</v>
      </c>
      <c r="Q373" t="n">
        <v>0</v>
      </c>
      <c r="R373" t="n">
        <v>0</v>
      </c>
      <c r="S373" t="n">
        <v>2.842170943040401e-14</v>
      </c>
      <c r="T373" t="n">
        <v>2.842170943040401e-14</v>
      </c>
      <c r="U373" t="n">
        <v>-2.842170943040401e-14</v>
      </c>
      <c r="V373" t="n">
        <v>0</v>
      </c>
      <c r="W373" t="n">
        <v>0</v>
      </c>
      <c r="X373" t="n">
        <v>-2.842170943040401e-14</v>
      </c>
      <c r="Y373" t="n">
        <v>1.4210854715202e-14</v>
      </c>
      <c r="Z373" t="n">
        <v>-1.4210854715202e-14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1.4210854715202e-14</v>
      </c>
      <c r="AG373" t="n">
        <v>-7.105427357601002e-15</v>
      </c>
      <c r="AH373" t="n">
        <v>1.4210854715202e-14</v>
      </c>
      <c r="AI373" t="n">
        <v>2.131628207280301e-14</v>
      </c>
    </row>
    <row r="374">
      <c r="A374" t="inlineStr">
        <is>
          <t>no_year_in_pairs</t>
        </is>
      </c>
      <c r="B374" s="2" t="n"/>
      <c r="C374" s="3" t="inlineStr">
        <is>
          <t>EBS.20.72, Sup. 1</t>
        </is>
      </c>
      <c r="D374" s="4" t="inlineStr">
        <is>
          <t>Dominica</t>
        </is>
      </c>
      <c r="E374" s="4" t="inlineStr">
        <is>
          <t>DMA</t>
        </is>
      </c>
      <c r="F374" s="4" t="n"/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28.61313235905446</v>
      </c>
      <c r="O374" t="n">
        <v>31.04243179314922</v>
      </c>
      <c r="P374" t="n">
        <v>30.99851514718349</v>
      </c>
      <c r="Q374" t="n">
        <v>30.00859238616594</v>
      </c>
      <c r="R374" t="n">
        <v>31.59538712289777</v>
      </c>
      <c r="S374" t="n">
        <v>31.03814900209155</v>
      </c>
      <c r="T374" t="n">
        <v>29.55625592260237</v>
      </c>
      <c r="U374" t="n">
        <v>34.05462184056206</v>
      </c>
      <c r="V374" t="n">
        <v>34.78806251960095</v>
      </c>
      <c r="W374" t="n">
        <v>35.3003527284299</v>
      </c>
      <c r="X374" t="n">
        <v>35.80153739704944</v>
      </c>
      <c r="Y374" t="n">
        <v>33.97996620125749</v>
      </c>
      <c r="Z374" t="n">
        <v>32.96509146118973</v>
      </c>
      <c r="AA374" t="n">
        <v>33.22938339062114</v>
      </c>
      <c r="AB374" t="n">
        <v>32.7093612827352</v>
      </c>
      <c r="AC374" t="n">
        <v>35.27763755015482</v>
      </c>
      <c r="AD374" t="n">
        <v>34.09352386240151</v>
      </c>
      <c r="AE374" t="n">
        <v>34.07847152538866</v>
      </c>
      <c r="AF374" t="n">
        <v>40.03348912784197</v>
      </c>
      <c r="AG374" t="n">
        <v>36.78196078370574</v>
      </c>
      <c r="AH374" t="n">
        <v>36.92374725081869</v>
      </c>
      <c r="AI374" t="n">
        <v>34.59296762771363</v>
      </c>
      <c r="BI374" t="inlineStr">
        <is>
          <t>DS_TOT</t>
        </is>
      </c>
    </row>
    <row r="375">
      <c r="A375" t="inlineStr">
        <is>
          <t>no_year_in_pairs</t>
        </is>
      </c>
      <c r="B375" s="2" t="n"/>
      <c r="C375" s="3" t="inlineStr">
        <is>
          <t>EBS.20.72, Sup. 1</t>
        </is>
      </c>
      <c r="D375" s="4" t="inlineStr">
        <is>
          <t>Dominica</t>
        </is>
      </c>
      <c r="E375" s="4" t="inlineStr">
        <is>
          <t>DMA</t>
        </is>
      </c>
      <c r="F375" s="4" t="n"/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19.29098507407407</v>
      </c>
      <c r="O375" t="n">
        <v>23.2000262931217</v>
      </c>
      <c r="P375" t="n">
        <v>20.56026573796296</v>
      </c>
      <c r="Q375" t="n">
        <v>19.35892920740741</v>
      </c>
      <c r="R375" t="n">
        <v>21.72283074592593</v>
      </c>
      <c r="S375" t="n">
        <v>19.37554563481481</v>
      </c>
      <c r="T375" t="n">
        <v>18.23202283533567</v>
      </c>
      <c r="U375" t="n">
        <v>21.61918769841484</v>
      </c>
      <c r="V375" t="n">
        <v>21.97412548266199</v>
      </c>
      <c r="W375" t="n">
        <v>22.37008669225408</v>
      </c>
      <c r="X375" t="n">
        <v>22.93538490400415</v>
      </c>
      <c r="Y375" t="n">
        <v>23.4490543929614</v>
      </c>
      <c r="Z375" t="n">
        <v>23.47909513172055</v>
      </c>
      <c r="AA375" t="n">
        <v>23.62515841596204</v>
      </c>
      <c r="AB375" t="n">
        <v>22.92194211367318</v>
      </c>
      <c r="AC375" t="n">
        <v>23.40229262523072</v>
      </c>
      <c r="AD375" t="n">
        <v>22.48422117785904</v>
      </c>
      <c r="AE375" t="n">
        <v>22.44384260393961</v>
      </c>
      <c r="AF375" t="n">
        <v>24.02539953830513</v>
      </c>
      <c r="AG375" t="n">
        <v>25.62800766147788</v>
      </c>
      <c r="AH375" t="n">
        <v>27.02137301728004</v>
      </c>
      <c r="AI375" t="n">
        <v>26.78133919746454</v>
      </c>
      <c r="BI375" t="inlineStr">
        <is>
          <t>DS_TOT_P</t>
        </is>
      </c>
    </row>
    <row r="376">
      <c r="A376" t="inlineStr">
        <is>
          <t>no_year_in_pairs</t>
        </is>
      </c>
      <c r="B376" s="2" t="n"/>
      <c r="C376" s="3" t="inlineStr">
        <is>
          <t>EBS.20.72, Sup. 1</t>
        </is>
      </c>
      <c r="D376" s="4" t="inlineStr">
        <is>
          <t>Dominica</t>
        </is>
      </c>
      <c r="E376" s="4" t="inlineStr">
        <is>
          <t>DMA</t>
        </is>
      </c>
      <c r="F376" s="4" t="n"/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9.322147284980392</v>
      </c>
      <c r="O376" t="n">
        <v>7.842405500027514</v>
      </c>
      <c r="P376" t="n">
        <v>10.43824940922052</v>
      </c>
      <c r="Q376" t="n">
        <v>10.64966317875853</v>
      </c>
      <c r="R376" t="n">
        <v>9.872556376971842</v>
      </c>
      <c r="S376" t="n">
        <v>11.66260336727674</v>
      </c>
      <c r="T376" t="n">
        <v>11.3242330872667</v>
      </c>
      <c r="U376" t="n">
        <v>12.43543414214722</v>
      </c>
      <c r="V376" t="n">
        <v>12.81393703693896</v>
      </c>
      <c r="W376" t="n">
        <v>12.93026603617582</v>
      </c>
      <c r="X376" t="n">
        <v>12.86615249304529</v>
      </c>
      <c r="Y376" t="n">
        <v>10.53091180829609</v>
      </c>
      <c r="Z376" t="n">
        <v>9.485996329469183</v>
      </c>
      <c r="AA376" t="n">
        <v>9.604224974659102</v>
      </c>
      <c r="AB376" t="n">
        <v>9.787419169062019</v>
      </c>
      <c r="AC376" t="n">
        <v>11.8753449249241</v>
      </c>
      <c r="AD376" t="n">
        <v>11.60930268454247</v>
      </c>
      <c r="AE376" t="n">
        <v>11.63462892144906</v>
      </c>
      <c r="AF376" t="n">
        <v>16.00808958953684</v>
      </c>
      <c r="AG376" t="n">
        <v>11.15395312222786</v>
      </c>
      <c r="AH376" t="n">
        <v>9.902374233538648</v>
      </c>
      <c r="AI376" t="n">
        <v>7.811628430249082</v>
      </c>
      <c r="BI376" t="inlineStr">
        <is>
          <t>DS_TOT_I</t>
        </is>
      </c>
    </row>
    <row r="377">
      <c r="A377" t="inlineStr">
        <is>
          <t>no_year_in_pairs</t>
        </is>
      </c>
      <c r="B377" s="2" t="n"/>
      <c r="C377" s="3" t="inlineStr">
        <is>
          <t>EBS.20.72, Sup. 1</t>
        </is>
      </c>
      <c r="D377" s="4" t="inlineStr">
        <is>
          <t>Dominica</t>
        </is>
      </c>
      <c r="E377" s="4" t="inlineStr">
        <is>
          <t>DMA</t>
        </is>
      </c>
      <c r="F377" s="4" t="n"/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no_year_in_pairs</t>
        </is>
      </c>
      <c r="B378" s="2" t="n"/>
      <c r="C378" s="3" t="inlineStr">
        <is>
          <t>EBS.20.72, Sup. 1</t>
        </is>
      </c>
      <c r="D378" s="4" t="inlineStr">
        <is>
          <t>Dominica</t>
        </is>
      </c>
      <c r="E378" s="4" t="inlineStr">
        <is>
          <t>DMA</t>
        </is>
      </c>
      <c r="F378" s="4" t="n"/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305.242179722623</v>
      </c>
      <c r="O378" t="n">
        <v>395.8722729116326</v>
      </c>
      <c r="P378" t="n">
        <v>428.7039663745717</v>
      </c>
      <c r="Q378" t="n">
        <v>456.1286654628664</v>
      </c>
      <c r="R378" t="n">
        <v>481.035505457571</v>
      </c>
      <c r="S378" t="n">
        <v>497.1925651170833</v>
      </c>
      <c r="T378" t="n">
        <v>504.036301888517</v>
      </c>
      <c r="U378" t="n">
        <v>509.1525226394356</v>
      </c>
      <c r="V378" t="n">
        <v>513.4869449123715</v>
      </c>
      <c r="W378" t="n">
        <v>516.910198219632</v>
      </c>
      <c r="X378" t="n">
        <v>514.3110306364555</v>
      </c>
      <c r="Y378" t="n">
        <v>510.7101827847985</v>
      </c>
      <c r="Z378" t="n">
        <v>509.5132320136577</v>
      </c>
      <c r="AA378" t="n">
        <v>508.4261664489353</v>
      </c>
      <c r="AB378" t="n">
        <v>506.5103174721714</v>
      </c>
      <c r="AC378" t="n">
        <v>471.5675427449038</v>
      </c>
      <c r="AD378" t="n">
        <v>469.662888256089</v>
      </c>
      <c r="AE378" t="n">
        <v>467.0881688706984</v>
      </c>
      <c r="AF378" t="n">
        <v>463.6708284448481</v>
      </c>
      <c r="AG378" t="n">
        <v>459.9029059138428</v>
      </c>
      <c r="AH378" t="n">
        <v>454.2050015007597</v>
      </c>
      <c r="AI378" t="n">
        <v>450.2046751359345</v>
      </c>
    </row>
    <row r="379">
      <c r="A379" t="inlineStr">
        <is>
          <t>no_year_in_pairs</t>
        </is>
      </c>
      <c r="B379" s="2" t="n"/>
      <c r="C379" s="3" t="inlineStr">
        <is>
          <t>EBS.20.72, Sup. 1</t>
        </is>
      </c>
      <c r="D379" s="4" t="inlineStr">
        <is>
          <t>Dominica</t>
        </is>
      </c>
      <c r="E379" s="4" t="inlineStr">
        <is>
          <t>DMA</t>
        </is>
      </c>
      <c r="F379" s="4" t="n"/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305.242179722623</v>
      </c>
      <c r="O379" t="n">
        <v>395.8722729116326</v>
      </c>
      <c r="P379" t="n">
        <v>428.7039663745716</v>
      </c>
      <c r="Q379" t="n">
        <v>456.1286654628664</v>
      </c>
      <c r="R379" t="n">
        <v>481.035505457571</v>
      </c>
      <c r="S379" t="n">
        <v>497.1925651170832</v>
      </c>
      <c r="T379" t="n">
        <v>504.0363018885168</v>
      </c>
      <c r="U379" t="n">
        <v>509.1525226394356</v>
      </c>
      <c r="V379" t="n">
        <v>513.4869449123715</v>
      </c>
      <c r="W379" t="n">
        <v>516.910198219632</v>
      </c>
      <c r="X379" t="n">
        <v>514.3110306364555</v>
      </c>
      <c r="Y379" t="n">
        <v>510.7101827847985</v>
      </c>
      <c r="Z379" t="n">
        <v>509.5132320136577</v>
      </c>
      <c r="AA379" t="n">
        <v>508.4261664489353</v>
      </c>
      <c r="AB379" t="n">
        <v>506.5103174721714</v>
      </c>
      <c r="AC379" t="n">
        <v>471.5675427449038</v>
      </c>
      <c r="AD379" t="n">
        <v>469.662888256089</v>
      </c>
      <c r="AE379" t="n">
        <v>467.0881688706984</v>
      </c>
      <c r="AF379" t="n">
        <v>463.6708284448481</v>
      </c>
      <c r="AG379" t="n">
        <v>459.9029059138428</v>
      </c>
      <c r="AH379" t="n">
        <v>454.2050015007596</v>
      </c>
      <c r="AI379" t="n">
        <v>450.2046751359345</v>
      </c>
    </row>
    <row r="380">
      <c r="A380" t="inlineStr">
        <is>
          <t>no_year_in_pairs</t>
        </is>
      </c>
      <c r="B380" s="2" t="n"/>
      <c r="C380" s="3" t="inlineStr">
        <is>
          <t>EBS.20.72, Sup. 1</t>
        </is>
      </c>
      <c r="D380" s="4" t="inlineStr">
        <is>
          <t>Dominica</t>
        </is>
      </c>
      <c r="E380" s="4" t="inlineStr">
        <is>
          <t>DMA</t>
        </is>
      </c>
      <c r="F380" s="4" t="n"/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no_year_in_pairs</t>
        </is>
      </c>
      <c r="B381" s="2" t="n"/>
      <c r="C381" s="3" t="inlineStr">
        <is>
          <t>EBS.20.72, Sup. 1</t>
        </is>
      </c>
      <c r="D381" s="4" t="inlineStr">
        <is>
          <t>Dominica</t>
        </is>
      </c>
      <c r="E381" s="4" t="inlineStr">
        <is>
          <t>DMA</t>
        </is>
      </c>
      <c r="F381" s="4" t="n"/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no_year_in_pairs</t>
        </is>
      </c>
      <c r="B382" s="2" t="n"/>
      <c r="C382" s="3" t="inlineStr">
        <is>
          <t>EBS.20.72, Sup. 1</t>
        </is>
      </c>
      <c r="D382" s="4" t="inlineStr">
        <is>
          <t>Dominica</t>
        </is>
      </c>
      <c r="E382" s="4" t="inlineStr">
        <is>
          <t>DMA</t>
        </is>
      </c>
      <c r="F382" s="4" t="n"/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2.7</v>
      </c>
      <c r="O382" t="n">
        <v>2.7</v>
      </c>
      <c r="P382" t="n">
        <v>2.7</v>
      </c>
      <c r="Q382" t="n">
        <v>2.7</v>
      </c>
      <c r="R382" t="n">
        <v>2.7</v>
      </c>
      <c r="S382" t="n">
        <v>2.7</v>
      </c>
      <c r="T382" t="n">
        <v>2.7</v>
      </c>
      <c r="U382" t="n">
        <v>2.7</v>
      </c>
      <c r="V382" t="n">
        <v>2.7</v>
      </c>
      <c r="W382" t="n">
        <v>2.7</v>
      </c>
      <c r="X382" t="n">
        <v>2.7</v>
      </c>
      <c r="Y382" t="n">
        <v>2.7</v>
      </c>
      <c r="Z382" t="n">
        <v>2.7</v>
      </c>
      <c r="AA382" t="n">
        <v>2.7</v>
      </c>
      <c r="AB382" t="n">
        <v>2.7</v>
      </c>
      <c r="AC382" t="n">
        <v>2.7</v>
      </c>
      <c r="AD382" t="n">
        <v>2.7</v>
      </c>
      <c r="AE382" t="n">
        <v>2.7</v>
      </c>
      <c r="AF382" t="n">
        <v>2.7</v>
      </c>
      <c r="AG382" t="n">
        <v>2.7</v>
      </c>
      <c r="AH382" t="n">
        <v>2.7</v>
      </c>
      <c r="AI382" t="n">
        <v>2.7</v>
      </c>
    </row>
    <row r="383">
      <c r="A383" t="inlineStr">
        <is>
          <t>no_year_in_pairs</t>
        </is>
      </c>
      <c r="B383" s="2" t="n"/>
      <c r="C383" s="3" t="inlineStr">
        <is>
          <t>EBS.20.72, Sup. 1</t>
        </is>
      </c>
      <c r="D383" s="4" t="inlineStr">
        <is>
          <t>Dominica</t>
        </is>
      </c>
      <c r="E383" s="4" t="inlineStr">
        <is>
          <t>DMA</t>
        </is>
      </c>
      <c r="F383" s="4" t="n"/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2.7</v>
      </c>
      <c r="O383" t="n">
        <v>2.7</v>
      </c>
      <c r="P383" t="n">
        <v>2.7</v>
      </c>
      <c r="Q383" t="n">
        <v>2.7</v>
      </c>
      <c r="R383" t="n">
        <v>2.7</v>
      </c>
      <c r="S383" t="n">
        <v>2.7</v>
      </c>
      <c r="T383" t="n">
        <v>2.7</v>
      </c>
      <c r="U383" t="n">
        <v>2.7</v>
      </c>
      <c r="V383" t="n">
        <v>2.7</v>
      </c>
      <c r="W383" t="n">
        <v>2.7</v>
      </c>
      <c r="X383" t="n">
        <v>2.7</v>
      </c>
      <c r="Y383" t="n">
        <v>2.7</v>
      </c>
      <c r="Z383" t="n">
        <v>2.7</v>
      </c>
      <c r="AA383" t="n">
        <v>2.7</v>
      </c>
      <c r="AB383" t="n">
        <v>2.7</v>
      </c>
      <c r="AC383" t="n">
        <v>2.7</v>
      </c>
      <c r="AD383" t="n">
        <v>2.7</v>
      </c>
      <c r="AE383" t="n">
        <v>2.7</v>
      </c>
      <c r="AF383" t="n">
        <v>2.7</v>
      </c>
      <c r="AG383" t="n">
        <v>2.7</v>
      </c>
      <c r="AH383" t="n">
        <v>2.7</v>
      </c>
      <c r="AI383" t="n">
        <v>2.7</v>
      </c>
    </row>
    <row r="384">
      <c r="A384" t="inlineStr">
        <is>
          <t>no_year_in_pairs</t>
        </is>
      </c>
      <c r="B384" s="2" t="n"/>
      <c r="C384" s="3" t="inlineStr">
        <is>
          <t>EBS.20.72, Sup. 1</t>
        </is>
      </c>
      <c r="D384" s="4" t="inlineStr">
        <is>
          <t>Dominica</t>
        </is>
      </c>
      <c r="E384" s="4" t="inlineStr">
        <is>
          <t>DMA</t>
        </is>
      </c>
      <c r="F384" s="4" t="n"/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no_year_in_pairs</t>
        </is>
      </c>
      <c r="B385" s="2" t="n"/>
      <c r="C385" s="3" t="inlineStr">
        <is>
          <t>EBS.20.72, Sup. 1</t>
        </is>
      </c>
      <c r="D385" s="4" t="inlineStr">
        <is>
          <t>Dominica</t>
        </is>
      </c>
      <c r="E385" s="4" t="inlineStr">
        <is>
          <t>DMA</t>
        </is>
      </c>
      <c r="F385" s="4" t="n"/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no_year_in_pairs</t>
        </is>
      </c>
      <c r="B386" s="2" t="n"/>
      <c r="C386" s="3" t="inlineStr">
        <is>
          <t>EBS.20.72, Sup. 1</t>
        </is>
      </c>
      <c r="D386" s="4" t="inlineStr">
        <is>
          <t>Dominica</t>
        </is>
      </c>
      <c r="E386" s="4" t="inlineStr">
        <is>
          <t>DMA</t>
        </is>
      </c>
      <c r="F386" s="4" t="n"/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no_year_in_pairs</t>
        </is>
      </c>
      <c r="B387" s="2" t="n"/>
      <c r="C387" s="3" t="inlineStr">
        <is>
          <t>EBS.20.72, Sup. 1</t>
        </is>
      </c>
      <c r="D387" s="4" t="inlineStr">
        <is>
          <t>Dominica</t>
        </is>
      </c>
      <c r="E387" s="4" t="inlineStr">
        <is>
          <t>DMA</t>
        </is>
      </c>
      <c r="F387" s="4" t="n"/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65.10394968873113</v>
      </c>
      <c r="P387" t="n">
        <v>26.58151853020806</v>
      </c>
      <c r="Q387" t="n">
        <v>24.44137990479548</v>
      </c>
      <c r="R387" t="n">
        <v>25.08671146909101</v>
      </c>
      <c r="S387" t="n">
        <v>18.92852267677958</v>
      </c>
      <c r="T387" t="n">
        <v>13.18197783703135</v>
      </c>
      <c r="U387" t="n">
        <v>14.57797774224981</v>
      </c>
      <c r="V387" t="n">
        <v>14.0248146739389</v>
      </c>
      <c r="W387" t="n">
        <v>14.13337048956993</v>
      </c>
      <c r="X387" t="n">
        <v>11.48634683684978</v>
      </c>
      <c r="Y387" t="n">
        <v>12.56137339344193</v>
      </c>
      <c r="Z387" t="n">
        <v>15.53417226872646</v>
      </c>
      <c r="AA387" t="n">
        <v>16.99116955593352</v>
      </c>
      <c r="AB387" t="n">
        <v>15.86373420555499</v>
      </c>
      <c r="AC387" t="n">
        <v>-3.408554124469721</v>
      </c>
      <c r="AD387" t="n">
        <v>14.93795304951816</v>
      </c>
      <c r="AE387" t="n">
        <v>14.38666126688694</v>
      </c>
      <c r="AF387" t="n">
        <v>14.65608241248052</v>
      </c>
      <c r="AG387" t="n">
        <v>15.23255311941896</v>
      </c>
      <c r="AH387" t="n">
        <v>14.63085792919472</v>
      </c>
      <c r="AI387" t="n">
        <v>15.49210866649719</v>
      </c>
      <c r="BI387" t="inlineStr">
        <is>
          <t>PV_NEW_DIS_GE</t>
        </is>
      </c>
    </row>
    <row r="388">
      <c r="A388" t="inlineStr">
        <is>
          <t>no_year_in_pairs</t>
        </is>
      </c>
      <c r="B388" s="2" t="n"/>
      <c r="C388" s="3" t="inlineStr">
        <is>
          <t>EBS.20.72, Sup. 1</t>
        </is>
      </c>
      <c r="D388" s="4" t="inlineStr">
        <is>
          <t>Dominica</t>
        </is>
      </c>
      <c r="E388" s="4" t="inlineStr">
        <is>
          <t>DMA</t>
        </is>
      </c>
      <c r="F388" s="4" t="n"/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42.80604291296476</v>
      </c>
      <c r="P388" t="n">
        <v>50.21437885396232</v>
      </c>
      <c r="Q388" t="n">
        <v>47.75655331751857</v>
      </c>
      <c r="R388" t="n">
        <v>46.20011020744383</v>
      </c>
      <c r="S388" t="n">
        <v>46.72914490792603</v>
      </c>
      <c r="T388" t="n">
        <v>47.43139173549575</v>
      </c>
      <c r="U388" t="n">
        <v>45.47314371547143</v>
      </c>
      <c r="V388" t="n">
        <v>46.69103439601788</v>
      </c>
      <c r="W388" t="n">
        <v>45.20534955986334</v>
      </c>
      <c r="X388" t="n">
        <v>43.51778083583986</v>
      </c>
      <c r="Y388" t="n">
        <v>36.71280391353452</v>
      </c>
      <c r="Z388" t="n">
        <v>30.28421314687955</v>
      </c>
      <c r="AA388" t="n">
        <v>24.61132506604718</v>
      </c>
      <c r="AB388" t="n">
        <v>24.48032053289673</v>
      </c>
      <c r="AC388" t="n">
        <v>70.46436973488206</v>
      </c>
      <c r="AD388" t="n">
        <v>27.41366582091095</v>
      </c>
      <c r="AE388" t="n">
        <v>27.59287307929067</v>
      </c>
      <c r="AF388" t="n">
        <v>28.8817916694402</v>
      </c>
      <c r="AG388" t="n">
        <v>30.31796066436623</v>
      </c>
      <c r="AH388" t="n">
        <v>31.38612577169972</v>
      </c>
      <c r="AI388" t="n">
        <v>31.99552284918179</v>
      </c>
      <c r="BI388" t="inlineStr">
        <is>
          <t>NEW_DIS_GE_PCT</t>
        </is>
      </c>
    </row>
    <row r="389">
      <c r="A389" t="inlineStr">
        <is>
          <t>no_year_in_pairs</t>
        </is>
      </c>
      <c r="B389" s="2" t="n"/>
      <c r="C389" s="3" t="inlineStr">
        <is>
          <t>EBS.20.72, Sup. 1</t>
        </is>
      </c>
      <c r="D389" s="4" t="inlineStr">
        <is>
          <t>Dominica</t>
        </is>
      </c>
      <c r="E389" s="4" t="inlineStr">
        <is>
          <t>DMA</t>
        </is>
      </c>
      <c r="F389" s="4" t="n"/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48.72616979340019</v>
      </c>
      <c r="P389" t="n">
        <v>26.8104406706939</v>
      </c>
      <c r="Q389" t="n">
        <v>22.34224839090674</v>
      </c>
      <c r="R389" t="n">
        <v>21.54295927153948</v>
      </c>
      <c r="S389" t="n">
        <v>16.6040826175475</v>
      </c>
      <c r="T389" t="n">
        <v>11.89378176973796</v>
      </c>
      <c r="U389" t="n">
        <v>12.15743070708374</v>
      </c>
      <c r="V389" t="n">
        <v>12.28373308165901</v>
      </c>
      <c r="W389" t="n">
        <v>11.65996950994459</v>
      </c>
      <c r="X389" t="n">
        <v>8.849870483977888</v>
      </c>
      <c r="Y389" t="n">
        <v>7.286833147862389</v>
      </c>
      <c r="Z389" t="n">
        <v>6.747972091853407</v>
      </c>
      <c r="AA389" t="n">
        <v>5.54692329530613</v>
      </c>
      <c r="AB389" t="n">
        <v>5.142358931354192</v>
      </c>
      <c r="AC389" t="n">
        <v>-8.13192797756715</v>
      </c>
      <c r="AD389" t="n">
        <v>5.641613639526102</v>
      </c>
      <c r="AE389" t="n">
        <v>5.482461951662114</v>
      </c>
      <c r="AF389" t="n">
        <v>5.951976699974283</v>
      </c>
      <c r="AG389" t="n">
        <v>6.62753201105366</v>
      </c>
      <c r="AH389" t="n">
        <v>6.692610675002124</v>
      </c>
      <c r="AI389" t="n">
        <v>7.288904166142158</v>
      </c>
      <c r="BI389" t="inlineStr">
        <is>
          <t>NEW_DIS_GE_USD</t>
        </is>
      </c>
    </row>
    <row r="390">
      <c r="A390" t="inlineStr">
        <is>
          <t>no_year_in_pairs</t>
        </is>
      </c>
      <c r="B390" s="2" t="n"/>
      <c r="C390" s="3" t="inlineStr">
        <is>
          <t>EBS.20.72, Sup. 1</t>
        </is>
      </c>
      <c r="D390" s="4" t="inlineStr">
        <is>
          <t>Dominica</t>
        </is>
      </c>
      <c r="E390" s="4" t="inlineStr">
        <is>
          <t>DMA</t>
        </is>
      </c>
      <c r="F390" s="4" t="n"/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5.000000000000001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no_year_in_pairs</t>
        </is>
      </c>
      <c r="B391" s="2" t="n"/>
      <c r="C391" s="3" t="inlineStr">
        <is>
          <t>EBS.20.72, Sup. 1</t>
        </is>
      </c>
      <c r="D391" s="4" t="inlineStr">
        <is>
          <t>Dominica</t>
        </is>
      </c>
      <c r="E391" s="4" t="inlineStr">
        <is>
          <t>DMA</t>
        </is>
      </c>
      <c r="F391" s="4" t="n"/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no_year_in_pairs</t>
        </is>
      </c>
      <c r="B392" s="2" t="n"/>
      <c r="C392" s="3" t="inlineStr">
        <is>
          <t>EBS.20.72, Sup. 1</t>
        </is>
      </c>
      <c r="D392" s="4" t="inlineStr">
        <is>
          <t>Dominica</t>
        </is>
      </c>
      <c r="E392" s="4" t="inlineStr">
        <is>
          <t>DMA</t>
        </is>
      </c>
      <c r="F392" s="4" t="n"/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no_year_in_pairs</t>
        </is>
      </c>
      <c r="B393" s="2" t="n"/>
      <c r="C393" s="3" t="inlineStr">
        <is>
          <t>EBS.20.72, Sup. 1</t>
        </is>
      </c>
      <c r="D393" s="4" t="inlineStr">
        <is>
          <t>Dominica</t>
        </is>
      </c>
      <c r="E393" s="4" t="inlineStr">
        <is>
          <t>DMA</t>
        </is>
      </c>
      <c r="F393" s="4" t="n"/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no_year_in_pairs</t>
        </is>
      </c>
      <c r="B394" s="2" t="n"/>
      <c r="C394" s="3" t="inlineStr">
        <is>
          <t>EBS.20.72, Sup. 1</t>
        </is>
      </c>
      <c r="D394" s="4" t="inlineStr">
        <is>
          <t>Dominica</t>
        </is>
      </c>
      <c r="E394" s="4" t="inlineStr">
        <is>
          <t>DMA</t>
        </is>
      </c>
      <c r="F394" s="4" t="n"/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no_year_in_pairs</t>
        </is>
      </c>
      <c r="B395" s="2" t="n"/>
      <c r="C395" s="3" t="inlineStr">
        <is>
          <t>EBS.20.72, Sup. 1</t>
        </is>
      </c>
      <c r="D395" s="4" t="inlineStr">
        <is>
          <t>Dominica</t>
        </is>
      </c>
      <c r="E395" s="4" t="inlineStr">
        <is>
          <t>DMA</t>
        </is>
      </c>
      <c r="F395" s="4" t="n"/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no_year_in_pairs</t>
        </is>
      </c>
      <c r="B396" s="2" t="n"/>
      <c r="C396" s="3" t="inlineStr">
        <is>
          <t>EBS.20.72, Sup. 1</t>
        </is>
      </c>
      <c r="D396" s="4" t="inlineStr">
        <is>
          <t>Dominica</t>
        </is>
      </c>
      <c r="E396" s="4" t="inlineStr">
        <is>
          <t>DMA</t>
        </is>
      </c>
      <c r="F396" s="4" t="n"/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no_year_in_pairs</t>
        </is>
      </c>
      <c r="B397" s="2" t="n"/>
      <c r="C397" s="3" t="inlineStr">
        <is>
          <t>EBS.20.72, Sup. 1</t>
        </is>
      </c>
      <c r="D397" s="4" t="inlineStr">
        <is>
          <t>Dominica</t>
        </is>
      </c>
      <c r="E397" s="4" t="inlineStr">
        <is>
          <t>DMA</t>
        </is>
      </c>
      <c r="F397" s="4" t="n"/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96.25219483577504</v>
      </c>
      <c r="P397" t="n">
        <v>53.19677237036898</v>
      </c>
      <c r="Q397" t="n">
        <v>43.97226137129308</v>
      </c>
      <c r="R397" t="n">
        <v>42.66453590295144</v>
      </c>
      <c r="S397" t="n">
        <v>32.27345124872986</v>
      </c>
      <c r="T397" t="n">
        <v>22.1054961299352</v>
      </c>
      <c r="U397" t="n">
        <v>23.80572743909946</v>
      </c>
      <c r="V397" t="n">
        <v>24.16241934679699</v>
      </c>
      <c r="W397" t="n">
        <v>23.10971969992342</v>
      </c>
      <c r="X397" t="n">
        <v>17.45269191815644</v>
      </c>
      <c r="Y397" t="n">
        <v>13.56828734342977</v>
      </c>
      <c r="Z397" t="n">
        <v>11.65593152999946</v>
      </c>
      <c r="AA397" t="n">
        <v>8.099164873881747</v>
      </c>
      <c r="AB397" t="n">
        <v>7.824611750828186</v>
      </c>
      <c r="AC397" t="n">
        <v>-24.19014495246097</v>
      </c>
      <c r="AD397" t="n">
        <v>10.32946378051096</v>
      </c>
      <c r="AE397" t="n">
        <v>10.25906848982776</v>
      </c>
      <c r="AF397" t="n">
        <v>11.70769083716463</v>
      </c>
      <c r="AG397" t="n">
        <v>13.87317931066991</v>
      </c>
      <c r="AH397" t="n">
        <v>14.3867248611135</v>
      </c>
      <c r="AI397" t="n">
        <v>15.89436367852647</v>
      </c>
    </row>
    <row r="398">
      <c r="A398" t="inlineStr">
        <is>
          <t>no_year_in_pairs</t>
        </is>
      </c>
      <c r="B398" s="2" t="n"/>
      <c r="C398" s="3" t="inlineStr">
        <is>
          <t>EBS.20.72, Sup. 1</t>
        </is>
      </c>
      <c r="D398" s="4" t="inlineStr">
        <is>
          <t>Dominica</t>
        </is>
      </c>
      <c r="E398" s="4" t="inlineStr">
        <is>
          <t>DMA</t>
        </is>
      </c>
      <c r="F398" s="4" t="n"/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no_year_in_pairs</t>
        </is>
      </c>
      <c r="B399" s="2" t="n"/>
      <c r="C399" s="3" t="inlineStr">
        <is>
          <t>EBS.20.72, Sup. 1</t>
        </is>
      </c>
      <c r="D399" s="4" t="inlineStr">
        <is>
          <t>Dominica</t>
        </is>
      </c>
      <c r="E399" s="4" t="inlineStr">
        <is>
          <t>DMA</t>
        </is>
      </c>
      <c r="F399" s="4" t="n"/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no_year_in_pairs</t>
        </is>
      </c>
      <c r="B400" s="2" t="n"/>
      <c r="C400" s="3" t="inlineStr">
        <is>
          <t>EBS.20.72, Sup. 1</t>
        </is>
      </c>
      <c r="D400" s="4" t="inlineStr">
        <is>
          <t>Dominica</t>
        </is>
      </c>
      <c r="E400" s="4" t="inlineStr">
        <is>
          <t>DMA</t>
        </is>
      </c>
      <c r="F400" s="4" t="n"/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small economy</t>
        </is>
      </c>
      <c r="O400" t="n">
        <v>31</v>
      </c>
      <c r="P400" t="n">
        <v>25</v>
      </c>
      <c r="Q400" t="n">
        <v>20</v>
      </c>
      <c r="R400" t="n">
        <v>18</v>
      </c>
      <c r="S400" t="n">
        <v>15</v>
      </c>
      <c r="T400" t="n">
        <v>12.4383439052953</v>
      </c>
      <c r="U400" t="n">
        <v>10.3032471803082</v>
      </c>
      <c r="V400" t="n">
        <v>10.6682645823605</v>
      </c>
      <c r="W400" t="n">
        <v>9.387886005507481</v>
      </c>
      <c r="X400" t="n">
        <v>6.80332656050949</v>
      </c>
      <c r="Y400" t="n">
        <v>4.93043833071733</v>
      </c>
      <c r="Z400" t="n">
        <v>3.57787571654262</v>
      </c>
      <c r="AA400" t="n">
        <v>2.59623858617019</v>
      </c>
      <c r="AB400" t="n">
        <v>1.88151994282926</v>
      </c>
      <c r="AC400" t="n">
        <v>1.36355620992806</v>
      </c>
      <c r="AD400" t="n">
        <v>0.9881827427444291</v>
      </c>
      <c r="AE400" t="n">
        <v>0.7161458588563989</v>
      </c>
      <c r="AF400" t="n">
        <v>0.518998024325761</v>
      </c>
      <c r="AG400" t="n">
        <v>0.00575265809226268</v>
      </c>
      <c r="AH400" t="n">
        <v>-0.09779027197079181</v>
      </c>
      <c r="AI400" t="n">
        <v>-0.172828862882201</v>
      </c>
    </row>
    <row r="401">
      <c r="A401" t="inlineStr">
        <is>
          <t>no_year_in_pairs</t>
        </is>
      </c>
      <c r="B401" s="2" t="n"/>
      <c r="C401" s="3" t="inlineStr">
        <is>
          <t>EBS.20.72, Sup. 1</t>
        </is>
      </c>
      <c r="D401" s="4" t="inlineStr">
        <is>
          <t>Dominica</t>
        </is>
      </c>
      <c r="E401" s="4" t="inlineStr">
        <is>
          <t>DMA</t>
        </is>
      </c>
      <c r="F401" s="4" t="n"/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no_year_in_pairs</t>
        </is>
      </c>
      <c r="B402" s="2" t="n"/>
      <c r="C402" s="3" t="inlineStr">
        <is>
          <t>EBS.20.72, Sup. 1</t>
        </is>
      </c>
      <c r="D402" s="4" t="inlineStr">
        <is>
          <t>Dominica</t>
        </is>
      </c>
      <c r="E402" s="4" t="inlineStr">
        <is>
          <t>DMA</t>
        </is>
      </c>
      <c r="F402" s="4" t="n"/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CDB</t>
        </is>
      </c>
      <c r="O402" t="n">
        <v>30</v>
      </c>
      <c r="P402" t="n">
        <v>15</v>
      </c>
      <c r="Q402" t="n">
        <v>12</v>
      </c>
      <c r="R402" t="n">
        <v>12</v>
      </c>
      <c r="S402" t="n">
        <v>10</v>
      </c>
      <c r="T402" t="n">
        <v>8</v>
      </c>
      <c r="U402" t="n">
        <v>8.28345578700544</v>
      </c>
      <c r="V402" t="n">
        <v>8.576917203437951</v>
      </c>
      <c r="W402" t="n">
        <v>8.8794552195034</v>
      </c>
      <c r="X402" t="n">
        <v>5.515603543508441</v>
      </c>
      <c r="Y402" t="n">
        <v>3.42618228884083</v>
      </c>
      <c r="Z402" t="n">
        <v>2.13109787280606</v>
      </c>
      <c r="AA402" t="n">
        <v>1.32548847415707</v>
      </c>
      <c r="AB402" t="n">
        <v>0.823366876571258</v>
      </c>
      <c r="AC402" t="n">
        <v>0.511458995938713</v>
      </c>
      <c r="AD402" t="n">
        <v>0.317708073970591</v>
      </c>
      <c r="AE402" t="n">
        <v>0.197353885780901</v>
      </c>
      <c r="AF402" t="n">
        <v>0.12259227707391</v>
      </c>
      <c r="AG402" t="n">
        <v>0.07615186465013911</v>
      </c>
      <c r="AH402" t="n">
        <v>0.0473040115422351</v>
      </c>
      <c r="AI402" t="n">
        <v>0.0293843035658856</v>
      </c>
    </row>
    <row r="403">
      <c r="A403" t="inlineStr">
        <is>
          <t>no_year_in_pairs</t>
        </is>
      </c>
      <c r="B403" s="2" t="n"/>
      <c r="C403" s="3" t="inlineStr">
        <is>
          <t>EBS.20.72, Sup. 1</t>
        </is>
      </c>
      <c r="D403" s="4" t="inlineStr">
        <is>
          <t>Dominica</t>
        </is>
      </c>
      <c r="E403" s="4" t="inlineStr">
        <is>
          <t>DMA</t>
        </is>
      </c>
      <c r="F403" s="4" t="n"/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MULTIRES</t>
        </is>
      </c>
      <c r="O403" t="n">
        <v>35.25219483577505</v>
      </c>
      <c r="P403" t="n">
        <v>13.19677237036898</v>
      </c>
      <c r="Q403" t="n">
        <v>11.97226137129308</v>
      </c>
      <c r="R403" t="n">
        <v>12.66453590295144</v>
      </c>
      <c r="S403" t="n">
        <v>7.27345124872986</v>
      </c>
      <c r="T403" t="n">
        <v>1.667152224639903</v>
      </c>
      <c r="U403" t="n">
        <v>5.219024471785813</v>
      </c>
      <c r="V403" t="n">
        <v>4.917237560998542</v>
      </c>
      <c r="W403" t="n">
        <v>4.842378474912542</v>
      </c>
      <c r="X403" t="n">
        <v>5.133761814138513</v>
      </c>
      <c r="Y403" t="n">
        <v>5.211666723871612</v>
      </c>
      <c r="Z403" t="n">
        <v>5.946957940650783</v>
      </c>
      <c r="AA403" t="n">
        <v>4.177437813554487</v>
      </c>
      <c r="AB403" t="n">
        <v>5.119724931427668</v>
      </c>
      <c r="AC403" t="n">
        <v>-26.06516015832775</v>
      </c>
      <c r="AD403" t="n">
        <v>9.023572963795942</v>
      </c>
      <c r="AE403" t="n">
        <v>9.345568745190464</v>
      </c>
      <c r="AF403" t="n">
        <v>11.06610053576496</v>
      </c>
      <c r="AG403" t="n">
        <v>13.79127478792751</v>
      </c>
      <c r="AH403" t="n">
        <v>14.43721112154206</v>
      </c>
      <c r="AI403" t="n">
        <v>16.03780823784279</v>
      </c>
    </row>
    <row r="404">
      <c r="A404" t="inlineStr">
        <is>
          <t>no_year_in_pairs</t>
        </is>
      </c>
      <c r="B404" s="2" t="n"/>
      <c r="C404" s="3" t="inlineStr">
        <is>
          <t>EBS.20.72, Sup. 1</t>
        </is>
      </c>
      <c r="D404" s="4" t="inlineStr">
        <is>
          <t>Dominica</t>
        </is>
      </c>
      <c r="E404" s="4" t="inlineStr">
        <is>
          <t>DMA</t>
        </is>
      </c>
      <c r="F404" s="4" t="n"/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no_year_in_pairs</t>
        </is>
      </c>
      <c r="B405" s="2" t="n"/>
      <c r="C405" s="3" t="inlineStr">
        <is>
          <t>EBS.20.72, Sup. 1</t>
        </is>
      </c>
      <c r="D405" s="4" t="inlineStr">
        <is>
          <t>Dominica</t>
        </is>
      </c>
      <c r="E405" s="4" t="inlineStr">
        <is>
          <t>DMA</t>
        </is>
      </c>
      <c r="F405" s="4" t="n"/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no_year_in_pairs</t>
        </is>
      </c>
      <c r="B406" s="2" t="n"/>
      <c r="C406" s="3" t="inlineStr">
        <is>
          <t>EBS.20.72, Sup. 1</t>
        </is>
      </c>
      <c r="D406" s="4" t="inlineStr">
        <is>
          <t>Dominica</t>
        </is>
      </c>
      <c r="E406" s="4" t="inlineStr">
        <is>
          <t>DMA</t>
        </is>
      </c>
      <c r="F406" s="4" t="n"/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no_year_in_pairs</t>
        </is>
      </c>
      <c r="B407" s="2" t="n"/>
      <c r="C407" s="3" t="inlineStr">
        <is>
          <t>EBS.20.72, Sup. 1</t>
        </is>
      </c>
      <c r="D407" s="4" t="inlineStr">
        <is>
          <t>Dominica</t>
        </is>
      </c>
      <c r="E407" s="4" t="inlineStr">
        <is>
          <t>DMA</t>
        </is>
      </c>
      <c r="F407" s="4" t="n"/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no_year_in_pairs</t>
        </is>
      </c>
      <c r="B408" s="2" t="n"/>
      <c r="C408" s="3" t="inlineStr">
        <is>
          <t>EBS.20.72, Sup. 1</t>
        </is>
      </c>
      <c r="D408" s="4" t="inlineStr">
        <is>
          <t>Dominica</t>
        </is>
      </c>
      <c r="E408" s="4" t="inlineStr">
        <is>
          <t>DMA</t>
        </is>
      </c>
      <c r="F408" s="4" t="n"/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no_year_in_pairs</t>
        </is>
      </c>
      <c r="B409" s="2" t="n"/>
      <c r="C409" s="3" t="inlineStr">
        <is>
          <t>EBS.20.72, Sup. 1</t>
        </is>
      </c>
      <c r="D409" s="4" t="inlineStr">
        <is>
          <t>Dominica</t>
        </is>
      </c>
      <c r="E409" s="4" t="inlineStr">
        <is>
          <t>DMA</t>
        </is>
      </c>
      <c r="F409" s="4" t="n"/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no_year_in_pairs</t>
        </is>
      </c>
      <c r="B410" s="2" t="n"/>
      <c r="C410" s="3" t="inlineStr">
        <is>
          <t>EBS.20.72, Sup. 1</t>
        </is>
      </c>
      <c r="D410" s="4" t="inlineStr">
        <is>
          <t>Dominica</t>
        </is>
      </c>
      <c r="E410" s="4" t="inlineStr">
        <is>
          <t>DMA</t>
        </is>
      </c>
      <c r="F410" s="4" t="n"/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no_year_in_pairs</t>
        </is>
      </c>
      <c r="B411" s="2" t="n"/>
      <c r="C411" s="3" t="inlineStr">
        <is>
          <t>EBS.20.72, Sup. 1</t>
        </is>
      </c>
      <c r="D411" s="4" t="inlineStr">
        <is>
          <t>Dominica</t>
        </is>
      </c>
      <c r="E411" s="4" t="inlineStr">
        <is>
          <t>DMA</t>
        </is>
      </c>
      <c r="F411" s="4" t="n"/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no_year_in_pairs</t>
        </is>
      </c>
      <c r="B412" s="2" t="n"/>
      <c r="C412" s="3" t="inlineStr">
        <is>
          <t>EBS.20.72, Sup. 1</t>
        </is>
      </c>
      <c r="D412" s="4" t="inlineStr">
        <is>
          <t>Dominica</t>
        </is>
      </c>
      <c r="E412" s="4" t="inlineStr">
        <is>
          <t>DMA</t>
        </is>
      </c>
      <c r="F412" s="4" t="n"/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no_year_in_pairs</t>
        </is>
      </c>
      <c r="B413" s="2" t="n"/>
      <c r="C413" s="3" t="inlineStr">
        <is>
          <t>EBS.20.72, Sup. 1</t>
        </is>
      </c>
      <c r="D413" s="4" t="inlineStr">
        <is>
          <t>Dominica</t>
        </is>
      </c>
      <c r="E413" s="4" t="inlineStr">
        <is>
          <t>DMA</t>
        </is>
      </c>
      <c r="F413" s="4" t="n"/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NPC2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no_year_in_pairs</t>
        </is>
      </c>
      <c r="B414" s="2" t="n"/>
      <c r="C414" s="3" t="inlineStr">
        <is>
          <t>EBS.20.72, Sup. 1</t>
        </is>
      </c>
      <c r="D414" s="4" t="inlineStr">
        <is>
          <t>Dominica</t>
        </is>
      </c>
      <c r="E414" s="4" t="inlineStr">
        <is>
          <t>DMA</t>
        </is>
      </c>
      <c r="F414" s="4" t="n"/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no_year_in_pairs</t>
        </is>
      </c>
      <c r="B415" s="2" t="n"/>
      <c r="C415" s="3" t="inlineStr">
        <is>
          <t>EBS.20.72, Sup. 1</t>
        </is>
      </c>
      <c r="D415" s="4" t="inlineStr">
        <is>
          <t>Dominica</t>
        </is>
      </c>
      <c r="E415" s="4" t="inlineStr">
        <is>
          <t>DMA</t>
        </is>
      </c>
      <c r="F415" s="4" t="n"/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no_year_in_pairs</t>
        </is>
      </c>
      <c r="B416" s="2" t="n"/>
      <c r="C416" s="3" t="inlineStr">
        <is>
          <t>EBS.20.72, Sup. 1</t>
        </is>
      </c>
      <c r="D416" s="4" t="inlineStr">
        <is>
          <t>Dominica</t>
        </is>
      </c>
      <c r="E416" s="4" t="inlineStr">
        <is>
          <t>DMA</t>
        </is>
      </c>
      <c r="F416" s="4" t="n"/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no_year_in_pairs</t>
        </is>
      </c>
      <c r="B417" s="2" t="n"/>
      <c r="C417" s="3" t="inlineStr">
        <is>
          <t>EBS.20.72, Sup. 1</t>
        </is>
      </c>
      <c r="D417" s="4" t="inlineStr">
        <is>
          <t>Dominica</t>
        </is>
      </c>
      <c r="E417" s="4" t="inlineStr">
        <is>
          <t>DMA</t>
        </is>
      </c>
      <c r="F417" s="4" t="n"/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no_year_in_pairs</t>
        </is>
      </c>
      <c r="B418" s="2" t="n"/>
      <c r="C418" s="3" t="inlineStr">
        <is>
          <t>EBS.20.72, Sup. 1</t>
        </is>
      </c>
      <c r="D418" s="4" t="inlineStr">
        <is>
          <t>Dominica</t>
        </is>
      </c>
      <c r="E418" s="4" t="inlineStr">
        <is>
          <t>DMA</t>
        </is>
      </c>
      <c r="F418" s="4" t="n"/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no_year_in_pairs</t>
        </is>
      </c>
      <c r="B419" s="2" t="n"/>
      <c r="C419" s="3" t="inlineStr">
        <is>
          <t>EBS.20.72, Sup. 1</t>
        </is>
      </c>
      <c r="D419" s="4" t="inlineStr">
        <is>
          <t>Dominica</t>
        </is>
      </c>
      <c r="E419" s="4" t="inlineStr">
        <is>
          <t>DMA</t>
        </is>
      </c>
      <c r="F419" s="4" t="n"/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no_year_in_pairs</t>
        </is>
      </c>
      <c r="B420" s="2" t="n"/>
      <c r="C420" s="3" t="inlineStr">
        <is>
          <t>EBS.20.72, Sup. 1</t>
        </is>
      </c>
      <c r="D420" s="4" t="inlineStr">
        <is>
          <t>Dominica</t>
        </is>
      </c>
      <c r="E420" s="4" t="inlineStr">
        <is>
          <t>DMA</t>
        </is>
      </c>
      <c r="F420" s="4" t="n"/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no_year_in_pairs</t>
        </is>
      </c>
      <c r="B421" s="2" t="n"/>
      <c r="C421" s="3" t="inlineStr">
        <is>
          <t>EBS.20.72, Sup. 1</t>
        </is>
      </c>
      <c r="D421" s="4" t="inlineStr">
        <is>
          <t>Dominica</t>
        </is>
      </c>
      <c r="E421" s="4" t="inlineStr">
        <is>
          <t>DMA</t>
        </is>
      </c>
      <c r="F421" s="4" t="n"/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no_year_in_pairs</t>
        </is>
      </c>
      <c r="B422" s="2" t="n"/>
      <c r="C422" s="3" t="inlineStr">
        <is>
          <t>EBS.20.72, Sup. 1</t>
        </is>
      </c>
      <c r="D422" s="4" t="inlineStr">
        <is>
          <t>Dominica</t>
        </is>
      </c>
      <c r="E422" s="4" t="inlineStr">
        <is>
          <t>DMA</t>
        </is>
      </c>
      <c r="F422" s="4" t="n"/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no_year_in_pairs</t>
        </is>
      </c>
      <c r="B423" s="2" t="n"/>
      <c r="C423" s="3" t="inlineStr">
        <is>
          <t>EBS.20.72, Sup. 1</t>
        </is>
      </c>
      <c r="D423" s="4" t="inlineStr">
        <is>
          <t>Dominica</t>
        </is>
      </c>
      <c r="E423" s="4" t="inlineStr">
        <is>
          <t>DMA</t>
        </is>
      </c>
      <c r="F423" s="4" t="n"/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no_year_in_pairs</t>
        </is>
      </c>
      <c r="C424" t="inlineStr">
        <is>
          <t>EBS.20.72, Sup. 1</t>
        </is>
      </c>
      <c r="D424" t="inlineStr">
        <is>
          <t>Dominica</t>
        </is>
      </c>
      <c r="E424" t="inlineStr">
        <is>
          <t>DMA</t>
        </is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2017</v>
      </c>
      <c r="P1" t="n">
        <v>2018</v>
      </c>
      <c r="Q1" t="n">
        <v>2019</v>
      </c>
      <c r="R1" t="n">
        <v>2020</v>
      </c>
      <c r="S1" t="n">
        <v>2021</v>
      </c>
      <c r="T1" t="n">
        <v>2022</v>
      </c>
      <c r="U1" t="n">
        <v>2023</v>
      </c>
      <c r="V1" t="n">
        <v>2024</v>
      </c>
      <c r="W1" t="n">
        <v>2025</v>
      </c>
      <c r="X1" t="n">
        <v>2026</v>
      </c>
      <c r="Y1" t="n">
        <v>2027</v>
      </c>
      <c r="Z1" t="n">
        <v>2028</v>
      </c>
      <c r="AA1" t="n">
        <v>2029</v>
      </c>
      <c r="AB1" t="n">
        <v>2030</v>
      </c>
      <c r="AC1" t="n">
        <v>2031</v>
      </c>
      <c r="AD1" t="n">
        <v>2032</v>
      </c>
      <c r="AE1" t="n">
        <v>2033</v>
      </c>
      <c r="AF1" t="n">
        <v>2034</v>
      </c>
      <c r="AG1" t="n">
        <v>2035</v>
      </c>
      <c r="AH1" t="n">
        <v>2036</v>
      </c>
      <c r="AI1" t="n">
        <v>2037</v>
      </c>
      <c r="AJ1" t="n">
        <v>2038</v>
      </c>
      <c r="AK1" t="n">
        <v>2039</v>
      </c>
      <c r="AL1" t="n">
        <v>2040</v>
      </c>
      <c r="AM1" t="n">
        <v>2041</v>
      </c>
      <c r="AN1" t="n">
        <v>2042</v>
      </c>
      <c r="AO1" t="n">
        <v>2043</v>
      </c>
      <c r="AP1" t="n">
        <v>2044</v>
      </c>
      <c r="AQ1" t="n">
        <v>2045</v>
      </c>
      <c r="AR1" t="n">
        <v>2046</v>
      </c>
      <c r="AS1" t="n">
        <v>2047</v>
      </c>
      <c r="AT1" t="n">
        <v>2048</v>
      </c>
      <c r="AU1" t="n">
        <v>2049</v>
      </c>
      <c r="AV1" t="n">
        <v>2050</v>
      </c>
      <c r="AW1" t="n">
        <v>2051</v>
      </c>
      <c r="AX1" t="n">
        <v>2052</v>
      </c>
      <c r="AY1" t="n">
        <v>2053</v>
      </c>
      <c r="AZ1" t="n">
        <v>2054</v>
      </c>
      <c r="BA1" t="n">
        <v>2055</v>
      </c>
      <c r="BB1" t="n">
        <v>2056</v>
      </c>
      <c r="BC1" t="n">
        <v>2057</v>
      </c>
      <c r="BD1" t="n">
        <v>2058</v>
      </c>
      <c r="BE1" t="n">
        <v>2059</v>
      </c>
      <c r="BF1" t="n">
        <v>2060</v>
      </c>
      <c r="BG1" t="n">
        <v>2061</v>
      </c>
    </row>
    <row r="2">
      <c r="A2" t="inlineStr">
        <is>
          <t>Dominica_2018_August</t>
        </is>
      </c>
      <c r="B2" s="2" t="n"/>
      <c r="C2" s="3" t="inlineStr">
        <is>
          <t>SM.18.139</t>
        </is>
      </c>
      <c r="D2" s="4" t="inlineStr">
        <is>
          <t>Dominica</t>
        </is>
      </c>
      <c r="E2" s="4" t="inlineStr">
        <is>
          <t>DMA</t>
        </is>
      </c>
      <c r="F2" s="10" t="n">
        <v>43255</v>
      </c>
      <c r="G2" s="4" t="inlineStr">
        <is>
          <t>2013gn</t>
        </is>
      </c>
      <c r="H2" s="4" t="n">
        <v>2017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Dominica_2018_August</t>
        </is>
      </c>
      <c r="B3" s="2" t="n"/>
      <c r="C3" s="3" t="inlineStr">
        <is>
          <t>SM.18.139</t>
        </is>
      </c>
      <c r="D3" s="4" t="inlineStr">
        <is>
          <t>Dominica</t>
        </is>
      </c>
      <c r="E3" s="4" t="inlineStr">
        <is>
          <t>DMA</t>
        </is>
      </c>
      <c r="F3" s="10" t="n">
        <v>43255</v>
      </c>
      <c r="G3" s="4" t="inlineStr">
        <is>
          <t>2013gn</t>
        </is>
      </c>
      <c r="H3" s="4" t="n">
        <v>2017</v>
      </c>
      <c r="I3" s="5" t="n"/>
      <c r="K3" t="n">
        <v>0</v>
      </c>
    </row>
    <row r="4">
      <c r="A4" t="inlineStr">
        <is>
          <t>Dominica_2018_August</t>
        </is>
      </c>
      <c r="B4" s="2" t="n"/>
      <c r="C4" s="3" t="inlineStr">
        <is>
          <t>SM.18.139</t>
        </is>
      </c>
      <c r="D4" s="4" t="inlineStr">
        <is>
          <t>Dominica</t>
        </is>
      </c>
      <c r="E4" s="4" t="inlineStr">
        <is>
          <t>DMA</t>
        </is>
      </c>
      <c r="F4" s="10" t="n">
        <v>43255</v>
      </c>
      <c r="G4" s="4" t="inlineStr">
        <is>
          <t>2013gn</t>
        </is>
      </c>
      <c r="H4" s="4" t="n">
        <v>2017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Dominica_2018_August</t>
        </is>
      </c>
      <c r="B5" s="2" t="n"/>
      <c r="C5" s="3" t="inlineStr">
        <is>
          <t>SM.18.139</t>
        </is>
      </c>
      <c r="D5" s="4" t="inlineStr">
        <is>
          <t>Dominica</t>
        </is>
      </c>
      <c r="E5" s="4" t="inlineStr">
        <is>
          <t>DMA</t>
        </is>
      </c>
      <c r="F5" s="10" t="n">
        <v>43255</v>
      </c>
      <c r="G5" s="4" t="inlineStr">
        <is>
          <t>2013gn</t>
        </is>
      </c>
      <c r="H5" s="4" t="n">
        <v>2017</v>
      </c>
      <c r="I5" s="5" t="n"/>
      <c r="K5" t="n">
        <v>0</v>
      </c>
    </row>
    <row r="6">
      <c r="A6" t="inlineStr">
        <is>
          <t>Dominica_2018_August</t>
        </is>
      </c>
      <c r="B6" s="2" t="n"/>
      <c r="C6" s="3" t="inlineStr">
        <is>
          <t>SM.18.139</t>
        </is>
      </c>
      <c r="D6" s="4" t="inlineStr">
        <is>
          <t>Dominica</t>
        </is>
      </c>
      <c r="E6" s="4" t="inlineStr">
        <is>
          <t>DMA</t>
        </is>
      </c>
      <c r="F6" s="10" t="n">
        <v>43255</v>
      </c>
      <c r="G6" s="4" t="inlineStr">
        <is>
          <t>2013gn</t>
        </is>
      </c>
      <c r="H6" s="4" t="n">
        <v>2017</v>
      </c>
      <c r="I6" s="5" t="n"/>
      <c r="J6" t="inlineStr">
        <is>
          <t>A. INPUT</t>
        </is>
      </c>
      <c r="K6" t="n">
        <v>0</v>
      </c>
    </row>
    <row r="7">
      <c r="A7" t="inlineStr">
        <is>
          <t>Dominica_2018_August</t>
        </is>
      </c>
      <c r="B7" s="2" t="n"/>
      <c r="C7" s="3" t="inlineStr">
        <is>
          <t>SM.18.139</t>
        </is>
      </c>
      <c r="D7" s="4" t="inlineStr">
        <is>
          <t>Dominica</t>
        </is>
      </c>
      <c r="E7" s="4" t="inlineStr">
        <is>
          <t>DMA</t>
        </is>
      </c>
      <c r="F7" s="10" t="n">
        <v>43255</v>
      </c>
      <c r="G7" s="4" t="inlineStr">
        <is>
          <t>2013gn</t>
        </is>
      </c>
      <c r="H7" s="4" t="n">
        <v>2017</v>
      </c>
      <c r="I7" s="5" t="n"/>
      <c r="K7" t="n">
        <v>0</v>
      </c>
    </row>
    <row r="8">
      <c r="A8" t="inlineStr">
        <is>
          <t>Dominica_2018_August</t>
        </is>
      </c>
      <c r="B8" s="2" t="n"/>
      <c r="C8" s="3" t="inlineStr">
        <is>
          <t>SM.18.139</t>
        </is>
      </c>
      <c r="D8" s="4" t="inlineStr">
        <is>
          <t>Dominica</t>
        </is>
      </c>
      <c r="E8" s="4" t="inlineStr">
        <is>
          <t>DMA</t>
        </is>
      </c>
      <c r="F8" s="10" t="n">
        <v>43255</v>
      </c>
      <c r="G8" s="4" t="inlineStr">
        <is>
          <t>2013gn</t>
        </is>
      </c>
      <c r="H8" s="4" t="n">
        <v>2017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Dominica_2018_August</t>
        </is>
      </c>
      <c r="B9" s="2" t="n"/>
      <c r="C9" s="3" t="inlineStr">
        <is>
          <t>SM.18.139</t>
        </is>
      </c>
      <c r="D9" s="4" t="inlineStr">
        <is>
          <t>Dominica</t>
        </is>
      </c>
      <c r="E9" s="4" t="inlineStr">
        <is>
          <t>DMA</t>
        </is>
      </c>
      <c r="F9" s="10" t="n">
        <v>43255</v>
      </c>
      <c r="G9" s="4" t="inlineStr">
        <is>
          <t>2013gn</t>
        </is>
      </c>
      <c r="H9" s="4" t="n">
        <v>2017</v>
      </c>
      <c r="I9" s="5" t="n"/>
      <c r="K9" t="n">
        <v>0</v>
      </c>
    </row>
    <row r="10">
      <c r="A10" t="inlineStr">
        <is>
          <t>Dominica_2018_August</t>
        </is>
      </c>
      <c r="B10" s="2" t="n"/>
      <c r="C10" s="3" t="inlineStr">
        <is>
          <t>SM.18.139</t>
        </is>
      </c>
      <c r="D10" s="4" t="inlineStr">
        <is>
          <t>Dominica</t>
        </is>
      </c>
      <c r="E10" s="4" t="inlineStr">
        <is>
          <t>DMA</t>
        </is>
      </c>
      <c r="F10" s="10" t="n">
        <v>43255</v>
      </c>
      <c r="G10" s="4" t="inlineStr">
        <is>
          <t>2013gn</t>
        </is>
      </c>
      <c r="H10" s="4" t="n">
        <v>2017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Dominica_2018_August</t>
        </is>
      </c>
      <c r="B11" s="2" t="n"/>
      <c r="C11" s="3" t="inlineStr">
        <is>
          <t>SM.18.139</t>
        </is>
      </c>
      <c r="D11" s="4" t="inlineStr">
        <is>
          <t>Dominica</t>
        </is>
      </c>
      <c r="E11" s="4" t="inlineStr">
        <is>
          <t>DMA</t>
        </is>
      </c>
      <c r="F11" s="10" t="n">
        <v>43255</v>
      </c>
      <c r="G11" s="4" t="inlineStr">
        <is>
          <t>2013gn</t>
        </is>
      </c>
      <c r="H11" s="4" t="n">
        <v>2017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0.8</v>
      </c>
      <c r="AA11">
        <f>external</f>
        <v/>
      </c>
    </row>
    <row r="12">
      <c r="A12" t="inlineStr">
        <is>
          <t>Dominica_2018_August</t>
        </is>
      </c>
      <c r="B12" s="2" t="n"/>
      <c r="C12" s="3" t="inlineStr">
        <is>
          <t>SM.18.139</t>
        </is>
      </c>
      <c r="D12" s="4" t="inlineStr">
        <is>
          <t>Dominica</t>
        </is>
      </c>
      <c r="E12" s="4" t="inlineStr">
        <is>
          <t>DMA</t>
        </is>
      </c>
      <c r="F12" s="10" t="n">
        <v>43255</v>
      </c>
      <c r="G12" s="4" t="inlineStr">
        <is>
          <t>2013gn</t>
        </is>
      </c>
      <c r="H12" s="4" t="n">
        <v>2017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0.2</v>
      </c>
      <c r="AA12">
        <f>domestic</f>
        <v/>
      </c>
      <c r="AC12" t="inlineStr">
        <is>
          <t>WB: some given on IDA and some on IBRD terms</t>
        </is>
      </c>
    </row>
    <row r="13">
      <c r="A13" t="inlineStr">
        <is>
          <t>Dominica_2018_August</t>
        </is>
      </c>
      <c r="B13" s="2" t="n"/>
      <c r="C13" s="3" t="inlineStr">
        <is>
          <t>SM.18.139</t>
        </is>
      </c>
      <c r="D13" s="4" t="inlineStr">
        <is>
          <t>Dominica</t>
        </is>
      </c>
      <c r="E13" s="4" t="inlineStr">
        <is>
          <t>DMA</t>
        </is>
      </c>
      <c r="F13" s="10" t="n">
        <v>43255</v>
      </c>
      <c r="G13" s="4" t="inlineStr">
        <is>
          <t>2013gn</t>
        </is>
      </c>
      <c r="H13" s="4" t="n">
        <v>2017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0.0025</v>
      </c>
      <c r="O13" t="n">
        <v>5</v>
      </c>
      <c r="P13" t="n">
        <v>10</v>
      </c>
      <c r="Q13" t="n">
        <v>30.86999478203323</v>
      </c>
      <c r="S13" t="inlineStr">
        <is>
          <t>Domestic short-term</t>
        </is>
      </c>
      <c r="Y13" t="n">
        <v>0</v>
      </c>
      <c r="Z13" t="n">
        <v>0</v>
      </c>
      <c r="AC13" t="inlineStr">
        <is>
          <t>CBD: some on IDA on IBRD (more expensive) -- different windows b/c not LIC</t>
        </is>
      </c>
    </row>
    <row r="14">
      <c r="A14" t="inlineStr">
        <is>
          <t>Dominica_2018_August</t>
        </is>
      </c>
      <c r="B14" s="2" t="n"/>
      <c r="C14" s="3" t="inlineStr">
        <is>
          <t>SM.18.139</t>
        </is>
      </c>
      <c r="D14" s="4" t="inlineStr">
        <is>
          <t>Dominica</t>
        </is>
      </c>
      <c r="E14" s="4" t="inlineStr">
        <is>
          <t>DMA</t>
        </is>
      </c>
      <c r="F14" s="10" t="n">
        <v>43255</v>
      </c>
      <c r="G14" s="4" t="inlineStr">
        <is>
          <t>2013gn</t>
        </is>
      </c>
      <c r="H14" s="4" t="n">
        <v>2017</v>
      </c>
      <c r="I14" s="4" t="inlineStr">
        <is>
          <t>old.tds.mlt.ida.bld</t>
        </is>
      </c>
      <c r="J14" t="inlineStr">
        <is>
          <t xml:space="preserve">   IDA - Small Island Country</t>
        </is>
      </c>
      <c r="K14" t="inlineStr">
        <is>
          <t>SDR</t>
        </is>
      </c>
      <c r="M14" t="n">
        <v>0.05</v>
      </c>
      <c r="N14" t="n">
        <v>0.0075</v>
      </c>
      <c r="O14" t="n">
        <v>10</v>
      </c>
      <c r="P14" t="n">
        <v>40</v>
      </c>
      <c r="Q14" t="n">
        <v>61.07782006412307</v>
      </c>
      <c r="S14" t="inlineStr">
        <is>
          <t>Terms of marginal debt</t>
        </is>
      </c>
      <c r="AC14" t="inlineStr">
        <is>
          <t>Need to get this split. So far lumped b/c after the hurricane most on IDA terms</t>
        </is>
      </c>
    </row>
    <row r="15">
      <c r="A15" t="inlineStr">
        <is>
          <t>Dominica_2018_August</t>
        </is>
      </c>
      <c r="B15" s="2" t="n"/>
      <c r="C15" s="3" t="inlineStr">
        <is>
          <t>SM.18.139</t>
        </is>
      </c>
      <c r="D15" s="4" t="inlineStr">
        <is>
          <t>Dominica</t>
        </is>
      </c>
      <c r="E15" s="4" t="inlineStr">
        <is>
          <t>DMA</t>
        </is>
      </c>
      <c r="F15" s="10" t="n">
        <v>43255</v>
      </c>
      <c r="G15" s="4" t="inlineStr">
        <is>
          <t>2013gn</t>
        </is>
      </c>
      <c r="H15" s="4" t="n">
        <v>2017</v>
      </c>
      <c r="I15" s="4" t="inlineStr">
        <is>
          <t>old.tds.mlt2</t>
        </is>
      </c>
      <c r="J15" t="inlineStr">
        <is>
          <t>IDA - Regular</t>
        </is>
      </c>
      <c r="K15" t="n">
        <v>0</v>
      </c>
      <c r="M15" t="n">
        <v>0.05</v>
      </c>
      <c r="N15" t="n">
        <v>0.0075</v>
      </c>
      <c r="O15" t="n">
        <v>6</v>
      </c>
      <c r="P15" t="n">
        <v>38</v>
      </c>
      <c r="Q15" t="n">
        <v>53.81515690650887</v>
      </c>
      <c r="S15" t="inlineStr">
        <is>
          <t>Forex debt</t>
        </is>
      </c>
      <c r="Y15" t="n">
        <v>0</v>
      </c>
    </row>
    <row r="16">
      <c r="A16" t="inlineStr">
        <is>
          <t>Dominica_2018_August</t>
        </is>
      </c>
      <c r="B16" s="2" t="n"/>
      <c r="C16" s="3" t="inlineStr">
        <is>
          <t>SM.18.139</t>
        </is>
      </c>
      <c r="D16" s="4" t="inlineStr">
        <is>
          <t>Dominica</t>
        </is>
      </c>
      <c r="E16" s="4" t="inlineStr">
        <is>
          <t>DMA</t>
        </is>
      </c>
      <c r="F16" s="10" t="n">
        <v>43255</v>
      </c>
      <c r="G16" s="4" t="inlineStr">
        <is>
          <t>2013gn</t>
        </is>
      </c>
      <c r="H16" s="4" t="n">
        <v>2017</v>
      </c>
      <c r="I16" s="4" t="inlineStr">
        <is>
          <t>old.tds.mlt.afdb</t>
        </is>
      </c>
      <c r="J16" t="inlineStr">
        <is>
          <t>IBRD</t>
        </is>
      </c>
      <c r="K16" t="n">
        <v>0</v>
      </c>
      <c r="M16" t="n">
        <v>0.05</v>
      </c>
      <c r="N16" t="n">
        <v>0.025</v>
      </c>
      <c r="O16" t="n">
        <v>10</v>
      </c>
      <c r="P16" t="n">
        <v>30</v>
      </c>
      <c r="Q16" t="n">
        <v>31.35137951186112</v>
      </c>
      <c r="S16" t="inlineStr">
        <is>
          <t>Avg. nominal interest rate on new borrowing in USD</t>
        </is>
      </c>
      <c r="Y16" t="n">
        <v>0</v>
      </c>
      <c r="Z16" t="n">
        <v>3.651433850553459</v>
      </c>
    </row>
    <row r="17">
      <c r="A17" t="inlineStr">
        <is>
          <t>Dominica_2018_August</t>
        </is>
      </c>
      <c r="B17" s="2" t="n"/>
      <c r="C17" s="3" t="inlineStr">
        <is>
          <t>SM.18.139</t>
        </is>
      </c>
      <c r="D17" s="4" t="inlineStr">
        <is>
          <t>Dominica</t>
        </is>
      </c>
      <c r="E17" s="4" t="inlineStr">
        <is>
          <t>DMA</t>
        </is>
      </c>
      <c r="F17" s="10" t="n">
        <v>43255</v>
      </c>
      <c r="G17" s="4" t="inlineStr">
        <is>
          <t>2013gn</t>
        </is>
      </c>
      <c r="H17" s="4" t="n">
        <v>2017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L17" t="inlineStr">
        <is>
          <t>CDB</t>
        </is>
      </c>
      <c r="M17" t="n">
        <v>0.05</v>
      </c>
      <c r="N17" t="n">
        <v>0.035</v>
      </c>
      <c r="O17" t="n">
        <v>10</v>
      </c>
      <c r="P17" t="n">
        <v>20</v>
      </c>
      <c r="Q17" t="n">
        <v>16.60815695727167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Dominica_2018_August</t>
        </is>
      </c>
      <c r="B18" s="2" t="n"/>
      <c r="C18" s="3" t="inlineStr">
        <is>
          <t>SM.18.139</t>
        </is>
      </c>
      <c r="D18" s="4" t="inlineStr">
        <is>
          <t>Dominica</t>
        </is>
      </c>
      <c r="E18" s="4" t="inlineStr">
        <is>
          <t>DMA</t>
        </is>
      </c>
      <c r="F18" s="10" t="n">
        <v>43255</v>
      </c>
      <c r="G18" s="4" t="inlineStr">
        <is>
          <t>2013gn</t>
        </is>
      </c>
      <c r="H18" s="4" t="n">
        <v>2017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18</v>
      </c>
    </row>
    <row r="19">
      <c r="A19" t="inlineStr">
        <is>
          <t>Dominica_2018_August</t>
        </is>
      </c>
      <c r="B19" s="2" t="n"/>
      <c r="C19" s="3" t="inlineStr">
        <is>
          <t>SM.18.139</t>
        </is>
      </c>
      <c r="D19" s="4" t="inlineStr">
        <is>
          <t>Dominica</t>
        </is>
      </c>
      <c r="E19" s="4" t="inlineStr">
        <is>
          <t>DMA</t>
        </is>
      </c>
      <c r="F19" s="10" t="n">
        <v>43255</v>
      </c>
      <c r="G19" s="4" t="inlineStr">
        <is>
          <t>2013gn</t>
        </is>
      </c>
      <c r="H19" s="4" t="n">
        <v>2017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7</v>
      </c>
    </row>
    <row r="20">
      <c r="A20" t="inlineStr">
        <is>
          <t>Dominica_2018_August</t>
        </is>
      </c>
      <c r="B20" s="2" t="n"/>
      <c r="C20" s="3" t="inlineStr">
        <is>
          <t>SM.18.139</t>
        </is>
      </c>
      <c r="D20" s="4" t="inlineStr">
        <is>
          <t>Dominica</t>
        </is>
      </c>
      <c r="E20" s="4" t="inlineStr">
        <is>
          <t>DMA</t>
        </is>
      </c>
      <c r="F20" s="10" t="n">
        <v>43255</v>
      </c>
      <c r="G20" s="4" t="inlineStr">
        <is>
          <t>2013gn</t>
        </is>
      </c>
      <c r="H20" s="4" t="n">
        <v>2017</v>
      </c>
      <c r="I20" s="4" t="inlineStr">
        <is>
          <t>old.tds.mlt.oth2</t>
        </is>
      </c>
      <c r="J20" t="inlineStr">
        <is>
          <t>Descriptor</t>
        </is>
      </c>
      <c r="K20" t="n">
        <v>0</v>
      </c>
      <c r="M20" t="n">
        <v>0.05</v>
      </c>
      <c r="N20" t="n">
        <v>0.03</v>
      </c>
      <c r="O20" t="n">
        <v>7</v>
      </c>
      <c r="P20" t="n">
        <v>20</v>
      </c>
      <c r="Q20" t="n">
        <v>20.22925212400136</v>
      </c>
      <c r="S20" t="inlineStr">
        <is>
          <t>Domestic MLT debt</t>
        </is>
      </c>
      <c r="Y20" t="n">
        <v>0</v>
      </c>
    </row>
    <row r="21">
      <c r="A21" t="inlineStr">
        <is>
          <t>Dominica_2018_August</t>
        </is>
      </c>
      <c r="B21" s="2" t="n"/>
      <c r="C21" s="3" t="inlineStr">
        <is>
          <t>SM.18.139</t>
        </is>
      </c>
      <c r="D21" s="4" t="inlineStr">
        <is>
          <t>Dominica</t>
        </is>
      </c>
      <c r="E21" s="4" t="inlineStr">
        <is>
          <t>DMA</t>
        </is>
      </c>
      <c r="F21" s="10" t="n">
        <v>43255</v>
      </c>
      <c r="G21" s="4" t="inlineStr">
        <is>
          <t>2013gn</t>
        </is>
      </c>
      <c r="H21" s="4" t="n">
        <v>2017</v>
      </c>
      <c r="I21" s="4" t="inlineStr">
        <is>
          <t>old.tds.mlt.oth3</t>
        </is>
      </c>
      <c r="J21" t="inlineStr">
        <is>
          <t>Descriptor</t>
        </is>
      </c>
      <c r="K21" t="n">
        <v>0</v>
      </c>
      <c r="M21" t="n">
        <v>0.05</v>
      </c>
      <c r="N21" t="n">
        <v>0.03</v>
      </c>
      <c r="O21" t="n">
        <v>7</v>
      </c>
      <c r="P21" t="n">
        <v>20</v>
      </c>
      <c r="Q21" t="n">
        <v>20.22925212400136</v>
      </c>
      <c r="S21" t="inlineStr">
        <is>
          <t>Avg. real interest rate on new borrowing</t>
        </is>
      </c>
      <c r="Z21" t="n">
        <v>5</v>
      </c>
    </row>
    <row r="22">
      <c r="A22" t="inlineStr">
        <is>
          <t>Dominica_2018_August</t>
        </is>
      </c>
      <c r="B22" s="2" t="n"/>
      <c r="C22" s="3" t="inlineStr">
        <is>
          <t>SM.18.139</t>
        </is>
      </c>
      <c r="D22" s="4" t="inlineStr">
        <is>
          <t>Dominica</t>
        </is>
      </c>
      <c r="E22" s="4" t="inlineStr">
        <is>
          <t>DMA</t>
        </is>
      </c>
      <c r="F22" s="10" t="n">
        <v>43255</v>
      </c>
      <c r="G22" s="4" t="inlineStr">
        <is>
          <t>2013gn</t>
        </is>
      </c>
      <c r="H22" s="4" t="n">
        <v>2017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0.03</v>
      </c>
      <c r="O22" t="n">
        <v>7</v>
      </c>
      <c r="P22" t="n">
        <v>20</v>
      </c>
      <c r="Q22" t="n">
        <v>20.22925212400136</v>
      </c>
      <c r="S22" t="inlineStr">
        <is>
          <t>Avg. maturity (incl. grace period)</t>
        </is>
      </c>
      <c r="Y22" t="n">
        <v>0</v>
      </c>
      <c r="Z22" t="n">
        <v>2.5</v>
      </c>
    </row>
    <row r="23">
      <c r="A23" t="inlineStr">
        <is>
          <t>Dominica_2018_August</t>
        </is>
      </c>
      <c r="B23" s="2" t="n"/>
      <c r="C23" s="3" t="inlineStr">
        <is>
          <t>SM.18.139</t>
        </is>
      </c>
      <c r="D23" s="4" t="inlineStr">
        <is>
          <t>Dominica</t>
        </is>
      </c>
      <c r="E23" s="4" t="inlineStr">
        <is>
          <t>DMA</t>
        </is>
      </c>
      <c r="F23" s="10" t="n">
        <v>43255</v>
      </c>
      <c r="G23" s="4" t="inlineStr">
        <is>
          <t>2013gn</t>
        </is>
      </c>
      <c r="H23" s="4" t="n">
        <v>2017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Dominica_2018_August</t>
        </is>
      </c>
      <c r="B24" s="2" t="n"/>
      <c r="C24" s="3" t="inlineStr">
        <is>
          <t>SM.18.139</t>
        </is>
      </c>
      <c r="D24" s="4" t="inlineStr">
        <is>
          <t>Dominica</t>
        </is>
      </c>
      <c r="E24" s="4" t="inlineStr">
        <is>
          <t>DMA</t>
        </is>
      </c>
      <c r="F24" s="10" t="n">
        <v>43255</v>
      </c>
      <c r="G24" s="4" t="inlineStr">
        <is>
          <t>2013gn</t>
        </is>
      </c>
      <c r="H24" s="4" t="n">
        <v>2017</v>
      </c>
      <c r="I24" s="4" t="inlineStr">
        <is>
          <t>old.tds.pc1</t>
        </is>
      </c>
      <c r="J24" t="inlineStr">
        <is>
          <t>Descriptor</t>
        </is>
      </c>
      <c r="K24" t="n">
        <v>0</v>
      </c>
      <c r="M24" t="n">
        <v>0.05</v>
      </c>
      <c r="N24" t="n">
        <v>0.04</v>
      </c>
      <c r="O24" t="n">
        <v>5</v>
      </c>
      <c r="P24" t="n">
        <v>15</v>
      </c>
      <c r="Q24" t="n">
        <v>9.109673538410446</v>
      </c>
      <c r="S24" t="inlineStr">
        <is>
          <t>Domestic short-term debt</t>
        </is>
      </c>
      <c r="Y24" t="n">
        <v>0</v>
      </c>
    </row>
    <row r="25">
      <c r="A25" t="inlineStr">
        <is>
          <t>Dominica_2018_August</t>
        </is>
      </c>
      <c r="B25" s="2" t="n"/>
      <c r="C25" s="3" t="inlineStr">
        <is>
          <t>SM.18.139</t>
        </is>
      </c>
      <c r="D25" s="4" t="inlineStr">
        <is>
          <t>Dominica</t>
        </is>
      </c>
      <c r="E25" s="4" t="inlineStr">
        <is>
          <t>DMA</t>
        </is>
      </c>
      <c r="F25" s="10" t="n">
        <v>43255</v>
      </c>
      <c r="G25" s="4" t="inlineStr">
        <is>
          <t>2013gn</t>
        </is>
      </c>
      <c r="H25" s="4" t="n">
        <v>2017</v>
      </c>
      <c r="I25" s="4" t="inlineStr">
        <is>
          <t>old.tds.pc2</t>
        </is>
      </c>
      <c r="J25" t="inlineStr">
        <is>
          <t>Descriptor</t>
        </is>
      </c>
      <c r="K25" t="n">
        <v>0</v>
      </c>
      <c r="M25" t="n">
        <v>0.05</v>
      </c>
      <c r="N25" t="n">
        <v>0.04</v>
      </c>
      <c r="O25" t="n">
        <v>5</v>
      </c>
      <c r="P25" t="n">
        <v>15</v>
      </c>
      <c r="Q25" t="n">
        <v>9.109673538410446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Dominica_2018_August</t>
        </is>
      </c>
      <c r="B26" s="2" t="n"/>
      <c r="C26" s="3" t="inlineStr">
        <is>
          <t>SM.18.139</t>
        </is>
      </c>
      <c r="D26" s="4" t="inlineStr">
        <is>
          <t>Dominica</t>
        </is>
      </c>
      <c r="E26" s="4" t="inlineStr">
        <is>
          <t>DMA</t>
        </is>
      </c>
      <c r="F26" s="10" t="n">
        <v>43255</v>
      </c>
      <c r="G26" s="4" t="inlineStr">
        <is>
          <t>2013gn</t>
        </is>
      </c>
      <c r="H26" s="4" t="n">
        <v>2017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0.04</v>
      </c>
      <c r="O26" t="n">
        <v>5</v>
      </c>
      <c r="P26" t="n">
        <v>15</v>
      </c>
      <c r="Q26" t="n">
        <v>9.109673538410446</v>
      </c>
    </row>
    <row r="27">
      <c r="A27" t="inlineStr">
        <is>
          <t>Dominica_2018_August</t>
        </is>
      </c>
      <c r="B27" s="2" t="n"/>
      <c r="C27" s="3" t="inlineStr">
        <is>
          <t>SM.18.139</t>
        </is>
      </c>
      <c r="D27" s="4" t="inlineStr">
        <is>
          <t>Dominica</t>
        </is>
      </c>
      <c r="E27" s="4" t="inlineStr">
        <is>
          <t>DMA</t>
        </is>
      </c>
      <c r="F27" s="10" t="n">
        <v>43255</v>
      </c>
      <c r="G27" s="4" t="inlineStr">
        <is>
          <t>2013gn</t>
        </is>
      </c>
      <c r="H27" s="4" t="n">
        <v>2017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Dominica_2018_August</t>
        </is>
      </c>
      <c r="B28" s="2" t="n"/>
      <c r="C28" s="3" t="inlineStr">
        <is>
          <t>SM.18.139</t>
        </is>
      </c>
      <c r="D28" s="4" t="inlineStr">
        <is>
          <t>Dominica</t>
        </is>
      </c>
      <c r="E28" s="4" t="inlineStr">
        <is>
          <t>DMA</t>
        </is>
      </c>
      <c r="F28" s="10" t="n">
        <v>43255</v>
      </c>
      <c r="G28" s="4" t="inlineStr">
        <is>
          <t>2013gn</t>
        </is>
      </c>
      <c r="H28" s="4" t="n">
        <v>2017</v>
      </c>
      <c r="I28" s="4" t="inlineStr">
        <is>
          <t>old.tds.pc5</t>
        </is>
      </c>
      <c r="J28" t="inlineStr">
        <is>
          <t>Descriptor</t>
        </is>
      </c>
      <c r="K28" t="n">
        <v>0</v>
      </c>
      <c r="M28" t="n">
        <v>0.05</v>
      </c>
      <c r="N28" t="n">
        <v>0.035</v>
      </c>
      <c r="O28" t="n">
        <v>1</v>
      </c>
      <c r="P28" t="n">
        <v>10</v>
      </c>
      <c r="Q28" t="n">
        <v>8.751750017254578</v>
      </c>
    </row>
    <row r="29">
      <c r="A29" t="inlineStr">
        <is>
          <t>Dominica_2018_August</t>
        </is>
      </c>
      <c r="B29" s="2" t="n"/>
      <c r="C29" s="3" t="inlineStr">
        <is>
          <t>SM.18.139</t>
        </is>
      </c>
      <c r="D29" s="4" t="inlineStr">
        <is>
          <t>Dominica</t>
        </is>
      </c>
      <c r="E29" s="4" t="inlineStr">
        <is>
          <t>DMA</t>
        </is>
      </c>
      <c r="F29" s="10" t="n">
        <v>43255</v>
      </c>
      <c r="G29" s="4" t="inlineStr">
        <is>
          <t>2013gn</t>
        </is>
      </c>
      <c r="H29" s="4" t="n">
        <v>2017</v>
      </c>
      <c r="I29" s="4" t="inlineStr">
        <is>
          <t>old.tds.npc</t>
        </is>
      </c>
      <c r="J29" t="inlineStr">
        <is>
          <t>Descriptor</t>
        </is>
      </c>
      <c r="K29" t="n">
        <v>0</v>
      </c>
      <c r="M29" t="n">
        <v>0.05</v>
      </c>
      <c r="N29" t="n">
        <v>0.08</v>
      </c>
      <c r="O29" t="n">
        <v>1</v>
      </c>
      <c r="P29" t="n">
        <v>6</v>
      </c>
      <c r="Q29" t="n">
        <v>-7.221617729452845</v>
      </c>
    </row>
    <row r="30">
      <c r="A30" t="inlineStr">
        <is>
          <t>Dominica_2018_August</t>
        </is>
      </c>
      <c r="B30" s="2" t="n"/>
      <c r="C30" s="3" t="inlineStr">
        <is>
          <t>SM.18.139</t>
        </is>
      </c>
      <c r="D30" s="4" t="inlineStr">
        <is>
          <t>Dominica</t>
        </is>
      </c>
      <c r="E30" s="4" t="inlineStr">
        <is>
          <t>DMA</t>
        </is>
      </c>
      <c r="F30" s="10" t="n">
        <v>43255</v>
      </c>
      <c r="G30" s="4" t="inlineStr">
        <is>
          <t>2013gn</t>
        </is>
      </c>
      <c r="H30" s="4" t="n">
        <v>2017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M30" t="n">
        <v>0.05</v>
      </c>
      <c r="N30" t="n">
        <v>0.06</v>
      </c>
      <c r="O30" t="n">
        <v>1</v>
      </c>
      <c r="P30" t="n">
        <v>6</v>
      </c>
      <c r="Q30" t="n">
        <v>-1.032768871522105</v>
      </c>
    </row>
    <row r="31">
      <c r="A31" t="inlineStr">
        <is>
          <t>Dominica_2018_August</t>
        </is>
      </c>
      <c r="B31" s="2" t="n"/>
      <c r="C31" s="3" t="inlineStr">
        <is>
          <t>SM.18.139</t>
        </is>
      </c>
      <c r="D31" s="4" t="inlineStr">
        <is>
          <t>Dominica</t>
        </is>
      </c>
      <c r="E31" s="4" t="inlineStr">
        <is>
          <t>DMA</t>
        </is>
      </c>
      <c r="F31" s="10" t="n">
        <v>43255</v>
      </c>
      <c r="G31" s="4" t="inlineStr">
        <is>
          <t>2013gn</t>
        </is>
      </c>
      <c r="H31" s="4" t="n">
        <v>2017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Dominica_2018_August</t>
        </is>
      </c>
      <c r="B32" s="2" t="n"/>
      <c r="C32" s="3" t="inlineStr">
        <is>
          <t>SM.18.139</t>
        </is>
      </c>
      <c r="D32" s="4" t="inlineStr">
        <is>
          <t>Dominica</t>
        </is>
      </c>
      <c r="E32" s="4" t="inlineStr">
        <is>
          <t>DMA</t>
        </is>
      </c>
      <c r="F32" s="10" t="n">
        <v>43255</v>
      </c>
      <c r="G32" s="4" t="inlineStr">
        <is>
          <t>2013gn</t>
        </is>
      </c>
      <c r="H32" s="4" t="n">
        <v>2017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Dominica_2018_August</t>
        </is>
      </c>
      <c r="B33" s="2" t="n"/>
      <c r="C33" s="3" t="inlineStr">
        <is>
          <t>SM.18.139</t>
        </is>
      </c>
      <c r="D33" s="4" t="inlineStr">
        <is>
          <t>Dominica</t>
        </is>
      </c>
      <c r="E33" s="4" t="inlineStr">
        <is>
          <t>DMA</t>
        </is>
      </c>
      <c r="F33" s="10" t="n">
        <v>43255</v>
      </c>
      <c r="G33" s="4" t="inlineStr">
        <is>
          <t>2013gn</t>
        </is>
      </c>
      <c r="H33" s="4" t="n">
        <v>2017</v>
      </c>
      <c r="I33" s="4" t="inlineStr">
        <is>
          <t>old.tds.npc4</t>
        </is>
      </c>
      <c r="J33" t="n">
        <v>0</v>
      </c>
      <c r="M33" t="n">
        <v>2015</v>
      </c>
      <c r="N33" t="n">
        <v>2016</v>
      </c>
      <c r="O33" t="n">
        <v>2017</v>
      </c>
      <c r="P33" t="n">
        <v>2018</v>
      </c>
      <c r="Q33" t="n">
        <v>2019</v>
      </c>
      <c r="R33" t="n">
        <v>2020</v>
      </c>
      <c r="S33" t="n">
        <v>2021</v>
      </c>
      <c r="T33" t="n">
        <v>2022</v>
      </c>
      <c r="U33" t="n">
        <v>2023</v>
      </c>
      <c r="V33" t="n">
        <v>2024</v>
      </c>
      <c r="W33" t="n">
        <v>2025</v>
      </c>
      <c r="X33" t="n">
        <v>2026</v>
      </c>
      <c r="Y33" t="n">
        <v>2027</v>
      </c>
      <c r="Z33" t="n">
        <v>2028</v>
      </c>
      <c r="AA33" t="n">
        <v>2029</v>
      </c>
      <c r="AB33" t="n">
        <v>2030</v>
      </c>
      <c r="AC33" t="n">
        <v>2031</v>
      </c>
      <c r="AD33" t="n">
        <v>2032</v>
      </c>
      <c r="AE33" t="n">
        <v>2033</v>
      </c>
      <c r="AF33" t="n">
        <v>2034</v>
      </c>
      <c r="AG33" t="n">
        <v>2035</v>
      </c>
      <c r="AH33" t="n">
        <v>2036</v>
      </c>
      <c r="AI33" t="n">
        <v>2037</v>
      </c>
      <c r="AJ33" t="n">
        <v>2038</v>
      </c>
      <c r="AK33" t="n">
        <v>2039</v>
      </c>
      <c r="AL33" t="n">
        <v>2040</v>
      </c>
      <c r="AM33" t="n">
        <v>2041</v>
      </c>
      <c r="AN33" t="n">
        <v>2042</v>
      </c>
      <c r="AO33" t="n">
        <v>2043</v>
      </c>
      <c r="AP33" t="n">
        <v>2044</v>
      </c>
      <c r="AQ33" t="n">
        <v>2045</v>
      </c>
      <c r="AR33" t="n">
        <v>2046</v>
      </c>
      <c r="AS33" t="n">
        <v>2047</v>
      </c>
      <c r="AT33" t="n">
        <v>2048</v>
      </c>
      <c r="AU33" t="n">
        <v>2049</v>
      </c>
      <c r="AV33" t="n">
        <v>2050</v>
      </c>
      <c r="AW33" t="n">
        <v>2051</v>
      </c>
      <c r="AX33" t="n">
        <v>2052</v>
      </c>
      <c r="AY33" t="n">
        <v>2053</v>
      </c>
      <c r="AZ33" t="n">
        <v>2054</v>
      </c>
      <c r="BA33" t="n">
        <v>2055</v>
      </c>
      <c r="BB33" t="n">
        <v>2056</v>
      </c>
      <c r="BC33" t="n">
        <v>2057</v>
      </c>
      <c r="BD33" t="n">
        <v>2058</v>
      </c>
      <c r="BE33" t="n">
        <v>2059</v>
      </c>
      <c r="BF33" t="n">
        <v>2060</v>
      </c>
      <c r="BG33" t="n">
        <v>2061</v>
      </c>
    </row>
    <row r="34">
      <c r="A34" t="inlineStr">
        <is>
          <t>Dominica_2018_August</t>
        </is>
      </c>
      <c r="B34" s="2" t="n"/>
      <c r="C34" s="3" t="inlineStr">
        <is>
          <t>SM.18.139</t>
        </is>
      </c>
      <c r="D34" s="4" t="inlineStr">
        <is>
          <t>Dominica</t>
        </is>
      </c>
      <c r="E34" s="4" t="inlineStr">
        <is>
          <t>DMA</t>
        </is>
      </c>
      <c r="F34" s="10" t="n">
        <v>43255</v>
      </c>
      <c r="G34" s="4" t="inlineStr">
        <is>
          <t>2013gn</t>
        </is>
      </c>
      <c r="H34" s="4" t="n">
        <v>2017</v>
      </c>
      <c r="I34" s="4" t="inlineStr">
        <is>
          <t>old.tds.npc5</t>
        </is>
      </c>
      <c r="J34" t="inlineStr">
        <is>
          <t>Multilaterals</t>
        </is>
      </c>
      <c r="N34" t="n">
        <v>0.01334645051851852</v>
      </c>
      <c r="O34" t="n">
        <v>0.007323976333333326</v>
      </c>
      <c r="P34" t="n">
        <v>0.01380687948148148</v>
      </c>
      <c r="Q34" t="n">
        <v>0.01342009855555555</v>
      </c>
      <c r="R34" t="n">
        <v>0.01292969240740739</v>
      </c>
      <c r="S34" t="n">
        <v>0.01294215544444445</v>
      </c>
      <c r="T34" t="n">
        <v>0.01205778759259259</v>
      </c>
      <c r="U34" t="n">
        <v>0.01184228570370371</v>
      </c>
      <c r="V34" t="n">
        <v>0.010911039591773</v>
      </c>
      <c r="W34" t="n">
        <v>0.01047869924580705</v>
      </c>
      <c r="X34" t="n">
        <v>0.01006464295727433</v>
      </c>
      <c r="Y34" t="n">
        <v>0.009573490879926705</v>
      </c>
      <c r="Z34" t="n">
        <v>0.006492497394033502</v>
      </c>
      <c r="AA34" t="n">
        <v>0.005863694161203625</v>
      </c>
      <c r="AB34" t="n">
        <v>0.005565469335618431</v>
      </c>
      <c r="AC34" t="n">
        <v>0.005254905491704339</v>
      </c>
      <c r="AD34" t="n">
        <v>0.004945526014427689</v>
      </c>
      <c r="AE34" t="n">
        <v>0.004655434245589849</v>
      </c>
      <c r="AF34" t="n">
        <v>0.004378927180136719</v>
      </c>
      <c r="AG34" t="n">
        <v>0.004123547259393204</v>
      </c>
      <c r="AH34" t="n">
        <v>0.003875536662282476</v>
      </c>
      <c r="AI34" t="n">
        <v>0.003638285223621915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Dominica_2018_August</t>
        </is>
      </c>
      <c r="B35" s="2" t="n"/>
      <c r="C35" s="3" t="inlineStr">
        <is>
          <t>SM.18.139</t>
        </is>
      </c>
      <c r="D35" s="4" t="inlineStr">
        <is>
          <t>Dominica</t>
        </is>
      </c>
      <c r="E35" s="4" t="inlineStr">
        <is>
          <t>DMA</t>
        </is>
      </c>
      <c r="F35" s="10" t="n">
        <v>43255</v>
      </c>
      <c r="G35" s="4" t="inlineStr">
        <is>
          <t>2013gn</t>
        </is>
      </c>
      <c r="H35" s="4" t="n">
        <v>2017</v>
      </c>
      <c r="I35" s="4" t="inlineStr">
        <is>
          <t>old.tds.prvt</t>
        </is>
      </c>
      <c r="J35" t="inlineStr">
        <is>
          <t xml:space="preserve">   IMF</t>
        </is>
      </c>
      <c r="N35" t="n">
        <v>0.0012182372962963</v>
      </c>
      <c r="O35" t="n">
        <v>0.000753336851851852</v>
      </c>
      <c r="P35" t="n">
        <v>0.00150667374074074</v>
      </c>
      <c r="Q35" t="n">
        <v>0.00104308181481481</v>
      </c>
      <c r="R35" t="n">
        <v>0.00101410733333333</v>
      </c>
      <c r="S35" t="n">
        <v>0.00144872474074074</v>
      </c>
      <c r="T35" t="n">
        <v>0.0008692348518518521</v>
      </c>
      <c r="U35" t="n">
        <v>0.0008692348518518521</v>
      </c>
      <c r="V35" t="n">
        <v>0.0007533368712757199</v>
      </c>
      <c r="W35" t="n">
        <v>0.000652891954820302</v>
      </c>
      <c r="X35" t="n">
        <v>0.000565839693930316</v>
      </c>
      <c r="Y35" t="n">
        <v>0.000490394401191965</v>
      </c>
      <c r="Z35" t="n">
        <v>0.000425008480847302</v>
      </c>
      <c r="AA35" t="n">
        <v>0.000368340683240025</v>
      </c>
      <c r="AB35" t="n">
        <v>0.000319228592001848</v>
      </c>
      <c r="AC35" t="n">
        <v>0.000276664779614029</v>
      </c>
      <c r="AD35" t="n">
        <v>0.000239776142227373</v>
      </c>
      <c r="AE35" t="n">
        <v>0.000207805989839576</v>
      </c>
      <c r="AF35" t="n">
        <v>0.000180098524448927</v>
      </c>
      <c r="AG35" t="n">
        <v>0.000156085387787525</v>
      </c>
      <c r="AH35" t="n">
        <v>0.000135274002690072</v>
      </c>
      <c r="AI35" t="n">
        <v>0.000117237468946828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Dominica_2018_August</t>
        </is>
      </c>
      <c r="B36" s="2" t="n"/>
      <c r="C36" s="3" t="inlineStr">
        <is>
          <t>SM.18.139</t>
        </is>
      </c>
      <c r="D36" s="4" t="inlineStr">
        <is>
          <t>Dominica</t>
        </is>
      </c>
      <c r="E36" s="4" t="inlineStr">
        <is>
          <t>DMA</t>
        </is>
      </c>
      <c r="F36" s="10" t="n">
        <v>43255</v>
      </c>
      <c r="G36" s="4" t="inlineStr">
        <is>
          <t>2013gn</t>
        </is>
      </c>
      <c r="H36" s="4" t="n">
        <v>2017</v>
      </c>
      <c r="I36" s="4" t="inlineStr">
        <is>
          <t>old.tds.prvt.bnd</t>
        </is>
      </c>
      <c r="J36" t="inlineStr">
        <is>
          <t xml:space="preserve">   IDA - Small Island Country</t>
        </is>
      </c>
    </row>
    <row r="37">
      <c r="A37" t="inlineStr">
        <is>
          <t>Dominica_2018_August</t>
        </is>
      </c>
      <c r="B37" s="2" t="n"/>
      <c r="C37" s="3" t="inlineStr">
        <is>
          <t>SM.18.139</t>
        </is>
      </c>
      <c r="D37" s="4" t="inlineStr">
        <is>
          <t>Dominica</t>
        </is>
      </c>
      <c r="E37" s="4" t="inlineStr">
        <is>
          <t>DMA</t>
        </is>
      </c>
      <c r="F37" s="10" t="n">
        <v>43255</v>
      </c>
      <c r="G37" s="4" t="inlineStr">
        <is>
          <t>2013gn</t>
        </is>
      </c>
      <c r="H37" s="4" t="n">
        <v>2017</v>
      </c>
      <c r="I37" s="4" t="inlineStr">
        <is>
          <t>old.tds.prvt.cmbk</t>
        </is>
      </c>
      <c r="J37" t="inlineStr">
        <is>
          <t>IDA - Regular</t>
        </is>
      </c>
      <c r="N37" t="n">
        <v>0.000970286925925926</v>
      </c>
      <c r="O37" t="n">
        <v>0.000551121074074074</v>
      </c>
      <c r="P37" t="n">
        <v>0.00120761766666667</v>
      </c>
      <c r="Q37" t="n">
        <v>0.00122100118518519</v>
      </c>
      <c r="R37" t="n">
        <v>0.00121360507407407</v>
      </c>
      <c r="S37" t="n">
        <v>0.00123964425925926</v>
      </c>
      <c r="T37" t="n">
        <v>0.00126530725925926</v>
      </c>
      <c r="U37" t="n">
        <v>0.00129479303703704</v>
      </c>
      <c r="V37" t="n">
        <v>0.00124548972708401</v>
      </c>
      <c r="W37" t="n">
        <v>0.00119806379544766</v>
      </c>
      <c r="X37" t="n">
        <v>0.00115244375505447</v>
      </c>
      <c r="Y37" t="n">
        <v>0.00110856084092565</v>
      </c>
      <c r="Z37" t="n">
        <v>0.00106634890652491</v>
      </c>
      <c r="AA37" t="n">
        <v>0.00102574432405296</v>
      </c>
      <c r="AB37" t="n">
        <v>0.0009866858885387631</v>
      </c>
      <c r="AC37" t="n">
        <v>0.0009491147255826911</v>
      </c>
      <c r="AD37" t="n">
        <v>0.0009129742026127261</v>
      </c>
      <c r="AE37" t="n">
        <v>0.000878209843519832</v>
      </c>
      <c r="AF37" t="n">
        <v>0.0008447692465438521</v>
      </c>
      <c r="AG37" t="n">
        <v>0.000812602005286169</v>
      </c>
      <c r="AH37" t="n">
        <v>0.000781659632730044</v>
      </c>
      <c r="AI37" t="n">
        <v>0.0007518954881541271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Dominica_2018_August</t>
        </is>
      </c>
      <c r="B38" s="2" t="n"/>
      <c r="C38" s="3" t="inlineStr">
        <is>
          <t>SM.18.139</t>
        </is>
      </c>
      <c r="D38" s="4" t="inlineStr">
        <is>
          <t>Dominica</t>
        </is>
      </c>
      <c r="E38" s="4" t="inlineStr">
        <is>
          <t>DMA</t>
        </is>
      </c>
      <c r="F38" s="10" t="n">
        <v>43255</v>
      </c>
      <c r="G38" s="4" t="inlineStr">
        <is>
          <t>2013gn</t>
        </is>
      </c>
      <c r="H38" s="4" t="n">
        <v>2017</v>
      </c>
      <c r="I38" s="4" t="inlineStr">
        <is>
          <t>old.tds.prvt.com3</t>
        </is>
      </c>
      <c r="J38" t="inlineStr">
        <is>
          <t>IBRD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Dominica_2018_August</t>
        </is>
      </c>
      <c r="B39" s="2" t="n"/>
      <c r="C39" s="3" t="inlineStr">
        <is>
          <t>SM.18.139</t>
        </is>
      </c>
      <c r="D39" s="4" t="inlineStr">
        <is>
          <t>Dominica</t>
        </is>
      </c>
      <c r="E39" s="4" t="inlineStr">
        <is>
          <t>DMA</t>
        </is>
      </c>
      <c r="F39" s="10" t="n">
        <v>43255</v>
      </c>
      <c r="G39" s="4" t="inlineStr">
        <is>
          <t>2013gn</t>
        </is>
      </c>
      <c r="H39" s="4" t="n">
        <v>2017</v>
      </c>
      <c r="I39" s="4" t="inlineStr">
        <is>
          <t>old.tds.prvt.com4</t>
        </is>
      </c>
      <c r="J39" t="inlineStr">
        <is>
          <t>CDB</t>
        </is>
      </c>
      <c r="N39" t="n">
        <v>0.008912884740740741</v>
      </c>
      <c r="O39" t="n">
        <v>0.00413294218518518</v>
      </c>
      <c r="P39" t="n">
        <v>0.00762240607407407</v>
      </c>
      <c r="Q39" t="n">
        <v>0.00758779822222222</v>
      </c>
      <c r="R39" t="n">
        <v>0.00755003933333333</v>
      </c>
      <c r="S39" t="n">
        <v>0.00718788925925926</v>
      </c>
      <c r="T39" t="n">
        <v>0.00696364788888889</v>
      </c>
      <c r="U39" t="n">
        <v>0.00683042792592593</v>
      </c>
      <c r="V39" t="n">
        <v>0.00607899907472759</v>
      </c>
      <c r="W39" t="n">
        <v>0.00541519133899538</v>
      </c>
      <c r="X39" t="n">
        <v>0.00482817036292868</v>
      </c>
      <c r="Y39" t="n">
        <v>0.00430851402034045</v>
      </c>
      <c r="Z39" t="n">
        <v>0.00384802026301771</v>
      </c>
      <c r="AA39" t="n">
        <v>0.00343954199210537</v>
      </c>
      <c r="AB39" t="n">
        <v>0.00307684503398346</v>
      </c>
      <c r="AC39" t="n">
        <v>0.00275448591140373</v>
      </c>
      <c r="AD39" t="n">
        <v>0.0024677065821217</v>
      </c>
      <c r="AE39" t="n">
        <v>0.00221234372796269</v>
      </c>
      <c r="AF39" t="n">
        <v>0.00198475052766524</v>
      </c>
      <c r="AG39" t="n">
        <v>0.00178172914586541</v>
      </c>
      <c r="AH39" t="n">
        <v>0.00160047242581213</v>
      </c>
      <c r="AI39" t="n">
        <v>0.00143851349130038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Dominica_2018_August</t>
        </is>
      </c>
      <c r="B40" s="2" t="n"/>
      <c r="C40" s="3" t="inlineStr">
        <is>
          <t>SM.18.139</t>
        </is>
      </c>
      <c r="D40" s="4" t="inlineStr">
        <is>
          <t>Dominica</t>
        </is>
      </c>
      <c r="E40" s="4" t="inlineStr">
        <is>
          <t>DMA</t>
        </is>
      </c>
      <c r="F40" s="10" t="n">
        <v>43255</v>
      </c>
      <c r="G40" s="4" t="inlineStr">
        <is>
          <t>2013gn</t>
        </is>
      </c>
      <c r="H40" s="4" t="n">
        <v>2017</v>
      </c>
      <c r="I40" s="4" t="inlineStr">
        <is>
          <t>old.tds.prvt.com5</t>
        </is>
      </c>
      <c r="J40" t="inlineStr">
        <is>
          <t>Other Multilateral</t>
        </is>
      </c>
      <c r="N40" t="n">
        <v>0.00224504155555555</v>
      </c>
      <c r="O40" t="n">
        <v>0.00188657622222222</v>
      </c>
      <c r="P40" t="n">
        <v>0.003470182</v>
      </c>
      <c r="Q40" t="n">
        <v>0.00356821733333333</v>
      </c>
      <c r="R40" t="n">
        <v>0.00315194066666666</v>
      </c>
      <c r="S40" t="n">
        <v>0.00306589718518519</v>
      </c>
      <c r="T40" t="n">
        <v>0.00295959759259259</v>
      </c>
      <c r="U40" t="n">
        <v>0.00284782988888889</v>
      </c>
      <c r="V40" t="n">
        <v>0.00283321391868568</v>
      </c>
      <c r="W40" t="n">
        <v>0.00321255215654371</v>
      </c>
      <c r="X40" t="n">
        <v>0.00351818914536087</v>
      </c>
      <c r="Y40" t="n">
        <v>0.00366602161746864</v>
      </c>
      <c r="Z40" t="n">
        <v>0.00115311974364358</v>
      </c>
      <c r="AA40" t="n">
        <v>0.00103006716180527</v>
      </c>
      <c r="AB40" t="n">
        <v>0.00118270982109436</v>
      </c>
      <c r="AC40" t="n">
        <v>0.00127464007510389</v>
      </c>
      <c r="AD40" t="n">
        <v>0.00132506908746589</v>
      </c>
      <c r="AE40" t="n">
        <v>0.00135707468426775</v>
      </c>
      <c r="AF40" t="n">
        <v>0.0013693088814787</v>
      </c>
      <c r="AG40" t="n">
        <v>0.0013731307204541</v>
      </c>
      <c r="AH40" t="n">
        <v>0.00135813060105023</v>
      </c>
      <c r="AI40" t="n">
        <v>0.00133063877522058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Dominica_2018_August</t>
        </is>
      </c>
      <c r="B41" s="2" t="n"/>
      <c r="C41" s="3" t="inlineStr">
        <is>
          <t>SM.18.139</t>
        </is>
      </c>
      <c r="D41" s="4" t="inlineStr">
        <is>
          <t>Dominica</t>
        </is>
      </c>
      <c r="E41" s="4" t="inlineStr">
        <is>
          <t>DMA</t>
        </is>
      </c>
      <c r="F41" s="10" t="n">
        <v>43255</v>
      </c>
      <c r="G41" s="4" t="inlineStr">
        <is>
          <t>2013gn</t>
        </is>
      </c>
      <c r="H41" s="4" t="n">
        <v>2017</v>
      </c>
      <c r="I41" s="5" t="n"/>
      <c r="J41" t="inlineStr">
        <is>
          <t>Official Bilaterals</t>
        </is>
      </c>
      <c r="N41" t="n">
        <v>0.009538846330387901</v>
      </c>
      <c r="O41" t="n">
        <v>0.004838130226339932</v>
      </c>
      <c r="P41" t="n">
        <v>0.00942251196366227</v>
      </c>
      <c r="Q41" t="n">
        <v>0.008829415968369052</v>
      </c>
      <c r="R41" t="n">
        <v>0.00797616028379567</v>
      </c>
      <c r="S41" t="n">
        <v>0.007360765384541442</v>
      </c>
      <c r="T41" t="n">
        <v>0.007179408885646266</v>
      </c>
      <c r="U41" t="n">
        <v>0.00703089613260403</v>
      </c>
      <c r="V41" t="n">
        <v>0.006331937012324473</v>
      </c>
      <c r="W41" t="n">
        <v>0.005902289417260705</v>
      </c>
      <c r="X41" t="n">
        <v>0.005547262365603233</v>
      </c>
      <c r="Y41" t="n">
        <v>0.00523684522228946</v>
      </c>
      <c r="Z41" t="n">
        <v>0.004904874019849307</v>
      </c>
      <c r="AA41" t="n">
        <v>0.004542409423496279</v>
      </c>
      <c r="AB41" t="n">
        <v>0.004236935647693852</v>
      </c>
      <c r="AC41" t="n">
        <v>0.001881065218837361</v>
      </c>
      <c r="AD41" t="n">
        <v>0.0004936163406148761</v>
      </c>
      <c r="AE41" t="n">
        <v>4.145564843837608e-05</v>
      </c>
      <c r="AF41" t="n">
        <v>1.113313811943402e-05</v>
      </c>
      <c r="AG41" t="n">
        <v>6.59532761991053e-06</v>
      </c>
      <c r="AH41" t="n">
        <v>5.544038878564335e-06</v>
      </c>
      <c r="AI41" t="n">
        <v>5.393442831297477e-06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Dominica_2018_August</t>
        </is>
      </c>
      <c r="B42" s="2" t="n"/>
      <c r="C42" s="3" t="inlineStr">
        <is>
          <t>SM.18.139</t>
        </is>
      </c>
      <c r="D42" s="4" t="inlineStr">
        <is>
          <t>Dominica</t>
        </is>
      </c>
      <c r="E42" s="4" t="inlineStr">
        <is>
          <t>DMA</t>
        </is>
      </c>
      <c r="F42" s="10" t="n">
        <v>43255</v>
      </c>
      <c r="G42" s="4" t="inlineStr">
        <is>
          <t>2013gn</t>
        </is>
      </c>
      <c r="H42" s="4" t="n">
        <v>2017</v>
      </c>
      <c r="I42" s="4" t="inlineStr">
        <is>
          <t>old.tds.exc.lcl.iss</t>
        </is>
      </c>
      <c r="J42" t="inlineStr">
        <is>
          <t xml:space="preserve">   PC</t>
        </is>
      </c>
      <c r="N42" t="n">
        <v>0.00330701544444444</v>
      </c>
      <c r="O42" t="n">
        <v>0.00218637648148148</v>
      </c>
      <c r="P42" t="n">
        <v>0.00433320959259259</v>
      </c>
      <c r="Q42" t="n">
        <v>0.00361116511111111</v>
      </c>
      <c r="R42" t="n">
        <v>0.00287516944444444</v>
      </c>
      <c r="S42" t="n">
        <v>0.00282120396296296</v>
      </c>
      <c r="T42" t="n">
        <v>0.00276983485185185</v>
      </c>
      <c r="U42" t="n">
        <v>0.00271916688888889</v>
      </c>
      <c r="V42" t="n">
        <v>0.00210611375619292</v>
      </c>
      <c r="W42" t="n">
        <v>0.00163127730495203</v>
      </c>
      <c r="X42" t="n">
        <v>0.00126349568622627</v>
      </c>
      <c r="Y42" t="n">
        <v>0.0009786327218960071</v>
      </c>
      <c r="Z42" t="n">
        <v>0.000757993885381637</v>
      </c>
      <c r="AA42" t="n">
        <v>0.000587099447444191</v>
      </c>
      <c r="AB42" t="n">
        <v>0.00045473422389909</v>
      </c>
      <c r="AC42" t="n">
        <v>0.000352211563620598</v>
      </c>
      <c r="AD42" t="n">
        <v>0.000272803275030373</v>
      </c>
      <c r="AE42" t="n">
        <v>0.00021129807920635</v>
      </c>
      <c r="AF42" t="n">
        <v>0.000163659612485671</v>
      </c>
      <c r="AG42" t="n">
        <v>0.000126761534508805</v>
      </c>
      <c r="AH42" t="n">
        <v>0.001098182357803358</v>
      </c>
      <c r="AI42" t="n">
        <v>0.002076046534314848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Dominica_2018_August</t>
        </is>
      </c>
      <c r="B43" s="2" t="n"/>
      <c r="C43" s="3" t="inlineStr">
        <is>
          <t>SM.18.139</t>
        </is>
      </c>
      <c r="D43" s="4" t="inlineStr">
        <is>
          <t>Dominica</t>
        </is>
      </c>
      <c r="E43" s="4" t="inlineStr">
        <is>
          <t>DMA</t>
        </is>
      </c>
      <c r="F43" s="10" t="n">
        <v>43255</v>
      </c>
      <c r="G43" s="4" t="inlineStr">
        <is>
          <t>2013gn</t>
        </is>
      </c>
      <c r="H43" s="4" t="n">
        <v>2017</v>
      </c>
      <c r="I43" s="7" t="inlineStr">
        <is>
          <t>old.tds.exc.lcl.iss.amt</t>
        </is>
      </c>
      <c r="J43" t="inlineStr">
        <is>
          <t>…</t>
        </is>
      </c>
    </row>
    <row r="44">
      <c r="A44" t="inlineStr">
        <is>
          <t>Dominica_2018_August</t>
        </is>
      </c>
      <c r="B44" s="2" t="n"/>
      <c r="C44" s="3" t="inlineStr">
        <is>
          <t>SM.18.139</t>
        </is>
      </c>
      <c r="D44" s="4" t="inlineStr">
        <is>
          <t>Dominica</t>
        </is>
      </c>
      <c r="E44" s="4" t="inlineStr">
        <is>
          <t>DMA</t>
        </is>
      </c>
      <c r="F44" s="10" t="n">
        <v>43255</v>
      </c>
      <c r="G44" s="4" t="inlineStr">
        <is>
          <t>2013gn</t>
        </is>
      </c>
      <c r="H44" s="4" t="n">
        <v>2017</v>
      </c>
      <c r="I44" s="4" t="inlineStr">
        <is>
          <t>old.tds.exc.lcl.iss.int</t>
        </is>
      </c>
      <c r="J44" t="inlineStr">
        <is>
          <t>AFD (France)</t>
        </is>
      </c>
      <c r="N44" t="n">
        <v>0.00330701544444444</v>
      </c>
      <c r="O44" t="n">
        <v>0.00218637648148148</v>
      </c>
      <c r="P44" t="n">
        <v>0.00433320959259259</v>
      </c>
      <c r="Q44" t="n">
        <v>0.00361116511111111</v>
      </c>
      <c r="R44" t="n">
        <v>0.00287516944444444</v>
      </c>
      <c r="S44" t="n">
        <v>0.00282120396296296</v>
      </c>
      <c r="T44" t="n">
        <v>0.00276983485185185</v>
      </c>
      <c r="U44" t="n">
        <v>0.00271916688888889</v>
      </c>
      <c r="V44" t="n">
        <v>0.00210611375619292</v>
      </c>
      <c r="W44" t="n">
        <v>0.00163127730495203</v>
      </c>
      <c r="X44" t="n">
        <v>0.00126349568622627</v>
      </c>
      <c r="Y44" t="n">
        <v>0.0009786327218960071</v>
      </c>
      <c r="Z44" t="n">
        <v>0.000757993885381637</v>
      </c>
      <c r="AA44" t="n">
        <v>0.000587099447444191</v>
      </c>
      <c r="AB44" t="n">
        <v>0.00045473422389909</v>
      </c>
      <c r="AC44" t="n">
        <v>0.000352211563620598</v>
      </c>
      <c r="AD44" t="n">
        <v>0.000272803275030373</v>
      </c>
      <c r="AE44" t="n">
        <v>0.00021129807920635</v>
      </c>
      <c r="AF44" t="n">
        <v>0.000163659612485671</v>
      </c>
      <c r="AG44" t="n">
        <v>0.000126761534508805</v>
      </c>
      <c r="AH44" t="n">
        <v>9.8182357803358e-05</v>
      </c>
      <c r="AI44" t="n">
        <v>7.60465343148476e-05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Dominica_2018_August</t>
        </is>
      </c>
      <c r="B45" s="2" t="n"/>
      <c r="C45" s="3" t="inlineStr">
        <is>
          <t>SM.18.139</t>
        </is>
      </c>
      <c r="D45" s="4" t="inlineStr">
        <is>
          <t>Dominica</t>
        </is>
      </c>
      <c r="E45" s="4" t="inlineStr">
        <is>
          <t>DMA</t>
        </is>
      </c>
      <c r="F45" s="10" t="n">
        <v>43255</v>
      </c>
      <c r="G45" s="4" t="inlineStr">
        <is>
          <t>2013gn</t>
        </is>
      </c>
      <c r="H45" s="4" t="n">
        <v>2017</v>
      </c>
      <c r="I45" s="5" t="n"/>
      <c r="J45" t="inlineStr">
        <is>
          <t xml:space="preserve">   Others Paris Club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0.001</v>
      </c>
      <c r="AI45" t="n">
        <v>0.002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Dominica_2018_August</t>
        </is>
      </c>
      <c r="B46" s="2" t="n"/>
      <c r="C46" s="3" t="inlineStr">
        <is>
          <t>SM.18.139</t>
        </is>
      </c>
      <c r="D46" s="4" t="inlineStr">
        <is>
          <t>Dominica</t>
        </is>
      </c>
      <c r="E46" s="4" t="inlineStr">
        <is>
          <t>DMA</t>
        </is>
      </c>
      <c r="F46" s="10" t="n">
        <v>43255</v>
      </c>
      <c r="G46" s="4" t="inlineStr">
        <is>
          <t>2013gn</t>
        </is>
      </c>
      <c r="H46" s="4" t="n">
        <v>2017</v>
      </c>
      <c r="I46" s="5" t="n"/>
      <c r="J46" t="inlineStr">
        <is>
          <t xml:space="preserve">   NPC</t>
        </is>
      </c>
      <c r="N46" t="n">
        <v>0.006231830885943462</v>
      </c>
      <c r="O46" t="n">
        <v>0.002651753744858452</v>
      </c>
      <c r="P46" t="n">
        <v>0.005089302371069681</v>
      </c>
      <c r="Q46" t="n">
        <v>0.005218250857257942</v>
      </c>
      <c r="R46" t="n">
        <v>0.00510099083935123</v>
      </c>
      <c r="S46" t="n">
        <v>0.004539561421578482</v>
      </c>
      <c r="T46" t="n">
        <v>0.004409574033794416</v>
      </c>
      <c r="U46" t="n">
        <v>0.00431172924371514</v>
      </c>
      <c r="V46" t="n">
        <v>0.004225823256131554</v>
      </c>
      <c r="W46" t="n">
        <v>0.004271012112308675</v>
      </c>
      <c r="X46" t="n">
        <v>0.004283766679376963</v>
      </c>
      <c r="Y46" t="n">
        <v>0.004258212500393452</v>
      </c>
      <c r="Z46" t="n">
        <v>0.00414688013446767</v>
      </c>
      <c r="AA46" t="n">
        <v>0.003955309976052088</v>
      </c>
      <c r="AB46" t="n">
        <v>0.003782201423794761</v>
      </c>
      <c r="AC46" t="n">
        <v>0.001528853655216763</v>
      </c>
      <c r="AD46" t="n">
        <v>0.0002208130655845031</v>
      </c>
      <c r="AE46" t="n">
        <v>-0.0001698424307679739</v>
      </c>
      <c r="AF46" t="n">
        <v>-0.000152526474366237</v>
      </c>
      <c r="AG46" t="n">
        <v>-0.0001201662068888945</v>
      </c>
      <c r="AH46" t="n">
        <v>-0.001092638318924794</v>
      </c>
      <c r="AI46" t="n">
        <v>-0.00207065309148355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Dominica_2018_August</t>
        </is>
      </c>
      <c r="B47" s="2" t="n"/>
      <c r="C47" s="3" t="inlineStr">
        <is>
          <t>SM.18.139</t>
        </is>
      </c>
      <c r="D47" s="4" t="inlineStr">
        <is>
          <t>Dominica</t>
        </is>
      </c>
      <c r="E47" s="4" t="inlineStr">
        <is>
          <t>DMA</t>
        </is>
      </c>
      <c r="F47" s="10" t="n">
        <v>43255</v>
      </c>
      <c r="G47" s="4" t="inlineStr">
        <is>
          <t>2013gn</t>
        </is>
      </c>
      <c r="H47" s="4" t="n">
        <v>2017</v>
      </c>
      <c r="I47" s="5" t="n"/>
      <c r="J47" t="inlineStr">
        <is>
          <t>Taiwan</t>
        </is>
      </c>
      <c r="N47" t="n">
        <v>0.0008544020370370369</v>
      </c>
      <c r="O47" t="n">
        <v>0.000308748185185185</v>
      </c>
      <c r="P47" t="n">
        <v>0.000604535037037037</v>
      </c>
      <c r="Q47" t="n">
        <v>0.00058805062962963</v>
      </c>
      <c r="R47" t="n">
        <v>0.000572204</v>
      </c>
      <c r="S47" t="n">
        <v>9.74182222222222e-05</v>
      </c>
      <c r="T47" t="n">
        <v>5.17803703703704e-05</v>
      </c>
      <c r="U47" t="n">
        <v>5.02312962962963e-05</v>
      </c>
      <c r="V47" t="n">
        <v>3.90673083430259e-05</v>
      </c>
      <c r="W47" t="n">
        <v>3.03845350151077e-05</v>
      </c>
      <c r="X47" t="n">
        <v>2.36315222942436e-05</v>
      </c>
      <c r="Y47" t="n">
        <v>1.83793777217805e-05</v>
      </c>
      <c r="Z47" t="n">
        <v>1.42945308911465e-05</v>
      </c>
      <c r="AA47" t="n">
        <v>1.11175479655003e-05</v>
      </c>
      <c r="AB47" t="n">
        <v>8.646654703565841e-06</v>
      </c>
      <c r="AC47" t="n">
        <v>6.72492151998851e-06</v>
      </c>
      <c r="AD47" t="n">
        <v>5.23029668703599e-06</v>
      </c>
      <c r="AE47" t="n">
        <v>4.06785467356152e-06</v>
      </c>
      <c r="AF47" t="n">
        <v>3.16376730334081e-06</v>
      </c>
      <c r="AG47" t="n">
        <v>2.46061483335266e-06</v>
      </c>
      <c r="AH47" t="n">
        <v>1.91373915259877e-06</v>
      </c>
      <c r="AI47" t="n">
        <v>1.48840748846471e-06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Dominica_2018_August</t>
        </is>
      </c>
      <c r="B48" s="2" t="n"/>
      <c r="C48" s="3" t="inlineStr">
        <is>
          <t>SM.18.139</t>
        </is>
      </c>
      <c r="D48" s="4" t="inlineStr">
        <is>
          <t>Dominica</t>
        </is>
      </c>
      <c r="E48" s="4" t="inlineStr">
        <is>
          <t>DMA</t>
        </is>
      </c>
      <c r="F48" s="10" t="n">
        <v>43255</v>
      </c>
      <c r="G48" s="4" t="inlineStr">
        <is>
          <t>2013gn</t>
        </is>
      </c>
      <c r="H48" s="4" t="n">
        <v>2017</v>
      </c>
      <c r="I48" s="5" t="n"/>
      <c r="J48" t="inlineStr">
        <is>
          <t>Kuwait</t>
        </is>
      </c>
      <c r="N48" t="n">
        <v>0.000675171518518518</v>
      </c>
      <c r="O48" t="n">
        <v>0.000196040333333333</v>
      </c>
      <c r="P48" t="n">
        <v>0.000382732777777778</v>
      </c>
      <c r="Q48" t="n">
        <v>0.000370268962962963</v>
      </c>
      <c r="R48" t="n">
        <v>0.000357805111111111</v>
      </c>
      <c r="S48" t="n">
        <v>0.000345341259259259</v>
      </c>
      <c r="T48" t="n">
        <v>0.000332877407407407</v>
      </c>
      <c r="U48" t="n">
        <v>0.000307154185185185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Dominica_2018_August</t>
        </is>
      </c>
      <c r="B49" s="2" t="n"/>
      <c r="C49" s="3" t="inlineStr">
        <is>
          <t>SM.18.139</t>
        </is>
      </c>
      <c r="D49" s="4" t="inlineStr">
        <is>
          <t>Dominica</t>
        </is>
      </c>
      <c r="E49" s="4" t="inlineStr">
        <is>
          <t>DMA</t>
        </is>
      </c>
      <c r="F49" s="10" t="n">
        <v>43255</v>
      </c>
      <c r="G49" s="4" t="inlineStr">
        <is>
          <t>2013gn</t>
        </is>
      </c>
      <c r="H49" s="4" t="n">
        <v>2017</v>
      </c>
      <c r="I49" s="4" t="inlineStr">
        <is>
          <t>old.tds.lcl.nres</t>
        </is>
      </c>
      <c r="J49" t="inlineStr">
        <is>
          <t>China</t>
        </is>
      </c>
      <c r="N49" t="n">
        <v>0.00359901114814815</v>
      </c>
      <c r="O49" t="n">
        <v>0.0018133602962963</v>
      </c>
      <c r="P49" t="n">
        <v>0.00358934488888889</v>
      </c>
      <c r="Q49" t="n">
        <v>0.00353280218518519</v>
      </c>
      <c r="R49" t="n">
        <v>0.00347274548148148</v>
      </c>
      <c r="S49" t="n">
        <v>0.00341444577777778</v>
      </c>
      <c r="T49" t="n">
        <v>0.00335614611111111</v>
      </c>
      <c r="U49" t="n">
        <v>0.00329896448148148</v>
      </c>
      <c r="V49" t="n">
        <v>0.00285910255401712</v>
      </c>
      <c r="W49" t="n">
        <v>0.00247788887818382</v>
      </c>
      <c r="X49" t="n">
        <v>0.00214750369272354</v>
      </c>
      <c r="Y49" t="n">
        <v>0.00186116986555162</v>
      </c>
      <c r="Z49" t="n">
        <v>0.00161301388219936</v>
      </c>
      <c r="AA49" t="n">
        <v>0.00139794536346455</v>
      </c>
      <c r="AB49" t="n">
        <v>0.00121155264737549</v>
      </c>
      <c r="AC49" t="n">
        <v>0.00105001229355969</v>
      </c>
      <c r="AD49" t="n">
        <v>0.0009100106536969849</v>
      </c>
      <c r="AE49" t="n">
        <v>0.0007886758992454969</v>
      </c>
      <c r="AF49" t="n">
        <v>0.00068351911213757</v>
      </c>
      <c r="AG49" t="n">
        <v>0.000592383230049615</v>
      </c>
      <c r="AH49" t="n">
        <v>0.000513398798969335</v>
      </c>
      <c r="AI49" t="n">
        <v>0.000444945625420693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Dominica_2018_August</t>
        </is>
      </c>
      <c r="B50" s="2" t="n"/>
      <c r="C50" s="3" t="inlineStr">
        <is>
          <t>SM.18.139</t>
        </is>
      </c>
      <c r="D50" s="4" t="inlineStr">
        <is>
          <t>Dominica</t>
        </is>
      </c>
      <c r="E50" s="4" t="inlineStr">
        <is>
          <t>DMA</t>
        </is>
      </c>
      <c r="F50" s="10" t="n">
        <v>43255</v>
      </c>
      <c r="G50" s="4" t="inlineStr">
        <is>
          <t>2013gn</t>
        </is>
      </c>
      <c r="H50" s="4" t="n">
        <v>2017</v>
      </c>
      <c r="I50" s="4" t="inlineStr">
        <is>
          <t>old.tds.lcl.nres.lc</t>
        </is>
      </c>
      <c r="J50" t="inlineStr">
        <is>
          <t>Petrocaribe</t>
        </is>
      </c>
      <c r="N50" t="n">
        <v>2.50288594345696e-06</v>
      </c>
      <c r="O50" t="n">
        <v>2.71826337696647e-06</v>
      </c>
      <c r="P50" t="n">
        <v>2.89055625486517e-06</v>
      </c>
      <c r="Q50" t="n">
        <v>3.08559799867812e-06</v>
      </c>
      <c r="R50" t="n">
        <v>3.30795046234334e-06</v>
      </c>
      <c r="S50" t="n">
        <v>3.51390305996129e-06</v>
      </c>
      <c r="T50" t="n">
        <v>3.70881157219641e-06</v>
      </c>
      <c r="U50" t="n">
        <v>3.897132604029669e-06</v>
      </c>
      <c r="V50" t="n">
        <v>4.08377361097751e-06</v>
      </c>
      <c r="W50" t="n">
        <v>4.270651859037349e-06</v>
      </c>
      <c r="X50" t="n">
        <v>4.465343720609779e-06</v>
      </c>
      <c r="Y50" t="n">
        <v>4.66818706988129e-06</v>
      </c>
      <c r="Z50" t="n">
        <v>4.87953438075309e-06</v>
      </c>
      <c r="AA50" t="n">
        <v>5.09975338585781e-06</v>
      </c>
      <c r="AB50" t="n">
        <v>5.32922771771494e-06</v>
      </c>
      <c r="AC50" t="n">
        <v>5.56835760005715e-06</v>
      </c>
      <c r="AD50" t="n">
        <v>5.81565412152733e-06</v>
      </c>
      <c r="AE50" t="n">
        <v>5.705141161151569e-06</v>
      </c>
      <c r="AF50" t="n">
        <v>5.7705620278503e-06</v>
      </c>
      <c r="AG50" t="n">
        <v>5.79094120617288e-06</v>
      </c>
      <c r="AH50" t="n">
        <v>5.423380916502879e-06</v>
      </c>
      <c r="AI50" t="n">
        <v>5.37534413699176e-06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Dominica_2018_August</t>
        </is>
      </c>
      <c r="B51" s="2" t="n"/>
      <c r="C51" s="3" t="inlineStr">
        <is>
          <t>SM.18.139</t>
        </is>
      </c>
      <c r="D51" s="4" t="inlineStr">
        <is>
          <t>Dominica</t>
        </is>
      </c>
      <c r="E51" s="4" t="inlineStr">
        <is>
          <t>DMA</t>
        </is>
      </c>
      <c r="F51" s="10" t="n">
        <v>43255</v>
      </c>
      <c r="G51" s="4" t="inlineStr">
        <is>
          <t>2013gn</t>
        </is>
      </c>
      <c r="H51" s="4" t="n">
        <v>2017</v>
      </c>
      <c r="I51" s="4" t="inlineStr">
        <is>
          <t>old.tds.lcl.nres.fx</t>
        </is>
      </c>
      <c r="J51" t="inlineStr">
        <is>
          <t xml:space="preserve">   Others Non Paris Club</t>
        </is>
      </c>
      <c r="N51" t="n">
        <v>0.0011007432962963</v>
      </c>
      <c r="O51" t="n">
        <v>0.000330886666666667</v>
      </c>
      <c r="P51" t="n">
        <v>0.00050979911111111</v>
      </c>
      <c r="Q51" t="n">
        <v>0.000724043481481481</v>
      </c>
      <c r="R51" t="n">
        <v>0.000694928296296295</v>
      </c>
      <c r="S51" t="n">
        <v>0.00067884225925926</v>
      </c>
      <c r="T51" t="n">
        <v>0.000665061333333332</v>
      </c>
      <c r="U51" t="n">
        <v>0.000651482148148149</v>
      </c>
      <c r="V51" t="n">
        <v>0.00132356962016043</v>
      </c>
      <c r="W51" t="n">
        <v>0.00175846804725071</v>
      </c>
      <c r="X51" t="n">
        <v>0.00210816612063857</v>
      </c>
      <c r="Y51" t="n">
        <v>0.00237399507005017</v>
      </c>
      <c r="Z51" t="n">
        <v>0.00251469218699641</v>
      </c>
      <c r="AA51" t="n">
        <v>0.00254114731123618</v>
      </c>
      <c r="AB51" t="n">
        <v>0.00255667289399799</v>
      </c>
      <c r="AC51" t="n">
        <v>0.000466548082537028</v>
      </c>
      <c r="AD51" t="n">
        <v>-0.0007002435389210451</v>
      </c>
      <c r="AE51" t="n">
        <v>-0.000968291325848184</v>
      </c>
      <c r="AF51" t="n">
        <v>-0.0008449799158349981</v>
      </c>
      <c r="AG51" t="n">
        <v>-0.000720800992978035</v>
      </c>
      <c r="AH51" t="n">
        <v>-0.00161337423796323</v>
      </c>
      <c r="AI51" t="n">
        <v>-0.0025224624685297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Dominica_2018_August</t>
        </is>
      </c>
      <c r="B52" s="2" t="n"/>
      <c r="C52" s="3" t="inlineStr">
        <is>
          <t>SM.18.139</t>
        </is>
      </c>
      <c r="D52" s="4" t="inlineStr">
        <is>
          <t>Dominica</t>
        </is>
      </c>
      <c r="E52" s="4" t="inlineStr">
        <is>
          <t>DMA</t>
        </is>
      </c>
      <c r="F52" s="10" t="n">
        <v>43255</v>
      </c>
      <c r="G52" s="4" t="inlineStr">
        <is>
          <t>2013gn</t>
        </is>
      </c>
      <c r="H52" s="4" t="n">
        <v>2017</v>
      </c>
      <c r="I52" s="5" t="n"/>
      <c r="J52" t="inlineStr">
        <is>
          <t>Commercial</t>
        </is>
      </c>
      <c r="N52" t="n">
        <v>0.00603464512142157</v>
      </c>
      <c r="O52" t="n">
        <v>0.007428724501157981</v>
      </c>
      <c r="P52" t="n">
        <v>0.00591571192419537</v>
      </c>
      <c r="Q52" t="n">
        <v>0.0142916729805661</v>
      </c>
      <c r="R52" t="n">
        <v>0.00589857007397384</v>
      </c>
      <c r="S52" t="n">
        <v>0.00471376353775197</v>
      </c>
      <c r="T52" t="n">
        <v>0.00463414007560417</v>
      </c>
      <c r="U52" t="n">
        <v>0.004554516576419341</v>
      </c>
      <c r="V52" t="n">
        <v>0.00612783060522099</v>
      </c>
      <c r="W52" t="n">
        <v>0.00469955960094631</v>
      </c>
      <c r="X52" t="n">
        <v>0.00432285294970256</v>
      </c>
      <c r="Y52" t="n">
        <v>0.0039626649086484</v>
      </c>
      <c r="Z52" t="n">
        <v>0.00272084518659005</v>
      </c>
      <c r="AA52" t="n">
        <v>0.00238078669059871</v>
      </c>
      <c r="AB52" t="n">
        <v>0.00235702762259282</v>
      </c>
      <c r="AC52" t="n">
        <v>0.00233432458067741</v>
      </c>
      <c r="AD52" t="n">
        <v>0.00230987353888569</v>
      </c>
      <c r="AE52" t="n">
        <v>0.00191712812509583</v>
      </c>
      <c r="AF52" t="n">
        <v>0.00168935705245589</v>
      </c>
      <c r="AG52" t="n">
        <v>0.00140661946122345</v>
      </c>
      <c r="AH52" t="n">
        <v>0.00107633261082971</v>
      </c>
      <c r="AI52" t="n">
        <v>3.74599220357582e-13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Dominica_2018_August</t>
        </is>
      </c>
      <c r="B53" s="2" t="n"/>
      <c r="C53" s="3" t="inlineStr">
        <is>
          <t>SM.18.139</t>
        </is>
      </c>
      <c r="D53" s="4" t="inlineStr">
        <is>
          <t>Dominica</t>
        </is>
      </c>
      <c r="E53" s="4" t="inlineStr">
        <is>
          <t>DMA</t>
        </is>
      </c>
      <c r="F53" s="10" t="n">
        <v>43255</v>
      </c>
      <c r="G53" s="4" t="inlineStr">
        <is>
          <t>2013gn</t>
        </is>
      </c>
      <c r="H53" s="4" t="n">
        <v>2017</v>
      </c>
      <c r="I53" s="4" t="inlineStr">
        <is>
          <t>old.tds.lcl.fx</t>
        </is>
      </c>
      <c r="J53" t="inlineStr">
        <is>
          <t>Royal Merchant Bank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Dominica_2018_August</t>
        </is>
      </c>
      <c r="B54" s="2" t="n"/>
      <c r="C54" s="3" t="inlineStr">
        <is>
          <t>SM.18.139</t>
        </is>
      </c>
      <c r="D54" s="4" t="inlineStr">
        <is>
          <t>Dominica</t>
        </is>
      </c>
      <c r="E54" s="4" t="inlineStr">
        <is>
          <t>DMA</t>
        </is>
      </c>
      <c r="F54" s="10" t="n">
        <v>43255</v>
      </c>
      <c r="G54" s="4" t="inlineStr">
        <is>
          <t>2013gn</t>
        </is>
      </c>
      <c r="H54" s="4" t="n">
        <v>2017</v>
      </c>
      <c r="I54" s="5" t="n"/>
      <c r="J54" t="inlineStr">
        <is>
          <t>…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Dominica_2018_August</t>
        </is>
      </c>
      <c r="B55" s="2" t="n"/>
      <c r="C55" s="3" t="inlineStr">
        <is>
          <t>SM.18.139</t>
        </is>
      </c>
      <c r="D55" s="4" t="inlineStr">
        <is>
          <t>Dominica</t>
        </is>
      </c>
      <c r="E55" s="4" t="inlineStr">
        <is>
          <t>DMA</t>
        </is>
      </c>
      <c r="F55" s="10" t="n">
        <v>43255</v>
      </c>
      <c r="G55" s="4" t="inlineStr">
        <is>
          <t>2013gn</t>
        </is>
      </c>
      <c r="H55" s="4" t="n">
        <v>2017</v>
      </c>
      <c r="I55" s="4" t="inlineStr">
        <is>
          <t>old.tds.lcl.incl.dom</t>
        </is>
      </c>
      <c r="J55" t="inlineStr">
        <is>
          <t xml:space="preserve">   Others Commercial</t>
        </is>
      </c>
      <c r="N55" t="n">
        <v>0.00603464512142157</v>
      </c>
      <c r="O55" t="n">
        <v>0.007428724501157981</v>
      </c>
      <c r="P55" t="n">
        <v>0.00591571192419537</v>
      </c>
      <c r="Q55" t="n">
        <v>0.0142916729805661</v>
      </c>
      <c r="R55" t="n">
        <v>0.00589857007397384</v>
      </c>
      <c r="S55" t="n">
        <v>0.00471376353775197</v>
      </c>
      <c r="T55" t="n">
        <v>0.00463414007560417</v>
      </c>
      <c r="U55" t="n">
        <v>0.004554516576419341</v>
      </c>
      <c r="V55" t="n">
        <v>0.00612783060522099</v>
      </c>
      <c r="W55" t="n">
        <v>0.00469955960094631</v>
      </c>
      <c r="X55" t="n">
        <v>0.00432285294970256</v>
      </c>
      <c r="Y55" t="n">
        <v>0.0039626649086484</v>
      </c>
      <c r="Z55" t="n">
        <v>0.00272084518659005</v>
      </c>
      <c r="AA55" t="n">
        <v>0.00238078669059871</v>
      </c>
      <c r="AB55" t="n">
        <v>0.00235702762259282</v>
      </c>
      <c r="AC55" t="n">
        <v>0.00233432458067741</v>
      </c>
      <c r="AD55" t="n">
        <v>0.00230987353888569</v>
      </c>
      <c r="AE55" t="n">
        <v>0.00191712812509583</v>
      </c>
      <c r="AF55" t="n">
        <v>0.00168935705245589</v>
      </c>
      <c r="AG55" t="n">
        <v>0.00140661946122345</v>
      </c>
      <c r="AH55" t="n">
        <v>0.00107633261082971</v>
      </c>
      <c r="AI55" t="n">
        <v>3.74599220357582e-13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Dominica_2018_August</t>
        </is>
      </c>
      <c r="B56" s="2" t="n"/>
      <c r="C56" s="3" t="inlineStr">
        <is>
          <t>SM.18.139</t>
        </is>
      </c>
      <c r="D56" s="4" t="inlineStr">
        <is>
          <t>Dominica</t>
        </is>
      </c>
      <c r="E56" s="4" t="inlineStr">
        <is>
          <t>DMA</t>
        </is>
      </c>
      <c r="F56" s="10" t="n">
        <v>43255</v>
      </c>
      <c r="G56" s="4" t="inlineStr">
        <is>
          <t>2013gn</t>
        </is>
      </c>
      <c r="H56" s="4" t="n">
        <v>2017</v>
      </c>
      <c r="I56" s="4" t="inlineStr">
        <is>
          <t>old.tds.lcl.incl.dom.amt</t>
        </is>
      </c>
      <c r="J56" t="inlineStr">
        <is>
          <t>If the Breakdown is not available insert total debt service here</t>
        </is>
      </c>
    </row>
    <row r="57">
      <c r="A57" t="inlineStr">
        <is>
          <t>Dominica_2018_August</t>
        </is>
      </c>
      <c r="B57" s="2" t="n"/>
      <c r="C57" s="3" t="inlineStr">
        <is>
          <t>SM.18.139</t>
        </is>
      </c>
      <c r="D57" s="4" t="inlineStr">
        <is>
          <t>Dominica</t>
        </is>
      </c>
      <c r="E57" s="4" t="inlineStr">
        <is>
          <t>DMA</t>
        </is>
      </c>
      <c r="F57" s="10" t="n">
        <v>43255</v>
      </c>
      <c r="G57" s="4" t="inlineStr">
        <is>
          <t>2013gn</t>
        </is>
      </c>
      <c r="H57" s="4" t="n">
        <v>2017</v>
      </c>
      <c r="I57" s="4" t="inlineStr">
        <is>
          <t>old.tds.lcl.incl.dom.int</t>
        </is>
      </c>
      <c r="J57" t="inlineStr">
        <is>
          <t>Total</t>
        </is>
      </c>
      <c r="N57" t="n">
        <v>0.02891994197032799</v>
      </c>
      <c r="O57" t="n">
        <v>0.01959083106083124</v>
      </c>
      <c r="P57" t="n">
        <v>0.02914510336933912</v>
      </c>
      <c r="Q57" t="n">
        <v>0.0365411875044907</v>
      </c>
      <c r="R57" t="n">
        <v>0.0268044227651769</v>
      </c>
      <c r="S57" t="n">
        <v>0.02501668436673786</v>
      </c>
      <c r="T57" t="n">
        <v>0.02387133655384303</v>
      </c>
      <c r="U57" t="n">
        <v>0.02342769841272708</v>
      </c>
      <c r="V57" t="n">
        <v>0.02337080720931846</v>
      </c>
      <c r="W57" t="n">
        <v>0.02108054826401407</v>
      </c>
      <c r="X57" t="n">
        <v>0.01993475827258013</v>
      </c>
      <c r="Y57" t="n">
        <v>0.01877300101086456</v>
      </c>
      <c r="Z57" t="n">
        <v>0.01411821660047286</v>
      </c>
      <c r="AA57" t="n">
        <v>0.01278689027529861</v>
      </c>
      <c r="AB57" t="n">
        <v>0.0121594326059051</v>
      </c>
      <c r="AC57" t="n">
        <v>0.009470295291219111</v>
      </c>
      <c r="AD57" t="n">
        <v>0.007749015893928254</v>
      </c>
      <c r="AE57" t="n">
        <v>0.006614018019124055</v>
      </c>
      <c r="AF57" t="n">
        <v>0.006079417370712043</v>
      </c>
      <c r="AG57" t="n">
        <v>0.005536762048236565</v>
      </c>
      <c r="AH57" t="n">
        <v>0.00495741331199075</v>
      </c>
      <c r="AI57" t="n">
        <v>0.003643678666827812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Dominica_2018_August</t>
        </is>
      </c>
      <c r="B58" s="2" t="n"/>
      <c r="C58" s="3" t="inlineStr">
        <is>
          <t>SM.18.139</t>
        </is>
      </c>
      <c r="D58" s="4" t="inlineStr">
        <is>
          <t>Dominica</t>
        </is>
      </c>
      <c r="E58" s="4" t="inlineStr">
        <is>
          <t>DMA</t>
        </is>
      </c>
      <c r="F58" s="10" t="n">
        <v>43255</v>
      </c>
      <c r="G58" s="4" t="inlineStr">
        <is>
          <t>2013gn</t>
        </is>
      </c>
      <c r="H58" s="4" t="n">
        <v>2017</v>
      </c>
      <c r="I58" s="4" t="inlineStr">
        <is>
          <t>dbt.evol</t>
        </is>
      </c>
      <c r="J58" t="inlineStr">
        <is>
          <t xml:space="preserve">    of which: principal</t>
        </is>
      </c>
      <c r="N58" t="n">
        <v>0.0214953117099327</v>
      </c>
      <c r="O58" t="n">
        <v>0.0154323495851503</v>
      </c>
      <c r="P58" t="n">
        <v>0.0230101790295947</v>
      </c>
      <c r="Q58" t="n">
        <v>0.0306390689925577</v>
      </c>
      <c r="R58" t="n">
        <v>0.0221014026221873</v>
      </c>
      <c r="S58" t="n">
        <v>0.0209061978444095</v>
      </c>
      <c r="T58" t="n">
        <v>0.020208473325891</v>
      </c>
      <c r="U58" t="n">
        <v>0.0202094218814466</v>
      </c>
      <c r="V58" t="n">
        <v>0.020645029272928</v>
      </c>
      <c r="W58" t="n">
        <v>0.0187847921501406</v>
      </c>
      <c r="X58" t="n">
        <v>0.0180181636867038</v>
      </c>
      <c r="Y58" t="n">
        <v>0.0172170163390069</v>
      </c>
      <c r="Z58" t="n">
        <v>0.013962222658525</v>
      </c>
      <c r="AA58" t="n">
        <v>0.0115248142211452</v>
      </c>
      <c r="AB58" t="n">
        <v>0.0110972568145823</v>
      </c>
      <c r="AC58" t="n">
        <v>0.008599129464976851</v>
      </c>
      <c r="AD58" t="n">
        <v>0.00704336241805733</v>
      </c>
      <c r="AE58" t="n">
        <v>0.00624949480049149</v>
      </c>
      <c r="AF58" t="n">
        <v>0.005796506009119009</v>
      </c>
      <c r="AG58" t="n">
        <v>0.005329006188336829</v>
      </c>
      <c r="AH58" t="n">
        <v>0.0048190285208869</v>
      </c>
      <c r="AI58" t="n">
        <v>0.00356075700721318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Dominica_2018_August</t>
        </is>
      </c>
      <c r="B59" s="2" t="n"/>
      <c r="C59" s="3" t="inlineStr">
        <is>
          <t>SM.18.139</t>
        </is>
      </c>
      <c r="D59" s="4" t="inlineStr">
        <is>
          <t>Dominica</t>
        </is>
      </c>
      <c r="E59" s="4" t="inlineStr">
        <is>
          <t>DMA</t>
        </is>
      </c>
      <c r="F59" s="10" t="n">
        <v>43255</v>
      </c>
      <c r="G59" s="4" t="inlineStr">
        <is>
          <t>2013gn</t>
        </is>
      </c>
      <c r="H59" s="4" t="n">
        <v>2017</v>
      </c>
      <c r="I59" s="5" t="n"/>
      <c r="J59" t="inlineStr">
        <is>
          <t xml:space="preserve">    of which: interest</t>
        </is>
      </c>
      <c r="N59" t="n">
        <v>0.007424630260395287</v>
      </c>
      <c r="O59" t="n">
        <v>0.004158481475680939</v>
      </c>
      <c r="P59" t="n">
        <v>0.00613492433974442</v>
      </c>
      <c r="Q59" t="n">
        <v>0.005902118511933001</v>
      </c>
      <c r="R59" t="n">
        <v>0.004703020142989602</v>
      </c>
      <c r="S59" t="n">
        <v>0.004110486522328365</v>
      </c>
      <c r="T59" t="n">
        <v>0.003662863227952031</v>
      </c>
      <c r="U59" t="n">
        <v>0.00321827653128048</v>
      </c>
      <c r="V59" t="n">
        <v>0.002725777936390464</v>
      </c>
      <c r="W59" t="n">
        <v>0.002295756113873469</v>
      </c>
      <c r="X59" t="n">
        <v>0.001916594585876327</v>
      </c>
      <c r="Y59" t="n">
        <v>0.001555984671857663</v>
      </c>
      <c r="Z59" t="n">
        <v>0.0001559939419478584</v>
      </c>
      <c r="AA59" t="n">
        <v>0.001262076054153414</v>
      </c>
      <c r="AB59" t="n">
        <v>0.001062175791322803</v>
      </c>
      <c r="AC59" t="n">
        <v>0.0008711658262422605</v>
      </c>
      <c r="AD59" t="n">
        <v>0.0007056534758709239</v>
      </c>
      <c r="AE59" t="n">
        <v>0.0003645232186325646</v>
      </c>
      <c r="AF59" t="n">
        <v>0.0002829113615930336</v>
      </c>
      <c r="AG59" t="n">
        <v>0.0002077558598997352</v>
      </c>
      <c r="AH59" t="n">
        <v>0.00013838479110385</v>
      </c>
      <c r="AI59" t="n">
        <v>8.29216596146317e-05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Dominica_2018_August</t>
        </is>
      </c>
      <c r="B60" s="2" t="n"/>
      <c r="C60" s="3" t="inlineStr">
        <is>
          <t>SM.18.139</t>
        </is>
      </c>
      <c r="D60" s="4" t="inlineStr">
        <is>
          <t>Dominica</t>
        </is>
      </c>
      <c r="E60" s="4" t="inlineStr">
        <is>
          <t>DMA</t>
        </is>
      </c>
      <c r="F60" s="10" t="n">
        <v>43255</v>
      </c>
      <c r="G60" s="4" t="inlineStr">
        <is>
          <t>2013gn</t>
        </is>
      </c>
      <c r="H60" s="4" t="n">
        <v>2017</v>
      </c>
      <c r="I60" s="5" t="n"/>
    </row>
    <row r="61">
      <c r="A61" t="inlineStr">
        <is>
          <t>Dominica_2018_August</t>
        </is>
      </c>
      <c r="B61" s="2" t="n"/>
      <c r="C61" s="3" t="inlineStr">
        <is>
          <t>SM.18.139</t>
        </is>
      </c>
      <c r="D61" s="4" t="inlineStr">
        <is>
          <t>Dominica</t>
        </is>
      </c>
      <c r="E61" s="4" t="inlineStr">
        <is>
          <t>DMA</t>
        </is>
      </c>
      <c r="F61" s="10" t="n">
        <v>43255</v>
      </c>
      <c r="G61" s="4" t="inlineStr">
        <is>
          <t>2013gn</t>
        </is>
      </c>
      <c r="H61" s="4" t="n">
        <v>2017</v>
      </c>
      <c r="I61" s="4" t="inlineStr">
        <is>
          <t>old.tds.inc.lcl.iss</t>
        </is>
      </c>
      <c r="J61" t="inlineStr">
        <is>
          <t>2. Stock of outstanding arrears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Dominica_2018_August</t>
        </is>
      </c>
      <c r="B62" s="2" t="n"/>
      <c r="C62" s="3" t="inlineStr">
        <is>
          <t>SM.18.139</t>
        </is>
      </c>
      <c r="D62" s="4" t="inlineStr">
        <is>
          <t>Dominica</t>
        </is>
      </c>
      <c r="E62" s="4" t="inlineStr">
        <is>
          <t>DMA</t>
        </is>
      </c>
      <c r="F62" s="10" t="n">
        <v>43255</v>
      </c>
      <c r="G62" s="4" t="inlineStr">
        <is>
          <t>2013gn</t>
        </is>
      </c>
      <c r="H62" s="4" t="n">
        <v>2017</v>
      </c>
      <c r="I62" s="4" t="inlineStr">
        <is>
          <t>old.tds.inc.lcl.iss.amt</t>
        </is>
      </c>
    </row>
    <row r="63">
      <c r="A63" t="inlineStr">
        <is>
          <t>Dominica_2018_August</t>
        </is>
      </c>
      <c r="B63" s="2" t="n"/>
      <c r="C63" s="3" t="inlineStr">
        <is>
          <t>SM.18.139</t>
        </is>
      </c>
      <c r="D63" s="4" t="inlineStr">
        <is>
          <t>Dominica</t>
        </is>
      </c>
      <c r="E63" s="4" t="inlineStr">
        <is>
          <t>DMA</t>
        </is>
      </c>
      <c r="F63" s="10" t="n">
        <v>43255</v>
      </c>
      <c r="G63" s="4" t="inlineStr">
        <is>
          <t>2013gn</t>
        </is>
      </c>
      <c r="H63" s="4" t="n">
        <v>2017</v>
      </c>
      <c r="I63" s="4" t="inlineStr">
        <is>
          <t>old.tds.inc.lcl.iss.int</t>
        </is>
      </c>
      <c r="J63" t="inlineStr">
        <is>
          <t>Evolution of old MLT debt, excluding arrears (nominal)</t>
        </is>
      </c>
      <c r="N63" t="n">
        <v>0.311435365870942</v>
      </c>
      <c r="O63" t="n">
        <v>0.2960030162857917</v>
      </c>
      <c r="P63" t="n">
        <v>0.2729928372561971</v>
      </c>
      <c r="Q63" t="n">
        <v>0.2423537682636394</v>
      </c>
      <c r="R63" t="n">
        <v>0.2202523656414521</v>
      </c>
      <c r="S63" t="n">
        <v>0.1993461677970426</v>
      </c>
      <c r="T63" t="n">
        <v>0.1791376944711516</v>
      </c>
      <c r="U63" t="n">
        <v>0.158928272589705</v>
      </c>
      <c r="V63" t="n">
        <v>0.138283243316777</v>
      </c>
      <c r="W63" t="n">
        <v>0.1194984511666364</v>
      </c>
      <c r="X63" t="n">
        <v>0.1014802874799326</v>
      </c>
      <c r="Y63" t="n">
        <v>0.08426327114092569</v>
      </c>
      <c r="Z63" t="n">
        <v>0.07030104848240069</v>
      </c>
      <c r="AA63" t="n">
        <v>0.05877623426125549</v>
      </c>
      <c r="AB63" t="n">
        <v>0.0476789774466732</v>
      </c>
      <c r="AC63" t="n">
        <v>0.03907984798169634</v>
      </c>
      <c r="AD63" t="n">
        <v>0.03203648556363901</v>
      </c>
      <c r="AE63" t="n">
        <v>0.02578699076314752</v>
      </c>
      <c r="AF63" t="n">
        <v>0.01999048475402852</v>
      </c>
      <c r="AG63" t="n">
        <v>0.01466147856569169</v>
      </c>
      <c r="AH63" t="n">
        <v>0.009842450044804787</v>
      </c>
      <c r="AI63" t="n">
        <v>0.006281693037591607</v>
      </c>
      <c r="AJ63" t="n">
        <v>0.006281693037591607</v>
      </c>
      <c r="AK63" t="n">
        <v>0.006281693037591607</v>
      </c>
      <c r="AL63" t="n">
        <v>0.006281693037591607</v>
      </c>
      <c r="AM63" t="n">
        <v>0.006281693037591607</v>
      </c>
      <c r="AN63" t="n">
        <v>0.006281693037591607</v>
      </c>
      <c r="AO63" t="n">
        <v>0.006281693037591607</v>
      </c>
      <c r="AP63" t="n">
        <v>0.006281693037591607</v>
      </c>
      <c r="AQ63" t="n">
        <v>0.006281693037591607</v>
      </c>
      <c r="AR63" t="n">
        <v>0.006281693037591607</v>
      </c>
      <c r="AS63" t="n">
        <v>0.006281693037591607</v>
      </c>
      <c r="AT63" t="n">
        <v>0.006281693037591607</v>
      </c>
      <c r="AU63" t="n">
        <v>0.006281693037591607</v>
      </c>
      <c r="AV63" t="n">
        <v>0.006281693037591607</v>
      </c>
      <c r="AW63" t="n">
        <v>0.006281693037591607</v>
      </c>
      <c r="AX63" t="n">
        <v>0.006281693037591607</v>
      </c>
      <c r="AY63" t="n">
        <v>0.006281693037591607</v>
      </c>
      <c r="AZ63" t="n">
        <v>0.006281693037591607</v>
      </c>
      <c r="BA63" t="n">
        <v>0.006281693037591607</v>
      </c>
      <c r="BB63" t="n">
        <v>0.006281693037591607</v>
      </c>
      <c r="BC63" t="n">
        <v>0.006281693037591607</v>
      </c>
      <c r="BD63" t="n">
        <v>0.006281693037591607</v>
      </c>
      <c r="BE63" t="n">
        <v>0.006281693037591607</v>
      </c>
      <c r="BF63" t="n">
        <v>0.006281693037591607</v>
      </c>
      <c r="BG63" t="n">
        <v>0.006281693037591607</v>
      </c>
    </row>
    <row r="64">
      <c r="A64" t="inlineStr">
        <is>
          <t>Dominica_2018_August</t>
        </is>
      </c>
      <c r="B64" s="2" t="n"/>
      <c r="C64" s="3" t="inlineStr">
        <is>
          <t>SM.18.139</t>
        </is>
      </c>
      <c r="D64" s="4" t="inlineStr">
        <is>
          <t>Dominica</t>
        </is>
      </c>
      <c r="E64" s="4" t="inlineStr">
        <is>
          <t>DMA</t>
        </is>
      </c>
      <c r="F64" s="10" t="n">
        <v>43255</v>
      </c>
      <c r="G64" s="4" t="inlineStr">
        <is>
          <t>2013gn</t>
        </is>
      </c>
      <c r="H64" s="4" t="n">
        <v>2017</v>
      </c>
      <c r="I64" s="5" t="n"/>
      <c r="J64" t="inlineStr">
        <is>
          <t>Check</t>
        </is>
      </c>
      <c r="N64" t="n">
        <v>0.006281693037591574</v>
      </c>
    </row>
    <row r="65">
      <c r="A65" t="inlineStr">
        <is>
          <t>Dominica_2018_August</t>
        </is>
      </c>
      <c r="B65" s="2" t="n"/>
      <c r="C65" s="3" t="inlineStr">
        <is>
          <t>SM.18.139</t>
        </is>
      </c>
      <c r="D65" s="4" t="inlineStr">
        <is>
          <t>Dominica</t>
        </is>
      </c>
      <c r="E65" s="4" t="inlineStr">
        <is>
          <t>DMA</t>
        </is>
      </c>
      <c r="F65" s="10" t="n">
        <v>43255</v>
      </c>
      <c r="G65" s="4" t="inlineStr">
        <is>
          <t>2013gn</t>
        </is>
      </c>
      <c r="H65" s="4" t="n">
        <v>2017</v>
      </c>
      <c r="I65" s="4" t="inlineStr">
        <is>
          <t>out.arr</t>
        </is>
      </c>
      <c r="O65" t="n">
        <v>0.04799764022025562</v>
      </c>
      <c r="P65" t="n">
        <v>0.04326419511078253</v>
      </c>
      <c r="Q65" t="n">
        <v>0.05007416262430552</v>
      </c>
      <c r="R65" t="n">
        <v>0.07816360592144965</v>
      </c>
      <c r="S65" t="n">
        <v>0.06195122317172717</v>
      </c>
      <c r="T65" t="n">
        <v>0.04207824784589988</v>
      </c>
      <c r="U65" t="n">
        <v>0.03661503956834882</v>
      </c>
      <c r="V65" t="n">
        <v>0.03424432304654688</v>
      </c>
      <c r="W65" t="n">
        <v>0.0390505191949202</v>
      </c>
      <c r="X65" t="n">
        <v>0.04067660906140018</v>
      </c>
      <c r="Y65" t="n">
        <v>0.04120153520074076</v>
      </c>
      <c r="Z65" t="n">
        <v>0.04301325639954543</v>
      </c>
      <c r="AA65" t="n">
        <v>0.0436356271783027</v>
      </c>
      <c r="AB65" t="n">
        <v>0.04712148905015819</v>
      </c>
      <c r="AC65" t="n">
        <v>0.05128167338926248</v>
      </c>
      <c r="AD65" t="n">
        <v>0.05300666110592499</v>
      </c>
      <c r="AE65" t="n">
        <v>0.05455107117528573</v>
      </c>
      <c r="AF65" t="n">
        <v>0.05632238982471681</v>
      </c>
      <c r="AG65" t="n">
        <v>0.05797199959587077</v>
      </c>
      <c r="AH65" t="n">
        <v>0.05971870615058705</v>
      </c>
      <c r="AI65" t="n">
        <v>0.06065785555785898</v>
      </c>
      <c r="AJ65" t="inlineStr">
        <is>
          <t>DSA</t>
        </is>
      </c>
    </row>
    <row r="66">
      <c r="A66" t="inlineStr">
        <is>
          <t>Dominica_2018_August</t>
        </is>
      </c>
      <c r="B66" s="2" t="n"/>
      <c r="C66" s="3" t="inlineStr">
        <is>
          <t>SM.18.139</t>
        </is>
      </c>
      <c r="D66" s="4" t="inlineStr">
        <is>
          <t>Dominica</t>
        </is>
      </c>
      <c r="E66" s="4" t="inlineStr">
        <is>
          <t>DMA</t>
        </is>
      </c>
      <c r="F66" s="10" t="n">
        <v>43255</v>
      </c>
      <c r="G66" s="4" t="inlineStr">
        <is>
          <t>2013gn</t>
        </is>
      </c>
      <c r="H66" s="4" t="n">
        <v>2017</v>
      </c>
      <c r="I66" s="5" t="n"/>
      <c r="J66" t="inlineStr">
        <is>
          <t>3. NEW MLT DEBT: Disbursements (including for refinancing/clearance of arrears)</t>
        </is>
      </c>
      <c r="O66" t="n">
        <v>0.05130036665998314</v>
      </c>
      <c r="P66" t="n">
        <v>0.04390637121415705</v>
      </c>
      <c r="Q66" t="n">
        <v>0.06831316157075208</v>
      </c>
      <c r="R66" t="n">
        <v>0.08251746961687888</v>
      </c>
      <c r="S66" t="n">
        <v>0.07014381363546929</v>
      </c>
      <c r="T66" t="n">
        <v>0.05367896108065829</v>
      </c>
      <c r="U66" t="n">
        <v>0.04473271755595558</v>
      </c>
      <c r="V66" t="n">
        <v>0.04147512449717634</v>
      </c>
      <c r="W66" t="n">
        <v>0.04304391554780372</v>
      </c>
      <c r="X66" t="n">
        <v>0.04412544145227017</v>
      </c>
      <c r="Y66" t="n">
        <v>0.04661586148007709</v>
      </c>
      <c r="Z66" t="n">
        <v>0.04826222892894864</v>
      </c>
      <c r="AA66" t="n">
        <v>0.05007216782902651</v>
      </c>
      <c r="AB66" t="n">
        <v>0.05104944440971976</v>
      </c>
      <c r="AC66" t="n">
        <v>0.05354317453392542</v>
      </c>
      <c r="AD66" t="n">
        <v>0.05406303797049747</v>
      </c>
      <c r="AE66" t="n">
        <v>0.05552149687257288</v>
      </c>
      <c r="AF66" t="n">
        <v>0.05838464549333841</v>
      </c>
      <c r="AG66" t="n">
        <v>0.06166940827796516</v>
      </c>
      <c r="AH66" t="n">
        <v>0.06533639776098248</v>
      </c>
      <c r="AI66" t="n">
        <v>0.06915457324080226</v>
      </c>
      <c r="AJ66" t="inlineStr">
        <is>
          <t>Fiscal</t>
        </is>
      </c>
    </row>
    <row r="67">
      <c r="A67" t="inlineStr">
        <is>
          <t>Dominica_2018_August</t>
        </is>
      </c>
      <c r="B67" s="2" t="n"/>
      <c r="C67" s="3" t="inlineStr">
        <is>
          <t>SM.18.139</t>
        </is>
      </c>
      <c r="D67" s="4" t="inlineStr">
        <is>
          <t>Dominica</t>
        </is>
      </c>
      <c r="E67" s="4" t="inlineStr">
        <is>
          <t>DMA</t>
        </is>
      </c>
      <c r="F67" s="10" t="n">
        <v>43255</v>
      </c>
      <c r="G67" s="4" t="inlineStr">
        <is>
          <t>2013gn</t>
        </is>
      </c>
      <c r="H67" s="4" t="n">
        <v>2017</v>
      </c>
      <c r="I67" s="4" t="inlineStr">
        <is>
          <t>old.mlt.dbt.evol.exc.arr</t>
        </is>
      </c>
      <c r="J67" t="inlineStr">
        <is>
          <t>Multilaterals</t>
        </is>
      </c>
      <c r="O67" t="n">
        <v>0.01625814528966408</v>
      </c>
      <c r="P67" t="n">
        <v>0.01938517614394596</v>
      </c>
      <c r="Q67" t="n">
        <v>0.02379061185992033</v>
      </c>
      <c r="R67" t="n">
        <v>0.02860822746946734</v>
      </c>
      <c r="S67" t="n">
        <v>0.02720744076634404</v>
      </c>
      <c r="T67" t="n">
        <v>0.01531109999578356</v>
      </c>
      <c r="U67" t="n">
        <v>0.009711900629928241</v>
      </c>
      <c r="V67" t="n">
        <v>0.007970898271084919</v>
      </c>
      <c r="W67" t="n">
        <v>0.0079948717758396</v>
      </c>
      <c r="X67" t="n">
        <v>0.008231720125863</v>
      </c>
      <c r="Y67" t="n">
        <v>0.008451469331053198</v>
      </c>
      <c r="Z67" t="n">
        <v>0.008665414817101981</v>
      </c>
      <c r="AA67" t="n">
        <v>0.00886302706587426</v>
      </c>
      <c r="AB67" t="n">
        <v>0.009037632763620899</v>
      </c>
      <c r="AC67" t="n">
        <v>0.009244307934050339</v>
      </c>
      <c r="AD67" t="n">
        <v>0.00817872993548556</v>
      </c>
      <c r="AE67" t="n">
        <v>0.007752648521221379</v>
      </c>
      <c r="AF67" t="n">
        <v>0.008005443328453979</v>
      </c>
      <c r="AG67" t="n">
        <v>0.008345280699446279</v>
      </c>
      <c r="AH67" t="n">
        <v>0.008704268202746401</v>
      </c>
      <c r="AI67" t="n">
        <v>0.00907261542962628</v>
      </c>
    </row>
    <row r="68">
      <c r="A68" t="inlineStr">
        <is>
          <t>Dominica_2018_August</t>
        </is>
      </c>
      <c r="B68" s="2" t="n"/>
      <c r="C68" s="3" t="inlineStr">
        <is>
          <t>SM.18.139</t>
        </is>
      </c>
      <c r="D68" s="4" t="inlineStr">
        <is>
          <t>Dominica</t>
        </is>
      </c>
      <c r="E68" s="4" t="inlineStr">
        <is>
          <t>DMA</t>
        </is>
      </c>
      <c r="F68" s="10" t="n">
        <v>43255</v>
      </c>
      <c r="G68" s="4" t="inlineStr">
        <is>
          <t>2013gn</t>
        </is>
      </c>
      <c r="H68" s="4" t="n">
        <v>2017</v>
      </c>
      <c r="I68" s="5" t="n"/>
      <c r="J68" t="inlineStr">
        <is>
          <t xml:space="preserve">   IMF</t>
        </is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t="inlineStr">
        <is>
          <t>Dominica_2018_August</t>
        </is>
      </c>
      <c r="B69" s="2" t="n"/>
      <c r="C69" s="3" t="inlineStr">
        <is>
          <t>SM.18.139</t>
        </is>
      </c>
      <c r="D69" s="4" t="inlineStr">
        <is>
          <t>Dominica</t>
        </is>
      </c>
      <c r="E69" s="4" t="inlineStr">
        <is>
          <t>DMA</t>
        </is>
      </c>
      <c r="F69" s="10" t="n">
        <v>43255</v>
      </c>
      <c r="G69" s="4" t="inlineStr">
        <is>
          <t>2013gn</t>
        </is>
      </c>
      <c r="H69" s="4" t="n">
        <v>2017</v>
      </c>
      <c r="I69" s="5" t="n"/>
      <c r="J69" t="inlineStr">
        <is>
          <t xml:space="preserve">   IDA - Small Island Country</t>
        </is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inlineStr">
        <is>
          <t>Dominica_2018_August</t>
        </is>
      </c>
      <c r="B70" s="2" t="n"/>
      <c r="C70" s="3" t="inlineStr">
        <is>
          <t>SM.18.139</t>
        </is>
      </c>
      <c r="D70" s="4" t="inlineStr">
        <is>
          <t>Dominica</t>
        </is>
      </c>
      <c r="E70" s="4" t="inlineStr">
        <is>
          <t>DMA</t>
        </is>
      </c>
      <c r="F70" s="10" t="n">
        <v>43255</v>
      </c>
      <c r="G70" s="4" t="inlineStr">
        <is>
          <t>2013gn</t>
        </is>
      </c>
      <c r="H70" s="4" t="n">
        <v>2017</v>
      </c>
      <c r="I70" s="5" t="n"/>
      <c r="J70" t="inlineStr">
        <is>
          <t>IDA - Regular</t>
        </is>
      </c>
      <c r="N70" t="inlineStr">
        <is>
          <t>IDA 12% M&amp;B</t>
        </is>
      </c>
      <c r="O70" t="n">
        <v>0.003251629057932816</v>
      </c>
      <c r="P70" t="n">
        <v>0.003877035228789192</v>
      </c>
      <c r="Q70" t="n">
        <v>0.004758122371984067</v>
      </c>
      <c r="R70" t="n">
        <v>0.005721645493893468</v>
      </c>
      <c r="S70" t="n">
        <v>0.005441488153268808</v>
      </c>
      <c r="T70" t="n">
        <v>0.003062219999156712</v>
      </c>
      <c r="U70" t="n">
        <v>0.001942380125985648</v>
      </c>
      <c r="V70" t="n">
        <v>0.001594179654216984</v>
      </c>
      <c r="W70" t="n">
        <v>0.00159897435516792</v>
      </c>
      <c r="X70" t="n">
        <v>0.0016463440251726</v>
      </c>
      <c r="Y70" t="n">
        <v>0.00169029386621064</v>
      </c>
      <c r="Z70" t="n">
        <v>0.001733082963420396</v>
      </c>
      <c r="AA70" t="n">
        <v>0.001772605413174852</v>
      </c>
      <c r="AB70" t="n">
        <v>0.00180752655272418</v>
      </c>
      <c r="AC70" t="n">
        <v>0.001848861586810068</v>
      </c>
      <c r="AD70" t="n">
        <v>0.001635745987097112</v>
      </c>
      <c r="AE70" t="n">
        <v>0.001550529704244276</v>
      </c>
      <c r="AF70" t="n">
        <v>0.001601088665690796</v>
      </c>
      <c r="AG70" t="n">
        <v>0.001669056139889256</v>
      </c>
      <c r="AH70" t="n">
        <v>0.00174085364054928</v>
      </c>
      <c r="AI70" t="n">
        <v>0.001814523085925256</v>
      </c>
    </row>
    <row r="71">
      <c r="A71" t="inlineStr">
        <is>
          <t>Dominica_2018_August</t>
        </is>
      </c>
      <c r="B71" s="2" t="n"/>
      <c r="C71" s="3" t="inlineStr">
        <is>
          <t>SM.18.139</t>
        </is>
      </c>
      <c r="D71" s="4" t="inlineStr">
        <is>
          <t>Dominica</t>
        </is>
      </c>
      <c r="E71" s="4" t="inlineStr">
        <is>
          <t>DMA</t>
        </is>
      </c>
      <c r="F71" s="10" t="n">
        <v>43255</v>
      </c>
      <c r="G71" s="4" t="inlineStr">
        <is>
          <t>2013gn</t>
        </is>
      </c>
      <c r="H71" s="4" t="n">
        <v>2017</v>
      </c>
      <c r="I71" s="4" t="inlineStr">
        <is>
          <t>new.dis.mlt</t>
        </is>
      </c>
    </row>
    <row r="72">
      <c r="A72" t="inlineStr">
        <is>
          <t>Dominica_2018_August</t>
        </is>
      </c>
      <c r="B72" s="2" t="n"/>
      <c r="C72" s="3" t="inlineStr">
        <is>
          <t>SM.18.139</t>
        </is>
      </c>
      <c r="D72" s="4" t="inlineStr">
        <is>
          <t>Dominica</t>
        </is>
      </c>
      <c r="E72" s="4" t="inlineStr">
        <is>
          <t>DMA</t>
        </is>
      </c>
      <c r="F72" s="10" t="n">
        <v>43255</v>
      </c>
      <c r="G72" s="4" t="inlineStr">
        <is>
          <t>2013gn</t>
        </is>
      </c>
      <c r="H72" s="4" t="n">
        <v>2017</v>
      </c>
      <c r="I72" s="4" t="inlineStr">
        <is>
          <t>new.dis.mlt.imf</t>
        </is>
      </c>
      <c r="O72" t="n">
        <v>4.587460873325108</v>
      </c>
      <c r="P72" t="n">
        <v>-2.04767739404712</v>
      </c>
      <c r="Q72" t="n">
        <v>-2.083738273399351</v>
      </c>
      <c r="R72" t="n">
        <v>-1.660832107787654</v>
      </c>
      <c r="S72" t="n">
        <v>-2.766518423286469</v>
      </c>
      <c r="T72" t="n">
        <v>1.985577786049499</v>
      </c>
      <c r="U72" t="n">
        <v>0.09537984605822736</v>
      </c>
      <c r="V72" t="n">
        <v>-0.500443655935852</v>
      </c>
      <c r="W72" t="n">
        <v>-0.2460831852116829</v>
      </c>
      <c r="X72" t="n">
        <v>-0.4938814010850159</v>
      </c>
      <c r="Y72" t="n">
        <v>-0.4707191914709601</v>
      </c>
      <c r="Z72" t="n">
        <v>-0.3123879549805382</v>
      </c>
      <c r="AA72" t="n">
        <v>-0.3441261877764261</v>
      </c>
      <c r="AB72" t="n">
        <v>-0.2939712201978948</v>
      </c>
      <c r="AC72" t="n">
        <v>0.01057812459602769</v>
      </c>
      <c r="AD72" t="n">
        <v>-0.2145520599895705</v>
      </c>
      <c r="AE72" t="n">
        <v>-0.3960183129757928</v>
      </c>
      <c r="AF72" t="n">
        <v>-0.492808724453178</v>
      </c>
      <c r="AG72" t="n">
        <v>-0.5932156279703924</v>
      </c>
      <c r="AH72" t="n">
        <v>0.5186385087588685</v>
      </c>
      <c r="AI72" t="n">
        <v>1.55496716663482</v>
      </c>
      <c r="AJ72" t="inlineStr">
        <is>
          <t>residual</t>
        </is>
      </c>
    </row>
    <row r="73">
      <c r="A73" t="inlineStr">
        <is>
          <t>Dominica_2018_August</t>
        </is>
      </c>
      <c r="B73" s="2" t="n"/>
      <c r="C73" s="3" t="inlineStr">
        <is>
          <t>SM.18.139</t>
        </is>
      </c>
      <c r="D73" s="4" t="inlineStr">
        <is>
          <t>Dominica</t>
        </is>
      </c>
      <c r="E73" s="4" t="inlineStr">
        <is>
          <t>DMA</t>
        </is>
      </c>
      <c r="F73" s="10" t="n">
        <v>43255</v>
      </c>
      <c r="G73" s="4" t="inlineStr">
        <is>
          <t>2013gn</t>
        </is>
      </c>
      <c r="H73" s="4" t="n">
        <v>2017</v>
      </c>
      <c r="I73" s="4" t="inlineStr">
        <is>
          <t>new.dis.mlt.ida.reg</t>
        </is>
      </c>
      <c r="O73" t="n">
        <v>4.2422726448157</v>
      </c>
      <c r="P73" t="n">
        <v>-2.510914244226943</v>
      </c>
      <c r="Q73" t="n">
        <v>-2.419579038916662</v>
      </c>
      <c r="R73" t="n">
        <v>-1.906528526457977</v>
      </c>
      <c r="S73" t="n">
        <v>-2.952403214997001</v>
      </c>
      <c r="T73" t="n">
        <v>1.840556029767593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-0.5727730719454018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of which deposit use</t>
        </is>
      </c>
    </row>
    <row r="74">
      <c r="A74" t="inlineStr">
        <is>
          <t>Dominica_2018_August</t>
        </is>
      </c>
      <c r="B74" s="2" t="n"/>
      <c r="C74" s="3" t="inlineStr">
        <is>
          <t>SM.18.139</t>
        </is>
      </c>
      <c r="D74" s="4" t="inlineStr">
        <is>
          <t>Dominica</t>
        </is>
      </c>
      <c r="E74" s="4" t="inlineStr">
        <is>
          <t>DMA</t>
        </is>
      </c>
      <c r="F74" s="10" t="n">
        <v>43255</v>
      </c>
      <c r="G74" s="4" t="inlineStr">
        <is>
          <t>2013gn</t>
        </is>
      </c>
      <c r="H74" s="4" t="n">
        <v>2017</v>
      </c>
      <c r="I74" s="4" t="inlineStr">
        <is>
          <t>new.dis.mlt.ida.bld</t>
        </is>
      </c>
      <c r="O74" t="n">
        <v>82.7103158286877</v>
      </c>
      <c r="P74" t="n">
        <v>87.6636683640882</v>
      </c>
      <c r="Q74" t="n">
        <v>83.30862892801392</v>
      </c>
      <c r="R74" t="n">
        <v>86.0962670060502</v>
      </c>
      <c r="S74" t="n">
        <v>87.83974372320779</v>
      </c>
      <c r="T74" t="n">
        <v>87.14072341963733</v>
      </c>
      <c r="U74" t="n">
        <v>85.16471897576882</v>
      </c>
      <c r="V74" t="n">
        <v>82.52171241683068</v>
      </c>
      <c r="W74" t="n">
        <v>80.21648340359111</v>
      </c>
      <c r="X74" t="n">
        <v>77.74382399914749</v>
      </c>
      <c r="Y74" t="n">
        <v>75.36975794419369</v>
      </c>
      <c r="Z74" t="n">
        <v>73.22641774952463</v>
      </c>
      <c r="AA74" t="n">
        <v>71.11867689594668</v>
      </c>
      <c r="AB74" t="n">
        <v>69.12242456230729</v>
      </c>
      <c r="AC74" t="n">
        <v>67.48809743440597</v>
      </c>
      <c r="AD74" t="n">
        <v>65.84945638290712</v>
      </c>
      <c r="AE74" t="n">
        <v>64.24322797244768</v>
      </c>
      <c r="AF74" t="n">
        <v>62.74848614536598</v>
      </c>
      <c r="AG74" t="n">
        <v>61.3579402939362</v>
      </c>
      <c r="AH74" t="n">
        <v>60.07620146490996</v>
      </c>
      <c r="AI74" t="n">
        <v>58.86599806010631</v>
      </c>
      <c r="AJ74" t="inlineStr">
        <is>
          <t>debt here</t>
        </is>
      </c>
    </row>
    <row r="75">
      <c r="A75" t="inlineStr">
        <is>
          <t>Dominica_2018_August</t>
        </is>
      </c>
      <c r="B75" s="2" t="n"/>
      <c r="C75" s="3" t="inlineStr">
        <is>
          <t>SM.18.139</t>
        </is>
      </c>
      <c r="D75" s="4" t="inlineStr">
        <is>
          <t>Dominica</t>
        </is>
      </c>
      <c r="E75" s="4" t="inlineStr">
        <is>
          <t>DMA</t>
        </is>
      </c>
      <c r="F75" s="10" t="n">
        <v>43255</v>
      </c>
      <c r="G75" s="4" t="inlineStr">
        <is>
          <t>2013gn</t>
        </is>
      </c>
      <c r="H75" s="4" t="n">
        <v>2017</v>
      </c>
      <c r="I75" s="4" t="inlineStr">
        <is>
          <t>new.dis.mlt.afdb</t>
        </is>
      </c>
      <c r="O75" t="n">
        <v>82.7103158286877</v>
      </c>
      <c r="P75" t="n">
        <v>87.6636683640882</v>
      </c>
      <c r="Q75" t="n">
        <v>83.3086289280139</v>
      </c>
      <c r="R75" t="n">
        <v>86.0962670060502</v>
      </c>
      <c r="S75" t="n">
        <v>87.8397437232078</v>
      </c>
      <c r="T75" t="n">
        <v>87.1407234196373</v>
      </c>
      <c r="U75" t="n">
        <v>85.16471897576881</v>
      </c>
      <c r="V75" t="n">
        <v>82.5217124168307</v>
      </c>
      <c r="W75" t="n">
        <v>80.2164834035911</v>
      </c>
      <c r="X75" t="n">
        <v>77.74382399914749</v>
      </c>
      <c r="Y75" t="n">
        <v>75.36975794419369</v>
      </c>
      <c r="Z75" t="n">
        <v>73.2264177495246</v>
      </c>
      <c r="AA75" t="n">
        <v>71.11867689594671</v>
      </c>
      <c r="AB75" t="n">
        <v>69.1224245623073</v>
      </c>
      <c r="AC75" t="n">
        <v>67.488097434406</v>
      </c>
      <c r="AD75" t="n">
        <v>65.84945638290711</v>
      </c>
      <c r="AE75" t="n">
        <v>64.2432279724477</v>
      </c>
      <c r="AF75" t="n">
        <v>62.748486145366</v>
      </c>
      <c r="AG75" t="n">
        <v>61.3579402939362</v>
      </c>
      <c r="AH75" t="n">
        <v>60.0762014649099</v>
      </c>
      <c r="AI75" t="n">
        <v>58.8659980601063</v>
      </c>
      <c r="AJ75" t="inlineStr">
        <is>
          <t>debt fiscal</t>
        </is>
      </c>
    </row>
    <row r="76">
      <c r="A76" t="inlineStr">
        <is>
          <t>Dominica_2018_August</t>
        </is>
      </c>
      <c r="B76" s="2" t="n"/>
      <c r="C76" s="3" t="inlineStr">
        <is>
          <t>SM.18.139</t>
        </is>
      </c>
      <c r="D76" s="4" t="inlineStr">
        <is>
          <t>Dominica</t>
        </is>
      </c>
      <c r="E76" s="4" t="inlineStr">
        <is>
          <t>DMA</t>
        </is>
      </c>
      <c r="F76" s="10" t="n">
        <v>43255</v>
      </c>
      <c r="G76" s="4" t="inlineStr">
        <is>
          <t>2013gn</t>
        </is>
      </c>
      <c r="H76" s="4" t="n">
        <v>2017</v>
      </c>
      <c r="I76" s="4" t="inlineStr">
        <is>
          <t>new.dis.mlt2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6.394884621840902e-14</v>
      </c>
      <c r="AI76" t="n">
        <v>0</v>
      </c>
      <c r="AJ76" t="inlineStr">
        <is>
          <t>difference</t>
        </is>
      </c>
    </row>
    <row r="77">
      <c r="A77" t="inlineStr">
        <is>
          <t>Dominica_2018_August</t>
        </is>
      </c>
      <c r="B77" s="2" t="n"/>
      <c r="C77" s="3" t="inlineStr">
        <is>
          <t>SM.18.139</t>
        </is>
      </c>
      <c r="D77" s="4" t="inlineStr">
        <is>
          <t>Dominica</t>
        </is>
      </c>
      <c r="E77" s="4" t="inlineStr">
        <is>
          <t>DMA</t>
        </is>
      </c>
      <c r="F77" s="10" t="n">
        <v>43255</v>
      </c>
      <c r="G77" s="4" t="inlineStr">
        <is>
          <t>2013gn</t>
        </is>
      </c>
      <c r="H77" s="4" t="n">
        <v>2017</v>
      </c>
      <c r="I77" s="4" t="inlineStr">
        <is>
          <t>new.dis.mlt3</t>
        </is>
      </c>
      <c r="J77" t="inlineStr">
        <is>
          <t>IBRD</t>
        </is>
      </c>
      <c r="AJ77" t="inlineStr">
        <is>
          <t>also includes CDB</t>
        </is>
      </c>
    </row>
    <row r="78">
      <c r="A78" t="inlineStr">
        <is>
          <t>Dominica_2018_August</t>
        </is>
      </c>
      <c r="B78" s="2" t="n"/>
      <c r="C78" s="3" t="inlineStr">
        <is>
          <t>SM.18.139</t>
        </is>
      </c>
      <c r="D78" s="4" t="inlineStr">
        <is>
          <t>Dominica</t>
        </is>
      </c>
      <c r="E78" s="4" t="inlineStr">
        <is>
          <t>DMA</t>
        </is>
      </c>
      <c r="F78" s="10" t="n">
        <v>43255</v>
      </c>
      <c r="G78" s="4" t="inlineStr">
        <is>
          <t>2013gn</t>
        </is>
      </c>
      <c r="H78" s="4" t="n">
        <v>2017</v>
      </c>
      <c r="I78" s="4" t="inlineStr">
        <is>
          <t>new.dis.mlt.oth</t>
        </is>
      </c>
      <c r="J78" t="inlineStr">
        <is>
          <t>Other Multilateral</t>
        </is>
      </c>
      <c r="N78" t="inlineStr">
        <is>
          <t>CDB 48% of M&amp;B</t>
        </is>
      </c>
      <c r="O78" t="n">
        <v>0.01300651623173126</v>
      </c>
      <c r="P78" t="n">
        <v>0.01550814091515677</v>
      </c>
      <c r="Q78" t="n">
        <v>0.01903248948793627</v>
      </c>
      <c r="R78" t="n">
        <v>0.02288658197557387</v>
      </c>
      <c r="S78" t="n">
        <v>0.02176595261307523</v>
      </c>
      <c r="T78" t="n">
        <v>0.01224887999662685</v>
      </c>
      <c r="U78" t="n">
        <v>0.007769520503942592</v>
      </c>
      <c r="V78" t="n">
        <v>0.006376718616867935</v>
      </c>
      <c r="W78" t="n">
        <v>0.00639589742067168</v>
      </c>
      <c r="X78" t="n">
        <v>0.0065853761006904</v>
      </c>
      <c r="Y78" t="n">
        <v>0.006761175464842559</v>
      </c>
      <c r="Z78" t="n">
        <v>0.006932331853681585</v>
      </c>
      <c r="AA78" t="n">
        <v>0.007090421652699408</v>
      </c>
      <c r="AB78" t="n">
        <v>0.007230106210896719</v>
      </c>
      <c r="AC78" t="n">
        <v>0.007395446347240271</v>
      </c>
      <c r="AD78" t="n">
        <v>0.006542983948388448</v>
      </c>
      <c r="AE78" t="n">
        <v>0.006202118816977104</v>
      </c>
      <c r="AF78" t="n">
        <v>0.006404354662763183</v>
      </c>
      <c r="AG78" t="n">
        <v>0.006676224559557024</v>
      </c>
      <c r="AH78" t="n">
        <v>0.00696341456219712</v>
      </c>
      <c r="AI78" t="n">
        <v>0.007258092343701024</v>
      </c>
      <c r="BI78" t="inlineStr">
        <is>
          <t>In Bi &amp; Mult:</t>
        </is>
      </c>
    </row>
    <row r="79">
      <c r="A79" t="inlineStr">
        <is>
          <t>Dominica_2018_August</t>
        </is>
      </c>
      <c r="B79" s="2" t="n"/>
      <c r="C79" s="3" t="inlineStr">
        <is>
          <t>SM.18.139</t>
        </is>
      </c>
      <c r="D79" s="4" t="inlineStr">
        <is>
          <t>Dominica</t>
        </is>
      </c>
      <c r="E79" s="4" t="inlineStr">
        <is>
          <t>DMA</t>
        </is>
      </c>
      <c r="F79" s="10" t="n">
        <v>43255</v>
      </c>
      <c r="G79" s="4" t="inlineStr">
        <is>
          <t>2013gn</t>
        </is>
      </c>
      <c r="H79" s="4" t="n">
        <v>2017</v>
      </c>
      <c r="I79" s="4" t="inlineStr">
        <is>
          <t>new.dis.mlt.oth1</t>
        </is>
      </c>
      <c r="J79" t="inlineStr">
        <is>
          <t>Official Bilaterals</t>
        </is>
      </c>
      <c r="O79" t="n">
        <v>0.0294361391547343</v>
      </c>
      <c r="P79" t="n">
        <v>0.02413346978512728</v>
      </c>
      <c r="Q79" t="n">
        <v>0.02389291133834713</v>
      </c>
      <c r="R79" t="n">
        <v>0.03237588778206151</v>
      </c>
      <c r="S79" t="n">
        <v>0.02745549205496798</v>
      </c>
      <c r="T79" t="n">
        <v>0.01898253934935215</v>
      </c>
      <c r="U79" t="n">
        <v>0.01911918300712038</v>
      </c>
      <c r="V79" t="n">
        <v>0.01806814753836876</v>
      </c>
      <c r="W79" t="n">
        <v>0.0214917945762857</v>
      </c>
      <c r="X79" t="n">
        <v>0.02406793766059406</v>
      </c>
      <c r="Y79" t="n">
        <v>0.02408257388583208</v>
      </c>
      <c r="Z79" t="n">
        <v>0.02553180955527981</v>
      </c>
      <c r="AA79" t="n">
        <v>0.02670633911002651</v>
      </c>
      <c r="AB79" t="n">
        <v>0.02984869947426374</v>
      </c>
      <c r="AC79" t="n">
        <v>0.03345590730214687</v>
      </c>
      <c r="AD79" t="n">
        <v>0.0359092690342394</v>
      </c>
      <c r="AE79" t="n">
        <v>0.03752732100791204</v>
      </c>
      <c r="AF79" t="n">
        <v>0.03868129727675977</v>
      </c>
      <c r="AG79" t="n">
        <v>0.03961356987168969</v>
      </c>
      <c r="AH79" t="n">
        <v>0.04061046309773036</v>
      </c>
      <c r="AI79" t="n">
        <v>0.0407766395883761</v>
      </c>
    </row>
    <row r="80">
      <c r="A80" t="inlineStr">
        <is>
          <t>Dominica_2018_August</t>
        </is>
      </c>
      <c r="B80" s="2" t="n"/>
      <c r="C80" s="3" t="inlineStr">
        <is>
          <t>SM.18.139</t>
        </is>
      </c>
      <c r="D80" s="4" t="inlineStr">
        <is>
          <t>Dominica</t>
        </is>
      </c>
      <c r="E80" s="4" t="inlineStr">
        <is>
          <t>DMA</t>
        </is>
      </c>
      <c r="F80" s="10" t="n">
        <v>43255</v>
      </c>
      <c r="G80" s="4" t="inlineStr">
        <is>
          <t>2013gn</t>
        </is>
      </c>
      <c r="H80" s="4" t="n">
        <v>2017</v>
      </c>
      <c r="I80" s="4" t="inlineStr">
        <is>
          <t>new.dis.mlt.oth2</t>
        </is>
      </c>
      <c r="J80" t="inlineStr">
        <is>
          <t xml:space="preserve">   PC</t>
        </is>
      </c>
      <c r="O80" t="n">
        <v>0.01859737562829158</v>
      </c>
      <c r="P80" t="n">
        <v>0.01121001902249664</v>
      </c>
      <c r="Q80" t="n">
        <v>0.008032503431733567</v>
      </c>
      <c r="R80" t="n">
        <v>0.01330373613574995</v>
      </c>
      <c r="S80" t="n">
        <v>0.009317198210738616</v>
      </c>
      <c r="T80" t="n">
        <v>0.008775139352163112</v>
      </c>
      <c r="U80" t="n">
        <v>0.01264458258716822</v>
      </c>
      <c r="V80" t="n">
        <v>0.01275421535764548</v>
      </c>
      <c r="W80" t="n">
        <v>0.0161618800590593</v>
      </c>
      <c r="X80" t="n">
        <v>0.01858012424335206</v>
      </c>
      <c r="Y80" t="n">
        <v>0.01844826099846328</v>
      </c>
      <c r="Z80" t="n">
        <v>0.01975486634387849</v>
      </c>
      <c r="AA80" t="n">
        <v>0.02079765439944367</v>
      </c>
      <c r="AB80" t="n">
        <v>0.02382361096518314</v>
      </c>
      <c r="AC80" t="n">
        <v>0.02729303534611331</v>
      </c>
      <c r="AD80" t="n">
        <v>0.03045678241058235</v>
      </c>
      <c r="AE80" t="n">
        <v>0.03235888866043112</v>
      </c>
      <c r="AF80" t="n">
        <v>0.03334433505779045</v>
      </c>
      <c r="AG80" t="n">
        <v>0.03405004940539218</v>
      </c>
      <c r="AH80" t="n">
        <v>0.03480761762923276</v>
      </c>
      <c r="AI80" t="n">
        <v>0.03472822930195858</v>
      </c>
      <c r="BI80" t="inlineStr">
        <is>
          <t xml:space="preserve">Multilateral </t>
        </is>
      </c>
      <c r="BJ80" t="n">
        <v>0.6</v>
      </c>
    </row>
    <row r="81">
      <c r="A81" t="inlineStr">
        <is>
          <t>Dominica_2018_August</t>
        </is>
      </c>
      <c r="B81" s="2" t="n"/>
      <c r="C81" s="3" t="inlineStr">
        <is>
          <t>SM.18.139</t>
        </is>
      </c>
      <c r="D81" s="4" t="inlineStr">
        <is>
          <t>Dominica</t>
        </is>
      </c>
      <c r="E81" s="4" t="inlineStr">
        <is>
          <t>DMA</t>
        </is>
      </c>
      <c r="F81" s="10" t="n">
        <v>43255</v>
      </c>
      <c r="G81" s="4" t="inlineStr">
        <is>
          <t>2013gn</t>
        </is>
      </c>
      <c r="H81" s="4" t="n">
        <v>2017</v>
      </c>
      <c r="I81" s="4" t="inlineStr">
        <is>
          <t>new.dis.mlt.oth3</t>
        </is>
      </c>
      <c r="J81" t="inlineStr">
        <is>
          <t>…</t>
        </is>
      </c>
      <c r="BI81" t="inlineStr">
        <is>
          <t xml:space="preserve"> -- IDA</t>
        </is>
      </c>
      <c r="BJ81" t="n">
        <v>0.2</v>
      </c>
      <c r="BK81" t="n">
        <v>0.12</v>
      </c>
    </row>
    <row r="82">
      <c r="A82" t="inlineStr">
        <is>
          <t>Dominica_2018_August</t>
        </is>
      </c>
      <c r="B82" s="2" t="n"/>
      <c r="C82" s="3" t="inlineStr">
        <is>
          <t>SM.18.139</t>
        </is>
      </c>
      <c r="D82" s="4" t="inlineStr">
        <is>
          <t>Dominica</t>
        </is>
      </c>
      <c r="E82" s="4" t="inlineStr">
        <is>
          <t>DMA</t>
        </is>
      </c>
      <c r="F82" s="10" t="n">
        <v>43255</v>
      </c>
      <c r="G82" s="4" t="inlineStr">
        <is>
          <t>2013gn</t>
        </is>
      </c>
      <c r="H82" s="4" t="n">
        <v>2017</v>
      </c>
      <c r="I82" s="4" t="inlineStr">
        <is>
          <t>new.dis.blt</t>
        </is>
      </c>
      <c r="J82" t="inlineStr">
        <is>
          <t>…</t>
        </is>
      </c>
      <c r="BI82" t="inlineStr">
        <is>
          <t xml:space="preserve"> -- CDB </t>
        </is>
      </c>
      <c r="BJ82" t="n">
        <v>0.8</v>
      </c>
      <c r="BK82" t="n">
        <v>0.48</v>
      </c>
    </row>
    <row r="83">
      <c r="A83" t="inlineStr">
        <is>
          <t>Dominica_2018_August</t>
        </is>
      </c>
      <c r="B83" s="2" t="n"/>
      <c r="C83" s="3" t="inlineStr">
        <is>
          <t>SM.18.139</t>
        </is>
      </c>
      <c r="D83" s="4" t="inlineStr">
        <is>
          <t>Dominica</t>
        </is>
      </c>
      <c r="E83" s="4" t="inlineStr">
        <is>
          <t>DMA</t>
        </is>
      </c>
      <c r="F83" s="10" t="n">
        <v>43255</v>
      </c>
      <c r="G83" s="4" t="inlineStr">
        <is>
          <t>2013gn</t>
        </is>
      </c>
      <c r="H83" s="4" t="n">
        <v>2017</v>
      </c>
      <c r="I83" s="4" t="inlineStr">
        <is>
          <t>new.dis.pc</t>
        </is>
      </c>
      <c r="J83" t="inlineStr">
        <is>
          <t xml:space="preserve">   Others Paris Club</t>
        </is>
      </c>
      <c r="N83" t="inlineStr">
        <is>
          <t>residual</t>
        </is>
      </c>
      <c r="O83" t="n">
        <v>0.01859737562829158</v>
      </c>
      <c r="P83" t="n">
        <v>0.01121001902249664</v>
      </c>
      <c r="Q83" t="n">
        <v>0.008032503431733567</v>
      </c>
      <c r="R83" t="n">
        <v>0.01330373613574995</v>
      </c>
      <c r="S83" t="n">
        <v>0.009317198210738616</v>
      </c>
      <c r="T83" t="n">
        <v>0.008775139352163112</v>
      </c>
      <c r="U83" t="n">
        <v>0.01264458258716822</v>
      </c>
      <c r="V83" t="n">
        <v>0.01275421535764548</v>
      </c>
      <c r="W83" t="n">
        <v>0.0161618800590593</v>
      </c>
      <c r="X83" t="n">
        <v>0.01858012424335206</v>
      </c>
      <c r="Y83" t="n">
        <v>0.01844826099846328</v>
      </c>
      <c r="Z83" t="n">
        <v>0.01975486634387849</v>
      </c>
      <c r="AA83" t="n">
        <v>0.02079765439944367</v>
      </c>
      <c r="AB83" t="n">
        <v>0.02382361096518314</v>
      </c>
      <c r="AC83" t="n">
        <v>0.02729303534611331</v>
      </c>
      <c r="AD83" t="n">
        <v>0.03045678241058235</v>
      </c>
      <c r="AE83" t="n">
        <v>0.03235888866043112</v>
      </c>
      <c r="AF83" t="n">
        <v>0.03334433505779045</v>
      </c>
      <c r="AG83" t="n">
        <v>0.03405004940539218</v>
      </c>
      <c r="AH83" t="n">
        <v>0.03480761762923276</v>
      </c>
      <c r="AI83" t="n">
        <v>0.03472822930195858</v>
      </c>
      <c r="AJ83">
        <f>=&gt; residual  to get FISCAL RESIDUALS=0</f>
        <v/>
      </c>
      <c r="BI83" t="inlineStr">
        <is>
          <t>Bilateral</t>
        </is>
      </c>
      <c r="BJ83" t="n">
        <v>0.4</v>
      </c>
      <c r="BK83" t="n">
        <v>0.4</v>
      </c>
    </row>
    <row r="84">
      <c r="A84" t="inlineStr">
        <is>
          <t>Dominica_2018_August</t>
        </is>
      </c>
      <c r="B84" s="2" t="n"/>
      <c r="C84" s="3" t="inlineStr">
        <is>
          <t>SM.18.139</t>
        </is>
      </c>
      <c r="D84" s="4" t="inlineStr">
        <is>
          <t>Dominica</t>
        </is>
      </c>
      <c r="E84" s="4" t="inlineStr">
        <is>
          <t>DMA</t>
        </is>
      </c>
      <c r="F84" s="10" t="n">
        <v>43255</v>
      </c>
      <c r="G84" s="4" t="inlineStr">
        <is>
          <t>2013gn</t>
        </is>
      </c>
      <c r="H84" s="4" t="n">
        <v>2017</v>
      </c>
      <c r="I84" s="4" t="inlineStr">
        <is>
          <t>new.dis.pc1</t>
        </is>
      </c>
      <c r="J84" t="inlineStr">
        <is>
          <t xml:space="preserve">   NPC</t>
        </is>
      </c>
      <c r="O84" t="n">
        <v>0.01083876352644272</v>
      </c>
      <c r="P84" t="n">
        <v>0.01292345076263064</v>
      </c>
      <c r="Q84" t="n">
        <v>0.01586040790661356</v>
      </c>
      <c r="R84" t="n">
        <v>0.01907215164631156</v>
      </c>
      <c r="S84" t="n">
        <v>0.01813829384422936</v>
      </c>
      <c r="T84" t="n">
        <v>0.01020739999718904</v>
      </c>
      <c r="U84" t="n">
        <v>0.006474600419952162</v>
      </c>
      <c r="V84" t="n">
        <v>0.00531393218072328</v>
      </c>
      <c r="W84" t="n">
        <v>0.0053299145172264</v>
      </c>
      <c r="X84" t="n">
        <v>0.005487813417242001</v>
      </c>
      <c r="Y84" t="n">
        <v>0.005634312887368801</v>
      </c>
      <c r="Z84" t="n">
        <v>0.005776943211401321</v>
      </c>
      <c r="AA84" t="n">
        <v>0.00590868471058284</v>
      </c>
      <c r="AB84" t="n">
        <v>0.006025088509080601</v>
      </c>
      <c r="AC84" t="n">
        <v>0.00616287195603356</v>
      </c>
      <c r="AD84" t="n">
        <v>0.00545248662365704</v>
      </c>
      <c r="AE84" t="n">
        <v>0.00516843234748092</v>
      </c>
      <c r="AF84" t="n">
        <v>0.005336962218969321</v>
      </c>
      <c r="AG84" t="n">
        <v>0.005563520466297519</v>
      </c>
      <c r="AH84" t="n">
        <v>0.0058028454684976</v>
      </c>
      <c r="AI84" t="n">
        <v>0.006048410286417521</v>
      </c>
    </row>
    <row r="85">
      <c r="A85" t="inlineStr">
        <is>
          <t>Dominica_2018_August</t>
        </is>
      </c>
      <c r="B85" s="2" t="n"/>
      <c r="C85" s="3" t="inlineStr">
        <is>
          <t>SM.18.139</t>
        </is>
      </c>
      <c r="D85" s="4" t="inlineStr">
        <is>
          <t>Dominica</t>
        </is>
      </c>
      <c r="E85" s="4" t="inlineStr">
        <is>
          <t>DMA</t>
        </is>
      </c>
      <c r="F85" s="10" t="n">
        <v>43255</v>
      </c>
      <c r="G85" s="4" t="inlineStr">
        <is>
          <t>2013gn</t>
        </is>
      </c>
      <c r="H85" s="4" t="n">
        <v>2017</v>
      </c>
      <c r="I85" s="4" t="inlineStr">
        <is>
          <t>new.dis.pc2</t>
        </is>
      </c>
      <c r="J85" t="inlineStr">
        <is>
          <t>…</t>
        </is>
      </c>
      <c r="BI85" t="inlineStr">
        <is>
          <t>In early years: also reduction of debt with ECP</t>
        </is>
      </c>
    </row>
    <row r="86">
      <c r="A86" t="inlineStr">
        <is>
          <t>Dominica_2018_August</t>
        </is>
      </c>
      <c r="B86" s="2" t="n"/>
      <c r="C86" s="3" t="inlineStr">
        <is>
          <t>SM.18.139</t>
        </is>
      </c>
      <c r="D86" s="4" t="inlineStr">
        <is>
          <t>Dominica</t>
        </is>
      </c>
      <c r="E86" s="4" t="inlineStr">
        <is>
          <t>DMA</t>
        </is>
      </c>
      <c r="F86" s="10" t="n">
        <v>43255</v>
      </c>
      <c r="G86" s="4" t="inlineStr">
        <is>
          <t>2013gn</t>
        </is>
      </c>
      <c r="H86" s="4" t="n">
        <v>2017</v>
      </c>
      <c r="I86" s="4" t="inlineStr">
        <is>
          <t>new.dis.pc3</t>
        </is>
      </c>
      <c r="J86" t="inlineStr">
        <is>
          <t>…</t>
        </is>
      </c>
    </row>
    <row r="87">
      <c r="A87" t="inlineStr">
        <is>
          <t>Dominica_2018_August</t>
        </is>
      </c>
      <c r="B87" s="2" t="n"/>
      <c r="C87" s="3" t="inlineStr">
        <is>
          <t>SM.18.139</t>
        </is>
      </c>
      <c r="D87" s="4" t="inlineStr">
        <is>
          <t>Dominica</t>
        </is>
      </c>
      <c r="E87" s="4" t="inlineStr">
        <is>
          <t>DMA</t>
        </is>
      </c>
      <c r="F87" s="10" t="n">
        <v>43255</v>
      </c>
      <c r="G87" s="4" t="inlineStr">
        <is>
          <t>2013gn</t>
        </is>
      </c>
      <c r="H87" s="4" t="n">
        <v>2017</v>
      </c>
      <c r="I87" s="4" t="inlineStr">
        <is>
          <t>new.dis.pc4</t>
        </is>
      </c>
      <c r="J87" t="inlineStr">
        <is>
          <t xml:space="preserve">   Others Non Paris Club</t>
        </is>
      </c>
      <c r="N87" t="inlineStr">
        <is>
          <t>Bilateral</t>
        </is>
      </c>
      <c r="O87" t="n">
        <v>0.01083876352644272</v>
      </c>
      <c r="P87" t="n">
        <v>0.01292345076263064</v>
      </c>
      <c r="Q87" t="n">
        <v>0.01586040790661356</v>
      </c>
      <c r="R87" t="n">
        <v>0.01907215164631156</v>
      </c>
      <c r="S87" t="n">
        <v>0.01813829384422936</v>
      </c>
      <c r="T87" t="n">
        <v>0.01020739999718904</v>
      </c>
      <c r="U87" t="n">
        <v>0.006474600419952162</v>
      </c>
      <c r="V87" t="n">
        <v>0.00531393218072328</v>
      </c>
      <c r="W87" t="n">
        <v>0.0053299145172264</v>
      </c>
      <c r="X87" t="n">
        <v>0.005487813417242001</v>
      </c>
      <c r="Y87" t="n">
        <v>0.005634312887368801</v>
      </c>
      <c r="Z87" t="n">
        <v>0.005776943211401321</v>
      </c>
      <c r="AA87" t="n">
        <v>0.00590868471058284</v>
      </c>
      <c r="AB87" t="n">
        <v>0.006025088509080601</v>
      </c>
      <c r="AC87" t="n">
        <v>0.00616287195603356</v>
      </c>
      <c r="AD87" t="n">
        <v>0.00545248662365704</v>
      </c>
      <c r="AE87" t="n">
        <v>0.00516843234748092</v>
      </c>
      <c r="AF87" t="n">
        <v>0.005336962218969321</v>
      </c>
      <c r="AG87" t="n">
        <v>0.005563520466297519</v>
      </c>
      <c r="AH87" t="n">
        <v>0.0058028454684976</v>
      </c>
      <c r="AI87" t="n">
        <v>0.006048410286417521</v>
      </c>
    </row>
    <row r="88">
      <c r="A88" t="inlineStr">
        <is>
          <t>Dominica_2018_August</t>
        </is>
      </c>
      <c r="B88" s="2" t="n"/>
      <c r="C88" s="3" t="inlineStr">
        <is>
          <t>SM.18.139</t>
        </is>
      </c>
      <c r="D88" s="4" t="inlineStr">
        <is>
          <t>Dominica</t>
        </is>
      </c>
      <c r="E88" s="4" t="inlineStr">
        <is>
          <t>DMA</t>
        </is>
      </c>
      <c r="F88" s="10" t="n">
        <v>43255</v>
      </c>
      <c r="G88" s="4" t="inlineStr">
        <is>
          <t>2013gn</t>
        </is>
      </c>
      <c r="H88" s="4" t="n">
        <v>2017</v>
      </c>
      <c r="I88" s="4" t="inlineStr">
        <is>
          <t>new.dis.pc5</t>
        </is>
      </c>
      <c r="AJ88">
        <f>&gt; if negative add here</f>
        <v/>
      </c>
    </row>
    <row r="89">
      <c r="A89" t="inlineStr">
        <is>
          <t>Dominica_2018_August</t>
        </is>
      </c>
      <c r="B89" s="2" t="n"/>
      <c r="C89" s="3" t="inlineStr">
        <is>
          <t>SM.18.139</t>
        </is>
      </c>
      <c r="D89" s="4" t="inlineStr">
        <is>
          <t>Dominica</t>
        </is>
      </c>
      <c r="E89" s="4" t="inlineStr">
        <is>
          <t>DMA</t>
        </is>
      </c>
      <c r="F89" s="10" t="n">
        <v>43255</v>
      </c>
      <c r="G89" s="4" t="inlineStr">
        <is>
          <t>2013gn</t>
        </is>
      </c>
      <c r="H89" s="4" t="n">
        <v>2017</v>
      </c>
      <c r="I89" s="4" t="inlineStr">
        <is>
          <t>new.dis.npc</t>
        </is>
      </c>
      <c r="J89" t="inlineStr">
        <is>
          <t>Commercial</t>
        </is>
      </c>
      <c r="O89" t="n">
        <v>0.00230335577585724</v>
      </c>
      <c r="P89" t="n">
        <v>-0.0002544508182907</v>
      </c>
      <c r="Q89" t="n">
        <v>0.00239063942603806</v>
      </c>
      <c r="R89" t="n">
        <v>0.0171794906699208</v>
      </c>
      <c r="S89" t="n">
        <v>0.00728829035041516</v>
      </c>
      <c r="T89" t="n">
        <v>0.00778460850076417</v>
      </c>
      <c r="U89" t="n">
        <v>0.0077839559313002</v>
      </c>
      <c r="V89" t="n">
        <v>0.0082052772370932</v>
      </c>
      <c r="W89" t="n">
        <v>0.009563852842794901</v>
      </c>
      <c r="X89" t="n">
        <v>0.008376951274943119</v>
      </c>
      <c r="Y89" t="n">
        <v>0.00866749198385549</v>
      </c>
      <c r="Z89" t="n">
        <v>0.008816032027163639</v>
      </c>
      <c r="AA89" t="n">
        <v>0.008066261002401931</v>
      </c>
      <c r="AB89" t="n">
        <v>0.008235156812273549</v>
      </c>
      <c r="AC89" t="n">
        <v>0.008581458153065279</v>
      </c>
      <c r="AD89" t="n">
        <v>0.00891866213620004</v>
      </c>
      <c r="AE89" t="n">
        <v>0.009271101646152311</v>
      </c>
      <c r="AF89" t="n">
        <v>0.009635649219503059</v>
      </c>
      <c r="AG89" t="n">
        <v>0.0100131490247348</v>
      </c>
      <c r="AH89" t="n">
        <v>0.0104039748501103</v>
      </c>
      <c r="AI89" t="n">
        <v>0.0108086005398566</v>
      </c>
    </row>
    <row r="90">
      <c r="A90" t="inlineStr">
        <is>
          <t>Dominica_2018_August</t>
        </is>
      </c>
      <c r="B90" s="2" t="n"/>
      <c r="C90" s="3" t="inlineStr">
        <is>
          <t>SM.18.139</t>
        </is>
      </c>
      <c r="D90" s="4" t="inlineStr">
        <is>
          <t>Dominica</t>
        </is>
      </c>
      <c r="E90" s="4" t="inlineStr">
        <is>
          <t>DMA</t>
        </is>
      </c>
      <c r="F90" s="10" t="n">
        <v>43255</v>
      </c>
      <c r="G90" s="4" t="inlineStr">
        <is>
          <t>2013gn</t>
        </is>
      </c>
      <c r="H90" s="4" t="n">
        <v>2017</v>
      </c>
      <c r="I90" s="4" t="inlineStr">
        <is>
          <t>new.dis.npc.eximbk</t>
        </is>
      </c>
      <c r="J90" t="inlineStr">
        <is>
          <t>…</t>
        </is>
      </c>
    </row>
    <row r="91">
      <c r="A91" t="inlineStr">
        <is>
          <t>Dominica_2018_August</t>
        </is>
      </c>
      <c r="B91" s="2" t="n"/>
      <c r="C91" s="3" t="inlineStr">
        <is>
          <t>SM.18.139</t>
        </is>
      </c>
      <c r="D91" s="4" t="inlineStr">
        <is>
          <t>Dominica</t>
        </is>
      </c>
      <c r="E91" s="4" t="inlineStr">
        <is>
          <t>DMA</t>
        </is>
      </c>
      <c r="F91" s="10" t="n">
        <v>43255</v>
      </c>
      <c r="G91" s="4" t="inlineStr">
        <is>
          <t>2013gn</t>
        </is>
      </c>
      <c r="H91" s="4" t="n">
        <v>2017</v>
      </c>
      <c r="I91" s="4" t="inlineStr">
        <is>
          <t>new.dis.npc2</t>
        </is>
      </c>
      <c r="J91" t="inlineStr">
        <is>
          <t>…</t>
        </is>
      </c>
    </row>
    <row r="92">
      <c r="A92" t="inlineStr">
        <is>
          <t>Dominica_2018_August</t>
        </is>
      </c>
      <c r="B92" s="2" t="n"/>
      <c r="C92" s="3" t="inlineStr">
        <is>
          <t>SM.18.139</t>
        </is>
      </c>
      <c r="D92" s="4" t="inlineStr">
        <is>
          <t>Dominica</t>
        </is>
      </c>
      <c r="E92" s="4" t="inlineStr">
        <is>
          <t>DMA</t>
        </is>
      </c>
      <c r="F92" s="10" t="n">
        <v>43255</v>
      </c>
      <c r="G92" s="4" t="inlineStr">
        <is>
          <t>2013gn</t>
        </is>
      </c>
      <c r="H92" s="4" t="n">
        <v>2017</v>
      </c>
      <c r="I92" s="4" t="inlineStr">
        <is>
          <t>new.dis.npc3</t>
        </is>
      </c>
      <c r="J92" t="inlineStr">
        <is>
          <t xml:space="preserve">   Others Commercial</t>
        </is>
      </c>
      <c r="N92" t="inlineStr">
        <is>
          <t>Commercial</t>
        </is>
      </c>
      <c r="O92" t="n">
        <v>0.00230335577585724</v>
      </c>
      <c r="P92" t="n">
        <v>-0.0002544508182907</v>
      </c>
      <c r="Q92" t="n">
        <v>0.00239063942603806</v>
      </c>
      <c r="R92" t="n">
        <v>0.0171794906699208</v>
      </c>
      <c r="S92" t="n">
        <v>0.00728829035041516</v>
      </c>
      <c r="T92" t="n">
        <v>0.00778460850076417</v>
      </c>
      <c r="U92" t="n">
        <v>0.0077839559313002</v>
      </c>
      <c r="V92" t="n">
        <v>0.0082052772370932</v>
      </c>
      <c r="W92" t="n">
        <v>0.009563852842794901</v>
      </c>
      <c r="X92" t="n">
        <v>0.008376951274943119</v>
      </c>
      <c r="Y92" t="n">
        <v>0.00866749198385549</v>
      </c>
      <c r="Z92" t="n">
        <v>0.008816032027163639</v>
      </c>
      <c r="AA92" t="n">
        <v>0.008066261002401931</v>
      </c>
      <c r="AB92" t="n">
        <v>0.008235156812273549</v>
      </c>
      <c r="AC92" t="n">
        <v>0.008581458153065279</v>
      </c>
      <c r="AD92" t="n">
        <v>0.00891866213620004</v>
      </c>
      <c r="AE92" t="n">
        <v>0.009271101646152311</v>
      </c>
      <c r="AF92" t="n">
        <v>0.009635649219503059</v>
      </c>
      <c r="AG92" t="n">
        <v>0.0100131490247348</v>
      </c>
      <c r="AH92" t="n">
        <v>0.0104039748501103</v>
      </c>
      <c r="AI92" t="n">
        <v>0.0108086005398566</v>
      </c>
    </row>
    <row r="93">
      <c r="A93" t="inlineStr">
        <is>
          <t>Dominica_2018_August</t>
        </is>
      </c>
      <c r="B93" s="2" t="n"/>
      <c r="C93" s="3" t="inlineStr">
        <is>
          <t>SM.18.139</t>
        </is>
      </c>
      <c r="D93" s="4" t="inlineStr">
        <is>
          <t>Dominica</t>
        </is>
      </c>
      <c r="E93" s="4" t="inlineStr">
        <is>
          <t>DMA</t>
        </is>
      </c>
      <c r="F93" s="10" t="n">
        <v>43255</v>
      </c>
      <c r="G93" s="4" t="inlineStr">
        <is>
          <t>2013gn</t>
        </is>
      </c>
      <c r="H93" s="4" t="n">
        <v>2017</v>
      </c>
      <c r="I93" s="4" t="inlineStr">
        <is>
          <t>new.dis.npc4</t>
        </is>
      </c>
    </row>
    <row r="94">
      <c r="A94" t="inlineStr">
        <is>
          <t>Dominica_2018_August</t>
        </is>
      </c>
      <c r="B94" s="2" t="n"/>
      <c r="C94" s="3" t="inlineStr">
        <is>
          <t>SM.18.139</t>
        </is>
      </c>
      <c r="D94" s="4" t="inlineStr">
        <is>
          <t>Dominica</t>
        </is>
      </c>
      <c r="E94" s="4" t="inlineStr">
        <is>
          <t>DMA</t>
        </is>
      </c>
      <c r="F94" s="10" t="n">
        <v>43255</v>
      </c>
      <c r="G94" s="4" t="inlineStr">
        <is>
          <t>2013gn</t>
        </is>
      </c>
      <c r="H94" s="4" t="n">
        <v>2017</v>
      </c>
      <c r="I94" s="4" t="inlineStr">
        <is>
          <t>new.dis.npc5</t>
        </is>
      </c>
      <c r="J94" t="inlineStr">
        <is>
          <t>Total new MLT disbursements</t>
        </is>
      </c>
      <c r="O94" t="n">
        <v>0.04799764022025562</v>
      </c>
      <c r="P94" t="n">
        <v>0.04326419511078253</v>
      </c>
      <c r="Q94" t="n">
        <v>0.05007416262430552</v>
      </c>
      <c r="R94" t="n">
        <v>0.07816360592144965</v>
      </c>
      <c r="S94" t="n">
        <v>0.06195122317172717</v>
      </c>
      <c r="T94" t="n">
        <v>0.04207824784589988</v>
      </c>
      <c r="U94" t="n">
        <v>0.03661503956834882</v>
      </c>
      <c r="V94" t="n">
        <v>0.03424432304654688</v>
      </c>
      <c r="W94" t="n">
        <v>0.0390505191949202</v>
      </c>
      <c r="X94" t="n">
        <v>0.04067660906140018</v>
      </c>
      <c r="Y94" t="n">
        <v>0.04120153520074076</v>
      </c>
      <c r="Z94" t="n">
        <v>0.04301325639954543</v>
      </c>
      <c r="AA94" t="n">
        <v>0.0436356271783027</v>
      </c>
      <c r="AB94" t="n">
        <v>0.04712148905015819</v>
      </c>
      <c r="AC94" t="n">
        <v>0.05128167338926248</v>
      </c>
      <c r="AD94" t="n">
        <v>0.05300666110592499</v>
      </c>
      <c r="AE94" t="n">
        <v>0.05455107117528573</v>
      </c>
      <c r="AF94" t="n">
        <v>0.05632238982471681</v>
      </c>
      <c r="AG94" t="n">
        <v>0.05797199959587077</v>
      </c>
      <c r="AH94" t="n">
        <v>0.05971870615058705</v>
      </c>
      <c r="AI94" t="n">
        <v>0.06065785555785898</v>
      </c>
    </row>
    <row r="95">
      <c r="A95" t="inlineStr">
        <is>
          <t>Dominica_2018_August</t>
        </is>
      </c>
      <c r="B95" s="2" t="n"/>
      <c r="C95" s="3" t="inlineStr">
        <is>
          <t>SM.18.139</t>
        </is>
      </c>
      <c r="D95" s="4" t="inlineStr">
        <is>
          <t>Dominica</t>
        </is>
      </c>
      <c r="E95" s="4" t="inlineStr">
        <is>
          <t>DMA</t>
        </is>
      </c>
      <c r="F95" s="10" t="n">
        <v>43255</v>
      </c>
      <c r="G95" s="4" t="inlineStr">
        <is>
          <t>2013gn</t>
        </is>
      </c>
      <c r="H95" s="4" t="n">
        <v>2017</v>
      </c>
      <c r="I95" s="4" t="inlineStr">
        <is>
          <t>new.dis.prvt</t>
        </is>
      </c>
      <c r="J95" t="inlineStr">
        <is>
          <t>Terms of residual financing under stress tests</t>
        </is>
      </c>
      <c r="M95" t="inlineStr">
        <is>
          <t>Average</t>
        </is>
      </c>
    </row>
    <row r="96">
      <c r="A96" t="inlineStr">
        <is>
          <t>Dominica_2018_August</t>
        </is>
      </c>
      <c r="B96" s="2" t="n"/>
      <c r="C96" s="3" t="inlineStr">
        <is>
          <t>SM.18.139</t>
        </is>
      </c>
      <c r="D96" s="4" t="inlineStr">
        <is>
          <t>Dominica</t>
        </is>
      </c>
      <c r="E96" s="4" t="inlineStr">
        <is>
          <t>DMA</t>
        </is>
      </c>
      <c r="F96" s="10" t="n">
        <v>43255</v>
      </c>
      <c r="G96" s="4" t="inlineStr">
        <is>
          <t>2013gn</t>
        </is>
      </c>
      <c r="H96" s="4" t="n">
        <v>2017</v>
      </c>
      <c r="I96" s="4" t="inlineStr">
        <is>
          <t>new.dis.prvt.bnd</t>
        </is>
      </c>
      <c r="J96" t="inlineStr">
        <is>
          <t>Average interest rate on new debt</t>
        </is>
      </c>
      <c r="L96" t="n">
        <v>3.651433850553459</v>
      </c>
      <c r="M96" t="n">
        <v>3.651433850553459</v>
      </c>
      <c r="O96" t="n">
        <v>3.352849088242968</v>
      </c>
      <c r="P96" t="n">
        <v>3.258662838217744</v>
      </c>
      <c r="Q96" t="n">
        <v>3.436208903893471</v>
      </c>
      <c r="R96" t="n">
        <v>3.885069355066898</v>
      </c>
      <c r="S96" t="n">
        <v>3.623761580139279</v>
      </c>
      <c r="T96" t="n">
        <v>3.779397246287383</v>
      </c>
      <c r="U96" t="n">
        <v>3.801333919838762</v>
      </c>
      <c r="V96" t="n">
        <v>3.862368309582528</v>
      </c>
      <c r="W96" t="n">
        <v>3.860980344179207</v>
      </c>
      <c r="X96" t="n">
        <v>3.742615521126196</v>
      </c>
      <c r="Y96" t="n">
        <v>3.757598356961743</v>
      </c>
      <c r="Z96" t="n">
        <v>3.7391155939631</v>
      </c>
      <c r="AA96" t="n">
        <v>3.67981872343169</v>
      </c>
      <c r="AB96" t="n">
        <v>3.642566224413882</v>
      </c>
      <c r="AC96" t="n">
        <v>3.613182623348461</v>
      </c>
      <c r="AD96" t="n">
        <v>3.599915857215318</v>
      </c>
      <c r="AE96" t="n">
        <v>3.5974970639008</v>
      </c>
      <c r="AF96" t="n">
        <v>3.600891365163693</v>
      </c>
      <c r="AG96" t="n">
        <v>3.606943071669307</v>
      </c>
      <c r="AH96" t="n">
        <v>3.612530963354296</v>
      </c>
      <c r="AI96" t="n">
        <v>3.62680391162592</v>
      </c>
    </row>
    <row r="97">
      <c r="A97" t="inlineStr">
        <is>
          <t>Dominica_2018_August</t>
        </is>
      </c>
      <c r="B97" s="2" t="n"/>
      <c r="C97" s="3" t="inlineStr">
        <is>
          <t>SM.18.139</t>
        </is>
      </c>
      <c r="D97" s="4" t="inlineStr">
        <is>
          <t>Dominica</t>
        </is>
      </c>
      <c r="E97" s="4" t="inlineStr">
        <is>
          <t>DMA</t>
        </is>
      </c>
      <c r="F97" s="10" t="n">
        <v>43255</v>
      </c>
      <c r="G97" s="4" t="inlineStr">
        <is>
          <t>2013gn</t>
        </is>
      </c>
      <c r="H97" s="4" t="n">
        <v>2017</v>
      </c>
      <c r="I97" s="4" t="inlineStr">
        <is>
          <t>new.dis.prvt.cmbk</t>
        </is>
      </c>
      <c r="J97" t="inlineStr">
        <is>
          <t>Average grace period on new debt</t>
        </is>
      </c>
      <c r="L97" t="n">
        <v>6</v>
      </c>
      <c r="M97" t="n">
        <v>6.216697218553743</v>
      </c>
      <c r="O97" t="n">
        <v>7.005630650340139</v>
      </c>
      <c r="P97" t="n">
        <v>7.423611044981546</v>
      </c>
      <c r="Q97" t="n">
        <v>7.125308011028497</v>
      </c>
      <c r="R97" t="n">
        <v>5.998470631485577</v>
      </c>
      <c r="S97" t="n">
        <v>6.674744757675929</v>
      </c>
      <c r="T97" t="n">
        <v>6.205336896852337</v>
      </c>
      <c r="U97" t="n">
        <v>5.954343474888399</v>
      </c>
      <c r="V97" t="n">
        <v>5.764071010249193</v>
      </c>
      <c r="W97" t="n">
        <v>5.707975483436381</v>
      </c>
      <c r="X97" t="n">
        <v>5.939745686712866</v>
      </c>
      <c r="Y97" t="n">
        <v>5.915566011512354</v>
      </c>
      <c r="Z97" t="n">
        <v>5.944833063403222</v>
      </c>
      <c r="AA97" t="n">
        <v>6.066902929473659</v>
      </c>
      <c r="AB97" t="n">
        <v>6.117635570311059</v>
      </c>
      <c r="AC97" t="n">
        <v>6.15219195275614</v>
      </c>
      <c r="AD97" t="n">
        <v>6.124190446297381</v>
      </c>
      <c r="AE97" t="n">
        <v>6.103452108794773</v>
      </c>
      <c r="AF97" t="n">
        <v>6.096703023598768</v>
      </c>
      <c r="AG97" t="n">
        <v>6.088416512961095</v>
      </c>
      <c r="AH97" t="n">
        <v>6.081022454618678</v>
      </c>
      <c r="AI97" t="n">
        <v>6.060489868250655</v>
      </c>
    </row>
    <row r="98">
      <c r="A98" t="inlineStr">
        <is>
          <t>Dominica_2018_August</t>
        </is>
      </c>
      <c r="B98" s="2" t="n"/>
      <c r="C98" s="3" t="inlineStr">
        <is>
          <t>SM.18.139</t>
        </is>
      </c>
      <c r="D98" s="4" t="inlineStr">
        <is>
          <t>Dominica</t>
        </is>
      </c>
      <c r="E98" s="4" t="inlineStr">
        <is>
          <t>DMA</t>
        </is>
      </c>
      <c r="F98" s="10" t="n">
        <v>43255</v>
      </c>
      <c r="G98" s="4" t="inlineStr">
        <is>
          <t>2013gn</t>
        </is>
      </c>
      <c r="H98" s="4" t="n">
        <v>2017</v>
      </c>
      <c r="I98" s="4" t="inlineStr">
        <is>
          <t>new.dis.prvt.com3</t>
        </is>
      </c>
      <c r="J98" t="inlineStr">
        <is>
          <t>Average maturity of new debt</t>
        </is>
      </c>
      <c r="L98" t="n">
        <v>17</v>
      </c>
      <c r="M98" t="n">
        <v>17.73794823320538</v>
      </c>
      <c r="O98" t="n">
        <v>19.41848233947874</v>
      </c>
      <c r="P98" t="n">
        <v>20.20182258652365</v>
      </c>
      <c r="Q98" t="n">
        <v>19.45830769042713</v>
      </c>
      <c r="R98" t="n">
        <v>17.02055699740359</v>
      </c>
      <c r="S98" t="n">
        <v>18.47007464073162</v>
      </c>
      <c r="T98" t="n">
        <v>17.50698842318729</v>
      </c>
      <c r="U98" t="n">
        <v>17.09448510436173</v>
      </c>
      <c r="V98" t="n">
        <v>16.70753285752615</v>
      </c>
      <c r="W98" t="n">
        <v>16.62585858757601</v>
      </c>
      <c r="X98" t="n">
        <v>17.17080171779822</v>
      </c>
      <c r="Y98" t="n">
        <v>17.10954550506923</v>
      </c>
      <c r="Z98" t="n">
        <v>17.18427105423689</v>
      </c>
      <c r="AA98" t="n">
        <v>17.46619477479699</v>
      </c>
      <c r="AB98" t="n">
        <v>17.60444412424997</v>
      </c>
      <c r="AC98" t="n">
        <v>17.70531541614749</v>
      </c>
      <c r="AD98" t="n">
        <v>17.68556870593714</v>
      </c>
      <c r="AE98" t="n">
        <v>17.65856018304904</v>
      </c>
      <c r="AF98" t="n">
        <v>17.64277928194034</v>
      </c>
      <c r="AG98" t="n">
        <v>17.62025324084915</v>
      </c>
      <c r="AH98" t="n">
        <v>17.59983899596365</v>
      </c>
      <c r="AI98" t="n">
        <v>17.54523067005897</v>
      </c>
    </row>
    <row r="99">
      <c r="A99" t="inlineStr">
        <is>
          <t>Dominica_2018_August</t>
        </is>
      </c>
      <c r="B99" s="2" t="n"/>
      <c r="C99" s="3" t="inlineStr">
        <is>
          <t>SM.18.139</t>
        </is>
      </c>
      <c r="D99" s="4" t="inlineStr">
        <is>
          <t>Dominica</t>
        </is>
      </c>
      <c r="E99" s="4" t="inlineStr">
        <is>
          <t>DMA</t>
        </is>
      </c>
      <c r="F99" s="10" t="n">
        <v>43255</v>
      </c>
      <c r="G99" s="4" t="inlineStr">
        <is>
          <t>2013gn</t>
        </is>
      </c>
      <c r="H99" s="4" t="n">
        <v>2017</v>
      </c>
      <c r="I99" s="4" t="inlineStr">
        <is>
          <t>new.dis.prvt.com4</t>
        </is>
      </c>
    </row>
    <row r="100">
      <c r="A100" t="inlineStr">
        <is>
          <t>Dominica_2018_August</t>
        </is>
      </c>
      <c r="B100" s="2" t="n"/>
      <c r="C100" s="3" t="inlineStr">
        <is>
          <t>SM.18.139</t>
        </is>
      </c>
      <c r="D100" s="4" t="inlineStr">
        <is>
          <t>Dominica</t>
        </is>
      </c>
      <c r="E100" s="4" t="inlineStr">
        <is>
          <t>DMA</t>
        </is>
      </c>
      <c r="F100" s="10" t="n">
        <v>43255</v>
      </c>
      <c r="G100" s="4" t="inlineStr">
        <is>
          <t>2013gn</t>
        </is>
      </c>
      <c r="H100" s="4" t="n">
        <v>2017</v>
      </c>
      <c r="I100" s="4" t="inlineStr">
        <is>
          <t>new.dis.prvt.com5</t>
        </is>
      </c>
      <c r="J100" t="inlineStr">
        <is>
          <t>Average grace period on new debt (rounded down)</t>
        </is>
      </c>
      <c r="N100" t="n">
        <v>6</v>
      </c>
      <c r="O100" t="n">
        <v>7</v>
      </c>
      <c r="P100" t="n">
        <v>7</v>
      </c>
      <c r="Q100" t="n">
        <v>7</v>
      </c>
      <c r="R100" t="n">
        <v>5</v>
      </c>
      <c r="S100" t="n">
        <v>6</v>
      </c>
      <c r="T100" t="n">
        <v>6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6</v>
      </c>
      <c r="AB100" t="n">
        <v>6</v>
      </c>
      <c r="AC100" t="n">
        <v>6</v>
      </c>
      <c r="AD100" t="n">
        <v>6</v>
      </c>
      <c r="AE100" t="n">
        <v>6</v>
      </c>
      <c r="AF100" t="n">
        <v>6</v>
      </c>
      <c r="AG100" t="n">
        <v>6</v>
      </c>
      <c r="AH100" t="n">
        <v>6</v>
      </c>
      <c r="AI100" t="n">
        <v>6</v>
      </c>
    </row>
    <row r="101">
      <c r="A101" t="inlineStr">
        <is>
          <t>Dominica_2018_August</t>
        </is>
      </c>
      <c r="B101" s="2" t="n"/>
      <c r="C101" s="3" t="inlineStr">
        <is>
          <t>SM.18.139</t>
        </is>
      </c>
      <c r="D101" s="4" t="inlineStr">
        <is>
          <t>Dominica</t>
        </is>
      </c>
      <c r="E101" s="4" t="inlineStr">
        <is>
          <t>DMA</t>
        </is>
      </c>
      <c r="F101" s="10" t="n">
        <v>43255</v>
      </c>
      <c r="G101" s="4" t="inlineStr">
        <is>
          <t>2013gn</t>
        </is>
      </c>
      <c r="H101" s="4" t="n">
        <v>2017</v>
      </c>
      <c r="I101" s="4" t="inlineStr">
        <is>
          <t>new.dis.lcl.nres</t>
        </is>
      </c>
      <c r="J101" t="inlineStr">
        <is>
          <t>Average maturity of new debt (rounded down)</t>
        </is>
      </c>
      <c r="N101" t="n">
        <v>17</v>
      </c>
      <c r="O101" t="n">
        <v>19</v>
      </c>
      <c r="P101" t="n">
        <v>20</v>
      </c>
      <c r="Q101" t="n">
        <v>19</v>
      </c>
      <c r="R101" t="n">
        <v>17</v>
      </c>
      <c r="S101" t="n">
        <v>18</v>
      </c>
      <c r="T101" t="n">
        <v>17</v>
      </c>
      <c r="U101" t="n">
        <v>17</v>
      </c>
      <c r="V101" t="n">
        <v>16</v>
      </c>
      <c r="W101" t="n">
        <v>16</v>
      </c>
      <c r="X101" t="n">
        <v>17</v>
      </c>
      <c r="Y101" t="n">
        <v>17</v>
      </c>
      <c r="Z101" t="n">
        <v>17</v>
      </c>
      <c r="AA101" t="n">
        <v>17</v>
      </c>
      <c r="AB101" t="n">
        <v>17</v>
      </c>
      <c r="AC101" t="n">
        <v>17</v>
      </c>
      <c r="AD101" t="n">
        <v>17</v>
      </c>
      <c r="AE101" t="n">
        <v>17</v>
      </c>
      <c r="AF101" t="n">
        <v>17</v>
      </c>
      <c r="AG101" t="n">
        <v>17</v>
      </c>
      <c r="AH101" t="n">
        <v>17</v>
      </c>
      <c r="AI101" t="n">
        <v>17</v>
      </c>
    </row>
    <row r="102">
      <c r="A102" t="inlineStr">
        <is>
          <t>Dominica_2018_August</t>
        </is>
      </c>
      <c r="B102" s="2" t="n"/>
      <c r="C102" s="3" t="inlineStr">
        <is>
          <t>SM.18.139</t>
        </is>
      </c>
      <c r="D102" s="4" t="inlineStr">
        <is>
          <t>Dominica</t>
        </is>
      </c>
      <c r="E102" s="4" t="inlineStr">
        <is>
          <t>DMA</t>
        </is>
      </c>
      <c r="F102" s="10" t="n">
        <v>43255</v>
      </c>
      <c r="G102" s="4" t="inlineStr">
        <is>
          <t>2013gn</t>
        </is>
      </c>
      <c r="H102" s="4" t="n">
        <v>2017</v>
      </c>
      <c r="I102" s="4" t="inlineStr">
        <is>
          <t>new.dis.lcl.nres.lc</t>
        </is>
      </c>
    </row>
    <row r="103">
      <c r="A103" t="inlineStr">
        <is>
          <t>Dominica_2018_August</t>
        </is>
      </c>
      <c r="B103" s="2" t="n"/>
      <c r="C103" s="3" t="inlineStr">
        <is>
          <t>SM.18.139</t>
        </is>
      </c>
      <c r="D103" s="4" t="inlineStr">
        <is>
          <t>Dominica</t>
        </is>
      </c>
      <c r="E103" s="4" t="inlineStr">
        <is>
          <t>DMA</t>
        </is>
      </c>
      <c r="F103" s="10" t="n">
        <v>43255</v>
      </c>
      <c r="G103" s="4" t="inlineStr">
        <is>
          <t>2013gn</t>
        </is>
      </c>
      <c r="H103" s="4" t="n">
        <v>2017</v>
      </c>
      <c r="I103" s="4" t="inlineStr">
        <is>
          <t>new.dis.lcl.nres.bnd.1to3.lc</t>
        </is>
      </c>
      <c r="J103" t="inlineStr">
        <is>
          <t>B. OUTPUT</t>
        </is>
      </c>
    </row>
    <row r="104">
      <c r="A104" t="inlineStr">
        <is>
          <t>Dominica_2018_August</t>
        </is>
      </c>
      <c r="B104" s="2" t="n"/>
      <c r="C104" s="3" t="inlineStr">
        <is>
          <t>SM.18.139</t>
        </is>
      </c>
      <c r="D104" s="4" t="inlineStr">
        <is>
          <t>Dominica</t>
        </is>
      </c>
      <c r="E104" s="4" t="inlineStr">
        <is>
          <t>DMA</t>
        </is>
      </c>
      <c r="F104" s="10" t="n">
        <v>43255</v>
      </c>
      <c r="G104" s="4" t="inlineStr">
        <is>
          <t>2013gn</t>
        </is>
      </c>
      <c r="H104" s="4" t="n">
        <v>2017</v>
      </c>
      <c r="I104" s="4" t="inlineStr">
        <is>
          <t>new.dis.lcl.nres.bnd.4to7.lc</t>
        </is>
      </c>
    </row>
    <row r="105">
      <c r="A105" t="inlineStr">
        <is>
          <t>Dominica_2018_August</t>
        </is>
      </c>
      <c r="B105" s="2" t="n"/>
      <c r="C105" s="3" t="inlineStr">
        <is>
          <t>SM.18.139</t>
        </is>
      </c>
      <c r="D105" s="4" t="inlineStr">
        <is>
          <t>Dominica</t>
        </is>
      </c>
      <c r="E105" s="4" t="inlineStr">
        <is>
          <t>DMA</t>
        </is>
      </c>
      <c r="F105" s="10" t="n">
        <v>43255</v>
      </c>
      <c r="G105" s="4" t="inlineStr">
        <is>
          <t>2013gn</t>
        </is>
      </c>
      <c r="H105" s="4" t="n">
        <v>2017</v>
      </c>
      <c r="I105" s="4" t="inlineStr">
        <is>
          <t>new.dis.lcl.nres.bnd.byd7.lc</t>
        </is>
      </c>
      <c r="J105" t="inlineStr">
        <is>
          <t>New debt: Debt service</t>
        </is>
      </c>
    </row>
    <row r="106">
      <c r="A106" t="inlineStr">
        <is>
          <t>Dominica_2018_August</t>
        </is>
      </c>
      <c r="B106" s="2" t="n"/>
      <c r="C106" s="3" t="inlineStr">
        <is>
          <t>SM.18.139</t>
        </is>
      </c>
      <c r="D106" s="4" t="inlineStr">
        <is>
          <t>Dominica</t>
        </is>
      </c>
      <c r="E106" s="4" t="inlineStr">
        <is>
          <t>DMA</t>
        </is>
      </c>
      <c r="F106" s="10" t="n">
        <v>43255</v>
      </c>
      <c r="G106" s="4" t="inlineStr">
        <is>
          <t>2013gn</t>
        </is>
      </c>
      <c r="H106" s="4" t="n">
        <v>2017</v>
      </c>
      <c r="I106" s="4" t="inlineStr">
        <is>
          <t>new.dis.lcl.nres.fx</t>
        </is>
      </c>
    </row>
    <row r="107">
      <c r="A107" t="inlineStr">
        <is>
          <t>Dominica_2018_August</t>
        </is>
      </c>
      <c r="B107" s="2" t="n"/>
      <c r="C107" s="3" t="inlineStr">
        <is>
          <t>SM.18.139</t>
        </is>
      </c>
      <c r="D107" s="4" t="inlineStr">
        <is>
          <t>Dominica</t>
        </is>
      </c>
      <c r="E107" s="4" t="inlineStr">
        <is>
          <t>DMA</t>
        </is>
      </c>
      <c r="F107" s="10" t="n">
        <v>43255</v>
      </c>
      <c r="G107" s="4" t="inlineStr">
        <is>
          <t>2013gn</t>
        </is>
      </c>
      <c r="H107" s="4" t="n">
        <v>2017</v>
      </c>
      <c r="I107" s="4" t="inlineStr">
        <is>
          <t>new.dis.lcl.nres.bnd.1to3.fx</t>
        </is>
      </c>
      <c r="J107" t="inlineStr">
        <is>
          <t>Total new debt service</t>
        </is>
      </c>
      <c r="O107" t="n">
        <v>0.0008046442212514905</v>
      </c>
      <c r="P107" t="n">
        <v>0.002314205566667525</v>
      </c>
      <c r="Q107" t="n">
        <v>0.004326300128671616</v>
      </c>
      <c r="R107" t="n">
        <v>0.006627977968170923</v>
      </c>
      <c r="S107" t="n">
        <v>0.00970801261942795</v>
      </c>
      <c r="T107" t="n">
        <v>0.01490519365883798</v>
      </c>
      <c r="U107" t="n">
        <v>0.01861297442139159</v>
      </c>
      <c r="V107" t="n">
        <v>0.02201107592361591</v>
      </c>
      <c r="W107" t="n">
        <v>0.02756137214493598</v>
      </c>
      <c r="X107" t="n">
        <v>0.03235883986013217</v>
      </c>
      <c r="Y107" t="n">
        <v>0.03409573425929063</v>
      </c>
      <c r="Z107" t="n">
        <v>0.03845453046841887</v>
      </c>
      <c r="AA107" t="n">
        <v>0.04217461516754595</v>
      </c>
      <c r="AB107" t="n">
        <v>0.04602129744823979</v>
      </c>
      <c r="AC107" t="n">
        <v>0.05030599729454485</v>
      </c>
      <c r="AD107" t="n">
        <v>0.05424030151598813</v>
      </c>
      <c r="AE107" t="n">
        <v>0.05669161476008591</v>
      </c>
      <c r="AF107" t="n">
        <v>0.05870392538417118</v>
      </c>
      <c r="AG107" t="n">
        <v>0.06035475676823109</v>
      </c>
      <c r="AH107" t="n">
        <v>0.06205421067077718</v>
      </c>
      <c r="AI107" t="n">
        <v>0.06401729788630689</v>
      </c>
    </row>
    <row r="108">
      <c r="A108" t="inlineStr">
        <is>
          <t>Dominica_2018_August</t>
        </is>
      </c>
      <c r="B108" s="2" t="n"/>
      <c r="C108" s="3" t="inlineStr">
        <is>
          <t>SM.18.139</t>
        </is>
      </c>
      <c r="D108" s="4" t="inlineStr">
        <is>
          <t>Dominica</t>
        </is>
      </c>
      <c r="E108" s="4" t="inlineStr">
        <is>
          <t>DMA</t>
        </is>
      </c>
      <c r="F108" s="10" t="n">
        <v>43255</v>
      </c>
      <c r="G108" s="4" t="inlineStr">
        <is>
          <t>2013gn</t>
        </is>
      </c>
      <c r="H108" s="4" t="n">
        <v>2017</v>
      </c>
      <c r="I108" s="4" t="inlineStr">
        <is>
          <t>new.dis.lcl.nres.bnd.4to7.fx</t>
        </is>
      </c>
    </row>
    <row r="109">
      <c r="A109" t="inlineStr">
        <is>
          <t>Dominica_2018_August</t>
        </is>
      </c>
      <c r="B109" s="2" t="n"/>
      <c r="C109" s="3" t="inlineStr">
        <is>
          <t>SM.18.139</t>
        </is>
      </c>
      <c r="D109" s="4" t="inlineStr">
        <is>
          <t>Dominica</t>
        </is>
      </c>
      <c r="E109" s="4" t="inlineStr">
        <is>
          <t>DMA</t>
        </is>
      </c>
      <c r="F109" s="10" t="n">
        <v>43255</v>
      </c>
      <c r="G109" s="4" t="inlineStr">
        <is>
          <t>2013gn</t>
        </is>
      </c>
      <c r="H109" s="4" t="n">
        <v>2017</v>
      </c>
      <c r="I109" s="4" t="inlineStr">
        <is>
          <t>new.dis.lcl.nres.bnd.byd7.fx</t>
        </is>
      </c>
      <c r="J109" t="inlineStr">
        <is>
          <t>Interest</t>
        </is>
      </c>
      <c r="O109" t="n">
        <v>0.0008046442212514905</v>
      </c>
      <c r="P109" t="n">
        <v>0.002314205566667525</v>
      </c>
      <c r="Q109" t="n">
        <v>0.003865628973500168</v>
      </c>
      <c r="R109" t="n">
        <v>0.006218196976657615</v>
      </c>
      <c r="S109" t="n">
        <v>0.008820103742707031</v>
      </c>
      <c r="T109" t="n">
        <v>0.0105813866481329</v>
      </c>
      <c r="U109" t="n">
        <v>0.0117476329879592</v>
      </c>
      <c r="V109" t="n">
        <v>0.01265552546087867</v>
      </c>
      <c r="W109" t="n">
        <v>0.01346037483469712</v>
      </c>
      <c r="X109" t="n">
        <v>0.01417669934334996</v>
      </c>
      <c r="Y109" t="n">
        <v>0.01482620562246237</v>
      </c>
      <c r="Z109" t="n">
        <v>0.01545246720086873</v>
      </c>
      <c r="AA109" t="n">
        <v>0.0159852991402208</v>
      </c>
      <c r="AB109" t="n">
        <v>0.01645521393654178</v>
      </c>
      <c r="AC109" t="n">
        <v>0.01692358906729785</v>
      </c>
      <c r="AD109" t="n">
        <v>0.01736719445416503</v>
      </c>
      <c r="AE109" t="n">
        <v>0.01777849359309187</v>
      </c>
      <c r="AF109" t="n">
        <v>0.01819620688170613</v>
      </c>
      <c r="AG109" t="n">
        <v>0.0186402689573959</v>
      </c>
      <c r="AH109" t="n">
        <v>0.01911596276564071</v>
      </c>
      <c r="AI109" t="n">
        <v>0.01960615134346811</v>
      </c>
    </row>
    <row r="110">
      <c r="A110" t="inlineStr">
        <is>
          <t>Dominica_2018_August</t>
        </is>
      </c>
      <c r="B110" s="2" t="n"/>
      <c r="C110" s="3" t="inlineStr">
        <is>
          <t>SM.18.139</t>
        </is>
      </c>
      <c r="D110" s="4" t="inlineStr">
        <is>
          <t>Dominica</t>
        </is>
      </c>
      <c r="E110" s="4" t="inlineStr">
        <is>
          <t>DMA</t>
        </is>
      </c>
      <c r="F110" s="10" t="n">
        <v>43255</v>
      </c>
      <c r="G110" s="4" t="inlineStr">
        <is>
          <t>2013gn</t>
        </is>
      </c>
      <c r="H110" s="4" t="n">
        <v>2017</v>
      </c>
      <c r="I110" s="5" t="n"/>
      <c r="J110" t="inlineStr">
        <is>
          <t>Multilaterals</t>
        </is>
      </c>
      <c r="O110" t="n">
        <v>0.0002398076430225452</v>
      </c>
      <c r="P110" t="n">
        <v>0.0007655466341682932</v>
      </c>
      <c r="Q110" t="n">
        <v>0.001402389507225321</v>
      </c>
      <c r="R110" t="n">
        <v>0.002175272387333789</v>
      </c>
      <c r="S110" t="n">
        <v>0.002998553493812007</v>
      </c>
      <c r="T110" t="n">
        <v>0.003625701970053389</v>
      </c>
      <c r="U110" t="n">
        <v>0.003994791229282638</v>
      </c>
      <c r="V110" t="n">
        <v>0.004255231462792356</v>
      </c>
      <c r="W110" t="n">
        <v>0.004489510130358166</v>
      </c>
      <c r="X110" t="n">
        <v>0.004726623987750613</v>
      </c>
      <c r="Y110" t="n">
        <v>0.004969244561285676</v>
      </c>
      <c r="Z110" t="n">
        <v>0.00519419254838671</v>
      </c>
      <c r="AA110" t="n">
        <v>0.005374313833770185</v>
      </c>
      <c r="AB110" t="n">
        <v>0.005498892754082238</v>
      </c>
      <c r="AC110" t="n">
        <v>0.005555322751539502</v>
      </c>
      <c r="AD110" t="n">
        <v>0.00552056779901616</v>
      </c>
      <c r="AE110" t="n">
        <v>0.005403904602338917</v>
      </c>
      <c r="AF110" t="n">
        <v>0.005249262215079064</v>
      </c>
      <c r="AG110" t="n">
        <v>0.005078204057014387</v>
      </c>
      <c r="AH110" t="n">
        <v>0.004894690664923198</v>
      </c>
      <c r="AI110" t="n">
        <v>0.004698768684725025</v>
      </c>
    </row>
    <row r="111">
      <c r="A111" t="inlineStr">
        <is>
          <t>Dominica_2018_August</t>
        </is>
      </c>
      <c r="B111" s="2" t="n"/>
      <c r="C111" s="3" t="inlineStr">
        <is>
          <t>SM.18.139</t>
        </is>
      </c>
      <c r="D111" s="4" t="inlineStr">
        <is>
          <t>Dominica</t>
        </is>
      </c>
      <c r="E111" s="4" t="inlineStr">
        <is>
          <t>DMA</t>
        </is>
      </c>
      <c r="F111" s="10" t="n">
        <v>43255</v>
      </c>
      <c r="G111" s="4" t="inlineStr">
        <is>
          <t>2013gn</t>
        </is>
      </c>
      <c r="H111" s="4" t="n">
        <v>2017</v>
      </c>
      <c r="I111" s="4" t="inlineStr">
        <is>
          <t>new.dis.lcl.fx</t>
        </is>
      </c>
      <c r="J111" t="inlineStr">
        <is>
          <t xml:space="preserve">   IMF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Dominica_2018_August</t>
        </is>
      </c>
      <c r="B112" s="2" t="n"/>
      <c r="C112" s="3" t="inlineStr">
        <is>
          <t>SM.18.139</t>
        </is>
      </c>
      <c r="D112" s="4" t="inlineStr">
        <is>
          <t>Dominica</t>
        </is>
      </c>
      <c r="E112" s="4" t="inlineStr">
        <is>
          <t>DMA</t>
        </is>
      </c>
      <c r="F112" s="10" t="n">
        <v>43255</v>
      </c>
      <c r="G112" s="4" t="inlineStr">
        <is>
          <t>2013gn</t>
        </is>
      </c>
      <c r="H112" s="4" t="n">
        <v>2017</v>
      </c>
      <c r="I112" s="4" t="inlineStr">
        <is>
          <t>new.dis.lcl.fx.bnd.1to3.fx</t>
        </is>
      </c>
      <c r="J112" t="inlineStr">
        <is>
          <t xml:space="preserve">   IDA - Small Island Country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Dominica_2018_August</t>
        </is>
      </c>
      <c r="B113" s="2" t="n"/>
      <c r="C113" s="3" t="inlineStr">
        <is>
          <t>SM.18.139</t>
        </is>
      </c>
      <c r="D113" s="4" t="inlineStr">
        <is>
          <t>Dominica</t>
        </is>
      </c>
      <c r="E113" s="4" t="inlineStr">
        <is>
          <t>DMA</t>
        </is>
      </c>
      <c r="F113" s="10" t="n">
        <v>43255</v>
      </c>
      <c r="G113" s="4" t="inlineStr">
        <is>
          <t>2013gn</t>
        </is>
      </c>
      <c r="H113" s="4" t="n">
        <v>2017</v>
      </c>
      <c r="I113" s="4" t="inlineStr">
        <is>
          <t>new.dis.lcl.fx.bnd.4to7.fx</t>
        </is>
      </c>
      <c r="J113" t="inlineStr">
        <is>
          <t>IDA - Regular</t>
        </is>
      </c>
      <c r="O113" t="n">
        <v>1.219360896724806e-05</v>
      </c>
      <c r="P113" t="n">
        <v>3.892610004245558e-05</v>
      </c>
      <c r="Q113" t="n">
        <v>7.130794104535529e-05</v>
      </c>
      <c r="R113" t="n">
        <v>0.0001106070705423961</v>
      </c>
      <c r="S113" t="n">
        <v>0.0001524688217192546</v>
      </c>
      <c r="T113" t="n">
        <v>0.0001843577272908503</v>
      </c>
      <c r="U113" t="n">
        <v>0.0002031249777601341</v>
      </c>
      <c r="V113" t="n">
        <v>0.0002160060266556675</v>
      </c>
      <c r="W113" t="n">
        <v>0.0002267639135645342</v>
      </c>
      <c r="X113" t="n">
        <v>0.0002367054843331437</v>
      </c>
      <c r="Y113" t="n">
        <v>0.000245761405471381</v>
      </c>
      <c r="Z113" t="n">
        <v>0.0002538344179037707</v>
      </c>
      <c r="AA113" t="n">
        <v>0.0002612195703381638</v>
      </c>
      <c r="AB113" t="n">
        <v>0.000268297409655281</v>
      </c>
      <c r="AC113" t="n">
        <v>0.0002752467690242878</v>
      </c>
      <c r="AD113" t="n">
        <v>0.0002811777535367182</v>
      </c>
      <c r="AE113" t="n">
        <v>0.0002856096827418308</v>
      </c>
      <c r="AF113" t="n">
        <v>0.0002895206347387732</v>
      </c>
      <c r="AG113" t="n">
        <v>0.0002934748838971619</v>
      </c>
      <c r="AH113" t="n">
        <v>0.0002975424288546377</v>
      </c>
      <c r="AI113" t="n">
        <v>0.0003017359281449946</v>
      </c>
    </row>
    <row r="114">
      <c r="A114" t="inlineStr">
        <is>
          <t>Dominica_2018_August</t>
        </is>
      </c>
      <c r="B114" s="2" t="n"/>
      <c r="C114" s="3" t="inlineStr">
        <is>
          <t>SM.18.139</t>
        </is>
      </c>
      <c r="D114" s="4" t="inlineStr">
        <is>
          <t>Dominica</t>
        </is>
      </c>
      <c r="E114" s="4" t="inlineStr">
        <is>
          <t>DMA</t>
        </is>
      </c>
      <c r="F114" s="10" t="n">
        <v>43255</v>
      </c>
      <c r="G114" s="4" t="inlineStr">
        <is>
          <t>2013gn</t>
        </is>
      </c>
      <c r="H114" s="4" t="n">
        <v>2017</v>
      </c>
      <c r="I114" s="4" t="inlineStr">
        <is>
          <t>new.dis.lcl.fx.bnd.byd7.fx</t>
        </is>
      </c>
      <c r="J114" t="inlineStr">
        <is>
          <t>IBRD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Dominica_2018_August</t>
        </is>
      </c>
      <c r="B115" s="2" t="n"/>
      <c r="C115" s="3" t="inlineStr">
        <is>
          <t>SM.18.139</t>
        </is>
      </c>
      <c r="D115" s="4" t="inlineStr">
        <is>
          <t>Dominica</t>
        </is>
      </c>
      <c r="E115" s="4" t="inlineStr">
        <is>
          <t>DMA</t>
        </is>
      </c>
      <c r="F115" s="10" t="n">
        <v>43255</v>
      </c>
      <c r="G115" s="4" t="inlineStr">
        <is>
          <t>2013gn</t>
        </is>
      </c>
      <c r="H115" s="4" t="n">
        <v>2017</v>
      </c>
      <c r="I115" s="5" t="n"/>
      <c r="J115" t="inlineStr">
        <is>
          <t>Other Multilateral</t>
        </is>
      </c>
      <c r="O115" t="n">
        <v>0.0002276140340552971</v>
      </c>
      <c r="P115" t="n">
        <v>0.0007266205341258376</v>
      </c>
      <c r="Q115" t="n">
        <v>0.001331081566179966</v>
      </c>
      <c r="R115" t="n">
        <v>0.002064665316791393</v>
      </c>
      <c r="S115" t="n">
        <v>0.002846084672092753</v>
      </c>
      <c r="T115" t="n">
        <v>0.003441344242762539</v>
      </c>
      <c r="U115" t="n">
        <v>0.003791666251522504</v>
      </c>
      <c r="V115" t="n">
        <v>0.004039225436136688</v>
      </c>
      <c r="W115" t="n">
        <v>0.004262746216793632</v>
      </c>
      <c r="X115" t="n">
        <v>0.004489918503417469</v>
      </c>
      <c r="Y115" t="n">
        <v>0.004723483155814295</v>
      </c>
      <c r="Z115" t="n">
        <v>0.004940358130482938</v>
      </c>
      <c r="AA115" t="n">
        <v>0.005113094263432021</v>
      </c>
      <c r="AB115" t="n">
        <v>0.005230595344426957</v>
      </c>
      <c r="AC115" t="n">
        <v>0.005280075982515215</v>
      </c>
      <c r="AD115" t="n">
        <v>0.005239390045479442</v>
      </c>
      <c r="AE115" t="n">
        <v>0.005118294919597086</v>
      </c>
      <c r="AF115" t="n">
        <v>0.004959741580340291</v>
      </c>
      <c r="AG115" t="n">
        <v>0.004784729173117225</v>
      </c>
      <c r="AH115" t="n">
        <v>0.00459714823606856</v>
      </c>
      <c r="AI115" t="n">
        <v>0.00439703275658003</v>
      </c>
    </row>
    <row r="116">
      <c r="A116" t="inlineStr">
        <is>
          <t>Dominica_2018_August</t>
        </is>
      </c>
      <c r="B116" s="2" t="n"/>
      <c r="C116" s="3" t="inlineStr">
        <is>
          <t>SM.18.139</t>
        </is>
      </c>
      <c r="D116" s="4" t="inlineStr">
        <is>
          <t>Dominica</t>
        </is>
      </c>
      <c r="E116" s="4" t="inlineStr">
        <is>
          <t>DMA</t>
        </is>
      </c>
      <c r="F116" s="10" t="n">
        <v>43255</v>
      </c>
      <c r="G116" s="4" t="inlineStr">
        <is>
          <t>2013gn</t>
        </is>
      </c>
      <c r="H116" s="4" t="n">
        <v>2017</v>
      </c>
      <c r="I116" s="4" t="inlineStr">
        <is>
          <t>def.ext.dom.curres</t>
        </is>
      </c>
      <c r="J116" t="inlineStr">
        <is>
          <t>Official Bilaterals</t>
        </is>
      </c>
      <c r="O116" t="n">
        <v>0.0004957359049532281</v>
      </c>
      <c r="P116" t="n">
        <v>0.001418091110496518</v>
      </c>
      <c r="Q116" t="n">
        <v>0.002282406120694856</v>
      </c>
      <c r="R116" t="n">
        <v>0.003301100905265611</v>
      </c>
      <c r="S116" t="n">
        <v>0.004384623830273758</v>
      </c>
      <c r="T116" t="n">
        <v>0.005222922770545651</v>
      </c>
      <c r="U116" t="n">
        <v>0.005856181080925561</v>
      </c>
      <c r="V116" t="n">
        <v>0.006403731746480242</v>
      </c>
      <c r="W116" t="n">
        <v>0.006902121928379952</v>
      </c>
      <c r="X116" t="n">
        <v>0.007387120101515796</v>
      </c>
      <c r="Y116" t="n">
        <v>0.007815878154640354</v>
      </c>
      <c r="Z116" t="n">
        <v>0.008186729809510679</v>
      </c>
      <c r="AA116" t="n">
        <v>0.008538844722933606</v>
      </c>
      <c r="AB116" t="n">
        <v>0.008912500872317295</v>
      </c>
      <c r="AC116" t="n">
        <v>0.009342668723637993</v>
      </c>
      <c r="AD116" t="n">
        <v>0.009809940347741332</v>
      </c>
      <c r="AE116" t="n">
        <v>0.01029937952835124</v>
      </c>
      <c r="AF116" t="n">
        <v>0.01081443649891487</v>
      </c>
      <c r="AG116" t="n">
        <v>0.01135423404462937</v>
      </c>
      <c r="AH116" t="n">
        <v>0.01192721553502373</v>
      </c>
      <c r="AI116" t="n">
        <v>0.0125233211202314</v>
      </c>
    </row>
    <row r="117">
      <c r="A117" t="inlineStr">
        <is>
          <t>Dominica_2018_August</t>
        </is>
      </c>
      <c r="B117" s="2" t="n"/>
      <c r="C117" s="3" t="inlineStr">
        <is>
          <t>SM.18.139</t>
        </is>
      </c>
      <c r="D117" s="4" t="inlineStr">
        <is>
          <t>Dominica</t>
        </is>
      </c>
      <c r="E117" s="4" t="inlineStr">
        <is>
          <t>DMA</t>
        </is>
      </c>
      <c r="F117" s="10" t="n">
        <v>43255</v>
      </c>
      <c r="G117" s="4" t="inlineStr">
        <is>
          <t>2013gn</t>
        </is>
      </c>
      <c r="H117" s="4" t="n">
        <v>2017</v>
      </c>
      <c r="I117" s="5" t="n"/>
      <c r="J117" t="inlineStr">
        <is>
          <t xml:space="preserve">   PC</t>
        </is>
      </c>
      <c r="O117" t="n">
        <v>0.0002789606344243737</v>
      </c>
      <c r="P117" t="n">
        <v>0.0007260715541861969</v>
      </c>
      <c r="Q117" t="n">
        <v>0.00101470939099965</v>
      </c>
      <c r="R117" t="n">
        <v>0.001334752984511903</v>
      </c>
      <c r="S117" t="n">
        <v>0.001674066999709231</v>
      </c>
      <c r="T117" t="n">
        <v>0.001945452063152757</v>
      </c>
      <c r="U117" t="n">
        <v>0.002266747892242727</v>
      </c>
      <c r="V117" t="n">
        <v>0.002647729861414933</v>
      </c>
      <c r="W117" t="n">
        <v>0.003060012782325168</v>
      </c>
      <c r="X117" t="n">
        <v>0.003525291188847016</v>
      </c>
      <c r="Y117" t="n">
        <v>0.004002662398935811</v>
      </c>
      <c r="Z117" t="n">
        <v>0.004473036002570022</v>
      </c>
      <c r="AA117" t="n">
        <v>0.004952549429126837</v>
      </c>
      <c r="AB117" t="n">
        <v>0.00547221825089218</v>
      </c>
      <c r="AC117" t="n">
        <v>0.006064602723081418</v>
      </c>
      <c r="AD117" t="n">
        <v>0.006727178461630704</v>
      </c>
      <c r="AE117" t="n">
        <v>0.007432377274413943</v>
      </c>
      <c r="AF117" t="n">
        <v>0.008140802448864061</v>
      </c>
      <c r="AG117" t="n">
        <v>0.008831869974594193</v>
      </c>
      <c r="AH117" t="n">
        <v>0.0095008062073471</v>
      </c>
      <c r="AI117" t="n">
        <v>0.01013312376846006</v>
      </c>
    </row>
    <row r="118">
      <c r="A118" t="inlineStr">
        <is>
          <t>Dominica_2018_August</t>
        </is>
      </c>
      <c r="B118" s="2" t="n"/>
      <c r="C118" s="3" t="inlineStr">
        <is>
          <t>SM.18.139</t>
        </is>
      </c>
      <c r="D118" s="4" t="inlineStr">
        <is>
          <t>Dominica</t>
        </is>
      </c>
      <c r="E118" s="4" t="inlineStr">
        <is>
          <t>DMA</t>
        </is>
      </c>
      <c r="F118" s="10" t="n">
        <v>43255</v>
      </c>
      <c r="G118" s="4" t="inlineStr">
        <is>
          <t>2013gn</t>
        </is>
      </c>
      <c r="H118" s="4" t="n">
        <v>2017</v>
      </c>
      <c r="I118" s="4" t="inlineStr">
        <is>
          <t>new.tot.pub.ext.dis.mlt</t>
        </is>
      </c>
      <c r="J118" t="inlineStr">
        <is>
          <t>…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Dominica_2018_August</t>
        </is>
      </c>
      <c r="B119" s="2" t="n"/>
      <c r="C119" s="3" t="inlineStr">
        <is>
          <t>SM.18.139</t>
        </is>
      </c>
      <c r="D119" s="4" t="inlineStr">
        <is>
          <t>Dominica</t>
        </is>
      </c>
      <c r="E119" s="4" t="inlineStr">
        <is>
          <t>DMA</t>
        </is>
      </c>
      <c r="F119" s="10" t="n">
        <v>43255</v>
      </c>
      <c r="G119" s="4" t="inlineStr">
        <is>
          <t>2013gn</t>
        </is>
      </c>
      <c r="H119" s="4" t="n">
        <v>2017</v>
      </c>
      <c r="I119" s="4" t="inlineStr">
        <is>
          <t>new.tot.pub.dis</t>
        </is>
      </c>
      <c r="J119" t="inlineStr">
        <is>
          <t>…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inlineStr">
        <is>
          <t>Dominica_2018_August</t>
        </is>
      </c>
      <c r="B120" s="2" t="n"/>
      <c r="C120" s="3" t="inlineStr">
        <is>
          <t>SM.18.139</t>
        </is>
      </c>
      <c r="D120" s="4" t="inlineStr">
        <is>
          <t>Dominica</t>
        </is>
      </c>
      <c r="E120" s="4" t="inlineStr">
        <is>
          <t>DMA</t>
        </is>
      </c>
      <c r="F120" s="10" t="n">
        <v>43255</v>
      </c>
      <c r="G120" s="4" t="inlineStr">
        <is>
          <t>2013gn</t>
        </is>
      </c>
      <c r="H120" s="4" t="n">
        <v>2017</v>
      </c>
      <c r="I120" s="5" t="n"/>
      <c r="J120" t="inlineStr">
        <is>
          <t xml:space="preserve">   Others Paris Club</t>
        </is>
      </c>
      <c r="O120" t="n">
        <v>0.0002789606344243737</v>
      </c>
      <c r="P120" t="n">
        <v>0.0007260715541861969</v>
      </c>
      <c r="Q120" t="n">
        <v>0.00101470939099965</v>
      </c>
      <c r="R120" t="n">
        <v>0.001334752984511903</v>
      </c>
      <c r="S120" t="n">
        <v>0.001674066999709231</v>
      </c>
      <c r="T120" t="n">
        <v>0.001945452063152757</v>
      </c>
      <c r="U120" t="n">
        <v>0.002266747892242727</v>
      </c>
      <c r="V120" t="n">
        <v>0.002647729861414933</v>
      </c>
      <c r="W120" t="n">
        <v>0.003060012782325168</v>
      </c>
      <c r="X120" t="n">
        <v>0.003525291188847016</v>
      </c>
      <c r="Y120" t="n">
        <v>0.004002662398935811</v>
      </c>
      <c r="Z120" t="n">
        <v>0.004473036002570022</v>
      </c>
      <c r="AA120" t="n">
        <v>0.004952549429126837</v>
      </c>
      <c r="AB120" t="n">
        <v>0.00547221825089218</v>
      </c>
      <c r="AC120" t="n">
        <v>0.006064602723081418</v>
      </c>
      <c r="AD120" t="n">
        <v>0.006727178461630704</v>
      </c>
      <c r="AE120" t="n">
        <v>0.007432377274413943</v>
      </c>
      <c r="AF120" t="n">
        <v>0.008140802448864061</v>
      </c>
      <c r="AG120" t="n">
        <v>0.008831869974594193</v>
      </c>
      <c r="AH120" t="n">
        <v>0.0095008062073471</v>
      </c>
      <c r="AI120" t="n">
        <v>0.01013312376846006</v>
      </c>
    </row>
    <row r="121">
      <c r="A121" t="inlineStr">
        <is>
          <t>Dominica_2018_August</t>
        </is>
      </c>
      <c r="B121" s="2" t="n"/>
      <c r="C121" s="3" t="inlineStr">
        <is>
          <t>SM.18.139</t>
        </is>
      </c>
      <c r="D121" s="4" t="inlineStr">
        <is>
          <t>Dominica</t>
        </is>
      </c>
      <c r="E121" s="4" t="inlineStr">
        <is>
          <t>DMA</t>
        </is>
      </c>
      <c r="F121" s="10" t="n">
        <v>43255</v>
      </c>
      <c r="G121" s="4" t="inlineStr">
        <is>
          <t>2013gn</t>
        </is>
      </c>
      <c r="H121" s="4" t="n">
        <v>2017</v>
      </c>
      <c r="I121" s="5" t="n"/>
      <c r="J121" t="inlineStr">
        <is>
          <t xml:space="preserve">   NPC</t>
        </is>
      </c>
      <c r="O121" t="n">
        <v>0.0002167752705288544</v>
      </c>
      <c r="P121" t="n">
        <v>0.0006920195563103216</v>
      </c>
      <c r="Q121" t="n">
        <v>0.001267696729695206</v>
      </c>
      <c r="R121" t="n">
        <v>0.001966347920753708</v>
      </c>
      <c r="S121" t="n">
        <v>0.002710556830564527</v>
      </c>
      <c r="T121" t="n">
        <v>0.003277470707392894</v>
      </c>
      <c r="U121" t="n">
        <v>0.003589433188682834</v>
      </c>
      <c r="V121" t="n">
        <v>0.00375600188506531</v>
      </c>
      <c r="W121" t="n">
        <v>0.003842109146054783</v>
      </c>
      <c r="X121" t="n">
        <v>0.003861828912668781</v>
      </c>
      <c r="Y121" t="n">
        <v>0.003813215755704544</v>
      </c>
      <c r="Z121" t="n">
        <v>0.003713693806940657</v>
      </c>
      <c r="AA121" t="n">
        <v>0.003586295293806768</v>
      </c>
      <c r="AB121" t="n">
        <v>0.003440282621425114</v>
      </c>
      <c r="AC121" t="n">
        <v>0.003278066000556575</v>
      </c>
      <c r="AD121" t="n">
        <v>0.003082761886110628</v>
      </c>
      <c r="AE121" t="n">
        <v>0.002867002253937292</v>
      </c>
      <c r="AF121" t="n">
        <v>0.002673634050050808</v>
      </c>
      <c r="AG121" t="n">
        <v>0.002522364070035176</v>
      </c>
      <c r="AH121" t="n">
        <v>0.002426409327676633</v>
      </c>
      <c r="AI121" t="n">
        <v>0.002390197351771344</v>
      </c>
    </row>
    <row r="122">
      <c r="A122" t="inlineStr">
        <is>
          <t>Dominica_2018_August</t>
        </is>
      </c>
      <c r="B122" s="2" t="n"/>
      <c r="C122" s="3" t="inlineStr">
        <is>
          <t>SM.18.139</t>
        </is>
      </c>
      <c r="D122" s="4" t="inlineStr">
        <is>
          <t>Dominica</t>
        </is>
      </c>
      <c r="E122" s="4" t="inlineStr">
        <is>
          <t>DMA</t>
        </is>
      </c>
      <c r="F122" s="10" t="n">
        <v>43255</v>
      </c>
      <c r="G122" s="4" t="inlineStr">
        <is>
          <t>2013gn</t>
        </is>
      </c>
      <c r="H122" s="4" t="n">
        <v>2017</v>
      </c>
      <c r="I122" s="4" t="inlineStr">
        <is>
          <t>shr.ext.ppg.mlt</t>
        </is>
      </c>
      <c r="J122" t="inlineStr">
        <is>
          <t>…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Dominica_2018_August</t>
        </is>
      </c>
      <c r="B123" s="2" t="n"/>
      <c r="C123" s="3" t="inlineStr">
        <is>
          <t>SM.18.139</t>
        </is>
      </c>
      <c r="D123" s="4" t="inlineStr">
        <is>
          <t>Dominica</t>
        </is>
      </c>
      <c r="E123" s="4" t="inlineStr">
        <is>
          <t>DMA</t>
        </is>
      </c>
      <c r="F123" s="10" t="n">
        <v>43255</v>
      </c>
      <c r="G123" s="4" t="inlineStr">
        <is>
          <t>2013gn</t>
        </is>
      </c>
      <c r="H123" s="4" t="n">
        <v>2017</v>
      </c>
      <c r="I123" s="4" t="inlineStr">
        <is>
          <t>shr.dom.mlt</t>
        </is>
      </c>
      <c r="J123" t="inlineStr">
        <is>
          <t>…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Dominica_2018_August</t>
        </is>
      </c>
      <c r="B124" s="2" t="n"/>
      <c r="C124" s="3" t="inlineStr">
        <is>
          <t>SM.18.139</t>
        </is>
      </c>
      <c r="D124" s="4" t="inlineStr">
        <is>
          <t>Dominica</t>
        </is>
      </c>
      <c r="E124" s="4" t="inlineStr">
        <is>
          <t>DMA</t>
        </is>
      </c>
      <c r="F124" s="10" t="n">
        <v>43255</v>
      </c>
      <c r="G124" s="4" t="inlineStr">
        <is>
          <t>2013gn</t>
        </is>
      </c>
      <c r="H124" s="4" t="n">
        <v>2017</v>
      </c>
      <c r="I124" s="4" t="inlineStr">
        <is>
          <t>shr.dom.sht.trm</t>
        </is>
      </c>
      <c r="J124" t="inlineStr">
        <is>
          <t xml:space="preserve">   Others Non Paris Club</t>
        </is>
      </c>
      <c r="O124" t="n">
        <v>0.0002167752705288544</v>
      </c>
      <c r="P124" t="n">
        <v>0.0006920195563103216</v>
      </c>
      <c r="Q124" t="n">
        <v>0.001267696729695206</v>
      </c>
      <c r="R124" t="n">
        <v>0.001966347920753708</v>
      </c>
      <c r="S124" t="n">
        <v>0.002710556830564527</v>
      </c>
      <c r="T124" t="n">
        <v>0.003277470707392894</v>
      </c>
      <c r="U124" t="n">
        <v>0.003589433188682834</v>
      </c>
      <c r="V124" t="n">
        <v>0.00375600188506531</v>
      </c>
      <c r="W124" t="n">
        <v>0.003842109146054783</v>
      </c>
      <c r="X124" t="n">
        <v>0.003861828912668781</v>
      </c>
      <c r="Y124" t="n">
        <v>0.003813215755704544</v>
      </c>
      <c r="Z124" t="n">
        <v>0.003713693806940657</v>
      </c>
      <c r="AA124" t="n">
        <v>0.003586295293806768</v>
      </c>
      <c r="AB124" t="n">
        <v>0.003440282621425114</v>
      </c>
      <c r="AC124" t="n">
        <v>0.003278066000556575</v>
      </c>
      <c r="AD124" t="n">
        <v>0.003082761886110628</v>
      </c>
      <c r="AE124" t="n">
        <v>0.002867002253937292</v>
      </c>
      <c r="AF124" t="n">
        <v>0.002673634050050808</v>
      </c>
      <c r="AG124" t="n">
        <v>0.002522364070035176</v>
      </c>
      <c r="AH124" t="n">
        <v>0.002426409327676633</v>
      </c>
      <c r="AI124" t="n">
        <v>0.002390197351771344</v>
      </c>
    </row>
    <row r="125">
      <c r="A125" t="inlineStr">
        <is>
          <t>Dominica_2018_August</t>
        </is>
      </c>
      <c r="B125" s="2" t="n"/>
      <c r="C125" s="3" t="inlineStr">
        <is>
          <t>SM.18.139</t>
        </is>
      </c>
      <c r="D125" s="4" t="inlineStr">
        <is>
          <t>Dominica</t>
        </is>
      </c>
      <c r="E125" s="4" t="inlineStr">
        <is>
          <t>DMA</t>
        </is>
      </c>
      <c r="F125" s="10" t="n">
        <v>43255</v>
      </c>
      <c r="G125" s="4" t="inlineStr">
        <is>
          <t>2013gn</t>
        </is>
      </c>
      <c r="H125" s="4" t="n">
        <v>2017</v>
      </c>
      <c r="I125" s="5" t="n"/>
      <c r="J125" t="inlineStr">
        <is>
          <t>Commercial</t>
        </is>
      </c>
      <c r="O125" t="n">
        <v>6.91006732757172e-05</v>
      </c>
      <c r="P125" t="n">
        <v>0.0001305678220027134</v>
      </c>
      <c r="Q125" t="n">
        <v>0.0001808333455799907</v>
      </c>
      <c r="R125" t="n">
        <v>0.0007418236840582138</v>
      </c>
      <c r="S125" t="n">
        <v>0.001436926418621266</v>
      </c>
      <c r="T125" t="n">
        <v>0.001732761907533865</v>
      </c>
      <c r="U125" t="n">
        <v>0.001896660677751001</v>
      </c>
      <c r="V125" t="n">
        <v>0.001996562251606074</v>
      </c>
      <c r="W125" t="n">
        <v>0.002068742775959002</v>
      </c>
      <c r="X125" t="n">
        <v>0.002062955254083551</v>
      </c>
      <c r="Y125" t="n">
        <v>0.002041082906536343</v>
      </c>
      <c r="Z125" t="n">
        <v>0.002071544842971338</v>
      </c>
      <c r="AA125" t="n">
        <v>0.00207214058351701</v>
      </c>
      <c r="AB125" t="n">
        <v>0.002043820310142251</v>
      </c>
      <c r="AC125" t="n">
        <v>0.00202559759212036</v>
      </c>
      <c r="AD125" t="n">
        <v>0.002036686307407538</v>
      </c>
      <c r="AE125" t="n">
        <v>0.002075209462401723</v>
      </c>
      <c r="AF125" t="n">
        <v>0.002132508167712199</v>
      </c>
      <c r="AG125" t="n">
        <v>0.002207830855752148</v>
      </c>
      <c r="AH125" t="n">
        <v>0.002294056565693778</v>
      </c>
      <c r="AI125" t="n">
        <v>0.002384061538511686</v>
      </c>
    </row>
    <row r="126">
      <c r="A126" t="inlineStr">
        <is>
          <t>Dominica_2018_August</t>
        </is>
      </c>
      <c r="B126" s="2" t="n"/>
      <c r="C126" s="3" t="inlineStr">
        <is>
          <t>SM.18.139</t>
        </is>
      </c>
      <c r="D126" s="4" t="inlineStr">
        <is>
          <t>Dominica</t>
        </is>
      </c>
      <c r="E126" s="4" t="inlineStr">
        <is>
          <t>DMA</t>
        </is>
      </c>
      <c r="F126" s="10" t="n">
        <v>43255</v>
      </c>
      <c r="G126" s="4" t="inlineStr">
        <is>
          <t>2013gn</t>
        </is>
      </c>
      <c r="H126" s="4" t="n">
        <v>2017</v>
      </c>
      <c r="I126" s="5" t="n"/>
      <c r="J126" t="inlineStr">
        <is>
          <t>…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inlineStr">
        <is>
          <t>Dominica_2018_August</t>
        </is>
      </c>
      <c r="B127" s="2" t="n"/>
      <c r="C127" s="3" t="inlineStr">
        <is>
          <t>SM.18.139</t>
        </is>
      </c>
      <c r="D127" s="4" t="inlineStr">
        <is>
          <t>Dominica</t>
        </is>
      </c>
      <c r="E127" s="4" t="inlineStr">
        <is>
          <t>DMA</t>
        </is>
      </c>
      <c r="F127" s="10" t="n">
        <v>43255</v>
      </c>
      <c r="G127" s="4" t="inlineStr">
        <is>
          <t>2013gn</t>
        </is>
      </c>
      <c r="H127" s="4" t="n">
        <v>2017</v>
      </c>
      <c r="I127" s="4" t="inlineStr">
        <is>
          <t>rsdl.ndr.strs.tst.avg.int.rat</t>
        </is>
      </c>
      <c r="J127" t="inlineStr">
        <is>
          <t>…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inlineStr">
        <is>
          <t>Dominica_2018_August</t>
        </is>
      </c>
      <c r="B128" s="2" t="n"/>
      <c r="C128" s="3" t="inlineStr">
        <is>
          <t>SM.18.139</t>
        </is>
      </c>
      <c r="D128" s="4" t="inlineStr">
        <is>
          <t>Dominica</t>
        </is>
      </c>
      <c r="E128" s="4" t="inlineStr">
        <is>
          <t>DMA</t>
        </is>
      </c>
      <c r="F128" s="10" t="n">
        <v>43255</v>
      </c>
      <c r="G128" s="4" t="inlineStr">
        <is>
          <t>2013gn</t>
        </is>
      </c>
      <c r="H128" s="4" t="n">
        <v>2017</v>
      </c>
      <c r="I128" s="4" t="inlineStr">
        <is>
          <t>rsdl.ndr.strs.tst.avg.grc.prd</t>
        </is>
      </c>
      <c r="J128" t="inlineStr">
        <is>
          <t xml:space="preserve">   Others Commercial</t>
        </is>
      </c>
      <c r="O128" t="n">
        <v>6.91006732757172e-05</v>
      </c>
      <c r="P128" t="n">
        <v>0.0001305678220027134</v>
      </c>
      <c r="Q128" t="n">
        <v>0.0001808333455799907</v>
      </c>
      <c r="R128" t="n">
        <v>0.0007418236840582138</v>
      </c>
      <c r="S128" t="n">
        <v>0.001436926418621266</v>
      </c>
      <c r="T128" t="n">
        <v>0.001732761907533865</v>
      </c>
      <c r="U128" t="n">
        <v>0.001896660677751001</v>
      </c>
      <c r="V128" t="n">
        <v>0.001996562251606074</v>
      </c>
      <c r="W128" t="n">
        <v>0.002068742775959002</v>
      </c>
      <c r="X128" t="n">
        <v>0.002062955254083551</v>
      </c>
      <c r="Y128" t="n">
        <v>0.002041082906536343</v>
      </c>
      <c r="Z128" t="n">
        <v>0.002071544842971338</v>
      </c>
      <c r="AA128" t="n">
        <v>0.00207214058351701</v>
      </c>
      <c r="AB128" t="n">
        <v>0.002043820310142251</v>
      </c>
      <c r="AC128" t="n">
        <v>0.00202559759212036</v>
      </c>
      <c r="AD128" t="n">
        <v>0.002036686307407538</v>
      </c>
      <c r="AE128" t="n">
        <v>0.002075209462401723</v>
      </c>
      <c r="AF128" t="n">
        <v>0.002132508167712199</v>
      </c>
      <c r="AG128" t="n">
        <v>0.002207830855752148</v>
      </c>
      <c r="AH128" t="n">
        <v>0.002294056565693778</v>
      </c>
      <c r="AI128" t="n">
        <v>0.002384061538511686</v>
      </c>
    </row>
    <row r="129">
      <c r="A129" t="inlineStr">
        <is>
          <t>Dominica_2018_August</t>
        </is>
      </c>
      <c r="B129" s="2" t="n"/>
      <c r="C129" s="3" t="inlineStr">
        <is>
          <t>SM.18.139</t>
        </is>
      </c>
      <c r="D129" s="4" t="inlineStr">
        <is>
          <t>Dominica</t>
        </is>
      </c>
      <c r="E129" s="4" t="inlineStr">
        <is>
          <t>DMA</t>
        </is>
      </c>
      <c r="F129" s="10" t="n">
        <v>43255</v>
      </c>
      <c r="G129" s="4" t="inlineStr">
        <is>
          <t>2013gn</t>
        </is>
      </c>
      <c r="H129" s="4" t="n">
        <v>2017</v>
      </c>
      <c r="I129" s="4" t="inlineStr">
        <is>
          <t>rsdl.ndr.strs.tst.avg.matrty</t>
        </is>
      </c>
    </row>
    <row r="130">
      <c r="A130" t="inlineStr">
        <is>
          <t>Dominica_2018_August</t>
        </is>
      </c>
      <c r="B130" s="2" t="n"/>
      <c r="C130" s="3" t="inlineStr">
        <is>
          <t>SM.18.139</t>
        </is>
      </c>
      <c r="D130" s="4" t="inlineStr">
        <is>
          <t>Dominica</t>
        </is>
      </c>
      <c r="E130" s="4" t="inlineStr">
        <is>
          <t>DMA</t>
        </is>
      </c>
      <c r="F130" s="10" t="n">
        <v>43255</v>
      </c>
      <c r="G130" s="4" t="inlineStr">
        <is>
          <t>2013gn</t>
        </is>
      </c>
      <c r="H130" s="4" t="n">
        <v>2017</v>
      </c>
      <c r="I130" s="5" t="n"/>
      <c r="J130" t="inlineStr">
        <is>
          <t>Amortization</t>
        </is>
      </c>
      <c r="O130" t="n">
        <v>0</v>
      </c>
      <c r="P130" t="n">
        <v>0</v>
      </c>
      <c r="Q130" t="n">
        <v>0.000460671155171448</v>
      </c>
      <c r="R130" t="n">
        <v>0.000409780991513308</v>
      </c>
      <c r="S130" t="n">
        <v>0.0008879088767209199</v>
      </c>
      <c r="T130" t="n">
        <v>0.00432380701070508</v>
      </c>
      <c r="U130" t="n">
        <v>0.006865341433432384</v>
      </c>
      <c r="V130" t="n">
        <v>0.009355550462737235</v>
      </c>
      <c r="W130" t="n">
        <v>0.01410099731023886</v>
      </c>
      <c r="X130" t="n">
        <v>0.01818214051678221</v>
      </c>
      <c r="Y130" t="n">
        <v>0.01926952863682826</v>
      </c>
      <c r="Z130" t="n">
        <v>0.02300206326755014</v>
      </c>
      <c r="AA130" t="n">
        <v>0.02618931602732515</v>
      </c>
      <c r="AB130" t="n">
        <v>0.029566083511698</v>
      </c>
      <c r="AC130" t="n">
        <v>0.033382408227247</v>
      </c>
      <c r="AD130" t="n">
        <v>0.0368731070618231</v>
      </c>
      <c r="AE130" t="n">
        <v>0.03891312116699403</v>
      </c>
      <c r="AF130" t="n">
        <v>0.04050771850246505</v>
      </c>
      <c r="AG130" t="n">
        <v>0.04171448781083519</v>
      </c>
      <c r="AH130" t="n">
        <v>0.04293824790513646</v>
      </c>
      <c r="AI130" t="n">
        <v>0.04441114654283878</v>
      </c>
    </row>
    <row r="131">
      <c r="A131" t="inlineStr">
        <is>
          <t>Dominica_2018_August</t>
        </is>
      </c>
      <c r="B131" s="2" t="n"/>
      <c r="C131" s="3" t="inlineStr">
        <is>
          <t>SM.18.139</t>
        </is>
      </c>
      <c r="D131" s="4" t="inlineStr">
        <is>
          <t>Dominica</t>
        </is>
      </c>
      <c r="E131" s="4" t="inlineStr">
        <is>
          <t>DMA</t>
        </is>
      </c>
      <c r="F131" s="10" t="n">
        <v>43255</v>
      </c>
      <c r="G131" s="4" t="inlineStr">
        <is>
          <t>2013gn</t>
        </is>
      </c>
      <c r="H131" s="4" t="n">
        <v>2017</v>
      </c>
      <c r="I131" s="4" t="inlineStr">
        <is>
          <t>rsdl.ndr.strs.tst.avg.grc.prd.rnd</t>
        </is>
      </c>
      <c r="J131" t="inlineStr">
        <is>
          <t>Multilaterals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0.0001016134080604005</v>
      </c>
      <c r="W131" t="n">
        <v>0.0002227707589600627</v>
      </c>
      <c r="X131" t="n">
        <v>0.0003714620830845648</v>
      </c>
      <c r="Y131" t="n">
        <v>0.0005502635047687357</v>
      </c>
      <c r="Z131" t="n">
        <v>0.002020961632731512</v>
      </c>
      <c r="AA131" t="n">
        <v>0.003667470099220836</v>
      </c>
      <c r="AB131" t="n">
        <v>0.005631418426951514</v>
      </c>
      <c r="AC131" t="n">
        <v>0.007969894738703182</v>
      </c>
      <c r="AD131" t="n">
        <v>0.0101964579486097</v>
      </c>
      <c r="AE131" t="n">
        <v>0.01147279419905903</v>
      </c>
      <c r="AF131" t="n">
        <v>0.01230256793277237</v>
      </c>
      <c r="AG131" t="n">
        <v>0.01299439863706605</v>
      </c>
      <c r="AH131" t="n">
        <v>0.01368938229829494</v>
      </c>
      <c r="AI131" t="n">
        <v>0.01440440511313661</v>
      </c>
    </row>
    <row r="132">
      <c r="A132" t="inlineStr">
        <is>
          <t>Dominica_2018_August</t>
        </is>
      </c>
      <c r="B132" s="2" t="n"/>
      <c r="C132" s="3" t="inlineStr">
        <is>
          <t>SM.18.139</t>
        </is>
      </c>
      <c r="D132" s="4" t="inlineStr">
        <is>
          <t>Dominica</t>
        </is>
      </c>
      <c r="E132" s="4" t="inlineStr">
        <is>
          <t>DMA</t>
        </is>
      </c>
      <c r="F132" s="10" t="n">
        <v>43255</v>
      </c>
      <c r="G132" s="4" t="inlineStr">
        <is>
          <t>2013gn</t>
        </is>
      </c>
      <c r="H132" s="4" t="n">
        <v>2017</v>
      </c>
      <c r="I132" s="4" t="inlineStr">
        <is>
          <t>rsdl.ndr.strs.tst.avg.matrty.rnd</t>
        </is>
      </c>
      <c r="J132" t="inlineStr">
        <is>
          <t xml:space="preserve">   IMF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inlineStr">
        <is>
          <t>Dominica_2018_August</t>
        </is>
      </c>
      <c r="B133" s="2" t="n"/>
      <c r="C133" s="3" t="inlineStr">
        <is>
          <t>SM.18.139</t>
        </is>
      </c>
      <c r="D133" s="4" t="inlineStr">
        <is>
          <t>Dominica</t>
        </is>
      </c>
      <c r="E133" s="4" t="inlineStr">
        <is>
          <t>DMA</t>
        </is>
      </c>
      <c r="F133" s="10" t="n">
        <v>43255</v>
      </c>
      <c r="G133" s="4" t="inlineStr">
        <is>
          <t>2013gn</t>
        </is>
      </c>
      <c r="H133" s="4" t="n">
        <v>2017</v>
      </c>
      <c r="I133" s="5" t="n"/>
      <c r="J133" t="inlineStr">
        <is>
          <t xml:space="preserve">   IDA - Small Island Country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inlineStr">
        <is>
          <t>Dominica_2018_August</t>
        </is>
      </c>
      <c r="B134" s="2" t="n"/>
      <c r="C134" s="3" t="inlineStr">
        <is>
          <t>SM.18.139</t>
        </is>
      </c>
      <c r="D134" s="4" t="inlineStr">
        <is>
          <t>Dominica</t>
        </is>
      </c>
      <c r="E134" s="4" t="inlineStr">
        <is>
          <t>DMA</t>
        </is>
      </c>
      <c r="F134" s="10" t="n">
        <v>43255</v>
      </c>
      <c r="G134" s="4" t="inlineStr">
        <is>
          <t>2013gn</t>
        </is>
      </c>
      <c r="H134" s="4" t="n">
        <v>2017</v>
      </c>
      <c r="I134" s="5" t="n"/>
      <c r="J134" t="inlineStr">
        <is>
          <t>IDA - Regular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0.0001016134080604005</v>
      </c>
      <c r="W134" t="n">
        <v>0.0002227707589600627</v>
      </c>
      <c r="X134" t="n">
        <v>0.0003714620830845648</v>
      </c>
      <c r="Y134" t="n">
        <v>0.0005502635047687357</v>
      </c>
      <c r="Z134" t="n">
        <v>0.0007203100095583859</v>
      </c>
      <c r="AA134" t="n">
        <v>0.0008160043845320331</v>
      </c>
      <c r="AB134" t="n">
        <v>0.0008767037634690847</v>
      </c>
      <c r="AC134" t="n">
        <v>0.0009265218776633654</v>
      </c>
      <c r="AD134" t="n">
        <v>0.0009764898262623629</v>
      </c>
      <c r="AE134" t="n">
        <v>0.001027938077049007</v>
      </c>
      <c r="AF134" t="n">
        <v>0.001080759760368089</v>
      </c>
      <c r="AG134" t="n">
        <v>0.001134918602974977</v>
      </c>
      <c r="AH134" t="n">
        <v>0.001190312522136691</v>
      </c>
      <c r="AI134" t="n">
        <v>0.001246797726909321</v>
      </c>
    </row>
    <row r="135">
      <c r="A135" t="inlineStr">
        <is>
          <t>Dominica_2018_August</t>
        </is>
      </c>
      <c r="B135" s="2" t="n"/>
      <c r="C135" s="3" t="inlineStr">
        <is>
          <t>SM.18.139</t>
        </is>
      </c>
      <c r="D135" s="4" t="inlineStr">
        <is>
          <t>Dominica</t>
        </is>
      </c>
      <c r="E135" s="4" t="inlineStr">
        <is>
          <t>DMA</t>
        </is>
      </c>
      <c r="F135" s="10" t="n">
        <v>43255</v>
      </c>
      <c r="G135" s="4" t="inlineStr">
        <is>
          <t>2013gn</t>
        </is>
      </c>
      <c r="H135" s="4" t="n">
        <v>2017</v>
      </c>
      <c r="I135" s="5" t="n"/>
      <c r="J135" t="inlineStr">
        <is>
          <t>IBRD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inlineStr">
        <is>
          <t>Dominica_2018_August</t>
        </is>
      </c>
      <c r="B136" s="2" t="n"/>
      <c r="C136" s="3" t="inlineStr">
        <is>
          <t>SM.18.139</t>
        </is>
      </c>
      <c r="D136" s="4" t="inlineStr">
        <is>
          <t>Dominica</t>
        </is>
      </c>
      <c r="E136" s="4" t="inlineStr">
        <is>
          <t>DMA</t>
        </is>
      </c>
      <c r="F136" s="10" t="n">
        <v>43255</v>
      </c>
      <c r="G136" s="4" t="inlineStr">
        <is>
          <t>2013gn</t>
        </is>
      </c>
      <c r="H136" s="4" t="n">
        <v>2017</v>
      </c>
      <c r="I136" s="4" t="inlineStr">
        <is>
          <t>new.tds</t>
        </is>
      </c>
      <c r="J136" t="inlineStr">
        <is>
          <t>Other Multilateral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0.001300651623173126</v>
      </c>
      <c r="AA136" t="n">
        <v>0.002851465714688803</v>
      </c>
      <c r="AB136" t="n">
        <v>0.00475471466348243</v>
      </c>
      <c r="AC136" t="n">
        <v>0.007043372861039817</v>
      </c>
      <c r="AD136" t="n">
        <v>0.009219968122347339</v>
      </c>
      <c r="AE136" t="n">
        <v>0.01044485612201002</v>
      </c>
      <c r="AF136" t="n">
        <v>0.01122180817240428</v>
      </c>
      <c r="AG136" t="n">
        <v>0.01185948003409108</v>
      </c>
      <c r="AH136" t="n">
        <v>0.01249906977615825</v>
      </c>
      <c r="AI136" t="n">
        <v>0.01315760738622728</v>
      </c>
    </row>
    <row r="137">
      <c r="A137" t="inlineStr">
        <is>
          <t>Dominica_2018_August</t>
        </is>
      </c>
      <c r="B137" s="2" t="n"/>
      <c r="C137" s="3" t="inlineStr">
        <is>
          <t>SM.18.139</t>
        </is>
      </c>
      <c r="D137" s="4" t="inlineStr">
        <is>
          <t>Dominica</t>
        </is>
      </c>
      <c r="E137" s="4" t="inlineStr">
        <is>
          <t>DMA</t>
        </is>
      </c>
      <c r="F137" s="10" t="n">
        <v>43255</v>
      </c>
      <c r="G137" s="4" t="inlineStr">
        <is>
          <t>2013gn</t>
        </is>
      </c>
      <c r="H137" s="4" t="n">
        <v>2017</v>
      </c>
      <c r="I137" s="5" t="n"/>
      <c r="J137" t="inlineStr">
        <is>
          <t>Official Bilaterals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0.001083876352644272</v>
      </c>
      <c r="V137" t="n">
        <v>0.002376221428907336</v>
      </c>
      <c r="W137" t="n">
        <v>0.005392829575591122</v>
      </c>
      <c r="X137" t="n">
        <v>0.008162353895798943</v>
      </c>
      <c r="Y137" t="n">
        <v>0.010594068159586</v>
      </c>
      <c r="Z137" t="n">
        <v>0.01263817247743951</v>
      </c>
      <c r="AA137" t="n">
        <v>0.01400234007410693</v>
      </c>
      <c r="AB137" t="n">
        <v>0.01520874401157642</v>
      </c>
      <c r="AC137" t="n">
        <v>0.016714395662312</v>
      </c>
      <c r="AD137" t="n">
        <v>0.01824427049308586</v>
      </c>
      <c r="AE137" t="n">
        <v>0.01896704697218302</v>
      </c>
      <c r="AF137" t="n">
        <v>0.01968163654347179</v>
      </c>
      <c r="AG137" t="n">
        <v>0.02010556122375051</v>
      </c>
      <c r="AH137" t="n">
        <v>0.02032046001340268</v>
      </c>
      <c r="AI137" t="n">
        <v>0.02072273739377108</v>
      </c>
    </row>
    <row r="138">
      <c r="A138" t="inlineStr">
        <is>
          <t>Dominica_2018_August</t>
        </is>
      </c>
      <c r="B138" s="2" t="n"/>
      <c r="C138" s="3" t="inlineStr">
        <is>
          <t>SM.18.139</t>
        </is>
      </c>
      <c r="D138" s="4" t="inlineStr">
        <is>
          <t>Dominica</t>
        </is>
      </c>
      <c r="E138" s="4" t="inlineStr">
        <is>
          <t>DMA</t>
        </is>
      </c>
      <c r="F138" s="10" t="n">
        <v>43255</v>
      </c>
      <c r="G138" s="4" t="inlineStr">
        <is>
          <t>2013gn</t>
        </is>
      </c>
      <c r="H138" s="4" t="n">
        <v>2017</v>
      </c>
      <c r="I138" s="4" t="inlineStr">
        <is>
          <t>new.int</t>
        </is>
      </c>
      <c r="J138" t="inlineStr">
        <is>
          <t xml:space="preserve">   PC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0.001430567356022429</v>
      </c>
      <c r="X138" t="n">
        <v>0.002292876511599094</v>
      </c>
      <c r="Y138" t="n">
        <v>0.002910761390963214</v>
      </c>
      <c r="Z138" t="n">
        <v>0.003934125709097826</v>
      </c>
      <c r="AA138" t="n">
        <v>0.004650833263770027</v>
      </c>
      <c r="AB138" t="n">
        <v>0.005325843983167189</v>
      </c>
      <c r="AC138" t="n">
        <v>0.006298504182180129</v>
      </c>
      <c r="AD138" t="n">
        <v>0.007279597671229782</v>
      </c>
      <c r="AE138" t="n">
        <v>0.008522819214234343</v>
      </c>
      <c r="AF138" t="n">
        <v>0.009952059540646041</v>
      </c>
      <c r="AG138" t="n">
        <v>0.01137115654052783</v>
      </c>
      <c r="AH138" t="n">
        <v>0.0128907616439031</v>
      </c>
      <c r="AI138" t="n">
        <v>0.01449058121309107</v>
      </c>
    </row>
    <row r="139">
      <c r="A139" t="inlineStr">
        <is>
          <t>Dominica_2018_August</t>
        </is>
      </c>
      <c r="B139" s="2" t="n"/>
      <c r="C139" s="3" t="inlineStr">
        <is>
          <t>SM.18.139</t>
        </is>
      </c>
      <c r="D139" s="4" t="inlineStr">
        <is>
          <t>Dominica</t>
        </is>
      </c>
      <c r="E139" s="4" t="inlineStr">
        <is>
          <t>DMA</t>
        </is>
      </c>
      <c r="F139" s="10" t="n">
        <v>43255</v>
      </c>
      <c r="G139" s="4" t="inlineStr">
        <is>
          <t>2013gn</t>
        </is>
      </c>
      <c r="H139" s="4" t="n">
        <v>2017</v>
      </c>
      <c r="I139" s="4" t="inlineStr">
        <is>
          <t>new.int.mlt</t>
        </is>
      </c>
      <c r="J139" t="inlineStr">
        <is>
          <t>…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Dominica_2018_August</t>
        </is>
      </c>
      <c r="B140" s="2" t="n"/>
      <c r="C140" s="3" t="inlineStr">
        <is>
          <t>SM.18.139</t>
        </is>
      </c>
      <c r="D140" s="4" t="inlineStr">
        <is>
          <t>Dominica</t>
        </is>
      </c>
      <c r="E140" s="4" t="inlineStr">
        <is>
          <t>DMA</t>
        </is>
      </c>
      <c r="F140" s="10" t="n">
        <v>43255</v>
      </c>
      <c r="G140" s="4" t="inlineStr">
        <is>
          <t>2013gn</t>
        </is>
      </c>
      <c r="H140" s="4" t="n">
        <v>2017</v>
      </c>
      <c r="I140" s="4" t="inlineStr">
        <is>
          <t>new.int.mlt.imf</t>
        </is>
      </c>
      <c r="J140" t="inlineStr">
        <is>
          <t>…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Dominica_2018_August</t>
        </is>
      </c>
      <c r="B141" s="2" t="n"/>
      <c r="C141" s="3" t="inlineStr">
        <is>
          <t>SM.18.139</t>
        </is>
      </c>
      <c r="D141" s="4" t="inlineStr">
        <is>
          <t>Dominica</t>
        </is>
      </c>
      <c r="E141" s="4" t="inlineStr">
        <is>
          <t>DMA</t>
        </is>
      </c>
      <c r="F141" s="10" t="n">
        <v>43255</v>
      </c>
      <c r="G141" s="4" t="inlineStr">
        <is>
          <t>2013gn</t>
        </is>
      </c>
      <c r="H141" s="4" t="n">
        <v>2017</v>
      </c>
      <c r="I141" s="4" t="inlineStr">
        <is>
          <t>new.int.mlt.ida.reg</t>
        </is>
      </c>
      <c r="J141" t="inlineStr">
        <is>
          <t xml:space="preserve">   Others Paris Club</t>
        </is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0.001430567356022429</v>
      </c>
      <c r="X141" t="n">
        <v>0.002292876511599094</v>
      </c>
      <c r="Y141" t="n">
        <v>0.002910761390963214</v>
      </c>
      <c r="Z141" t="n">
        <v>0.003934125709097826</v>
      </c>
      <c r="AA141" t="n">
        <v>0.004650833263770027</v>
      </c>
      <c r="AB141" t="n">
        <v>0.005325843983167189</v>
      </c>
      <c r="AC141" t="n">
        <v>0.006298504182180129</v>
      </c>
      <c r="AD141" t="n">
        <v>0.007279597671229782</v>
      </c>
      <c r="AE141" t="n">
        <v>0.008522819214234343</v>
      </c>
      <c r="AF141" t="n">
        <v>0.009952059540646041</v>
      </c>
      <c r="AG141" t="n">
        <v>0.01137115654052783</v>
      </c>
      <c r="AH141" t="n">
        <v>0.0128907616439031</v>
      </c>
      <c r="AI141" t="n">
        <v>0.01449058121309107</v>
      </c>
    </row>
    <row r="142">
      <c r="A142" t="inlineStr">
        <is>
          <t>Dominica_2018_August</t>
        </is>
      </c>
      <c r="B142" s="2" t="n"/>
      <c r="C142" s="3" t="inlineStr">
        <is>
          <t>SM.18.139</t>
        </is>
      </c>
      <c r="D142" s="4" t="inlineStr">
        <is>
          <t>Dominica</t>
        </is>
      </c>
      <c r="E142" s="4" t="inlineStr">
        <is>
          <t>DMA</t>
        </is>
      </c>
      <c r="F142" s="10" t="n">
        <v>43255</v>
      </c>
      <c r="G142" s="4" t="inlineStr">
        <is>
          <t>2013gn</t>
        </is>
      </c>
      <c r="H142" s="4" t="n">
        <v>2017</v>
      </c>
      <c r="I142" s="4" t="inlineStr">
        <is>
          <t>new.int.mlt.ida.bld</t>
        </is>
      </c>
      <c r="J142" t="inlineStr">
        <is>
          <t xml:space="preserve">   NPC</t>
        </is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0.001083876352644272</v>
      </c>
      <c r="V142" t="n">
        <v>0.002376221428907336</v>
      </c>
      <c r="W142" t="n">
        <v>0.003962262219568692</v>
      </c>
      <c r="X142" t="n">
        <v>0.005869477384199849</v>
      </c>
      <c r="Y142" t="n">
        <v>0.007683306768622784</v>
      </c>
      <c r="Z142" t="n">
        <v>0.008704046768341689</v>
      </c>
      <c r="AA142" t="n">
        <v>0.009351506810336906</v>
      </c>
      <c r="AB142" t="n">
        <v>0.009882900028409233</v>
      </c>
      <c r="AC142" t="n">
        <v>0.01041589148013187</v>
      </c>
      <c r="AD142" t="n">
        <v>0.01096467282185607</v>
      </c>
      <c r="AE142" t="n">
        <v>0.01044422775794868</v>
      </c>
      <c r="AF142" t="n">
        <v>0.009729577002825751</v>
      </c>
      <c r="AG142" t="n">
        <v>0.008734404683222678</v>
      </c>
      <c r="AH142" t="n">
        <v>0.007429698369499582</v>
      </c>
      <c r="AI142" t="n">
        <v>0.006232156180680003</v>
      </c>
    </row>
    <row r="143">
      <c r="A143" t="inlineStr">
        <is>
          <t>Dominica_2018_August</t>
        </is>
      </c>
      <c r="B143" s="2" t="n"/>
      <c r="C143" s="3" t="inlineStr">
        <is>
          <t>SM.18.139</t>
        </is>
      </c>
      <c r="D143" s="4" t="inlineStr">
        <is>
          <t>Dominica</t>
        </is>
      </c>
      <c r="E143" s="4" t="inlineStr">
        <is>
          <t>DMA</t>
        </is>
      </c>
      <c r="F143" s="10" t="n">
        <v>43255</v>
      </c>
      <c r="G143" s="4" t="inlineStr">
        <is>
          <t>2013gn</t>
        </is>
      </c>
      <c r="H143" s="4" t="n">
        <v>2017</v>
      </c>
      <c r="I143" s="4" t="inlineStr">
        <is>
          <t>new.int.mlt.afdb</t>
        </is>
      </c>
      <c r="J143" t="inlineStr">
        <is>
          <t>…</t>
        </is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Dominica_2018_August</t>
        </is>
      </c>
      <c r="B144" s="2" t="n"/>
      <c r="C144" s="3" t="inlineStr">
        <is>
          <t>SM.18.139</t>
        </is>
      </c>
      <c r="D144" s="4" t="inlineStr">
        <is>
          <t>Dominica</t>
        </is>
      </c>
      <c r="E144" s="4" t="inlineStr">
        <is>
          <t>DMA</t>
        </is>
      </c>
      <c r="F144" s="10" t="n">
        <v>43255</v>
      </c>
      <c r="G144" s="4" t="inlineStr">
        <is>
          <t>2013gn</t>
        </is>
      </c>
      <c r="H144" s="4" t="n">
        <v>2017</v>
      </c>
      <c r="I144" s="4" t="inlineStr">
        <is>
          <t>new.int.mlt2</t>
        </is>
      </c>
      <c r="J144" t="inlineStr">
        <is>
          <t>…</t>
        </is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Dominica_2018_August</t>
        </is>
      </c>
      <c r="B145" s="2" t="n"/>
      <c r="C145" s="3" t="inlineStr">
        <is>
          <t>SM.18.139</t>
        </is>
      </c>
      <c r="D145" s="4" t="inlineStr">
        <is>
          <t>Dominica</t>
        </is>
      </c>
      <c r="E145" s="4" t="inlineStr">
        <is>
          <t>DMA</t>
        </is>
      </c>
      <c r="F145" s="10" t="n">
        <v>43255</v>
      </c>
      <c r="G145" s="4" t="inlineStr">
        <is>
          <t>2013gn</t>
        </is>
      </c>
      <c r="H145" s="4" t="n">
        <v>2017</v>
      </c>
      <c r="I145" s="4" t="inlineStr">
        <is>
          <t>new.int.mlt3</t>
        </is>
      </c>
      <c r="J145" t="inlineStr">
        <is>
          <t xml:space="preserve">   Others Non Paris Club</t>
        </is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0.001083876352644272</v>
      </c>
      <c r="V145" t="n">
        <v>0.002376221428907336</v>
      </c>
      <c r="W145" t="n">
        <v>0.003962262219568692</v>
      </c>
      <c r="X145" t="n">
        <v>0.005869477384199849</v>
      </c>
      <c r="Y145" t="n">
        <v>0.007683306768622784</v>
      </c>
      <c r="Z145" t="n">
        <v>0.008704046768341689</v>
      </c>
      <c r="AA145" t="n">
        <v>0.009351506810336906</v>
      </c>
      <c r="AB145" t="n">
        <v>0.009882900028409233</v>
      </c>
      <c r="AC145" t="n">
        <v>0.01041589148013187</v>
      </c>
      <c r="AD145" t="n">
        <v>0.01096467282185607</v>
      </c>
      <c r="AE145" t="n">
        <v>0.01044422775794868</v>
      </c>
      <c r="AF145" t="n">
        <v>0.009729577002825751</v>
      </c>
      <c r="AG145" t="n">
        <v>0.008734404683222678</v>
      </c>
      <c r="AH145" t="n">
        <v>0.007429698369499582</v>
      </c>
      <c r="AI145" t="n">
        <v>0.006232156180680003</v>
      </c>
    </row>
    <row r="146">
      <c r="A146" t="inlineStr">
        <is>
          <t>Dominica_2018_August</t>
        </is>
      </c>
      <c r="B146" s="2" t="n"/>
      <c r="C146" s="3" t="inlineStr">
        <is>
          <t>SM.18.139</t>
        </is>
      </c>
      <c r="D146" s="4" t="inlineStr">
        <is>
          <t>Dominica</t>
        </is>
      </c>
      <c r="E146" s="4" t="inlineStr">
        <is>
          <t>DMA</t>
        </is>
      </c>
      <c r="F146" s="10" t="n">
        <v>43255</v>
      </c>
      <c r="G146" s="4" t="inlineStr">
        <is>
          <t>2013gn</t>
        </is>
      </c>
      <c r="H146" s="4" t="n">
        <v>2017</v>
      </c>
      <c r="I146" s="4" t="inlineStr">
        <is>
          <t>new.int.mlt.oth</t>
        </is>
      </c>
      <c r="J146" t="inlineStr">
        <is>
          <t>Commercial</t>
        </is>
      </c>
      <c r="O146" t="n">
        <v>0</v>
      </c>
      <c r="P146" t="n">
        <v>0</v>
      </c>
      <c r="Q146" t="n">
        <v>0.000460671155171448</v>
      </c>
      <c r="R146" t="n">
        <v>0.000409780991513308</v>
      </c>
      <c r="S146" t="n">
        <v>0.0008879088767209199</v>
      </c>
      <c r="T146" t="n">
        <v>0.00432380701070508</v>
      </c>
      <c r="U146" t="n">
        <v>0.005781465080788112</v>
      </c>
      <c r="V146" t="n">
        <v>0.006877715625769498</v>
      </c>
      <c r="W146" t="n">
        <v>0.008485396975687679</v>
      </c>
      <c r="X146" t="n">
        <v>0.009648324537898706</v>
      </c>
      <c r="Y146" t="n">
        <v>0.008125196972473525</v>
      </c>
      <c r="Z146" t="n">
        <v>0.008342929157379117</v>
      </c>
      <c r="AA146" t="n">
        <v>0.00851950585399738</v>
      </c>
      <c r="AB146" t="n">
        <v>0.008725921073170067</v>
      </c>
      <c r="AC146" t="n">
        <v>0.008698117826231814</v>
      </c>
      <c r="AD146" t="n">
        <v>0.008432378620127542</v>
      </c>
      <c r="AE146" t="n">
        <v>0.008473279995751976</v>
      </c>
      <c r="AF146" t="n">
        <v>0.008523514026220888</v>
      </c>
      <c r="AG146" t="n">
        <v>0.008614527950018625</v>
      </c>
      <c r="AH146" t="n">
        <v>0.008928405593438849</v>
      </c>
      <c r="AI146" t="n">
        <v>0.009284004035931099</v>
      </c>
    </row>
    <row r="147">
      <c r="A147" t="inlineStr">
        <is>
          <t>Dominica_2018_August</t>
        </is>
      </c>
      <c r="B147" s="2" t="n"/>
      <c r="C147" s="3" t="inlineStr">
        <is>
          <t>SM.18.139</t>
        </is>
      </c>
      <c r="D147" s="4" t="inlineStr">
        <is>
          <t>Dominica</t>
        </is>
      </c>
      <c r="E147" s="4" t="inlineStr">
        <is>
          <t>DMA</t>
        </is>
      </c>
      <c r="F147" s="10" t="n">
        <v>43255</v>
      </c>
      <c r="G147" s="4" t="inlineStr">
        <is>
          <t>2013gn</t>
        </is>
      </c>
      <c r="H147" s="4" t="n">
        <v>2017</v>
      </c>
      <c r="I147" s="4" t="inlineStr">
        <is>
          <t>new.int.mlt.oth1</t>
        </is>
      </c>
      <c r="J147" t="inlineStr">
        <is>
          <t>…</t>
        </is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Dominica_2018_August</t>
        </is>
      </c>
      <c r="B148" s="2" t="n"/>
      <c r="C148" s="3" t="inlineStr">
        <is>
          <t>SM.18.139</t>
        </is>
      </c>
      <c r="D148" s="4" t="inlineStr">
        <is>
          <t>Dominica</t>
        </is>
      </c>
      <c r="E148" s="4" t="inlineStr">
        <is>
          <t>DMA</t>
        </is>
      </c>
      <c r="F148" s="10" t="n">
        <v>43255</v>
      </c>
      <c r="G148" s="4" t="inlineStr">
        <is>
          <t>2013gn</t>
        </is>
      </c>
      <c r="H148" s="4" t="n">
        <v>2017</v>
      </c>
      <c r="I148" s="4" t="inlineStr">
        <is>
          <t>new.int.mlt.oth2</t>
        </is>
      </c>
      <c r="J148" t="inlineStr">
        <is>
          <t>…</t>
        </is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Dominica_2018_August</t>
        </is>
      </c>
      <c r="B149" s="2" t="n"/>
      <c r="C149" s="3" t="inlineStr">
        <is>
          <t>SM.18.139</t>
        </is>
      </c>
      <c r="D149" s="4" t="inlineStr">
        <is>
          <t>Dominica</t>
        </is>
      </c>
      <c r="E149" s="4" t="inlineStr">
        <is>
          <t>DMA</t>
        </is>
      </c>
      <c r="F149" s="10" t="n">
        <v>43255</v>
      </c>
      <c r="G149" s="4" t="inlineStr">
        <is>
          <t>2013gn</t>
        </is>
      </c>
      <c r="H149" s="4" t="n">
        <v>2017</v>
      </c>
      <c r="I149" s="4" t="inlineStr">
        <is>
          <t>new.int.mlt.oth3</t>
        </is>
      </c>
      <c r="J149" t="inlineStr">
        <is>
          <t xml:space="preserve">   Others Commercial</t>
        </is>
      </c>
      <c r="O149" t="n">
        <v>0</v>
      </c>
      <c r="P149" t="n">
        <v>0</v>
      </c>
      <c r="Q149" t="n">
        <v>0.000460671155171448</v>
      </c>
      <c r="R149" t="n">
        <v>0.000409780991513308</v>
      </c>
      <c r="S149" t="n">
        <v>0.0008879088767209199</v>
      </c>
      <c r="T149" t="n">
        <v>0.00432380701070508</v>
      </c>
      <c r="U149" t="n">
        <v>0.005781465080788112</v>
      </c>
      <c r="V149" t="n">
        <v>0.006877715625769498</v>
      </c>
      <c r="W149" t="n">
        <v>0.008485396975687679</v>
      </c>
      <c r="X149" t="n">
        <v>0.009648324537898706</v>
      </c>
      <c r="Y149" t="n">
        <v>0.008125196972473525</v>
      </c>
      <c r="Z149" t="n">
        <v>0.008342929157379117</v>
      </c>
      <c r="AA149" t="n">
        <v>0.00851950585399738</v>
      </c>
      <c r="AB149" t="n">
        <v>0.008725921073170067</v>
      </c>
      <c r="AC149" t="n">
        <v>0.008698117826231814</v>
      </c>
      <c r="AD149" t="n">
        <v>0.008432378620127542</v>
      </c>
      <c r="AE149" t="n">
        <v>0.008473279995751976</v>
      </c>
      <c r="AF149" t="n">
        <v>0.008523514026220888</v>
      </c>
      <c r="AG149" t="n">
        <v>0.008614527950018625</v>
      </c>
      <c r="AH149" t="n">
        <v>0.008928405593438849</v>
      </c>
      <c r="AI149" t="n">
        <v>0.009284004035931099</v>
      </c>
    </row>
    <row r="150">
      <c r="A150" t="inlineStr">
        <is>
          <t>Dominica_2018_August</t>
        </is>
      </c>
      <c r="B150" s="2" t="n"/>
      <c r="C150" s="3" t="inlineStr">
        <is>
          <t>SM.18.139</t>
        </is>
      </c>
      <c r="D150" s="4" t="inlineStr">
        <is>
          <t>Dominica</t>
        </is>
      </c>
      <c r="E150" s="4" t="inlineStr">
        <is>
          <t>DMA</t>
        </is>
      </c>
      <c r="F150" s="10" t="n">
        <v>43255</v>
      </c>
      <c r="G150" s="4" t="inlineStr">
        <is>
          <t>2013gn</t>
        </is>
      </c>
      <c r="H150" s="4" t="n">
        <v>2017</v>
      </c>
      <c r="I150" s="4" t="inlineStr">
        <is>
          <t>new.int.blt</t>
        </is>
      </c>
    </row>
    <row r="151">
      <c r="A151" t="inlineStr">
        <is>
          <t>Dominica_2018_August</t>
        </is>
      </c>
      <c r="B151" s="2" t="n"/>
      <c r="C151" s="3" t="inlineStr">
        <is>
          <t>SM.18.139</t>
        </is>
      </c>
      <c r="D151" s="4" t="inlineStr">
        <is>
          <t>Dominica</t>
        </is>
      </c>
      <c r="E151" s="4" t="inlineStr">
        <is>
          <t>DMA</t>
        </is>
      </c>
      <c r="F151" s="10" t="n">
        <v>43255</v>
      </c>
      <c r="G151" s="4" t="inlineStr">
        <is>
          <t>2013gn</t>
        </is>
      </c>
      <c r="H151" s="4" t="n">
        <v>2017</v>
      </c>
      <c r="I151" s="4" t="inlineStr">
        <is>
          <t>new.int.pc</t>
        </is>
      </c>
      <c r="J151" t="inlineStr">
        <is>
          <t>PV of old MLT debt</t>
        </is>
      </c>
      <c r="N151" t="n">
        <v>0.2450650105420223</v>
      </c>
      <c r="O151" t="n">
        <v>0.2377274300082923</v>
      </c>
      <c r="P151" t="n">
        <v>0.2204686981393678</v>
      </c>
      <c r="Q151" t="n">
        <v>0.1949509455418455</v>
      </c>
      <c r="R151" t="n">
        <v>0.1778940700537609</v>
      </c>
      <c r="S151" t="n">
        <v>0.1617720891897111</v>
      </c>
      <c r="T151" t="n">
        <v>0.1459893570953536</v>
      </c>
      <c r="U151" t="n">
        <v>0.1298611265373942</v>
      </c>
      <c r="V151" t="n">
        <v>0.1129833756549455</v>
      </c>
      <c r="W151" t="n">
        <v>0.09755199617367867</v>
      </c>
      <c r="X151" t="n">
        <v>0.08249483770978248</v>
      </c>
      <c r="Y151" t="n">
        <v>0.06784657858440706</v>
      </c>
      <c r="Z151" t="n">
        <v>0.05712069091315453</v>
      </c>
      <c r="AA151" t="n">
        <v>0.04718983518351365</v>
      </c>
      <c r="AB151" t="n">
        <v>0.03738989433678424</v>
      </c>
      <c r="AC151" t="n">
        <v>0.02978909376240433</v>
      </c>
      <c r="AD151" t="n">
        <v>0.0235295325565963</v>
      </c>
      <c r="AE151" t="n">
        <v>0.01809199116530206</v>
      </c>
      <c r="AF151" t="n">
        <v>0.01291717335285512</v>
      </c>
      <c r="AG151" t="n">
        <v>0.008026269972261314</v>
      </c>
      <c r="AH151" t="n">
        <v>0.00347017015888363</v>
      </c>
      <c r="AI151" t="n">
        <v>0</v>
      </c>
    </row>
    <row r="152">
      <c r="A152" t="inlineStr">
        <is>
          <t>Dominica_2018_August</t>
        </is>
      </c>
      <c r="B152" s="2" t="n"/>
      <c r="C152" s="3" t="inlineStr">
        <is>
          <t>SM.18.139</t>
        </is>
      </c>
      <c r="D152" s="4" t="inlineStr">
        <is>
          <t>Dominica</t>
        </is>
      </c>
      <c r="E152" s="4" t="inlineStr">
        <is>
          <t>DMA</t>
        </is>
      </c>
      <c r="F152" s="10" t="n">
        <v>43255</v>
      </c>
      <c r="G152" s="4" t="inlineStr">
        <is>
          <t>2013gn</t>
        </is>
      </c>
      <c r="H152" s="4" t="n">
        <v>2017</v>
      </c>
      <c r="I152" s="4" t="inlineStr">
        <is>
          <t>new.int.pc1</t>
        </is>
      </c>
      <c r="J152" t="inlineStr">
        <is>
          <t>Multilaterals</t>
        </is>
      </c>
      <c r="N152" t="n">
        <v>0.05379936002250831</v>
      </c>
      <c r="O152" t="n">
        <v>0.05329829387548556</v>
      </c>
      <c r="P152" t="n">
        <v>0.04977873516185242</v>
      </c>
      <c r="Q152" t="n">
        <v>0.04643537158661172</v>
      </c>
      <c r="R152" t="n">
        <v>0.04337748709186826</v>
      </c>
      <c r="S152" t="n">
        <v>0.03979209526127649</v>
      </c>
      <c r="T152" t="n">
        <v>0.03668756032063661</v>
      </c>
      <c r="U152" t="n">
        <v>0.03351008055889066</v>
      </c>
      <c r="V152" t="n">
        <v>0.03035354406978977</v>
      </c>
      <c r="W152" t="n">
        <v>0.0268077133664676</v>
      </c>
      <c r="X152" t="n">
        <v>0.02291162644044532</v>
      </c>
      <c r="Y152" t="n">
        <v>0.01879223090288134</v>
      </c>
      <c r="Z152" t="n">
        <v>0.01708736531700961</v>
      </c>
      <c r="AA152" t="n">
        <v>0.01551758141376183</v>
      </c>
      <c r="AB152" t="n">
        <v>0.01380483618281496</v>
      </c>
      <c r="AC152" t="n">
        <v>0.0119946584116551</v>
      </c>
      <c r="AD152" t="n">
        <v>0.01011657189993186</v>
      </c>
      <c r="AE152" t="n">
        <v>0.008179309977301298</v>
      </c>
      <c r="AF152" t="n">
        <v>0.006194098823694885</v>
      </c>
      <c r="AG152" t="n">
        <v>0.004161985651351835</v>
      </c>
      <c r="AH152" t="n">
        <v>0.002095020697449081</v>
      </c>
      <c r="AI152" t="n">
        <v>0</v>
      </c>
    </row>
    <row r="153">
      <c r="A153" t="inlineStr">
        <is>
          <t>Dominica_2018_August</t>
        </is>
      </c>
      <c r="B153" s="2" t="n"/>
      <c r="C153" s="3" t="inlineStr">
        <is>
          <t>SM.18.139</t>
        </is>
      </c>
      <c r="D153" s="4" t="inlineStr">
        <is>
          <t>Dominica</t>
        </is>
      </c>
      <c r="E153" s="4" t="inlineStr">
        <is>
          <t>DMA</t>
        </is>
      </c>
      <c r="F153" s="10" t="n">
        <v>43255</v>
      </c>
      <c r="G153" s="4" t="inlineStr">
        <is>
          <t>2013gn</t>
        </is>
      </c>
      <c r="H153" s="4" t="n">
        <v>2017</v>
      </c>
      <c r="I153" s="4" t="inlineStr">
        <is>
          <t>new.int.pc2</t>
        </is>
      </c>
      <c r="J153" t="inlineStr">
        <is>
          <t xml:space="preserve">   IMF</t>
        </is>
      </c>
      <c r="N153" t="n">
        <v>0.008942259422891854</v>
      </c>
      <c r="O153" t="n">
        <v>0.008636035542184596</v>
      </c>
      <c r="P153" t="n">
        <v>0.007561163578553087</v>
      </c>
      <c r="Q153" t="n">
        <v>0.006896139942665933</v>
      </c>
      <c r="R153" t="n">
        <v>0.006226839606465897</v>
      </c>
      <c r="S153" t="n">
        <v>0.005089456846048454</v>
      </c>
      <c r="T153" t="n">
        <v>0.004474694836499023</v>
      </c>
      <c r="U153" t="n">
        <v>0.003829194726472124</v>
      </c>
      <c r="V153" t="n">
        <v>0.003267317591520009</v>
      </c>
      <c r="W153" t="n">
        <v>0.002777791516275708</v>
      </c>
      <c r="X153" t="n">
        <v>0.002350841398159177</v>
      </c>
      <c r="Y153" t="n">
        <v>0.001977989066875172</v>
      </c>
      <c r="Z153" t="n">
        <v>0.001651880039371628</v>
      </c>
      <c r="AA153" t="n">
        <v>0.001366133358100184</v>
      </c>
      <c r="AB153" t="n">
        <v>0.001115211434003346</v>
      </c>
      <c r="AC153" t="n">
        <v>0.000894307226089484</v>
      </c>
      <c r="AD153" t="n">
        <v>0.0006992464451665852</v>
      </c>
      <c r="AE153" t="n">
        <v>0.0005264027775853386</v>
      </c>
      <c r="AF153" t="n">
        <v>0.0003726243920156786</v>
      </c>
      <c r="AG153" t="n">
        <v>0.0002351702238289375</v>
      </c>
      <c r="AH153" t="n">
        <v>0.0001116547323303124</v>
      </c>
      <c r="AI153" t="n">
        <v>0</v>
      </c>
    </row>
    <row r="154">
      <c r="A154" t="inlineStr">
        <is>
          <t>Dominica_2018_August</t>
        </is>
      </c>
      <c r="B154" s="2" t="n"/>
      <c r="C154" s="3" t="inlineStr">
        <is>
          <t>SM.18.139</t>
        </is>
      </c>
      <c r="D154" s="4" t="inlineStr">
        <is>
          <t>Dominica</t>
        </is>
      </c>
      <c r="E154" s="4" t="inlineStr">
        <is>
          <t>DMA</t>
        </is>
      </c>
      <c r="F154" s="10" t="n">
        <v>43255</v>
      </c>
      <c r="G154" s="4" t="inlineStr">
        <is>
          <t>2013gn</t>
        </is>
      </c>
      <c r="H154" s="4" t="n">
        <v>2017</v>
      </c>
      <c r="I154" s="4" t="inlineStr">
        <is>
          <t>new.int.pc3</t>
        </is>
      </c>
      <c r="J154" t="inlineStr">
        <is>
          <t xml:space="preserve">   IDA - Small Island Country</t>
        </is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Dominica_2018_August</t>
        </is>
      </c>
      <c r="B155" s="2" t="n"/>
      <c r="C155" s="3" t="inlineStr">
        <is>
          <t>SM.18.139</t>
        </is>
      </c>
      <c r="D155" s="4" t="inlineStr">
        <is>
          <t>Dominica</t>
        </is>
      </c>
      <c r="E155" s="4" t="inlineStr">
        <is>
          <t>DMA</t>
        </is>
      </c>
      <c r="F155" s="10" t="n">
        <v>43255</v>
      </c>
      <c r="G155" s="4" t="inlineStr">
        <is>
          <t>2013gn</t>
        </is>
      </c>
      <c r="H155" s="4" t="n">
        <v>2017</v>
      </c>
      <c r="I155" s="4" t="inlineStr">
        <is>
          <t>new.int.pc4</t>
        </is>
      </c>
      <c r="J155" t="inlineStr">
        <is>
          <t>IDA - Regular</t>
        </is>
      </c>
      <c r="N155" t="n">
        <v>0.01361113219666706</v>
      </c>
      <c r="O155" t="n">
        <v>0.01374056773242634</v>
      </c>
      <c r="P155" t="n">
        <v>0.01321997845238099</v>
      </c>
      <c r="Q155" t="n">
        <v>0.01265997618981485</v>
      </c>
      <c r="R155" t="n">
        <v>0.01207936992523152</v>
      </c>
      <c r="S155" t="n">
        <v>0.01144369416223384</v>
      </c>
      <c r="T155" t="n">
        <v>0.01075057161108627</v>
      </c>
      <c r="U155" t="n">
        <v>0.009993307154603547</v>
      </c>
      <c r="V155" t="n">
        <v>0.009247482785249712</v>
      </c>
      <c r="W155" t="n">
        <v>0.008511793129064539</v>
      </c>
      <c r="X155" t="n">
        <v>0.007784939030463296</v>
      </c>
      <c r="Y155" t="n">
        <v>0.007065625141060809</v>
      </c>
      <c r="Z155" t="n">
        <v>0.006352557491588941</v>
      </c>
      <c r="AA155" t="n">
        <v>0.005644441042115428</v>
      </c>
      <c r="AB155" t="n">
        <v>0.004939977205682436</v>
      </c>
      <c r="AC155" t="n">
        <v>0.004237861340383868</v>
      </c>
      <c r="AD155" t="n">
        <v>0.003536780204790335</v>
      </c>
      <c r="AE155" t="n">
        <v>0.002835409371510019</v>
      </c>
      <c r="AF155" t="n">
        <v>0.002132410593541669</v>
      </c>
      <c r="AG155" t="n">
        <v>0.001426429117932583</v>
      </c>
      <c r="AH155" t="n">
        <v>0.0007160909410991686</v>
      </c>
      <c r="AI155" t="n">
        <v>0</v>
      </c>
    </row>
    <row r="156">
      <c r="A156" t="inlineStr">
        <is>
          <t>Dominica_2018_August</t>
        </is>
      </c>
      <c r="B156" s="2" t="n"/>
      <c r="C156" s="3" t="inlineStr">
        <is>
          <t>SM.18.139</t>
        </is>
      </c>
      <c r="D156" s="4" t="inlineStr">
        <is>
          <t>Dominica</t>
        </is>
      </c>
      <c r="E156" s="4" t="inlineStr">
        <is>
          <t>DMA</t>
        </is>
      </c>
      <c r="F156" s="10" t="n">
        <v>43255</v>
      </c>
      <c r="G156" s="4" t="inlineStr">
        <is>
          <t>2013gn</t>
        </is>
      </c>
      <c r="H156" s="4" t="n">
        <v>2017</v>
      </c>
      <c r="I156" s="4" t="inlineStr">
        <is>
          <t>new.int.pc5</t>
        </is>
      </c>
      <c r="J156" t="inlineStr">
        <is>
          <t>IBRD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Dominica_2018_August</t>
        </is>
      </c>
      <c r="B157" s="2" t="n"/>
      <c r="C157" s="3" t="inlineStr">
        <is>
          <t>SM.18.139</t>
        </is>
      </c>
      <c r="D157" s="4" t="inlineStr">
        <is>
          <t>Dominica</t>
        </is>
      </c>
      <c r="E157" s="4" t="inlineStr">
        <is>
          <t>DMA</t>
        </is>
      </c>
      <c r="F157" s="10" t="n">
        <v>43255</v>
      </c>
      <c r="G157" s="4" t="inlineStr">
        <is>
          <t>2013gn</t>
        </is>
      </c>
      <c r="H157" s="4" t="n">
        <v>2017</v>
      </c>
      <c r="I157" s="4" t="inlineStr">
        <is>
          <t>new.int.npc</t>
        </is>
      </c>
      <c r="J157" t="inlineStr">
        <is>
          <t>Other Multilateral</t>
        </is>
      </c>
      <c r="N157" t="n">
        <v>0.03124596840294939</v>
      </c>
      <c r="O157" t="n">
        <v>0.03092169060087462</v>
      </c>
      <c r="P157" t="n">
        <v>0.02899759313091835</v>
      </c>
      <c r="Q157" t="n">
        <v>0.02687925545413094</v>
      </c>
      <c r="R157" t="n">
        <v>0.02507127756017084</v>
      </c>
      <c r="S157" t="n">
        <v>0.02325894425299419</v>
      </c>
      <c r="T157" t="n">
        <v>0.02146229387305132</v>
      </c>
      <c r="U157" t="n">
        <v>0.01968757867781499</v>
      </c>
      <c r="V157" t="n">
        <v>0.01783874369302006</v>
      </c>
      <c r="W157" t="n">
        <v>0.01551812872112735</v>
      </c>
      <c r="X157" t="n">
        <v>0.01277584601182285</v>
      </c>
      <c r="Y157" t="n">
        <v>0.009748616694945355</v>
      </c>
      <c r="Z157" t="n">
        <v>0.009082927786049043</v>
      </c>
      <c r="AA157" t="n">
        <v>0.008507007013546224</v>
      </c>
      <c r="AB157" t="n">
        <v>0.007749647543129175</v>
      </c>
      <c r="AC157" t="n">
        <v>0.006862489845181744</v>
      </c>
      <c r="AD157" t="n">
        <v>0.005880545249974943</v>
      </c>
      <c r="AE157" t="n">
        <v>0.004817497828205939</v>
      </c>
      <c r="AF157" t="n">
        <v>0.003689063838137537</v>
      </c>
      <c r="AG157" t="n">
        <v>0.002500386309590314</v>
      </c>
      <c r="AH157" t="n">
        <v>0.0012672750240196</v>
      </c>
      <c r="AI157" t="n">
        <v>0</v>
      </c>
    </row>
    <row r="158">
      <c r="A158" t="inlineStr">
        <is>
          <t>Dominica_2018_August</t>
        </is>
      </c>
      <c r="B158" s="2" t="n"/>
      <c r="C158" s="3" t="inlineStr">
        <is>
          <t>SM.18.139</t>
        </is>
      </c>
      <c r="D158" s="4" t="inlineStr">
        <is>
          <t>Dominica</t>
        </is>
      </c>
      <c r="E158" s="4" t="inlineStr">
        <is>
          <t>DMA</t>
        </is>
      </c>
      <c r="F158" s="10" t="n">
        <v>43255</v>
      </c>
      <c r="G158" s="4" t="inlineStr">
        <is>
          <t>2013gn</t>
        </is>
      </c>
      <c r="H158" s="4" t="n">
        <v>2017</v>
      </c>
      <c r="I158" s="4" t="inlineStr">
        <is>
          <t>new.int.npc.eximbk</t>
        </is>
      </c>
      <c r="J158" t="inlineStr">
        <is>
          <t>Official Bilaterals</t>
        </is>
      </c>
      <c r="N158" t="n">
        <v>0.03766475146627474</v>
      </c>
      <c r="O158" t="n">
        <v>0.03652593737292183</v>
      </c>
      <c r="P158" t="n">
        <v>0.0325219577230494</v>
      </c>
      <c r="Q158" t="n">
        <v>0.02885452742401669</v>
      </c>
      <c r="R158" t="n">
        <v>0.02579714694336568</v>
      </c>
      <c r="S158" t="n">
        <v>0.02314419858683026</v>
      </c>
      <c r="T158" t="n">
        <v>0.02048185455320882</v>
      </c>
      <c r="U158" t="n">
        <v>0.01777791276235074</v>
      </c>
      <c r="V158" t="n">
        <v>0.0151980577157719</v>
      </c>
      <c r="W158" t="n">
        <v>0.01253783071434265</v>
      </c>
      <c r="X158" t="n">
        <v>0.009769428920900693</v>
      </c>
      <c r="Y158" t="n">
        <v>0.006886893197277773</v>
      </c>
      <c r="Z158" t="n">
        <v>0.003944257253872468</v>
      </c>
      <c r="AA158" t="n">
        <v>0.00100210580992022</v>
      </c>
      <c r="AB158" t="n">
        <v>-0.001967842672184416</v>
      </c>
      <c r="AC158" t="n">
        <v>-0.00289171937347125</v>
      </c>
      <c r="AD158" t="n">
        <v>-0.002614095374941177</v>
      </c>
      <c r="AE158" t="n">
        <v>-0.001991874751719963</v>
      </c>
      <c r="AF158" t="n">
        <v>-0.001413311953259976</v>
      </c>
      <c r="AG158" t="n">
        <v>-0.0008923987072870965</v>
      </c>
      <c r="AH158" t="n">
        <v>-0.0004237405016441786</v>
      </c>
      <c r="AI158" t="n">
        <v>0</v>
      </c>
    </row>
    <row r="159">
      <c r="A159" t="inlineStr">
        <is>
          <t>Dominica_2018_August</t>
        </is>
      </c>
      <c r="B159" s="2" t="n"/>
      <c r="C159" s="3" t="inlineStr">
        <is>
          <t>SM.18.139</t>
        </is>
      </c>
      <c r="D159" s="4" t="inlineStr">
        <is>
          <t>Dominica</t>
        </is>
      </c>
      <c r="E159" s="4" t="inlineStr">
        <is>
          <t>DMA</t>
        </is>
      </c>
      <c r="F159" s="10" t="n">
        <v>43255</v>
      </c>
      <c r="G159" s="4" t="inlineStr">
        <is>
          <t>2013gn</t>
        </is>
      </c>
      <c r="H159" s="4" t="n">
        <v>2017</v>
      </c>
      <c r="I159" s="4" t="inlineStr">
        <is>
          <t>new.int.npc2</t>
        </is>
      </c>
      <c r="J159" t="inlineStr">
        <is>
          <t xml:space="preserve">   PC</t>
        </is>
      </c>
      <c r="N159" t="n">
        <v>0.0241591500653103</v>
      </c>
      <c r="O159" t="n">
        <v>0.02318073108709434</v>
      </c>
      <c r="P159" t="n">
        <v>0.02000655804885646</v>
      </c>
      <c r="Q159" t="n">
        <v>0.01739572084018818</v>
      </c>
      <c r="R159" t="n">
        <v>0.01539033743775315</v>
      </c>
      <c r="S159" t="n">
        <v>0.01333865034667785</v>
      </c>
      <c r="T159" t="n">
        <v>0.01123574801215989</v>
      </c>
      <c r="U159" t="n">
        <v>0.009078368523878997</v>
      </c>
      <c r="V159" t="n">
        <v>0.007426173193880029</v>
      </c>
      <c r="W159" t="n">
        <v>0.006166204548621999</v>
      </c>
      <c r="X159" t="n">
        <v>0.005211019089826829</v>
      </c>
      <c r="Y159" t="n">
        <v>0.004492937322422164</v>
      </c>
      <c r="Z159" t="n">
        <v>0.003959590303161635</v>
      </c>
      <c r="AA159" t="n">
        <v>0.003570470370875527</v>
      </c>
      <c r="AB159" t="n">
        <v>0.003294259665520213</v>
      </c>
      <c r="AC159" t="n">
        <v>0.003106761085175626</v>
      </c>
      <c r="AD159" t="n">
        <v>0.002989295864404034</v>
      </c>
      <c r="AE159" t="n">
        <v>0.002927462578417886</v>
      </c>
      <c r="AF159" t="n">
        <v>0.002910176094853109</v>
      </c>
      <c r="AG159" t="n">
        <v>0.00292892336508696</v>
      </c>
      <c r="AH159" t="n">
        <v>0.00197718717553795</v>
      </c>
      <c r="AI159" t="n">
        <v>0</v>
      </c>
    </row>
    <row r="160">
      <c r="A160" t="inlineStr">
        <is>
          <t>Dominica_2018_August</t>
        </is>
      </c>
      <c r="B160" s="2" t="n"/>
      <c r="C160" s="3" t="inlineStr">
        <is>
          <t>SM.18.139</t>
        </is>
      </c>
      <c r="D160" s="4" t="inlineStr">
        <is>
          <t>Dominica</t>
        </is>
      </c>
      <c r="E160" s="4" t="inlineStr">
        <is>
          <t>DMA</t>
        </is>
      </c>
      <c r="F160" s="10" t="n">
        <v>43255</v>
      </c>
      <c r="G160" s="4" t="inlineStr">
        <is>
          <t>2013gn</t>
        </is>
      </c>
      <c r="H160" s="4" t="n">
        <v>2017</v>
      </c>
      <c r="I160" s="4" t="inlineStr">
        <is>
          <t>new.int.npc3</t>
        </is>
      </c>
      <c r="J160" t="inlineStr">
        <is>
          <t>…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Dominica_2018_August</t>
        </is>
      </c>
      <c r="B161" s="2" t="n"/>
      <c r="C161" s="3" t="inlineStr">
        <is>
          <t>SM.18.139</t>
        </is>
      </c>
      <c r="D161" s="4" t="inlineStr">
        <is>
          <t>Dominica</t>
        </is>
      </c>
      <c r="E161" s="4" t="inlineStr">
        <is>
          <t>DMA</t>
        </is>
      </c>
      <c r="F161" s="10" t="n">
        <v>43255</v>
      </c>
      <c r="G161" s="4" t="inlineStr">
        <is>
          <t>2013gn</t>
        </is>
      </c>
      <c r="H161" s="4" t="n">
        <v>2017</v>
      </c>
      <c r="I161" s="4" t="inlineStr">
        <is>
          <t>new.int.npc4</t>
        </is>
      </c>
      <c r="J161" t="inlineStr">
        <is>
          <t>…</t>
        </is>
      </c>
      <c r="N161" t="n">
        <v>0.0230643758531554</v>
      </c>
      <c r="O161" t="n">
        <v>0.02203121816433169</v>
      </c>
      <c r="P161" t="n">
        <v>0.01879956947995568</v>
      </c>
      <c r="Q161" t="n">
        <v>0.01612838284284236</v>
      </c>
      <c r="R161" t="n">
        <v>0.01405963254054004</v>
      </c>
      <c r="S161" t="n">
        <v>0.01194141020460408</v>
      </c>
      <c r="T161" t="n">
        <v>0.009768645862982433</v>
      </c>
      <c r="U161" t="n">
        <v>0.007537911267242665</v>
      </c>
      <c r="V161" t="n">
        <v>0.00580869307441188</v>
      </c>
      <c r="W161" t="n">
        <v>0.004467850423180444</v>
      </c>
      <c r="X161" t="n">
        <v>0.003427747258113196</v>
      </c>
      <c r="Y161" t="n">
        <v>0.002620501899122849</v>
      </c>
      <c r="Z161" t="n">
        <v>0.001993533108697354</v>
      </c>
      <c r="AA161" t="n">
        <v>0.001506110316688031</v>
      </c>
      <c r="AB161" t="n">
        <v>0.001126681608623343</v>
      </c>
      <c r="AC161" t="n">
        <v>0.0008308041254339118</v>
      </c>
      <c r="AD161" t="n">
        <v>0.0005995410566752346</v>
      </c>
      <c r="AE161" t="n">
        <v>0.0004182200303026463</v>
      </c>
      <c r="AF161" t="n">
        <v>0.0002754714193321076</v>
      </c>
      <c r="AG161" t="n">
        <v>0.000162483455789908</v>
      </c>
      <c r="AH161" t="n">
        <v>7.242527077604533e-05</v>
      </c>
      <c r="AI161" t="n">
        <v>0</v>
      </c>
    </row>
    <row r="162">
      <c r="A162" t="inlineStr">
        <is>
          <t>Dominica_2018_August</t>
        </is>
      </c>
      <c r="B162" s="2" t="n"/>
      <c r="C162" s="3" t="inlineStr">
        <is>
          <t>SM.18.139</t>
        </is>
      </c>
      <c r="D162" s="4" t="inlineStr">
        <is>
          <t>Dominica</t>
        </is>
      </c>
      <c r="E162" s="4" t="inlineStr">
        <is>
          <t>DMA</t>
        </is>
      </c>
      <c r="F162" s="10" t="n">
        <v>43255</v>
      </c>
      <c r="G162" s="4" t="inlineStr">
        <is>
          <t>2013gn</t>
        </is>
      </c>
      <c r="H162" s="4" t="n">
        <v>2017</v>
      </c>
      <c r="I162" s="4" t="inlineStr">
        <is>
          <t>new.int.npc5</t>
        </is>
      </c>
      <c r="J162" t="inlineStr">
        <is>
          <t xml:space="preserve">   Others Paris Club</t>
        </is>
      </c>
      <c r="N162" t="n">
        <v>0.001094774212154906</v>
      </c>
      <c r="O162" t="n">
        <v>0.001149512922762651</v>
      </c>
      <c r="P162" t="n">
        <v>0.001206988568900784</v>
      </c>
      <c r="Q162" t="n">
        <v>0.001267337997345823</v>
      </c>
      <c r="R162" t="n">
        <v>0.001330704897213114</v>
      </c>
      <c r="S162" t="n">
        <v>0.00139724014207377</v>
      </c>
      <c r="T162" t="n">
        <v>0.001467102149177459</v>
      </c>
      <c r="U162" t="n">
        <v>0.001540457256636332</v>
      </c>
      <c r="V162" t="n">
        <v>0.001617480119468148</v>
      </c>
      <c r="W162" t="n">
        <v>0.001698354125441556</v>
      </c>
      <c r="X162" t="n">
        <v>0.001783271831713634</v>
      </c>
      <c r="Y162" t="n">
        <v>0.001872435423299316</v>
      </c>
      <c r="Z162" t="n">
        <v>0.001966057194464281</v>
      </c>
      <c r="AA162" t="n">
        <v>0.002064360054187496</v>
      </c>
      <c r="AB162" t="n">
        <v>0.00216757805689687</v>
      </c>
      <c r="AC162" t="n">
        <v>0.002275956959741714</v>
      </c>
      <c r="AD162" t="n">
        <v>0.0023897548077288</v>
      </c>
      <c r="AE162" t="n">
        <v>0.00250924254811524</v>
      </c>
      <c r="AF162" t="n">
        <v>0.002634704675521002</v>
      </c>
      <c r="AG162" t="n">
        <v>0.002766439909297052</v>
      </c>
      <c r="AH162" t="n">
        <v>0.001904761904761905</v>
      </c>
      <c r="AI162" t="n">
        <v>0</v>
      </c>
    </row>
    <row r="163">
      <c r="A163" t="inlineStr">
        <is>
          <t>Dominica_2018_August</t>
        </is>
      </c>
      <c r="B163" s="2" t="n"/>
      <c r="C163" s="3" t="inlineStr">
        <is>
          <t>SM.18.139</t>
        </is>
      </c>
      <c r="D163" s="4" t="inlineStr">
        <is>
          <t>Dominica</t>
        </is>
      </c>
      <c r="E163" s="4" t="inlineStr">
        <is>
          <t>DMA</t>
        </is>
      </c>
      <c r="F163" s="10" t="n">
        <v>43255</v>
      </c>
      <c r="G163" s="4" t="inlineStr">
        <is>
          <t>2013gn</t>
        </is>
      </c>
      <c r="H163" s="4" t="n">
        <v>2017</v>
      </c>
      <c r="I163" s="4" t="inlineStr">
        <is>
          <t>new.int.prvt</t>
        </is>
      </c>
      <c r="J163" t="inlineStr">
        <is>
          <t xml:space="preserve">   NPC</t>
        </is>
      </c>
      <c r="N163" t="n">
        <v>0.01350560140096444</v>
      </c>
      <c r="O163" t="n">
        <v>0.01334520628582748</v>
      </c>
      <c r="P163" t="n">
        <v>0.01251539967419293</v>
      </c>
      <c r="Q163" t="n">
        <v>0.0114588065838285</v>
      </c>
      <c r="R163" t="n">
        <v>0.01040680950561253</v>
      </c>
      <c r="S163" t="n">
        <v>0.009805548240152411</v>
      </c>
      <c r="T163" t="n">
        <v>0.009246106541048925</v>
      </c>
      <c r="U163" t="n">
        <v>0.008699544238471739</v>
      </c>
      <c r="V163" t="n">
        <v>0.007771884521891871</v>
      </c>
      <c r="W163" t="n">
        <v>0.006371626165720646</v>
      </c>
      <c r="X163" t="n">
        <v>0.004558409831073864</v>
      </c>
      <c r="Y163" t="n">
        <v>0.002393955874855609</v>
      </c>
      <c r="Z163" t="n">
        <v>-1.533304928916796e-05</v>
      </c>
      <c r="AA163" t="n">
        <v>-0.002568364560955306</v>
      </c>
      <c r="AB163" t="n">
        <v>-0.005262102337704628</v>
      </c>
      <c r="AC163" t="n">
        <v>-0.005998480458646875</v>
      </c>
      <c r="AD163" t="n">
        <v>-0.005603391239345211</v>
      </c>
      <c r="AE163" t="n">
        <v>-0.00491933733013785</v>
      </c>
      <c r="AF163" t="n">
        <v>-0.004323488048113085</v>
      </c>
      <c r="AG163" t="n">
        <v>-0.003821322072374057</v>
      </c>
      <c r="AH163" t="n">
        <v>-0.002400927677182129</v>
      </c>
      <c r="AI163" t="n">
        <v>0</v>
      </c>
    </row>
    <row r="164">
      <c r="A164" t="inlineStr">
        <is>
          <t>Dominica_2018_August</t>
        </is>
      </c>
      <c r="B164" s="2" t="n"/>
      <c r="C164" s="3" t="inlineStr">
        <is>
          <t>SM.18.139</t>
        </is>
      </c>
      <c r="D164" s="4" t="inlineStr">
        <is>
          <t>Dominica</t>
        </is>
      </c>
      <c r="E164" s="4" t="inlineStr">
        <is>
          <t>DMA</t>
        </is>
      </c>
      <c r="F164" s="10" t="n">
        <v>43255</v>
      </c>
      <c r="G164" s="4" t="inlineStr">
        <is>
          <t>2013gn</t>
        </is>
      </c>
      <c r="H164" s="4" t="n">
        <v>2017</v>
      </c>
      <c r="I164" s="4" t="inlineStr">
        <is>
          <t>new.int.prvt.bnd</t>
        </is>
      </c>
      <c r="J164" t="inlineStr">
        <is>
          <t>…</t>
        </is>
      </c>
      <c r="K164" t="n">
        <v>0</v>
      </c>
      <c r="N164" t="n">
        <v>0.00207223282538592</v>
      </c>
      <c r="O164" t="n">
        <v>0.001867096281470033</v>
      </c>
      <c r="P164" t="n">
        <v>0.001355916058506497</v>
      </c>
      <c r="Q164" t="n">
        <v>0.0008356612318021919</v>
      </c>
      <c r="R164" t="n">
        <v>0.0003052402933923017</v>
      </c>
      <c r="S164" t="n">
        <v>0.0002230840858396946</v>
      </c>
      <c r="T164" t="n">
        <v>0.0001824579197613089</v>
      </c>
      <c r="U164" t="n">
        <v>0.0001413495194530781</v>
      </c>
      <c r="V164" t="n">
        <v>0.0001093496870827061</v>
      </c>
      <c r="W164" t="n">
        <v>8.443263642173373e-05</v>
      </c>
      <c r="X164" t="n">
        <v>6.502274594857684e-05</v>
      </c>
      <c r="Y164" t="n">
        <v>4.989450552422516e-05</v>
      </c>
      <c r="Z164" t="n">
        <v>3.809469990928993e-05</v>
      </c>
      <c r="AA164" t="n">
        <v>2.888188693925412e-05</v>
      </c>
      <c r="AB164" t="n">
        <v>2.167932658265099e-05</v>
      </c>
      <c r="AC164" t="n">
        <v>1.603837139179503e-05</v>
      </c>
      <c r="AD164" t="n">
        <v>1.160999327434879e-05</v>
      </c>
      <c r="AE164" t="n">
        <v>8.122638264504711e-06</v>
      </c>
      <c r="AF164" t="n">
        <v>5.365002874389138e-06</v>
      </c>
      <c r="AG164" t="n">
        <v>3.172638184755935e-06</v>
      </c>
      <c r="AH164" t="n">
        <v>1.417530941394962e-06</v>
      </c>
      <c r="AI164" t="n">
        <v>0</v>
      </c>
    </row>
    <row r="165">
      <c r="A165" t="inlineStr">
        <is>
          <t>Dominica_2018_August</t>
        </is>
      </c>
      <c r="B165" s="2" t="n"/>
      <c r="C165" s="3" t="inlineStr">
        <is>
          <t>SM.18.139</t>
        </is>
      </c>
      <c r="D165" s="4" t="inlineStr">
        <is>
          <t>Dominica</t>
        </is>
      </c>
      <c r="E165" s="4" t="inlineStr">
        <is>
          <t>DMA</t>
        </is>
      </c>
      <c r="F165" s="10" t="n">
        <v>43255</v>
      </c>
      <c r="G165" s="4" t="inlineStr">
        <is>
          <t>2013gn</t>
        </is>
      </c>
      <c r="H165" s="4" t="n">
        <v>2017</v>
      </c>
      <c r="I165" s="4" t="inlineStr">
        <is>
          <t>new.int.prvt.cmbk</t>
        </is>
      </c>
      <c r="J165" t="inlineStr">
        <is>
          <t>…</t>
        </is>
      </c>
      <c r="N165" t="n">
        <v>0.001885345297835748</v>
      </c>
      <c r="O165" t="n">
        <v>0.001783572229394202</v>
      </c>
      <c r="P165" t="n">
        <v>0.001490018063086134</v>
      </c>
      <c r="Q165" t="n">
        <v>0.001194250003277478</v>
      </c>
      <c r="R165" t="n">
        <v>0.0008961573923302411</v>
      </c>
      <c r="S165" t="n">
        <v>0.0005956240026874941</v>
      </c>
      <c r="T165" t="n">
        <v>0.0002925277954144619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Dominica_2018_August</t>
        </is>
      </c>
      <c r="B166" s="2" t="n"/>
      <c r="C166" s="3" t="inlineStr">
        <is>
          <t>SM.18.139</t>
        </is>
      </c>
      <c r="D166" s="4" t="inlineStr">
        <is>
          <t>Dominica</t>
        </is>
      </c>
      <c r="E166" s="4" t="inlineStr">
        <is>
          <t>DMA</t>
        </is>
      </c>
      <c r="F166" s="10" t="n">
        <v>43255</v>
      </c>
      <c r="G166" s="4" t="inlineStr">
        <is>
          <t>2013gn</t>
        </is>
      </c>
      <c r="H166" s="4" t="n">
        <v>2017</v>
      </c>
      <c r="I166" s="4" t="inlineStr">
        <is>
          <t>new.int.prvt.com3</t>
        </is>
      </c>
      <c r="J166" t="inlineStr">
        <is>
          <t xml:space="preserve">   Others Non Paris Club</t>
        </is>
      </c>
      <c r="N166" t="n">
        <v>0.009548023277742774</v>
      </c>
      <c r="O166" t="n">
        <v>0.009694537774963246</v>
      </c>
      <c r="P166" t="n">
        <v>0.009669465552600303</v>
      </c>
      <c r="Q166" t="n">
        <v>0.009428895348748835</v>
      </c>
      <c r="R166" t="n">
        <v>0.009205411819889982</v>
      </c>
      <c r="S166" t="n">
        <v>0.008986840151625222</v>
      </c>
      <c r="T166" t="n">
        <v>0.008771120825873153</v>
      </c>
      <c r="U166" t="n">
        <v>0.00855819471901866</v>
      </c>
      <c r="V166" t="n">
        <v>0.007662534834809165</v>
      </c>
      <c r="W166" t="n">
        <v>0.006287193529298913</v>
      </c>
      <c r="X166" t="n">
        <v>0.004493387085125288</v>
      </c>
      <c r="Y166" t="n">
        <v>0.002344061369331383</v>
      </c>
      <c r="Z166" t="n">
        <v>-5.342774919845789e-05</v>
      </c>
      <c r="AA166" t="n">
        <v>-0.00259724644789456</v>
      </c>
      <c r="AB166" t="n">
        <v>-0.005283781664287279</v>
      </c>
      <c r="AC166" t="n">
        <v>-0.006014518830038671</v>
      </c>
      <c r="AD166" t="n">
        <v>-0.00561500123261956</v>
      </c>
      <c r="AE166" t="n">
        <v>-0.004927459968402354</v>
      </c>
      <c r="AF166" t="n">
        <v>-0.004328853050987474</v>
      </c>
      <c r="AG166" t="n">
        <v>-0.003824494710558813</v>
      </c>
      <c r="AH166" t="n">
        <v>-0.002402345208123524</v>
      </c>
      <c r="AI166" t="n">
        <v>0</v>
      </c>
    </row>
    <row r="167">
      <c r="A167" t="inlineStr">
        <is>
          <t>Dominica_2018_August</t>
        </is>
      </c>
      <c r="B167" s="2" t="n"/>
      <c r="C167" s="3" t="inlineStr">
        <is>
          <t>SM.18.139</t>
        </is>
      </c>
      <c r="D167" s="4" t="inlineStr">
        <is>
          <t>Dominica</t>
        </is>
      </c>
      <c r="E167" s="4" t="inlineStr">
        <is>
          <t>DMA</t>
        </is>
      </c>
      <c r="F167" s="10" t="n">
        <v>43255</v>
      </c>
      <c r="G167" s="4" t="inlineStr">
        <is>
          <t>2013gn</t>
        </is>
      </c>
      <c r="H167" s="4" t="n">
        <v>2017</v>
      </c>
      <c r="I167" s="4" t="inlineStr">
        <is>
          <t>new.int.prvt.com4</t>
        </is>
      </c>
      <c r="J167" t="inlineStr">
        <is>
          <t>Commercial</t>
        </is>
      </c>
      <c r="N167" t="n">
        <v>0.06082491111074526</v>
      </c>
      <c r="O167" t="n">
        <v>0.05643743216512455</v>
      </c>
      <c r="P167" t="n">
        <v>0.0533435918491854</v>
      </c>
      <c r="Q167" t="n">
        <v>0.04171909846107857</v>
      </c>
      <c r="R167" t="n">
        <v>0.03790648331015865</v>
      </c>
      <c r="S167" t="n">
        <v>0.03508804393791463</v>
      </c>
      <c r="T167" t="n">
        <v>0.03220830605920619</v>
      </c>
      <c r="U167" t="n">
        <v>0.02926420478574716</v>
      </c>
      <c r="V167" t="n">
        <v>0.02459958441981353</v>
      </c>
      <c r="W167" t="n">
        <v>0.0211300040398579</v>
      </c>
      <c r="X167" t="n">
        <v>0.01786365129214824</v>
      </c>
      <c r="Y167" t="n">
        <v>0.01479416894810725</v>
      </c>
      <c r="Z167" t="n">
        <v>0.01281303220892256</v>
      </c>
      <c r="AA167" t="n">
        <v>0.01107289712876998</v>
      </c>
      <c r="AB167" t="n">
        <v>0.009269514362615656</v>
      </c>
      <c r="AC167" t="n">
        <v>0.00739866550006903</v>
      </c>
      <c r="AD167" t="n">
        <v>0.005458725236186793</v>
      </c>
      <c r="AE167" t="n">
        <v>0.003814533372900302</v>
      </c>
      <c r="AF167" t="n">
        <v>0.002315902989089427</v>
      </c>
      <c r="AG167" t="n">
        <v>0.001025078677320449</v>
      </c>
      <c r="AH167" t="n">
        <v>3.567611622453162e-13</v>
      </c>
      <c r="AI167" t="n">
        <v>0</v>
      </c>
    </row>
    <row r="168">
      <c r="A168" t="inlineStr">
        <is>
          <t>Dominica_2018_August</t>
        </is>
      </c>
      <c r="B168" s="2" t="n"/>
      <c r="C168" s="3" t="inlineStr">
        <is>
          <t>SM.18.139</t>
        </is>
      </c>
      <c r="D168" s="4" t="inlineStr">
        <is>
          <t>Dominica</t>
        </is>
      </c>
      <c r="E168" s="4" t="inlineStr">
        <is>
          <t>DMA</t>
        </is>
      </c>
      <c r="F168" s="10" t="n">
        <v>43255</v>
      </c>
      <c r="G168" s="4" t="inlineStr">
        <is>
          <t>2013gn</t>
        </is>
      </c>
      <c r="H168" s="4" t="n">
        <v>2017</v>
      </c>
      <c r="I168" s="4" t="inlineStr">
        <is>
          <t>new.int.prvt.com5</t>
        </is>
      </c>
      <c r="J168" t="inlineStr">
        <is>
          <t>…</t>
        </is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Dominica_2018_August</t>
        </is>
      </c>
      <c r="B169" s="2" t="n"/>
      <c r="C169" s="3" t="inlineStr">
        <is>
          <t>SM.18.139</t>
        </is>
      </c>
      <c r="D169" s="4" t="inlineStr">
        <is>
          <t>Dominica</t>
        </is>
      </c>
      <c r="E169" s="4" t="inlineStr">
        <is>
          <t>DMA</t>
        </is>
      </c>
      <c r="F169" s="10" t="n">
        <v>43255</v>
      </c>
      <c r="G169" s="4" t="inlineStr">
        <is>
          <t>2013gn</t>
        </is>
      </c>
      <c r="H169" s="4" t="n">
        <v>2017</v>
      </c>
      <c r="I169" s="4" t="inlineStr">
        <is>
          <t>new.int.lcl.nres</t>
        </is>
      </c>
      <c r="J169" t="inlineStr">
        <is>
          <t>…</t>
        </is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Dominica_2018_August</t>
        </is>
      </c>
      <c r="B170" s="2" t="n"/>
      <c r="C170" s="3" t="inlineStr">
        <is>
          <t>SM.18.139</t>
        </is>
      </c>
      <c r="D170" s="4" t="inlineStr">
        <is>
          <t>Dominica</t>
        </is>
      </c>
      <c r="E170" s="4" t="inlineStr">
        <is>
          <t>DMA</t>
        </is>
      </c>
      <c r="F170" s="10" t="n">
        <v>43255</v>
      </c>
      <c r="G170" s="4" t="inlineStr">
        <is>
          <t>2013gn</t>
        </is>
      </c>
      <c r="H170" s="4" t="n">
        <v>2017</v>
      </c>
      <c r="I170" s="4" t="inlineStr">
        <is>
          <t>new.int.lcl.nres.lc</t>
        </is>
      </c>
      <c r="J170" t="inlineStr">
        <is>
          <t xml:space="preserve">   Others Commercial</t>
        </is>
      </c>
      <c r="N170" t="n">
        <v>0.06082491111074526</v>
      </c>
      <c r="O170" t="n">
        <v>0.05643743216512455</v>
      </c>
      <c r="P170" t="n">
        <v>0.0533435918491854</v>
      </c>
      <c r="Q170" t="n">
        <v>0.04171909846107857</v>
      </c>
      <c r="R170" t="n">
        <v>0.03790648331015865</v>
      </c>
      <c r="S170" t="n">
        <v>0.03508804393791463</v>
      </c>
      <c r="T170" t="n">
        <v>0.03220830605920619</v>
      </c>
      <c r="U170" t="n">
        <v>0.02926420478574716</v>
      </c>
      <c r="V170" t="n">
        <v>0.02459958441981353</v>
      </c>
      <c r="W170" t="n">
        <v>0.0211300040398579</v>
      </c>
      <c r="X170" t="n">
        <v>0.01786365129214824</v>
      </c>
      <c r="Y170" t="n">
        <v>0.01479416894810725</v>
      </c>
      <c r="Z170" t="n">
        <v>0.01281303220892256</v>
      </c>
      <c r="AA170" t="n">
        <v>0.01107289712876998</v>
      </c>
      <c r="AB170" t="n">
        <v>0.009269514362615656</v>
      </c>
      <c r="AC170" t="n">
        <v>0.00739866550006903</v>
      </c>
      <c r="AD170" t="n">
        <v>0.005458725236186793</v>
      </c>
      <c r="AE170" t="n">
        <v>0.003814533372900302</v>
      </c>
      <c r="AF170" t="n">
        <v>0.002315902989089427</v>
      </c>
      <c r="AG170" t="n">
        <v>0.001025078677320449</v>
      </c>
      <c r="AH170" t="n">
        <v>3.567611622453162e-13</v>
      </c>
      <c r="AI170" t="n">
        <v>0</v>
      </c>
    </row>
    <row r="171">
      <c r="A171" t="inlineStr">
        <is>
          <t>Dominica_2018_August</t>
        </is>
      </c>
      <c r="B171" s="2" t="n"/>
      <c r="C171" s="3" t="inlineStr">
        <is>
          <t>SM.18.139</t>
        </is>
      </c>
      <c r="D171" s="4" t="inlineStr">
        <is>
          <t>Dominica</t>
        </is>
      </c>
      <c r="E171" s="4" t="inlineStr">
        <is>
          <t>DMA</t>
        </is>
      </c>
      <c r="F171" s="10" t="n">
        <v>43255</v>
      </c>
      <c r="G171" s="4" t="inlineStr">
        <is>
          <t>2013gn</t>
        </is>
      </c>
      <c r="H171" s="4" t="n">
        <v>2017</v>
      </c>
      <c r="I171" s="4" t="inlineStr">
        <is>
          <t>new.int.lcl.nres.bnd.1to3.lc</t>
        </is>
      </c>
    </row>
    <row r="172">
      <c r="A172" t="inlineStr">
        <is>
          <t>Dominica_2018_August</t>
        </is>
      </c>
      <c r="B172" s="2" t="n"/>
      <c r="C172" s="3" t="inlineStr">
        <is>
          <t>SM.18.139</t>
        </is>
      </c>
      <c r="D172" s="4" t="inlineStr">
        <is>
          <t>Dominica</t>
        </is>
      </c>
      <c r="E172" s="4" t="inlineStr">
        <is>
          <t>DMA</t>
        </is>
      </c>
      <c r="F172" s="10" t="n">
        <v>43255</v>
      </c>
      <c r="G172" s="4" t="inlineStr">
        <is>
          <t>2013gn</t>
        </is>
      </c>
      <c r="H172" s="4" t="n">
        <v>2017</v>
      </c>
      <c r="I172" s="4" t="inlineStr">
        <is>
          <t>new.int.lcl.nres.bnd.4to7.lc</t>
        </is>
      </c>
      <c r="J172" t="inlineStr">
        <is>
          <t>PV of existing arrears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Dominica_2018_August</t>
        </is>
      </c>
      <c r="B173" s="2" t="n"/>
      <c r="C173" s="3" t="inlineStr">
        <is>
          <t>SM.18.139</t>
        </is>
      </c>
      <c r="D173" s="4" t="inlineStr">
        <is>
          <t>Dominica</t>
        </is>
      </c>
      <c r="E173" s="4" t="inlineStr">
        <is>
          <t>DMA</t>
        </is>
      </c>
      <c r="F173" s="10" t="n">
        <v>43255</v>
      </c>
      <c r="G173" s="4" t="inlineStr">
        <is>
          <t>2013gn</t>
        </is>
      </c>
      <c r="H173" s="4" t="n">
        <v>2017</v>
      </c>
      <c r="I173" s="4" t="inlineStr">
        <is>
          <t>new.int.lcl.nres.bnd.byd7.lc</t>
        </is>
      </c>
    </row>
    <row r="174">
      <c r="A174" t="inlineStr">
        <is>
          <t>Dominica_2018_August</t>
        </is>
      </c>
      <c r="B174" s="2" t="n"/>
      <c r="C174" s="3" t="inlineStr">
        <is>
          <t>SM.18.139</t>
        </is>
      </c>
      <c r="D174" s="4" t="inlineStr">
        <is>
          <t>Dominica</t>
        </is>
      </c>
      <c r="E174" s="4" t="inlineStr">
        <is>
          <t>DMA</t>
        </is>
      </c>
      <c r="F174" s="10" t="n">
        <v>43255</v>
      </c>
      <c r="G174" s="4" t="inlineStr">
        <is>
          <t>2013gn</t>
        </is>
      </c>
      <c r="H174" s="4" t="n">
        <v>2017</v>
      </c>
      <c r="I174" s="4" t="inlineStr">
        <is>
          <t>new.int.lcl.nres.fx</t>
        </is>
      </c>
      <c r="J174" t="inlineStr">
        <is>
          <t>PV of new MLT debt</t>
        </is>
      </c>
      <c r="O174" t="n">
        <v>0.03936193067457203</v>
      </c>
      <c r="P174" t="n">
        <v>0.07417035270195114</v>
      </c>
      <c r="Q174" t="n">
        <v>0.1148601391119583</v>
      </c>
      <c r="R174" t="n">
        <v>0.1810073894193867</v>
      </c>
      <c r="S174" t="n">
        <v>0.2322958328041148</v>
      </c>
      <c r="T174" t="n">
        <v>0.2647768180517466</v>
      </c>
      <c r="U174" t="n">
        <v>0.2906147258497204</v>
      </c>
      <c r="V174" t="n">
        <v>0.3124823208405101</v>
      </c>
      <c r="W174" t="n">
        <v>0.3340166599094972</v>
      </c>
      <c r="X174" t="n">
        <v>0.3528835423671452</v>
      </c>
      <c r="Y174" t="n">
        <v>0.3714452819164188</v>
      </c>
      <c r="Z174" t="n">
        <v>0.3880608049201826</v>
      </c>
      <c r="AA174" t="n">
        <v>0.4021311724363409</v>
      </c>
      <c r="AB174" t="n">
        <v>0.4158812579372305</v>
      </c>
      <c r="AC174" t="n">
        <v>0.4294338140081277</v>
      </c>
      <c r="AD174" t="n">
        <v>0.4411391421175483</v>
      </c>
      <c r="AE174" t="n">
        <v>0.4522700385839005</v>
      </c>
      <c r="AF174" t="n">
        <v>0.4634447558442747</v>
      </c>
      <c r="AG174" t="n">
        <v>0.4749357572218184</v>
      </c>
      <c r="AH174" t="n">
        <v>0.4867912106314282</v>
      </c>
      <c r="AI174" t="n">
        <v>0.4981247813869827</v>
      </c>
    </row>
    <row r="175">
      <c r="A175" t="inlineStr">
        <is>
          <t>Dominica_2018_August</t>
        </is>
      </c>
      <c r="B175" s="2" t="n"/>
      <c r="C175" s="3" t="inlineStr">
        <is>
          <t>SM.18.139</t>
        </is>
      </c>
      <c r="D175" s="4" t="inlineStr">
        <is>
          <t>Dominica</t>
        </is>
      </c>
      <c r="E175" s="4" t="inlineStr">
        <is>
          <t>DMA</t>
        </is>
      </c>
      <c r="F175" s="10" t="n">
        <v>43255</v>
      </c>
      <c r="G175" s="4" t="inlineStr">
        <is>
          <t>2013gn</t>
        </is>
      </c>
      <c r="H175" s="4" t="n">
        <v>2017</v>
      </c>
      <c r="I175" s="4" t="inlineStr">
        <is>
          <t>new.int.lcl.nres.bnd.1to3.fx</t>
        </is>
      </c>
      <c r="J175" t="inlineStr">
        <is>
          <t>Multilaterals</t>
        </is>
      </c>
      <c r="O175" t="n">
        <v>0.01234813337968095</v>
      </c>
      <c r="P175" t="n">
        <v>0.02692312058240504</v>
      </c>
      <c r="Q175" t="n">
        <v>0.04493596221690069</v>
      </c>
      <c r="R175" t="n">
        <v>0.06673556345304835</v>
      </c>
      <c r="S175" t="n">
        <v>0.08773795993727719</v>
      </c>
      <c r="T175" t="n">
        <v>0.1001280042471549</v>
      </c>
      <c r="U175" t="n">
        <v>0.108515844787516</v>
      </c>
      <c r="V175" t="n">
        <v>0.1156387247082225</v>
      </c>
      <c r="W175" t="n">
        <v>0.1227805205895753</v>
      </c>
      <c r="X175" t="n">
        <v>0.130073488454685</v>
      </c>
      <c r="Y175" t="n">
        <v>0.1374765832127781</v>
      </c>
      <c r="Z175" t="n">
        <v>0.1437166791382577</v>
      </c>
      <c r="AA175" t="n">
        <v>0.1485922374866079</v>
      </c>
      <c r="AB175" t="n">
        <v>0.1517556603053669</v>
      </c>
      <c r="AC175" t="n">
        <v>0.1528393186634764</v>
      </c>
      <c r="AD175" t="n">
        <v>0.1509760404711243</v>
      </c>
      <c r="AE175" t="n">
        <v>0.1475363145934828</v>
      </c>
      <c r="AF175" t="n">
        <v>0.1434414698516136</v>
      </c>
      <c r="AG175" t="n">
        <v>0.1388792183153499</v>
      </c>
      <c r="AH175" t="n">
        <v>0.1338500365323961</v>
      </c>
      <c r="AI175" t="n">
        <v>0.1283300561764395</v>
      </c>
    </row>
    <row r="176">
      <c r="A176" t="inlineStr">
        <is>
          <t>Dominica_2018_August</t>
        </is>
      </c>
      <c r="B176" s="2" t="n"/>
      <c r="C176" s="3" t="inlineStr">
        <is>
          <t>SM.18.139</t>
        </is>
      </c>
      <c r="D176" s="4" t="inlineStr">
        <is>
          <t>Dominica</t>
        </is>
      </c>
      <c r="E176" s="4" t="inlineStr">
        <is>
          <t>DMA</t>
        </is>
      </c>
      <c r="F176" s="10" t="n">
        <v>43255</v>
      </c>
      <c r="G176" s="4" t="inlineStr">
        <is>
          <t>2013gn</t>
        </is>
      </c>
      <c r="H176" s="4" t="n">
        <v>2017</v>
      </c>
      <c r="I176" s="4" t="inlineStr">
        <is>
          <t>new.int.lcl.nres.bnd.4to7.fx</t>
        </is>
      </c>
      <c r="J176" t="inlineStr">
        <is>
          <t xml:space="preserve">   IMF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Dominica_2018_August</t>
        </is>
      </c>
      <c r="B177" s="2" t="n"/>
      <c r="C177" s="3" t="inlineStr">
        <is>
          <t>SM.18.139</t>
        </is>
      </c>
      <c r="D177" s="4" t="inlineStr">
        <is>
          <t>Dominica</t>
        </is>
      </c>
      <c r="E177" s="4" t="inlineStr">
        <is>
          <t>DMA</t>
        </is>
      </c>
      <c r="F177" s="10" t="n">
        <v>43255</v>
      </c>
      <c r="G177" s="4" t="inlineStr">
        <is>
          <t>2013gn</t>
        </is>
      </c>
      <c r="H177" s="4" t="n">
        <v>2017</v>
      </c>
      <c r="I177" s="4" t="inlineStr">
        <is>
          <t>new.int.lcl.nres.bnd.byd7.fx</t>
        </is>
      </c>
      <c r="J177" t="inlineStr">
        <is>
          <t xml:space="preserve">   IDA - Small Island Country</t>
        </is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Dominica_2018_August</t>
        </is>
      </c>
      <c r="B178" s="2" t="n"/>
      <c r="C178" s="3" t="inlineStr">
        <is>
          <t>SM.18.139</t>
        </is>
      </c>
      <c r="D178" s="4" t="inlineStr">
        <is>
          <t>Dominica</t>
        </is>
      </c>
      <c r="E178" s="4" t="inlineStr">
        <is>
          <t>DMA</t>
        </is>
      </c>
      <c r="F178" s="10" t="n">
        <v>43255</v>
      </c>
      <c r="G178" s="4" t="inlineStr">
        <is>
          <t>2013gn</t>
        </is>
      </c>
      <c r="H178" s="4" t="n">
        <v>2017</v>
      </c>
      <c r="I178" s="5" t="n"/>
      <c r="J178" t="inlineStr">
        <is>
          <t>IDA - Regular</t>
        </is>
      </c>
      <c r="O178" t="n">
        <v>0.001501759778388635</v>
      </c>
      <c r="P178" t="n">
        <v>0.003328524304361274</v>
      </c>
      <c r="Q178" t="n">
        <v>0.005621173930231122</v>
      </c>
      <c r="R178" t="n">
        <v>0.008434158549920787</v>
      </c>
      <c r="S178" t="n">
        <v>0.01121654042123568</v>
      </c>
      <c r="T178" t="n">
        <v>0.01300729121679465</v>
      </c>
      <c r="U178" t="n">
        <v>0.01435161601333987</v>
      </c>
      <c r="V178" t="n">
        <v>0.01548784675121927</v>
      </c>
      <c r="W178" t="n">
        <v>0.0165511882132951</v>
      </c>
      <c r="X178" t="n">
        <v>0.01753094146134718</v>
      </c>
      <c r="Y178" t="n">
        <v>0.01839212319410271</v>
      </c>
      <c r="Z178" t="n">
        <v>0.01913800657368143</v>
      </c>
      <c r="AA178" t="n">
        <v>0.01983635797623684</v>
      </c>
      <c r="AB178" t="n">
        <v>0.02051797800417317</v>
      </c>
      <c r="AC178" t="n">
        <v>0.02119600208057824</v>
      </c>
      <c r="AD178" t="n">
        <v>0.02175360132235695</v>
      </c>
      <c r="AE178" t="n">
        <v>0.02224384333970715</v>
      </c>
      <c r="AF178" t="n">
        <v>0.02272521539962261</v>
      </c>
      <c r="AG178" t="n">
        <v>0.02320393364208173</v>
      </c>
      <c r="AH178" t="n">
        <v>0.02368028589556951</v>
      </c>
      <c r="AI178" t="n">
        <v>0.02415380117542342</v>
      </c>
    </row>
    <row r="179">
      <c r="A179" t="inlineStr">
        <is>
          <t>Dominica_2018_August</t>
        </is>
      </c>
      <c r="B179" s="2" t="n"/>
      <c r="C179" s="3" t="inlineStr">
        <is>
          <t>SM.18.139</t>
        </is>
      </c>
      <c r="D179" s="4" t="inlineStr">
        <is>
          <t>Dominica</t>
        </is>
      </c>
      <c r="E179" s="4" t="inlineStr">
        <is>
          <t>DMA</t>
        </is>
      </c>
      <c r="F179" s="10" t="n">
        <v>43255</v>
      </c>
      <c r="G179" s="4" t="inlineStr">
        <is>
          <t>2013gn</t>
        </is>
      </c>
      <c r="H179" s="4" t="n">
        <v>2017</v>
      </c>
      <c r="I179" s="4" t="inlineStr">
        <is>
          <t>new.int.lcl.fx</t>
        </is>
      </c>
      <c r="J179" t="inlineStr">
        <is>
          <t>IBRD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Dominica_2018_August</t>
        </is>
      </c>
      <c r="B180" s="2" t="n"/>
      <c r="C180" s="3" t="inlineStr">
        <is>
          <t>SM.18.139</t>
        </is>
      </c>
      <c r="D180" s="4" t="inlineStr">
        <is>
          <t>Dominica</t>
        </is>
      </c>
      <c r="E180" s="4" t="inlineStr">
        <is>
          <t>DMA</t>
        </is>
      </c>
      <c r="F180" s="10" t="n">
        <v>43255</v>
      </c>
      <c r="G180" s="4" t="inlineStr">
        <is>
          <t>2013gn</t>
        </is>
      </c>
      <c r="H180" s="4" t="n">
        <v>2017</v>
      </c>
      <c r="I180" s="4" t="inlineStr">
        <is>
          <t>new.int.lcl.fx.bnd.1to3.fx</t>
        </is>
      </c>
      <c r="J180" t="inlineStr">
        <is>
          <t>Other Multilateral</t>
        </is>
      </c>
      <c r="O180" t="n">
        <v>0.01084637360129232</v>
      </c>
      <c r="P180" t="n">
        <v>0.02359459627804376</v>
      </c>
      <c r="Q180" t="n">
        <v>0.03931478828666957</v>
      </c>
      <c r="R180" t="n">
        <v>0.05830140490312757</v>
      </c>
      <c r="S180" t="n">
        <v>0.07652141951604151</v>
      </c>
      <c r="T180" t="n">
        <v>0.08712071303036026</v>
      </c>
      <c r="U180" t="n">
        <v>0.09416422877417616</v>
      </c>
      <c r="V180" t="n">
        <v>0.1001508779570032</v>
      </c>
      <c r="W180" t="n">
        <v>0.1062293323762802</v>
      </c>
      <c r="X180" t="n">
        <v>0.1125425469933378</v>
      </c>
      <c r="Y180" t="n">
        <v>0.1190844600186754</v>
      </c>
      <c r="Z180" t="n">
        <v>0.1245786725645763</v>
      </c>
      <c r="AA180" t="n">
        <v>0.128755879510371</v>
      </c>
      <c r="AB180" t="n">
        <v>0.1312376823011937</v>
      </c>
      <c r="AC180" t="n">
        <v>0.1316433165828982</v>
      </c>
      <c r="AD180" t="n">
        <v>0.1292224391487673</v>
      </c>
      <c r="AE180" t="n">
        <v>0.1252924712537757</v>
      </c>
      <c r="AF180" t="n">
        <v>0.120716254451991</v>
      </c>
      <c r="AG180" t="n">
        <v>0.1156752846732681</v>
      </c>
      <c r="AH180" t="n">
        <v>0.1101697506368266</v>
      </c>
      <c r="AI180" t="n">
        <v>0.1041762550010161</v>
      </c>
    </row>
    <row r="181">
      <c r="A181" t="inlineStr">
        <is>
          <t>Dominica_2018_August</t>
        </is>
      </c>
      <c r="B181" s="2" t="n"/>
      <c r="C181" s="3" t="inlineStr">
        <is>
          <t>SM.18.139</t>
        </is>
      </c>
      <c r="D181" s="4" t="inlineStr">
        <is>
          <t>Dominica</t>
        </is>
      </c>
      <c r="E181" s="4" t="inlineStr">
        <is>
          <t>DMA</t>
        </is>
      </c>
      <c r="F181" s="10" t="n">
        <v>43255</v>
      </c>
      <c r="G181" s="4" t="inlineStr">
        <is>
          <t>2013gn</t>
        </is>
      </c>
      <c r="H181" s="4" t="n">
        <v>2017</v>
      </c>
      <c r="I181" s="4" t="inlineStr">
        <is>
          <t>new.int.lcl.fx.bnd.4to7.fx</t>
        </is>
      </c>
      <c r="J181" t="inlineStr">
        <is>
          <t>Official Bilaterals</t>
        </is>
      </c>
      <c r="O181" t="n">
        <v>0.02468665317758038</v>
      </c>
      <c r="P181" t="n">
        <v>0.04519137732550793</v>
      </c>
      <c r="Q181" t="n">
        <v>0.06599170465620843</v>
      </c>
      <c r="R181" t="n">
        <v>0.09393741968927247</v>
      </c>
      <c r="S181" t="n">
        <v>0.1181680200268402</v>
      </c>
      <c r="T181" t="n">
        <v>0.1351310317267035</v>
      </c>
      <c r="U181" t="n">
        <v>0.1509189894338292</v>
      </c>
      <c r="V181" t="n">
        <v>0.1646889690136492</v>
      </c>
      <c r="W181" t="n">
        <v>0.1783652952591248</v>
      </c>
      <c r="X181" t="n">
        <v>0.1915434816205122</v>
      </c>
      <c r="Y181" t="n">
        <v>0.2025480705330987</v>
      </c>
      <c r="Z181" t="n">
        <v>0.2128598589415626</v>
      </c>
      <c r="AA181" t="n">
        <v>0.2229225343697367</v>
      </c>
      <c r="AB181" t="n">
        <v>0.2344279114578279</v>
      </c>
      <c r="AC181" t="n">
        <v>0.2474655554986732</v>
      </c>
      <c r="AD181" t="n">
        <v>0.2610360084331832</v>
      </c>
      <c r="AE181" t="n">
        <v>0.2753319148766675</v>
      </c>
      <c r="AF181" t="n">
        <v>0.2900522454119454</v>
      </c>
      <c r="AG181" t="n">
        <v>0.3053137433915664</v>
      </c>
      <c r="AH181" t="n">
        <v>0.3213722771037542</v>
      </c>
      <c r="AI181" t="n">
        <v>0.3373952205382648</v>
      </c>
    </row>
    <row r="182">
      <c r="A182" t="inlineStr">
        <is>
          <t>Dominica_2018_August</t>
        </is>
      </c>
      <c r="B182" s="2" t="n"/>
      <c r="C182" s="3" t="inlineStr">
        <is>
          <t>SM.18.139</t>
        </is>
      </c>
      <c r="D182" s="4" t="inlineStr">
        <is>
          <t>Dominica</t>
        </is>
      </c>
      <c r="E182" s="4" t="inlineStr">
        <is>
          <t>DMA</t>
        </is>
      </c>
      <c r="F182" s="10" t="n">
        <v>43255</v>
      </c>
      <c r="G182" s="4" t="inlineStr">
        <is>
          <t>2013gn</t>
        </is>
      </c>
      <c r="H182" s="4" t="n">
        <v>2017</v>
      </c>
      <c r="I182" s="4" t="inlineStr">
        <is>
          <t>new.int.lcl.fx.bnd.byd7.fx</t>
        </is>
      </c>
      <c r="J182" t="inlineStr">
        <is>
          <t xml:space="preserve">   PC</t>
        </is>
      </c>
      <c r="O182" t="n">
        <v>0.01483526562399689</v>
      </c>
      <c r="P182" t="n">
        <v>0.02379327336229782</v>
      </c>
      <c r="Q182" t="n">
        <v>0.03037581570007219</v>
      </c>
      <c r="R182" t="n">
        <v>0.04117234331150111</v>
      </c>
      <c r="S182" t="n">
        <v>0.0489892921711623</v>
      </c>
      <c r="T182" t="n">
        <v>0.05649329900494924</v>
      </c>
      <c r="U182" t="n">
        <v>0.06713789415853635</v>
      </c>
      <c r="V182" t="n">
        <v>0.07802119198155753</v>
      </c>
      <c r="W182" t="n">
        <v>0.09032412403622131</v>
      </c>
      <c r="X182" t="n">
        <v>0.103843666602798</v>
      </c>
      <c r="Y182" t="n">
        <v>0.1168387419116292</v>
      </c>
      <c r="Z182" t="n">
        <v>0.1300321219199586</v>
      </c>
      <c r="AA182" t="n">
        <v>0.1435207897781614</v>
      </c>
      <c r="AB182" t="n">
        <v>0.1589030396710051</v>
      </c>
      <c r="AC182" t="n">
        <v>0.176256943162949</v>
      </c>
      <c r="AD182" t="n">
        <v>0.1953586172961231</v>
      </c>
      <c r="AE182" t="n">
        <v>0.2149842791610687</v>
      </c>
      <c r="AF182" t="n">
        <v>0.2342396565794903</v>
      </c>
      <c r="AG182" t="n">
        <v>0.2529105919561711</v>
      </c>
      <c r="AH182" t="n">
        <v>0.2709308506033864</v>
      </c>
      <c r="AI182" t="n">
        <v>0.2875566563902687</v>
      </c>
    </row>
    <row r="183">
      <c r="A183" t="inlineStr">
        <is>
          <t>Dominica_2018_August</t>
        </is>
      </c>
      <c r="B183" s="2" t="n"/>
      <c r="C183" s="3" t="inlineStr">
        <is>
          <t>SM.18.139</t>
        </is>
      </c>
      <c r="D183" s="4" t="inlineStr">
        <is>
          <t>Dominica</t>
        </is>
      </c>
      <c r="E183" s="4" t="inlineStr">
        <is>
          <t>DMA</t>
        </is>
      </c>
      <c r="F183" s="10" t="n">
        <v>43255</v>
      </c>
      <c r="G183" s="4" t="inlineStr">
        <is>
          <t>2013gn</t>
        </is>
      </c>
      <c r="H183" s="4" t="n">
        <v>2017</v>
      </c>
      <c r="I183" s="5" t="n"/>
      <c r="J183" t="inlineStr">
        <is>
          <t>…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Dominica_2018_August</t>
        </is>
      </c>
      <c r="B184" s="2" t="n"/>
      <c r="C184" s="3" t="inlineStr">
        <is>
          <t>SM.18.139</t>
        </is>
      </c>
      <c r="D184" s="4" t="inlineStr">
        <is>
          <t>Dominica</t>
        </is>
      </c>
      <c r="E184" s="4" t="inlineStr">
        <is>
          <t>DMA</t>
        </is>
      </c>
      <c r="F184" s="10" t="n">
        <v>43255</v>
      </c>
      <c r="G184" s="4" t="inlineStr">
        <is>
          <t>2013gn</t>
        </is>
      </c>
      <c r="H184" s="4" t="n">
        <v>2017</v>
      </c>
      <c r="I184" s="4" t="inlineStr">
        <is>
          <t>new.amt</t>
        </is>
      </c>
      <c r="J184" t="inlineStr">
        <is>
          <t>…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inlineStr">
        <is>
          <t>Dominica_2018_August</t>
        </is>
      </c>
      <c r="B185" s="2" t="n"/>
      <c r="C185" s="3" t="inlineStr">
        <is>
          <t>SM.18.139</t>
        </is>
      </c>
      <c r="D185" s="4" t="inlineStr">
        <is>
          <t>Dominica</t>
        </is>
      </c>
      <c r="E185" s="4" t="inlineStr">
        <is>
          <t>DMA</t>
        </is>
      </c>
      <c r="F185" s="10" t="n">
        <v>43255</v>
      </c>
      <c r="G185" s="4" t="inlineStr">
        <is>
          <t>2013gn</t>
        </is>
      </c>
      <c r="H185" s="4" t="n">
        <v>2017</v>
      </c>
      <c r="I185" s="4" t="inlineStr">
        <is>
          <t>new.amt.mlt</t>
        </is>
      </c>
      <c r="J185" t="inlineStr">
        <is>
          <t xml:space="preserve">   Others Paris Club</t>
        </is>
      </c>
      <c r="O185" t="n">
        <v>0.01483526562399689</v>
      </c>
      <c r="P185" t="n">
        <v>0.02379327336229782</v>
      </c>
      <c r="Q185" t="n">
        <v>0.03037581570007219</v>
      </c>
      <c r="R185" t="n">
        <v>0.04117234331150111</v>
      </c>
      <c r="S185" t="n">
        <v>0.0489892921711623</v>
      </c>
      <c r="T185" t="n">
        <v>0.05649329900494924</v>
      </c>
      <c r="U185" t="n">
        <v>0.06713789415853635</v>
      </c>
      <c r="V185" t="n">
        <v>0.07802119198155753</v>
      </c>
      <c r="W185" t="n">
        <v>0.09032412403622131</v>
      </c>
      <c r="X185" t="n">
        <v>0.103843666602798</v>
      </c>
      <c r="Y185" t="n">
        <v>0.1168387419116292</v>
      </c>
      <c r="Z185" t="n">
        <v>0.1300321219199586</v>
      </c>
      <c r="AA185" t="n">
        <v>0.1435207897781614</v>
      </c>
      <c r="AB185" t="n">
        <v>0.1589030396710051</v>
      </c>
      <c r="AC185" t="n">
        <v>0.176256943162949</v>
      </c>
      <c r="AD185" t="n">
        <v>0.1953586172961231</v>
      </c>
      <c r="AE185" t="n">
        <v>0.2149842791610687</v>
      </c>
      <c r="AF185" t="n">
        <v>0.2342396565794903</v>
      </c>
      <c r="AG185" t="n">
        <v>0.2529105919561711</v>
      </c>
      <c r="AH185" t="n">
        <v>0.2709308506033864</v>
      </c>
      <c r="AI185" t="n">
        <v>0.2875566563902687</v>
      </c>
    </row>
    <row r="186">
      <c r="A186" t="inlineStr">
        <is>
          <t>Dominica_2018_August</t>
        </is>
      </c>
      <c r="B186" s="2" t="n"/>
      <c r="C186" s="3" t="inlineStr">
        <is>
          <t>SM.18.139</t>
        </is>
      </c>
      <c r="D186" s="4" t="inlineStr">
        <is>
          <t>Dominica</t>
        </is>
      </c>
      <c r="E186" s="4" t="inlineStr">
        <is>
          <t>DMA</t>
        </is>
      </c>
      <c r="F186" s="10" t="n">
        <v>43255</v>
      </c>
      <c r="G186" s="4" t="inlineStr">
        <is>
          <t>2013gn</t>
        </is>
      </c>
      <c r="H186" s="4" t="n">
        <v>2017</v>
      </c>
      <c r="I186" s="4" t="inlineStr">
        <is>
          <t>new.amt.mlt.imf</t>
        </is>
      </c>
      <c r="J186" t="inlineStr">
        <is>
          <t xml:space="preserve">   NPC</t>
        </is>
      </c>
      <c r="O186" t="n">
        <v>0.009851387553583484</v>
      </c>
      <c r="P186" t="n">
        <v>0.02139810396321011</v>
      </c>
      <c r="Q186" t="n">
        <v>0.03561588895613624</v>
      </c>
      <c r="R186" t="n">
        <v>0.05276507637777135</v>
      </c>
      <c r="S186" t="n">
        <v>0.06917872785567786</v>
      </c>
      <c r="T186" t="n">
        <v>0.07863773272175426</v>
      </c>
      <c r="U186" t="n">
        <v>0.08378109527529283</v>
      </c>
      <c r="V186" t="n">
        <v>0.08666777703209169</v>
      </c>
      <c r="W186" t="n">
        <v>0.08804117122290353</v>
      </c>
      <c r="X186" t="n">
        <v>0.08769981501771426</v>
      </c>
      <c r="Y186" t="n">
        <v>0.08570932862146957</v>
      </c>
      <c r="Z186" t="n">
        <v>0.08282773702160401</v>
      </c>
      <c r="AA186" t="n">
        <v>0.0794017445915753</v>
      </c>
      <c r="AB186" t="n">
        <v>0.07552487178682281</v>
      </c>
      <c r="AC186" t="n">
        <v>0.07120861233572415</v>
      </c>
      <c r="AD186" t="n">
        <v>0.06567739113706003</v>
      </c>
      <c r="AE186" t="n">
        <v>0.06034763571559887</v>
      </c>
      <c r="AF186" t="n">
        <v>0.05581258883245516</v>
      </c>
      <c r="AG186" t="n">
        <v>0.05240315143539523</v>
      </c>
      <c r="AH186" t="n">
        <v>0.0504414265003678</v>
      </c>
      <c r="AI186" t="n">
        <v>0.0498385641479961</v>
      </c>
    </row>
    <row r="187">
      <c r="A187" t="inlineStr">
        <is>
          <t>Dominica_2018_August</t>
        </is>
      </c>
      <c r="B187" s="2" t="n"/>
      <c r="C187" s="3" t="inlineStr">
        <is>
          <t>SM.18.139</t>
        </is>
      </c>
      <c r="D187" s="4" t="inlineStr">
        <is>
          <t>Dominica</t>
        </is>
      </c>
      <c r="E187" s="4" t="inlineStr">
        <is>
          <t>DMA</t>
        </is>
      </c>
      <c r="F187" s="10" t="n">
        <v>43255</v>
      </c>
      <c r="G187" s="4" t="inlineStr">
        <is>
          <t>2013gn</t>
        </is>
      </c>
      <c r="H187" s="4" t="n">
        <v>2017</v>
      </c>
      <c r="I187" s="4" t="inlineStr">
        <is>
          <t>new.amt.mlt.ida.reg</t>
        </is>
      </c>
      <c r="J187" t="inlineStr">
        <is>
          <t>…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Dominica_2018_August</t>
        </is>
      </c>
      <c r="B188" s="2" t="n"/>
      <c r="C188" s="3" t="inlineStr">
        <is>
          <t>SM.18.139</t>
        </is>
      </c>
      <c r="D188" s="4" t="inlineStr">
        <is>
          <t>Dominica</t>
        </is>
      </c>
      <c r="E188" s="4" t="inlineStr">
        <is>
          <t>DMA</t>
        </is>
      </c>
      <c r="F188" s="10" t="n">
        <v>43255</v>
      </c>
      <c r="G188" s="4" t="inlineStr">
        <is>
          <t>2013gn</t>
        </is>
      </c>
      <c r="H188" s="4" t="n">
        <v>2017</v>
      </c>
      <c r="I188" s="4" t="inlineStr">
        <is>
          <t>new.amt.mlt.ida.bld</t>
        </is>
      </c>
      <c r="J188" t="inlineStr">
        <is>
          <t>…</t>
        </is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Dominica_2018_August</t>
        </is>
      </c>
      <c r="B189" s="2" t="n"/>
      <c r="C189" s="3" t="inlineStr">
        <is>
          <t>SM.18.139</t>
        </is>
      </c>
      <c r="D189" s="4" t="inlineStr">
        <is>
          <t>Dominica</t>
        </is>
      </c>
      <c r="E189" s="4" t="inlineStr">
        <is>
          <t>DMA</t>
        </is>
      </c>
      <c r="F189" s="10" t="n">
        <v>43255</v>
      </c>
      <c r="G189" s="4" t="inlineStr">
        <is>
          <t>2013gn</t>
        </is>
      </c>
      <c r="H189" s="4" t="n">
        <v>2017</v>
      </c>
      <c r="I189" s="4" t="inlineStr">
        <is>
          <t>new.amt.mlt.afdb</t>
        </is>
      </c>
      <c r="J189" t="inlineStr">
        <is>
          <t xml:space="preserve">   Others Non Paris Club</t>
        </is>
      </c>
      <c r="O189" t="n">
        <v>0.009851387553583484</v>
      </c>
      <c r="P189" t="n">
        <v>0.02139810396321011</v>
      </c>
      <c r="Q189" t="n">
        <v>0.03561588895613624</v>
      </c>
      <c r="R189" t="n">
        <v>0.05276507637777135</v>
      </c>
      <c r="S189" t="n">
        <v>0.06917872785567786</v>
      </c>
      <c r="T189" t="n">
        <v>0.07863773272175426</v>
      </c>
      <c r="U189" t="n">
        <v>0.08378109527529283</v>
      </c>
      <c r="V189" t="n">
        <v>0.08666777703209169</v>
      </c>
      <c r="W189" t="n">
        <v>0.08804117122290353</v>
      </c>
      <c r="X189" t="n">
        <v>0.08769981501771426</v>
      </c>
      <c r="Y189" t="n">
        <v>0.08570932862146957</v>
      </c>
      <c r="Z189" t="n">
        <v>0.08282773702160401</v>
      </c>
      <c r="AA189" t="n">
        <v>0.0794017445915753</v>
      </c>
      <c r="AB189" t="n">
        <v>0.07552487178682281</v>
      </c>
      <c r="AC189" t="n">
        <v>0.07120861233572415</v>
      </c>
      <c r="AD189" t="n">
        <v>0.06567739113706003</v>
      </c>
      <c r="AE189" t="n">
        <v>0.06034763571559887</v>
      </c>
      <c r="AF189" t="n">
        <v>0.05581258883245516</v>
      </c>
      <c r="AG189" t="n">
        <v>0.05240315143539523</v>
      </c>
      <c r="AH189" t="n">
        <v>0.0504414265003678</v>
      </c>
      <c r="AI189" t="n">
        <v>0.0498385641479961</v>
      </c>
    </row>
    <row r="190">
      <c r="A190" t="inlineStr">
        <is>
          <t>Dominica_2018_August</t>
        </is>
      </c>
      <c r="B190" s="2" t="n"/>
      <c r="C190" s="3" t="inlineStr">
        <is>
          <t>SM.18.139</t>
        </is>
      </c>
      <c r="D190" s="4" t="inlineStr">
        <is>
          <t>Dominica</t>
        </is>
      </c>
      <c r="E190" s="4" t="inlineStr">
        <is>
          <t>DMA</t>
        </is>
      </c>
      <c r="F190" s="10" t="n">
        <v>43255</v>
      </c>
      <c r="G190" s="4" t="inlineStr">
        <is>
          <t>2013gn</t>
        </is>
      </c>
      <c r="H190" s="4" t="n">
        <v>2017</v>
      </c>
      <c r="I190" s="4" t="inlineStr">
        <is>
          <t>new.amt.mlt2</t>
        </is>
      </c>
      <c r="J190" t="inlineStr">
        <is>
          <t>Commercial</t>
        </is>
      </c>
      <c r="O190" t="n">
        <v>0.0023271441173107</v>
      </c>
      <c r="P190" t="n">
        <v>0.002055854794038183</v>
      </c>
      <c r="Q190" t="n">
        <v>0.003932472238849169</v>
      </c>
      <c r="R190" t="n">
        <v>0.02033440627706589</v>
      </c>
      <c r="S190" t="n">
        <v>0.0263898528399974</v>
      </c>
      <c r="T190" t="n">
        <v>0.02951778207788825</v>
      </c>
      <c r="U190" t="n">
        <v>0.03117989162837522</v>
      </c>
      <c r="V190" t="n">
        <v>0.0321546271186384</v>
      </c>
      <c r="W190" t="n">
        <v>0.03287084406079711</v>
      </c>
      <c r="X190" t="n">
        <v>0.03126657229194803</v>
      </c>
      <c r="Y190" t="n">
        <v>0.03142062817054199</v>
      </c>
      <c r="Z190" t="n">
        <v>0.03148426684036224</v>
      </c>
      <c r="AA190" t="n">
        <v>0.03061640057999643</v>
      </c>
      <c r="AB190" t="n">
        <v>0.02969768617403568</v>
      </c>
      <c r="AC190" t="n">
        <v>0.02912893984597812</v>
      </c>
      <c r="AD190" t="n">
        <v>0.02912709321324089</v>
      </c>
      <c r="AE190" t="n">
        <v>0.02940180911375018</v>
      </c>
      <c r="AF190" t="n">
        <v>0.02995104058071576</v>
      </c>
      <c r="AG190" t="n">
        <v>0.03074279551490215</v>
      </c>
      <c r="AH190" t="n">
        <v>0.03156889699527786</v>
      </c>
      <c r="AI190" t="n">
        <v>0.03239950467227838</v>
      </c>
    </row>
    <row r="191">
      <c r="A191" t="inlineStr">
        <is>
          <t>Dominica_2018_August</t>
        </is>
      </c>
      <c r="B191" s="2" t="n"/>
      <c r="C191" s="3" t="inlineStr">
        <is>
          <t>SM.18.139</t>
        </is>
      </c>
      <c r="D191" s="4" t="inlineStr">
        <is>
          <t>Dominica</t>
        </is>
      </c>
      <c r="E191" s="4" t="inlineStr">
        <is>
          <t>DMA</t>
        </is>
      </c>
      <c r="F191" s="10" t="n">
        <v>43255</v>
      </c>
      <c r="G191" s="4" t="inlineStr">
        <is>
          <t>2013gn</t>
        </is>
      </c>
      <c r="H191" s="4" t="n">
        <v>2017</v>
      </c>
      <c r="I191" s="4" t="inlineStr">
        <is>
          <t>new.amt.mlt3</t>
        </is>
      </c>
      <c r="J191" t="inlineStr">
        <is>
          <t>…</t>
        </is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Dominica_2018_August</t>
        </is>
      </c>
      <c r="B192" s="2" t="n"/>
      <c r="C192" s="3" t="inlineStr">
        <is>
          <t>SM.18.139</t>
        </is>
      </c>
      <c r="D192" s="4" t="inlineStr">
        <is>
          <t>Dominica</t>
        </is>
      </c>
      <c r="E192" s="4" t="inlineStr">
        <is>
          <t>DMA</t>
        </is>
      </c>
      <c r="F192" s="10" t="n">
        <v>43255</v>
      </c>
      <c r="G192" s="4" t="inlineStr">
        <is>
          <t>2013gn</t>
        </is>
      </c>
      <c r="H192" s="4" t="n">
        <v>2017</v>
      </c>
      <c r="I192" s="4" t="inlineStr">
        <is>
          <t>new.amt.mlt.oth</t>
        </is>
      </c>
      <c r="J192" t="inlineStr">
        <is>
          <t>…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Dominica_2018_August</t>
        </is>
      </c>
      <c r="B193" s="2" t="n"/>
      <c r="C193" s="3" t="inlineStr">
        <is>
          <t>SM.18.139</t>
        </is>
      </c>
      <c r="D193" s="4" t="inlineStr">
        <is>
          <t>Dominica</t>
        </is>
      </c>
      <c r="E193" s="4" t="inlineStr">
        <is>
          <t>DMA</t>
        </is>
      </c>
      <c r="F193" s="10" t="n">
        <v>43255</v>
      </c>
      <c r="G193" s="4" t="inlineStr">
        <is>
          <t>2013gn</t>
        </is>
      </c>
      <c r="H193" s="4" t="n">
        <v>2017</v>
      </c>
      <c r="I193" s="4" t="inlineStr">
        <is>
          <t>new.amt.mlt.oth1</t>
        </is>
      </c>
      <c r="J193" t="inlineStr">
        <is>
          <t xml:space="preserve">   Others Commercial</t>
        </is>
      </c>
      <c r="O193" t="n">
        <v>0.0023271441173107</v>
      </c>
      <c r="P193" t="n">
        <v>0.002055854794038183</v>
      </c>
      <c r="Q193" t="n">
        <v>0.003932472238849169</v>
      </c>
      <c r="R193" t="n">
        <v>0.02033440627706589</v>
      </c>
      <c r="S193" t="n">
        <v>0.0263898528399974</v>
      </c>
      <c r="T193" t="n">
        <v>0.02951778207788825</v>
      </c>
      <c r="U193" t="n">
        <v>0.03117989162837522</v>
      </c>
      <c r="V193" t="n">
        <v>0.0321546271186384</v>
      </c>
      <c r="W193" t="n">
        <v>0.03287084406079711</v>
      </c>
      <c r="X193" t="n">
        <v>0.03126657229194803</v>
      </c>
      <c r="Y193" t="n">
        <v>0.03142062817054199</v>
      </c>
      <c r="Z193" t="n">
        <v>0.03148426684036224</v>
      </c>
      <c r="AA193" t="n">
        <v>0.03061640057999643</v>
      </c>
      <c r="AB193" t="n">
        <v>0.02969768617403568</v>
      </c>
      <c r="AC193" t="n">
        <v>0.02912893984597812</v>
      </c>
      <c r="AD193" t="n">
        <v>0.02912709321324089</v>
      </c>
      <c r="AE193" t="n">
        <v>0.02940180911375018</v>
      </c>
      <c r="AF193" t="n">
        <v>0.02995104058071576</v>
      </c>
      <c r="AG193" t="n">
        <v>0.03074279551490215</v>
      </c>
      <c r="AH193" t="n">
        <v>0.03156889699527786</v>
      </c>
      <c r="AI193" t="n">
        <v>0.03239950467227838</v>
      </c>
    </row>
    <row r="194">
      <c r="A194" t="inlineStr">
        <is>
          <t>Dominica_2018_August</t>
        </is>
      </c>
      <c r="B194" s="2" t="n"/>
      <c r="C194" s="3" t="inlineStr">
        <is>
          <t>SM.18.139</t>
        </is>
      </c>
      <c r="D194" s="4" t="inlineStr">
        <is>
          <t>Dominica</t>
        </is>
      </c>
      <c r="E194" s="4" t="inlineStr">
        <is>
          <t>DMA</t>
        </is>
      </c>
      <c r="F194" s="10" t="n">
        <v>43255</v>
      </c>
      <c r="G194" s="4" t="inlineStr">
        <is>
          <t>2013gn</t>
        </is>
      </c>
      <c r="H194" s="4" t="n">
        <v>2017</v>
      </c>
      <c r="I194" s="4" t="inlineStr">
        <is>
          <t>new.amt.mlt.oth2</t>
        </is>
      </c>
    </row>
    <row r="195">
      <c r="A195" t="inlineStr">
        <is>
          <t>Dominica_2018_August</t>
        </is>
      </c>
      <c r="B195" s="2" t="n"/>
      <c r="C195" s="3" t="inlineStr">
        <is>
          <t>SM.18.139</t>
        </is>
      </c>
      <c r="D195" s="4" t="inlineStr">
        <is>
          <t>Dominica</t>
        </is>
      </c>
      <c r="E195" s="4" t="inlineStr">
        <is>
          <t>DMA</t>
        </is>
      </c>
      <c r="F195" s="10" t="n">
        <v>43255</v>
      </c>
      <c r="G195" s="4" t="inlineStr">
        <is>
          <t>2013gn</t>
        </is>
      </c>
      <c r="H195" s="4" t="n">
        <v>2017</v>
      </c>
      <c r="I195" s="4" t="inlineStr">
        <is>
          <t>new.amt.mlt.oth3</t>
        </is>
      </c>
      <c r="J195" t="inlineStr">
        <is>
          <t>Nominal value of new MLT debt</t>
        </is>
      </c>
      <c r="O195" t="n">
        <v>0.04799764022025562</v>
      </c>
      <c r="P195" t="n">
        <v>0.09126183533103815</v>
      </c>
      <c r="Q195" t="n">
        <v>0.1408753268001722</v>
      </c>
      <c r="R195" t="n">
        <v>0.2186291517301086</v>
      </c>
      <c r="S195" t="n">
        <v>0.2796924660251148</v>
      </c>
      <c r="T195" t="n">
        <v>0.3174469068603096</v>
      </c>
      <c r="U195" t="n">
        <v>0.3471966049952261</v>
      </c>
      <c r="V195" t="n">
        <v>0.3720853775790357</v>
      </c>
      <c r="W195" t="n">
        <v>0.3970348994637171</v>
      </c>
      <c r="X195" t="n">
        <v>0.4195293680083351</v>
      </c>
      <c r="Y195" t="n">
        <v>0.4414613745722475</v>
      </c>
      <c r="Z195" t="n">
        <v>0.4614725677042428</v>
      </c>
      <c r="AA195" t="n">
        <v>0.4789188788552203</v>
      </c>
      <c r="AB195" t="n">
        <v>0.4964742843936806</v>
      </c>
      <c r="AC195" t="n">
        <v>0.514373549555696</v>
      </c>
      <c r="AD195" t="n">
        <v>0.530507103599798</v>
      </c>
      <c r="AE195" t="n">
        <v>0.5461450536080896</v>
      </c>
      <c r="AF195" t="n">
        <v>0.5619597249303414</v>
      </c>
      <c r="AG195" t="n">
        <v>0.5782172367153768</v>
      </c>
      <c r="AH195" t="n">
        <v>0.5949976949608276</v>
      </c>
      <c r="AI195" t="n">
        <v>0.6112444039758477</v>
      </c>
    </row>
    <row r="196">
      <c r="A196" t="inlineStr">
        <is>
          <t>Dominica_2018_August</t>
        </is>
      </c>
      <c r="B196" s="2" t="n"/>
      <c r="C196" s="3" t="inlineStr">
        <is>
          <t>SM.18.139</t>
        </is>
      </c>
      <c r="D196" s="4" t="inlineStr">
        <is>
          <t>Dominica</t>
        </is>
      </c>
      <c r="E196" s="4" t="inlineStr">
        <is>
          <t>DMA</t>
        </is>
      </c>
      <c r="F196" s="10" t="n">
        <v>43255</v>
      </c>
      <c r="G196" s="4" t="inlineStr">
        <is>
          <t>2013gn</t>
        </is>
      </c>
      <c r="H196" s="4" t="n">
        <v>2017</v>
      </c>
      <c r="I196" s="4" t="inlineStr">
        <is>
          <t>new.amt.blt</t>
        </is>
      </c>
      <c r="J196" t="inlineStr">
        <is>
          <t>Multilaterals</t>
        </is>
      </c>
      <c r="O196" t="n">
        <v>0.01625814528966408</v>
      </c>
      <c r="P196" t="n">
        <v>0.03564332143361004</v>
      </c>
      <c r="Q196" t="n">
        <v>0.05943393329353037</v>
      </c>
      <c r="R196" t="n">
        <v>0.0880421607629977</v>
      </c>
      <c r="S196" t="n">
        <v>0.1152496015293417</v>
      </c>
      <c r="T196" t="n">
        <v>0.1305607015251253</v>
      </c>
      <c r="U196" t="n">
        <v>0.1402726021550535</v>
      </c>
      <c r="V196" t="n">
        <v>0.1481418870180781</v>
      </c>
      <c r="W196" t="n">
        <v>0.1559139880349576</v>
      </c>
      <c r="X196" t="n">
        <v>0.1637742460777361</v>
      </c>
      <c r="Y196" t="n">
        <v>0.1716754519040205</v>
      </c>
      <c r="Z196" t="n">
        <v>0.178319905088391</v>
      </c>
      <c r="AA196" t="n">
        <v>0.1835154620550444</v>
      </c>
      <c r="AB196" t="n">
        <v>0.1869216763917138</v>
      </c>
      <c r="AC196" t="n">
        <v>0.1881960895870609</v>
      </c>
      <c r="AD196" t="n">
        <v>0.1861783615739368</v>
      </c>
      <c r="AE196" t="n">
        <v>0.1824582158960991</v>
      </c>
      <c r="AF196" t="n">
        <v>0.1781610912917808</v>
      </c>
      <c r="AG196" t="n">
        <v>0.173511973354161</v>
      </c>
      <c r="AH196" t="n">
        <v>0.1685268592586124</v>
      </c>
      <c r="AI196" t="n">
        <v>0.1631950695751021</v>
      </c>
    </row>
    <row r="197">
      <c r="A197" t="inlineStr">
        <is>
          <t>Dominica_2018_August</t>
        </is>
      </c>
      <c r="B197" s="2" t="n"/>
      <c r="C197" s="3" t="inlineStr">
        <is>
          <t>SM.18.139</t>
        </is>
      </c>
      <c r="D197" s="4" t="inlineStr">
        <is>
          <t>Dominica</t>
        </is>
      </c>
      <c r="E197" s="4" t="inlineStr">
        <is>
          <t>DMA</t>
        </is>
      </c>
      <c r="F197" s="10" t="n">
        <v>43255</v>
      </c>
      <c r="G197" s="4" t="inlineStr">
        <is>
          <t>2013gn</t>
        </is>
      </c>
      <c r="H197" s="4" t="n">
        <v>2017</v>
      </c>
      <c r="I197" s="4" t="inlineStr">
        <is>
          <t>new.amt.pc</t>
        </is>
      </c>
      <c r="J197" t="inlineStr">
        <is>
          <t xml:space="preserve">   IMF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Dominica_2018_August</t>
        </is>
      </c>
      <c r="B198" s="2" t="n"/>
      <c r="C198" s="3" t="inlineStr">
        <is>
          <t>SM.18.139</t>
        </is>
      </c>
      <c r="D198" s="4" t="inlineStr">
        <is>
          <t>Dominica</t>
        </is>
      </c>
      <c r="E198" s="4" t="inlineStr">
        <is>
          <t>DMA</t>
        </is>
      </c>
      <c r="F198" s="10" t="n">
        <v>43255</v>
      </c>
      <c r="G198" s="4" t="inlineStr">
        <is>
          <t>2013gn</t>
        </is>
      </c>
      <c r="H198" s="4" t="n">
        <v>2017</v>
      </c>
      <c r="I198" s="4" t="inlineStr">
        <is>
          <t>new.amt.pc1</t>
        </is>
      </c>
      <c r="J198" t="inlineStr">
        <is>
          <t xml:space="preserve">   IDA - Small Island Country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Dominica_2018_August</t>
        </is>
      </c>
      <c r="B199" s="2" t="n"/>
      <c r="C199" s="3" t="inlineStr">
        <is>
          <t>SM.18.139</t>
        </is>
      </c>
      <c r="D199" s="4" t="inlineStr">
        <is>
          <t>Dominica</t>
        </is>
      </c>
      <c r="E199" s="4" t="inlineStr">
        <is>
          <t>DMA</t>
        </is>
      </c>
      <c r="F199" s="10" t="n">
        <v>43255</v>
      </c>
      <c r="G199" s="4" t="inlineStr">
        <is>
          <t>2013gn</t>
        </is>
      </c>
      <c r="H199" s="4" t="n">
        <v>2017</v>
      </c>
      <c r="I199" s="4" t="inlineStr">
        <is>
          <t>new.amt.pc2</t>
        </is>
      </c>
      <c r="J199" t="inlineStr">
        <is>
          <t>IDA - Regular</t>
        </is>
      </c>
      <c r="O199" t="n">
        <v>0.003251629057932816</v>
      </c>
      <c r="P199" t="n">
        <v>0.007128664286722007</v>
      </c>
      <c r="Q199" t="n">
        <v>0.01188678665870607</v>
      </c>
      <c r="R199" t="n">
        <v>0.01760843215259954</v>
      </c>
      <c r="S199" t="n">
        <v>0.02304992030586835</v>
      </c>
      <c r="T199" t="n">
        <v>0.02611214030502506</v>
      </c>
      <c r="U199" t="n">
        <v>0.02805452043101071</v>
      </c>
      <c r="V199" t="n">
        <v>0.02954708667716729</v>
      </c>
      <c r="W199" t="n">
        <v>0.03092329027337515</v>
      </c>
      <c r="X199" t="n">
        <v>0.03219817221546319</v>
      </c>
      <c r="Y199" t="n">
        <v>0.03333820257690509</v>
      </c>
      <c r="Z199" t="n">
        <v>0.0343509755307671</v>
      </c>
      <c r="AA199" t="n">
        <v>0.03530757655940992</v>
      </c>
      <c r="AB199" t="n">
        <v>0.03623839934866502</v>
      </c>
      <c r="AC199" t="n">
        <v>0.03716073905781172</v>
      </c>
      <c r="AD199" t="n">
        <v>0.03781999521864647</v>
      </c>
      <c r="AE199" t="n">
        <v>0.03834258684584174</v>
      </c>
      <c r="AF199" t="n">
        <v>0.03886291575116445</v>
      </c>
      <c r="AG199" t="n">
        <v>0.03939705328807873</v>
      </c>
      <c r="AH199" t="n">
        <v>0.03994759440649132</v>
      </c>
      <c r="AI199" t="n">
        <v>0.04051531976550726</v>
      </c>
    </row>
    <row r="200">
      <c r="A200" t="inlineStr">
        <is>
          <t>Dominica_2018_August</t>
        </is>
      </c>
      <c r="B200" s="2" t="n"/>
      <c r="C200" s="3" t="inlineStr">
        <is>
          <t>SM.18.139</t>
        </is>
      </c>
      <c r="D200" s="4" t="inlineStr">
        <is>
          <t>Dominica</t>
        </is>
      </c>
      <c r="E200" s="4" t="inlineStr">
        <is>
          <t>DMA</t>
        </is>
      </c>
      <c r="F200" s="10" t="n">
        <v>43255</v>
      </c>
      <c r="G200" s="4" t="inlineStr">
        <is>
          <t>2013gn</t>
        </is>
      </c>
      <c r="H200" s="4" t="n">
        <v>2017</v>
      </c>
      <c r="I200" s="4" t="inlineStr">
        <is>
          <t>new.amt.pc3</t>
        </is>
      </c>
      <c r="J200" t="inlineStr">
        <is>
          <t>IBRD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Dominica_2018_August</t>
        </is>
      </c>
      <c r="B201" s="2" t="n"/>
      <c r="C201" s="3" t="inlineStr">
        <is>
          <t>SM.18.139</t>
        </is>
      </c>
      <c r="D201" s="4" t="inlineStr">
        <is>
          <t>Dominica</t>
        </is>
      </c>
      <c r="E201" s="4" t="inlineStr">
        <is>
          <t>DMA</t>
        </is>
      </c>
      <c r="F201" s="10" t="n">
        <v>43255</v>
      </c>
      <c r="G201" s="4" t="inlineStr">
        <is>
          <t>2013gn</t>
        </is>
      </c>
      <c r="H201" s="4" t="n">
        <v>2017</v>
      </c>
      <c r="I201" s="4" t="inlineStr">
        <is>
          <t>new.amt.pc4</t>
        </is>
      </c>
      <c r="J201" t="inlineStr">
        <is>
          <t>Other Multilateral</t>
        </is>
      </c>
      <c r="O201" t="n">
        <v>0.01300651623173126</v>
      </c>
      <c r="P201" t="n">
        <v>0.02851465714688803</v>
      </c>
      <c r="Q201" t="n">
        <v>0.0475471466348243</v>
      </c>
      <c r="R201" t="n">
        <v>0.07043372861039816</v>
      </c>
      <c r="S201" t="n">
        <v>0.0921996812234734</v>
      </c>
      <c r="T201" t="n">
        <v>0.1044485612201002</v>
      </c>
      <c r="U201" t="n">
        <v>0.1122180817240428</v>
      </c>
      <c r="V201" t="n">
        <v>0.1185948003409108</v>
      </c>
      <c r="W201" t="n">
        <v>0.1249906977615824</v>
      </c>
      <c r="X201" t="n">
        <v>0.1315760738622729</v>
      </c>
      <c r="Y201" t="n">
        <v>0.1383372493271154</v>
      </c>
      <c r="Z201" t="n">
        <v>0.1439689295576239</v>
      </c>
      <c r="AA201" t="n">
        <v>0.1482078854956345</v>
      </c>
      <c r="AB201" t="n">
        <v>0.1506832770430488</v>
      </c>
      <c r="AC201" t="n">
        <v>0.1510353505292492</v>
      </c>
      <c r="AD201" t="n">
        <v>0.1483583663552903</v>
      </c>
      <c r="AE201" t="n">
        <v>0.1441156290502574</v>
      </c>
      <c r="AF201" t="n">
        <v>0.1392981755406163</v>
      </c>
      <c r="AG201" t="n">
        <v>0.1341149200660822</v>
      </c>
      <c r="AH201" t="n">
        <v>0.1285792648521211</v>
      </c>
      <c r="AI201" t="n">
        <v>0.1226797498095949</v>
      </c>
    </row>
    <row r="202">
      <c r="A202" t="inlineStr">
        <is>
          <t>Dominica_2018_August</t>
        </is>
      </c>
      <c r="B202" s="2" t="n"/>
      <c r="C202" s="3" t="inlineStr">
        <is>
          <t>SM.18.139</t>
        </is>
      </c>
      <c r="D202" s="4" t="inlineStr">
        <is>
          <t>Dominica</t>
        </is>
      </c>
      <c r="E202" s="4" t="inlineStr">
        <is>
          <t>DMA</t>
        </is>
      </c>
      <c r="F202" s="10" t="n">
        <v>43255</v>
      </c>
      <c r="G202" s="4" t="inlineStr">
        <is>
          <t>2013gn</t>
        </is>
      </c>
      <c r="H202" s="4" t="n">
        <v>2017</v>
      </c>
      <c r="I202" s="4" t="inlineStr">
        <is>
          <t>new.amt.pc5</t>
        </is>
      </c>
      <c r="J202" t="inlineStr">
        <is>
          <t>Official Bilaterals</t>
        </is>
      </c>
      <c r="O202" t="n">
        <v>0.0294361391547343</v>
      </c>
      <c r="P202" t="n">
        <v>0.05356960893986158</v>
      </c>
      <c r="Q202" t="n">
        <v>0.07746252027820871</v>
      </c>
      <c r="R202" t="n">
        <v>0.1098384080602702</v>
      </c>
      <c r="S202" t="n">
        <v>0.1372939001152382</v>
      </c>
      <c r="T202" t="n">
        <v>0.1562764394645904</v>
      </c>
      <c r="U202" t="n">
        <v>0.1743117461190665</v>
      </c>
      <c r="V202" t="n">
        <v>0.1900036722285279</v>
      </c>
      <c r="W202" t="n">
        <v>0.2061026372292225</v>
      </c>
      <c r="X202" t="n">
        <v>0.2220082209940176</v>
      </c>
      <c r="Y202" t="n">
        <v>0.2354967267202637</v>
      </c>
      <c r="Z202" t="n">
        <v>0.248390363798104</v>
      </c>
      <c r="AA202" t="n">
        <v>0.2610943628340235</v>
      </c>
      <c r="AB202" t="n">
        <v>0.2757343182967109</v>
      </c>
      <c r="AC202" t="n">
        <v>0.2924758299365458</v>
      </c>
      <c r="AD202" t="n">
        <v>0.3101408284776993</v>
      </c>
      <c r="AE202" t="n">
        <v>0.3287011025134283</v>
      </c>
      <c r="AF202" t="n">
        <v>0.3477007632467162</v>
      </c>
      <c r="AG202" t="n">
        <v>0.3672087718946554</v>
      </c>
      <c r="AH202" t="n">
        <v>0.3874987749789831</v>
      </c>
      <c r="AI202" t="n">
        <v>0.407552677173588</v>
      </c>
    </row>
    <row r="203">
      <c r="A203" t="inlineStr">
        <is>
          <t>Dominica_2018_August</t>
        </is>
      </c>
      <c r="B203" s="2" t="n"/>
      <c r="C203" s="3" t="inlineStr">
        <is>
          <t>SM.18.139</t>
        </is>
      </c>
      <c r="D203" s="4" t="inlineStr">
        <is>
          <t>Dominica</t>
        </is>
      </c>
      <c r="E203" s="4" t="inlineStr">
        <is>
          <t>DMA</t>
        </is>
      </c>
      <c r="F203" s="10" t="n">
        <v>43255</v>
      </c>
      <c r="G203" s="4" t="inlineStr">
        <is>
          <t>2013gn</t>
        </is>
      </c>
      <c r="H203" s="4" t="n">
        <v>2017</v>
      </c>
      <c r="I203" s="4" t="inlineStr">
        <is>
          <t>new.amt.npc</t>
        </is>
      </c>
      <c r="J203" t="inlineStr">
        <is>
          <t xml:space="preserve">   PC</t>
        </is>
      </c>
      <c r="O203" t="n">
        <v>0.01859737562829158</v>
      </c>
      <c r="P203" t="n">
        <v>0.02980739465078822</v>
      </c>
      <c r="Q203" t="n">
        <v>0.03783989808252178</v>
      </c>
      <c r="R203" t="n">
        <v>0.05114363421827173</v>
      </c>
      <c r="S203" t="n">
        <v>0.06046083242901035</v>
      </c>
      <c r="T203" t="n">
        <v>0.06923597178117347</v>
      </c>
      <c r="U203" t="n">
        <v>0.08188055436834168</v>
      </c>
      <c r="V203" t="n">
        <v>0.09463476972598717</v>
      </c>
      <c r="W203" t="n">
        <v>0.109366082429024</v>
      </c>
      <c r="X203" t="n">
        <v>0.125653330160777</v>
      </c>
      <c r="Y203" t="n">
        <v>0.1411908297682771</v>
      </c>
      <c r="Z203" t="n">
        <v>0.1570115704030577</v>
      </c>
      <c r="AA203" t="n">
        <v>0.1731583915387314</v>
      </c>
      <c r="AB203" t="n">
        <v>0.1916561585207474</v>
      </c>
      <c r="AC203" t="n">
        <v>0.2126506896846805</v>
      </c>
      <c r="AD203" t="n">
        <v>0.2358278744240331</v>
      </c>
      <c r="AE203" t="n">
        <v>0.2596639438702298</v>
      </c>
      <c r="AF203" t="n">
        <v>0.2830562193873742</v>
      </c>
      <c r="AG203" t="n">
        <v>0.3057351122522386</v>
      </c>
      <c r="AH203" t="n">
        <v>0.3276519682375682</v>
      </c>
      <c r="AI203" t="n">
        <v>0.3478896163264357</v>
      </c>
    </row>
    <row r="204">
      <c r="A204" t="inlineStr">
        <is>
          <t>Dominica_2018_August</t>
        </is>
      </c>
      <c r="B204" s="2" t="n"/>
      <c r="C204" s="3" t="inlineStr">
        <is>
          <t>SM.18.139</t>
        </is>
      </c>
      <c r="D204" s="4" t="inlineStr">
        <is>
          <t>Dominica</t>
        </is>
      </c>
      <c r="E204" s="4" t="inlineStr">
        <is>
          <t>DMA</t>
        </is>
      </c>
      <c r="F204" s="10" t="n">
        <v>43255</v>
      </c>
      <c r="G204" s="4" t="inlineStr">
        <is>
          <t>2013gn</t>
        </is>
      </c>
      <c r="H204" s="4" t="n">
        <v>2017</v>
      </c>
      <c r="I204" s="4" t="inlineStr">
        <is>
          <t>new.amt.npc.eximbk</t>
        </is>
      </c>
      <c r="J204" t="inlineStr">
        <is>
          <t>…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Dominica_2018_August</t>
        </is>
      </c>
      <c r="B205" s="2" t="n"/>
      <c r="C205" s="3" t="inlineStr">
        <is>
          <t>SM.18.139</t>
        </is>
      </c>
      <c r="D205" s="4" t="inlineStr">
        <is>
          <t>Dominica</t>
        </is>
      </c>
      <c r="E205" s="4" t="inlineStr">
        <is>
          <t>DMA</t>
        </is>
      </c>
      <c r="F205" s="10" t="n">
        <v>43255</v>
      </c>
      <c r="G205" s="4" t="inlineStr">
        <is>
          <t>2013gn</t>
        </is>
      </c>
      <c r="H205" s="4" t="n">
        <v>2017</v>
      </c>
      <c r="I205" s="4" t="inlineStr">
        <is>
          <t>new.amt.npc2</t>
        </is>
      </c>
      <c r="J205" t="inlineStr">
        <is>
          <t>…</t>
        </is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Dominica_2018_August</t>
        </is>
      </c>
      <c r="B206" s="2" t="n"/>
      <c r="C206" s="3" t="inlineStr">
        <is>
          <t>SM.18.139</t>
        </is>
      </c>
      <c r="D206" s="4" t="inlineStr">
        <is>
          <t>Dominica</t>
        </is>
      </c>
      <c r="E206" s="4" t="inlineStr">
        <is>
          <t>DMA</t>
        </is>
      </c>
      <c r="F206" s="10" t="n">
        <v>43255</v>
      </c>
      <c r="G206" s="4" t="inlineStr">
        <is>
          <t>2013gn</t>
        </is>
      </c>
      <c r="H206" s="4" t="n">
        <v>2017</v>
      </c>
      <c r="I206" s="4" t="inlineStr">
        <is>
          <t>new.amt.npc3</t>
        </is>
      </c>
      <c r="J206" t="inlineStr">
        <is>
          <t xml:space="preserve">   Others Paris Club</t>
        </is>
      </c>
      <c r="O206" t="n">
        <v>0.01859737562829158</v>
      </c>
      <c r="P206" t="n">
        <v>0.02980739465078822</v>
      </c>
      <c r="Q206" t="n">
        <v>0.03783989808252178</v>
      </c>
      <c r="R206" t="n">
        <v>0.05114363421827173</v>
      </c>
      <c r="S206" t="n">
        <v>0.06046083242901035</v>
      </c>
      <c r="T206" t="n">
        <v>0.06923597178117347</v>
      </c>
      <c r="U206" t="n">
        <v>0.08188055436834168</v>
      </c>
      <c r="V206" t="n">
        <v>0.09463476972598717</v>
      </c>
      <c r="W206" t="n">
        <v>0.109366082429024</v>
      </c>
      <c r="X206" t="n">
        <v>0.125653330160777</v>
      </c>
      <c r="Y206" t="n">
        <v>0.1411908297682771</v>
      </c>
      <c r="Z206" t="n">
        <v>0.1570115704030577</v>
      </c>
      <c r="AA206" t="n">
        <v>0.1731583915387314</v>
      </c>
      <c r="AB206" t="n">
        <v>0.1916561585207474</v>
      </c>
      <c r="AC206" t="n">
        <v>0.2126506896846805</v>
      </c>
      <c r="AD206" t="n">
        <v>0.2358278744240331</v>
      </c>
      <c r="AE206" t="n">
        <v>0.2596639438702298</v>
      </c>
      <c r="AF206" t="n">
        <v>0.2830562193873742</v>
      </c>
      <c r="AG206" t="n">
        <v>0.3057351122522386</v>
      </c>
      <c r="AH206" t="n">
        <v>0.3276519682375682</v>
      </c>
      <c r="AI206" t="n">
        <v>0.3478896163264357</v>
      </c>
    </row>
    <row r="207">
      <c r="A207" t="inlineStr">
        <is>
          <t>Dominica_2018_August</t>
        </is>
      </c>
      <c r="B207" s="2" t="n"/>
      <c r="C207" s="3" t="inlineStr">
        <is>
          <t>SM.18.139</t>
        </is>
      </c>
      <c r="D207" s="4" t="inlineStr">
        <is>
          <t>Dominica</t>
        </is>
      </c>
      <c r="E207" s="4" t="inlineStr">
        <is>
          <t>DMA</t>
        </is>
      </c>
      <c r="F207" s="10" t="n">
        <v>43255</v>
      </c>
      <c r="G207" s="4" t="inlineStr">
        <is>
          <t>2013gn</t>
        </is>
      </c>
      <c r="H207" s="4" t="n">
        <v>2017</v>
      </c>
      <c r="I207" s="4" t="inlineStr">
        <is>
          <t>new.amt.npc4</t>
        </is>
      </c>
      <c r="J207" t="inlineStr">
        <is>
          <t xml:space="preserve">   NPC</t>
        </is>
      </c>
      <c r="O207" t="n">
        <v>0.01083876352644272</v>
      </c>
      <c r="P207" t="n">
        <v>0.02376221428907336</v>
      </c>
      <c r="Q207" t="n">
        <v>0.03962262219568692</v>
      </c>
      <c r="R207" t="n">
        <v>0.05869477384199848</v>
      </c>
      <c r="S207" t="n">
        <v>0.07683306768622784</v>
      </c>
      <c r="T207" t="n">
        <v>0.08704046768341689</v>
      </c>
      <c r="U207" t="n">
        <v>0.09243119175072478</v>
      </c>
      <c r="V207" t="n">
        <v>0.09536890250254072</v>
      </c>
      <c r="W207" t="n">
        <v>0.09673655480019844</v>
      </c>
      <c r="X207" t="n">
        <v>0.09635489083324059</v>
      </c>
      <c r="Y207" t="n">
        <v>0.0943058969519866</v>
      </c>
      <c r="Z207" t="n">
        <v>0.09137879339504623</v>
      </c>
      <c r="AA207" t="n">
        <v>0.08793597129529217</v>
      </c>
      <c r="AB207" t="n">
        <v>0.08407815977596353</v>
      </c>
      <c r="AC207" t="n">
        <v>0.07982514025186521</v>
      </c>
      <c r="AD207" t="n">
        <v>0.07431295405366617</v>
      </c>
      <c r="AE207" t="n">
        <v>0.06903715864319841</v>
      </c>
      <c r="AF207" t="n">
        <v>0.06464454385934197</v>
      </c>
      <c r="AG207" t="n">
        <v>0.06147365964241681</v>
      </c>
      <c r="AH207" t="n">
        <v>0.05984680674141483</v>
      </c>
      <c r="AI207" t="n">
        <v>0.05966306084715235</v>
      </c>
    </row>
    <row r="208">
      <c r="A208" t="inlineStr">
        <is>
          <t>Dominica_2018_August</t>
        </is>
      </c>
      <c r="B208" s="2" t="n"/>
      <c r="C208" s="3" t="inlineStr">
        <is>
          <t>SM.18.139</t>
        </is>
      </c>
      <c r="D208" s="4" t="inlineStr">
        <is>
          <t>Dominica</t>
        </is>
      </c>
      <c r="E208" s="4" t="inlineStr">
        <is>
          <t>DMA</t>
        </is>
      </c>
      <c r="F208" s="10" t="n">
        <v>43255</v>
      </c>
      <c r="G208" s="4" t="inlineStr">
        <is>
          <t>2013gn</t>
        </is>
      </c>
      <c r="H208" s="4" t="n">
        <v>2017</v>
      </c>
      <c r="I208" s="4" t="inlineStr">
        <is>
          <t>new.amt.npc5</t>
        </is>
      </c>
      <c r="J208" t="inlineStr">
        <is>
          <t>…</t>
        </is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Dominica_2018_August</t>
        </is>
      </c>
      <c r="B209" s="2" t="n"/>
      <c r="C209" s="3" t="inlineStr">
        <is>
          <t>SM.18.139</t>
        </is>
      </c>
      <c r="D209" s="4" t="inlineStr">
        <is>
          <t>Dominica</t>
        </is>
      </c>
      <c r="E209" s="4" t="inlineStr">
        <is>
          <t>DMA</t>
        </is>
      </c>
      <c r="F209" s="10" t="n">
        <v>43255</v>
      </c>
      <c r="G209" s="4" t="inlineStr">
        <is>
          <t>2013gn</t>
        </is>
      </c>
      <c r="H209" s="4" t="n">
        <v>2017</v>
      </c>
      <c r="I209" s="4" t="inlineStr">
        <is>
          <t>new.amt.prvt</t>
        </is>
      </c>
      <c r="J209" t="inlineStr">
        <is>
          <t>…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Dominica_2018_August</t>
        </is>
      </c>
      <c r="B210" s="2" t="n"/>
      <c r="C210" s="3" t="inlineStr">
        <is>
          <t>SM.18.139</t>
        </is>
      </c>
      <c r="D210" s="4" t="inlineStr">
        <is>
          <t>Dominica</t>
        </is>
      </c>
      <c r="E210" s="4" t="inlineStr">
        <is>
          <t>DMA</t>
        </is>
      </c>
      <c r="F210" s="10" t="n">
        <v>43255</v>
      </c>
      <c r="G210" s="4" t="inlineStr">
        <is>
          <t>2013gn</t>
        </is>
      </c>
      <c r="H210" s="4" t="n">
        <v>2017</v>
      </c>
      <c r="I210" s="4" t="inlineStr">
        <is>
          <t>new.amt.prvt.bnd</t>
        </is>
      </c>
      <c r="J210" t="inlineStr">
        <is>
          <t xml:space="preserve">   Others Non Paris Club</t>
        </is>
      </c>
      <c r="O210" t="n">
        <v>0.01083876352644272</v>
      </c>
      <c r="P210" t="n">
        <v>0.02376221428907336</v>
      </c>
      <c r="Q210" t="n">
        <v>0.03962262219568692</v>
      </c>
      <c r="R210" t="n">
        <v>0.05869477384199848</v>
      </c>
      <c r="S210" t="n">
        <v>0.07683306768622784</v>
      </c>
      <c r="T210" t="n">
        <v>0.08704046768341689</v>
      </c>
      <c r="U210" t="n">
        <v>0.09243119175072478</v>
      </c>
      <c r="V210" t="n">
        <v>0.09536890250254072</v>
      </c>
      <c r="W210" t="n">
        <v>0.09673655480019844</v>
      </c>
      <c r="X210" t="n">
        <v>0.09635489083324059</v>
      </c>
      <c r="Y210" t="n">
        <v>0.0943058969519866</v>
      </c>
      <c r="Z210" t="n">
        <v>0.09137879339504623</v>
      </c>
      <c r="AA210" t="n">
        <v>0.08793597129529217</v>
      </c>
      <c r="AB210" t="n">
        <v>0.08407815977596353</v>
      </c>
      <c r="AC210" t="n">
        <v>0.07982514025186521</v>
      </c>
      <c r="AD210" t="n">
        <v>0.07431295405366617</v>
      </c>
      <c r="AE210" t="n">
        <v>0.06903715864319841</v>
      </c>
      <c r="AF210" t="n">
        <v>0.06464454385934197</v>
      </c>
      <c r="AG210" t="n">
        <v>0.06147365964241681</v>
      </c>
      <c r="AH210" t="n">
        <v>0.05984680674141483</v>
      </c>
      <c r="AI210" t="n">
        <v>0.05966306084715235</v>
      </c>
    </row>
    <row r="211">
      <c r="A211" t="inlineStr">
        <is>
          <t>Dominica_2018_August</t>
        </is>
      </c>
      <c r="B211" s="2" t="n"/>
      <c r="C211" s="3" t="inlineStr">
        <is>
          <t>SM.18.139</t>
        </is>
      </c>
      <c r="D211" s="4" t="inlineStr">
        <is>
          <t>Dominica</t>
        </is>
      </c>
      <c r="E211" s="4" t="inlineStr">
        <is>
          <t>DMA</t>
        </is>
      </c>
      <c r="F211" s="10" t="n">
        <v>43255</v>
      </c>
      <c r="G211" s="4" t="inlineStr">
        <is>
          <t>2013gn</t>
        </is>
      </c>
      <c r="H211" s="4" t="n">
        <v>2017</v>
      </c>
      <c r="I211" s="4" t="inlineStr">
        <is>
          <t>new.amt.prvt.cmbk</t>
        </is>
      </c>
      <c r="J211" t="inlineStr">
        <is>
          <t>Commercial</t>
        </is>
      </c>
      <c r="O211" t="n">
        <v>0.00230335577585724</v>
      </c>
      <c r="P211" t="n">
        <v>0.00204890495756654</v>
      </c>
      <c r="Q211" t="n">
        <v>0.003978873228433152</v>
      </c>
      <c r="R211" t="n">
        <v>0.02074858290684064</v>
      </c>
      <c r="S211" t="n">
        <v>0.02714896438053488</v>
      </c>
      <c r="T211" t="n">
        <v>0.03060976587059397</v>
      </c>
      <c r="U211" t="n">
        <v>0.03261225672110606</v>
      </c>
      <c r="V211" t="n">
        <v>0.03393981833242976</v>
      </c>
      <c r="W211" t="n">
        <v>0.03501827419953699</v>
      </c>
      <c r="X211" t="n">
        <v>0.0337469009365814</v>
      </c>
      <c r="Y211" t="n">
        <v>0.03428919594796336</v>
      </c>
      <c r="Z211" t="n">
        <v>0.03476229881774789</v>
      </c>
      <c r="AA211" t="n">
        <v>0.03430905396615244</v>
      </c>
      <c r="AB211" t="n">
        <v>0.03381828970525592</v>
      </c>
      <c r="AC211" t="n">
        <v>0.0337016300320894</v>
      </c>
      <c r="AD211" t="n">
        <v>0.03418791354816189</v>
      </c>
      <c r="AE211" t="n">
        <v>0.03498573519856223</v>
      </c>
      <c r="AF211" t="n">
        <v>0.03609787039184439</v>
      </c>
      <c r="AG211" t="n">
        <v>0.03749649146656057</v>
      </c>
      <c r="AH211" t="n">
        <v>0.03897206072323202</v>
      </c>
      <c r="AI211" t="n">
        <v>0.04049665722715752</v>
      </c>
    </row>
    <row r="212">
      <c r="A212" t="inlineStr">
        <is>
          <t>Dominica_2018_August</t>
        </is>
      </c>
      <c r="B212" s="2" t="n"/>
      <c r="C212" s="3" t="inlineStr">
        <is>
          <t>SM.18.139</t>
        </is>
      </c>
      <c r="D212" s="4" t="inlineStr">
        <is>
          <t>Dominica</t>
        </is>
      </c>
      <c r="E212" s="4" t="inlineStr">
        <is>
          <t>DMA</t>
        </is>
      </c>
      <c r="F212" s="10" t="n">
        <v>43255</v>
      </c>
      <c r="G212" s="4" t="inlineStr">
        <is>
          <t>2013gn</t>
        </is>
      </c>
      <c r="H212" s="4" t="n">
        <v>2017</v>
      </c>
      <c r="I212" s="4" t="inlineStr">
        <is>
          <t>new.amt.prvt.com3</t>
        </is>
      </c>
      <c r="J212" t="inlineStr">
        <is>
          <t>…</t>
        </is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Dominica_2018_August</t>
        </is>
      </c>
      <c r="B213" s="2" t="n"/>
      <c r="C213" s="3" t="inlineStr">
        <is>
          <t>SM.18.139</t>
        </is>
      </c>
      <c r="D213" s="4" t="inlineStr">
        <is>
          <t>Dominica</t>
        </is>
      </c>
      <c r="E213" s="4" t="inlineStr">
        <is>
          <t>DMA</t>
        </is>
      </c>
      <c r="F213" s="10" t="n">
        <v>43255</v>
      </c>
      <c r="G213" s="4" t="inlineStr">
        <is>
          <t>2013gn</t>
        </is>
      </c>
      <c r="H213" s="4" t="n">
        <v>2017</v>
      </c>
      <c r="I213" s="4" t="inlineStr">
        <is>
          <t>new.amt.prvt.com4</t>
        </is>
      </c>
      <c r="J213" t="inlineStr">
        <is>
          <t>…</t>
        </is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Dominica_2018_August</t>
        </is>
      </c>
      <c r="B214" s="2" t="n"/>
      <c r="C214" s="3" t="inlineStr">
        <is>
          <t>SM.18.139</t>
        </is>
      </c>
      <c r="D214" s="4" t="inlineStr">
        <is>
          <t>Dominica</t>
        </is>
      </c>
      <c r="E214" s="4" t="inlineStr">
        <is>
          <t>DMA</t>
        </is>
      </c>
      <c r="F214" s="10" t="n">
        <v>43255</v>
      </c>
      <c r="G214" s="4" t="inlineStr">
        <is>
          <t>2013gn</t>
        </is>
      </c>
      <c r="H214" s="4" t="n">
        <v>2017</v>
      </c>
      <c r="I214" s="4" t="inlineStr">
        <is>
          <t>new.amt.prvt.com5</t>
        </is>
      </c>
      <c r="J214" t="inlineStr">
        <is>
          <t xml:space="preserve">   Others Commercial</t>
        </is>
      </c>
      <c r="O214" t="n">
        <v>0.00230335577585724</v>
      </c>
      <c r="P214" t="n">
        <v>0.00204890495756654</v>
      </c>
      <c r="Q214" t="n">
        <v>0.003978873228433152</v>
      </c>
      <c r="R214" t="n">
        <v>0.02074858290684064</v>
      </c>
      <c r="S214" t="n">
        <v>0.02714896438053488</v>
      </c>
      <c r="T214" t="n">
        <v>0.03060976587059397</v>
      </c>
      <c r="U214" t="n">
        <v>0.03261225672110606</v>
      </c>
      <c r="V214" t="n">
        <v>0.03393981833242976</v>
      </c>
      <c r="W214" t="n">
        <v>0.03501827419953699</v>
      </c>
      <c r="X214" t="n">
        <v>0.0337469009365814</v>
      </c>
      <c r="Y214" t="n">
        <v>0.03428919594796336</v>
      </c>
      <c r="Z214" t="n">
        <v>0.03476229881774789</v>
      </c>
      <c r="AA214" t="n">
        <v>0.03430905396615244</v>
      </c>
      <c r="AB214" t="n">
        <v>0.03381828970525592</v>
      </c>
      <c r="AC214" t="n">
        <v>0.0337016300320894</v>
      </c>
      <c r="AD214" t="n">
        <v>0.03418791354816189</v>
      </c>
      <c r="AE214" t="n">
        <v>0.03498573519856223</v>
      </c>
      <c r="AF214" t="n">
        <v>0.03609787039184439</v>
      </c>
      <c r="AG214" t="n">
        <v>0.03749649146656057</v>
      </c>
      <c r="AH214" t="n">
        <v>0.03897206072323202</v>
      </c>
      <c r="AI214" t="n">
        <v>0.04049665722715752</v>
      </c>
    </row>
    <row r="215">
      <c r="A215" t="inlineStr">
        <is>
          <t>Dominica_2018_August</t>
        </is>
      </c>
      <c r="B215" s="2" t="n"/>
      <c r="C215" s="3" t="inlineStr">
        <is>
          <t>SM.18.139</t>
        </is>
      </c>
      <c r="D215" s="4" t="inlineStr">
        <is>
          <t>Dominica</t>
        </is>
      </c>
      <c r="E215" s="4" t="inlineStr">
        <is>
          <t>DMA</t>
        </is>
      </c>
      <c r="F215" s="10" t="n">
        <v>43255</v>
      </c>
      <c r="G215" s="4" t="inlineStr">
        <is>
          <t>2013gn</t>
        </is>
      </c>
      <c r="H215" s="4" t="n">
        <v>2017</v>
      </c>
      <c r="I215" s="4" t="inlineStr">
        <is>
          <t>new.amt.lcl.nres</t>
        </is>
      </c>
    </row>
    <row r="216">
      <c r="A216" t="inlineStr">
        <is>
          <t>Dominica_2018_August</t>
        </is>
      </c>
      <c r="B216" s="2" t="n"/>
      <c r="C216" s="3" t="inlineStr">
        <is>
          <t>SM.18.139</t>
        </is>
      </c>
      <c r="D216" s="4" t="inlineStr">
        <is>
          <t>Dominica</t>
        </is>
      </c>
      <c r="E216" s="4" t="inlineStr">
        <is>
          <t>DMA</t>
        </is>
      </c>
      <c r="F216" s="10" t="n">
        <v>43255</v>
      </c>
      <c r="G216" s="4" t="inlineStr">
        <is>
          <t>2013gn</t>
        </is>
      </c>
      <c r="H216" s="4" t="n">
        <v>2017</v>
      </c>
      <c r="I216" s="4" t="inlineStr">
        <is>
          <t>new.amt.lcl.nres.lc</t>
        </is>
      </c>
      <c r="J216" t="inlineStr">
        <is>
          <t>Nominal value (=PV) of ST debt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Dominica_2018_August</t>
        </is>
      </c>
      <c r="B217" s="2" t="n"/>
      <c r="C217" s="3" t="inlineStr">
        <is>
          <t>SM.18.139</t>
        </is>
      </c>
      <c r="D217" s="4" t="inlineStr">
        <is>
          <t>Dominica</t>
        </is>
      </c>
      <c r="E217" s="4" t="inlineStr">
        <is>
          <t>DMA</t>
        </is>
      </c>
      <c r="F217" s="10" t="n">
        <v>43255</v>
      </c>
      <c r="G217" s="4" t="inlineStr">
        <is>
          <t>2013gn</t>
        </is>
      </c>
      <c r="H217" s="4" t="n">
        <v>2017</v>
      </c>
      <c r="I217" s="4" t="inlineStr">
        <is>
          <t>new.amt.lcl.nres.bnd.1to3.lc</t>
        </is>
      </c>
      <c r="J217" t="inlineStr">
        <is>
          <t>Interest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Dominica_2018_August</t>
        </is>
      </c>
      <c r="B218" s="2" t="n"/>
      <c r="C218" s="3" t="inlineStr">
        <is>
          <t>SM.18.139</t>
        </is>
      </c>
      <c r="D218" s="4" t="inlineStr">
        <is>
          <t>Dominica</t>
        </is>
      </c>
      <c r="E218" s="4" t="inlineStr">
        <is>
          <t>DMA</t>
        </is>
      </c>
      <c r="F218" s="10" t="n">
        <v>43255</v>
      </c>
      <c r="G218" s="4" t="inlineStr">
        <is>
          <t>2013gn</t>
        </is>
      </c>
      <c r="H218" s="4" t="n">
        <v>2017</v>
      </c>
      <c r="I218" s="4" t="inlineStr">
        <is>
          <t>new.amt.lcl.nres.bnd.4to7.lc</t>
        </is>
      </c>
    </row>
    <row r="219">
      <c r="A219" t="inlineStr">
        <is>
          <t>Dominica_2018_August</t>
        </is>
      </c>
      <c r="B219" s="2" t="n"/>
      <c r="C219" s="3" t="inlineStr">
        <is>
          <t>SM.18.139</t>
        </is>
      </c>
      <c r="D219" s="4" t="inlineStr">
        <is>
          <t>Dominica</t>
        </is>
      </c>
      <c r="E219" s="4" t="inlineStr">
        <is>
          <t>DMA</t>
        </is>
      </c>
      <c r="F219" s="10" t="n">
        <v>43255</v>
      </c>
      <c r="G219" s="4" t="inlineStr">
        <is>
          <t>2013gn</t>
        </is>
      </c>
      <c r="H219" s="4" t="n">
        <v>2017</v>
      </c>
      <c r="I219" s="4" t="inlineStr">
        <is>
          <t>new.amt.lcl.nres.bnd.byd7.lc</t>
        </is>
      </c>
      <c r="J219" t="inlineStr">
        <is>
          <t>PV of net use of SDRs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Dominica_2018_August</t>
        </is>
      </c>
      <c r="B220" s="2" t="n"/>
      <c r="C220" s="3" t="inlineStr">
        <is>
          <t>SM.18.139</t>
        </is>
      </c>
      <c r="D220" s="4" t="inlineStr">
        <is>
          <t>Dominica</t>
        </is>
      </c>
      <c r="E220" s="4" t="inlineStr">
        <is>
          <t>DMA</t>
        </is>
      </c>
      <c r="F220" s="10" t="n">
        <v>43255</v>
      </c>
      <c r="G220" s="4" t="inlineStr">
        <is>
          <t>2013gn</t>
        </is>
      </c>
      <c r="H220" s="4" t="n">
        <v>2017</v>
      </c>
      <c r="I220" s="4" t="inlineStr">
        <is>
          <t>new.amt.lcl.nres.fx</t>
        </is>
      </c>
      <c r="J220" t="inlineStr">
        <is>
          <t>Total PV of debt</t>
        </is>
      </c>
      <c r="N220" t="n">
        <v>0.2450650105420223</v>
      </c>
      <c r="O220" t="n">
        <v>0.2770893606828643</v>
      </c>
      <c r="P220" t="n">
        <v>0.2946390508413189</v>
      </c>
      <c r="Q220" t="n">
        <v>0.3098110846538038</v>
      </c>
      <c r="R220" t="n">
        <v>0.3589014594731476</v>
      </c>
      <c r="S220" t="n">
        <v>0.3940679219938258</v>
      </c>
      <c r="T220" t="n">
        <v>0.4107661751471002</v>
      </c>
      <c r="U220" t="n">
        <v>0.4204758523871146</v>
      </c>
      <c r="V220" t="n">
        <v>0.4254656964954556</v>
      </c>
      <c r="W220" t="n">
        <v>0.4315686560831759</v>
      </c>
      <c r="X220" t="n">
        <v>0.4353783800769277</v>
      </c>
      <c r="Y220" t="n">
        <v>0.4392918605008259</v>
      </c>
      <c r="Z220" t="n">
        <v>0.4451814958333372</v>
      </c>
      <c r="AA220" t="n">
        <v>0.4493210076198546</v>
      </c>
      <c r="AB220" t="n">
        <v>0.4532711522740148</v>
      </c>
      <c r="AC220" t="n">
        <v>0.4592229077705321</v>
      </c>
      <c r="AD220" t="n">
        <v>0.4646686746741446</v>
      </c>
      <c r="AE220" t="n">
        <v>0.4703620297492026</v>
      </c>
      <c r="AF220" t="n">
        <v>0.4763619291971299</v>
      </c>
      <c r="AG220" t="n">
        <v>0.4829620271940797</v>
      </c>
      <c r="AH220" t="n">
        <v>0.4902613807903118</v>
      </c>
      <c r="AI220" t="n">
        <v>0.4981247813869827</v>
      </c>
    </row>
    <row r="221">
      <c r="A221" t="inlineStr">
        <is>
          <t>Dominica_2018_August</t>
        </is>
      </c>
      <c r="B221" s="2" t="n"/>
      <c r="C221" s="3" t="inlineStr">
        <is>
          <t>SM.18.139</t>
        </is>
      </c>
      <c r="D221" s="4" t="inlineStr">
        <is>
          <t>Dominica</t>
        </is>
      </c>
      <c r="E221" s="4" t="inlineStr">
        <is>
          <t>DMA</t>
        </is>
      </c>
      <c r="F221" s="10" t="n">
        <v>43255</v>
      </c>
      <c r="G221" s="4" t="inlineStr">
        <is>
          <t>2013gn</t>
        </is>
      </c>
      <c r="H221" s="4" t="n">
        <v>2017</v>
      </c>
      <c r="I221" s="4" t="inlineStr">
        <is>
          <t>new.amt.lcl.nres.bnd.1to3.fx</t>
        </is>
      </c>
    </row>
    <row r="222">
      <c r="A222" t="inlineStr">
        <is>
          <t>Dominica_2018_August</t>
        </is>
      </c>
      <c r="B222" s="2" t="n"/>
      <c r="C222" s="3" t="inlineStr">
        <is>
          <t>SM.18.139</t>
        </is>
      </c>
      <c r="D222" s="4" t="inlineStr">
        <is>
          <t>Dominica</t>
        </is>
      </c>
      <c r="E222" s="4" t="inlineStr">
        <is>
          <t>DMA</t>
        </is>
      </c>
      <c r="F222" s="10" t="n">
        <v>43255</v>
      </c>
      <c r="G222" s="4" t="inlineStr">
        <is>
          <t>2013gn</t>
        </is>
      </c>
      <c r="H222" s="4" t="n">
        <v>2017</v>
      </c>
      <c r="I222" s="4" t="inlineStr">
        <is>
          <t>new.amt.lcl.nres.bnd.4to7.fx</t>
        </is>
      </c>
      <c r="J222" t="inlineStr">
        <is>
          <t>Nominal PPG debt check</t>
        </is>
      </c>
      <c r="N222" t="n">
        <v>0</v>
      </c>
      <c r="O222" t="n">
        <v>0</v>
      </c>
      <c r="P222" t="n">
        <v>0</v>
      </c>
      <c r="Q222" t="n">
        <v>0</v>
      </c>
      <c r="R222" t="n">
        <v>2.775557561562891e-17</v>
      </c>
      <c r="S222" t="n">
        <v>0</v>
      </c>
      <c r="T222" t="n">
        <v>0</v>
      </c>
      <c r="U222" t="n">
        <v>0</v>
      </c>
      <c r="V222" t="n">
        <v>0</v>
      </c>
      <c r="W222" t="n">
        <v>-1.387778780781446e-17</v>
      </c>
      <c r="X222" t="n">
        <v>5.551115123125783e-17</v>
      </c>
      <c r="Y222" t="n">
        <v>0</v>
      </c>
      <c r="Z222" t="n">
        <v>1.387778780781446e-17</v>
      </c>
      <c r="AA222" t="n">
        <v>-4.85722573273506e-17</v>
      </c>
      <c r="AB222" t="n">
        <v>-4.163336342344337e-17</v>
      </c>
      <c r="AC222" t="n">
        <v>4.85722573273506e-17</v>
      </c>
      <c r="AD222" t="n">
        <v>1.387778780781446e-17</v>
      </c>
      <c r="AE222" t="n">
        <v>-2.42861286636753e-17</v>
      </c>
      <c r="AF222" t="n">
        <v>2.081668171172169e-17</v>
      </c>
      <c r="AG222" t="n">
        <v>-2.081668171172169e-17</v>
      </c>
      <c r="AH222" t="n">
        <v>-1.387778780781446e-17</v>
      </c>
      <c r="AI222" t="n">
        <v>2.168404344971009e-17</v>
      </c>
    </row>
    <row r="223">
      <c r="A223" t="inlineStr">
        <is>
          <t>Dominica_2018_August</t>
        </is>
      </c>
      <c r="B223" s="2" t="n"/>
      <c r="C223" s="3" t="inlineStr">
        <is>
          <t>SM.18.139</t>
        </is>
      </c>
      <c r="D223" s="4" t="inlineStr">
        <is>
          <t>Dominica</t>
        </is>
      </c>
      <c r="E223" s="4" t="inlineStr">
        <is>
          <t>DMA</t>
        </is>
      </c>
      <c r="F223" s="10" t="n">
        <v>43255</v>
      </c>
      <c r="G223" s="4" t="inlineStr">
        <is>
          <t>2013gn</t>
        </is>
      </c>
      <c r="H223" s="4" t="n">
        <v>2017</v>
      </c>
      <c r="I223" s="4" t="inlineStr">
        <is>
          <t>new.amt.lcl.nres.bnd.byd7.fx</t>
        </is>
      </c>
      <c r="J223" t="inlineStr">
        <is>
          <t>Total public debt service</t>
        </is>
      </c>
      <c r="N223" t="n">
        <v>0.02891994197032799</v>
      </c>
      <c r="O223" t="n">
        <v>0.02039547528208273</v>
      </c>
      <c r="P223" t="n">
        <v>0.03145930893600665</v>
      </c>
      <c r="Q223" t="n">
        <v>0.04086748763316232</v>
      </c>
      <c r="R223" t="n">
        <v>0.03343240073334783</v>
      </c>
      <c r="S223" t="n">
        <v>0.03472469698616582</v>
      </c>
      <c r="T223" t="n">
        <v>0.03877653021268102</v>
      </c>
      <c r="U223" t="n">
        <v>0.04204067283411866</v>
      </c>
      <c r="V223" t="n">
        <v>0.04538188313293437</v>
      </c>
      <c r="W223" t="n">
        <v>0.04864192040895005</v>
      </c>
      <c r="X223" t="n">
        <v>0.0522935981327123</v>
      </c>
      <c r="Y223" t="n">
        <v>0.05286873527015519</v>
      </c>
      <c r="Z223" t="n">
        <v>0.05257274706889173</v>
      </c>
      <c r="AA223" t="n">
        <v>0.05496150544284456</v>
      </c>
      <c r="AB223" t="n">
        <v>0.05818073005414489</v>
      </c>
      <c r="AC223" t="n">
        <v>0.05977629258576397</v>
      </c>
      <c r="AD223" t="n">
        <v>0.06198931740991639</v>
      </c>
      <c r="AE223" t="n">
        <v>0.06330563277920996</v>
      </c>
      <c r="AF223" t="n">
        <v>0.06478334275488323</v>
      </c>
      <c r="AG223" t="n">
        <v>0.06589151881646765</v>
      </c>
      <c r="AH223" t="n">
        <v>0.06701162398276793</v>
      </c>
      <c r="AI223" t="n">
        <v>0.0676609765531347</v>
      </c>
    </row>
    <row r="224">
      <c r="A224" t="inlineStr">
        <is>
          <t>Dominica_2018_August</t>
        </is>
      </c>
      <c r="B224" s="2" t="n"/>
      <c r="C224" s="3" t="inlineStr">
        <is>
          <t>SM.18.139</t>
        </is>
      </c>
      <c r="D224" s="4" t="inlineStr">
        <is>
          <t>Dominica</t>
        </is>
      </c>
      <c r="E224" s="4" t="inlineStr">
        <is>
          <t>DMA</t>
        </is>
      </c>
      <c r="F224" s="10" t="n">
        <v>43255</v>
      </c>
      <c r="G224" s="4" t="inlineStr">
        <is>
          <t>2013gn</t>
        </is>
      </c>
      <c r="H224" s="4" t="n">
        <v>2017</v>
      </c>
      <c r="I224" s="5" t="n"/>
      <c r="J224" t="inlineStr">
        <is>
          <t xml:space="preserve">    of which: principal</t>
        </is>
      </c>
      <c r="N224" t="n">
        <v>0.0214953117099327</v>
      </c>
      <c r="O224" t="n">
        <v>0.0154323495851503</v>
      </c>
      <c r="P224" t="n">
        <v>0.0230101790295947</v>
      </c>
      <c r="Q224" t="n">
        <v>0.03109974014772915</v>
      </c>
      <c r="R224" t="n">
        <v>0.02251118361370061</v>
      </c>
      <c r="S224" t="n">
        <v>0.02179410672113042</v>
      </c>
      <c r="T224" t="n">
        <v>0.02453228033659608</v>
      </c>
      <c r="U224" t="n">
        <v>0.02707476331487899</v>
      </c>
      <c r="V224" t="n">
        <v>0.03000057973566523</v>
      </c>
      <c r="W224" t="n">
        <v>0.03288578946037946</v>
      </c>
      <c r="X224" t="n">
        <v>0.03620030420348602</v>
      </c>
      <c r="Y224" t="n">
        <v>0.03648654497583516</v>
      </c>
      <c r="Z224" t="n">
        <v>0.03696428592607515</v>
      </c>
      <c r="AA224" t="n">
        <v>0.03771413024847035</v>
      </c>
      <c r="AB224" t="n">
        <v>0.0406633403262803</v>
      </c>
      <c r="AC224" t="n">
        <v>0.04198153769222385</v>
      </c>
      <c r="AD224" t="n">
        <v>0.04391646947988043</v>
      </c>
      <c r="AE224" t="n">
        <v>0.04516261596748553</v>
      </c>
      <c r="AF224" t="n">
        <v>0.04630422451158406</v>
      </c>
      <c r="AG224" t="n">
        <v>0.04704349399917201</v>
      </c>
      <c r="AH224" t="n">
        <v>0.04775727642602336</v>
      </c>
      <c r="AI224" t="n">
        <v>0.04797190355005196</v>
      </c>
    </row>
    <row r="225">
      <c r="A225" t="inlineStr">
        <is>
          <t>Dominica_2018_August</t>
        </is>
      </c>
      <c r="B225" s="2" t="n"/>
      <c r="C225" s="3" t="inlineStr">
        <is>
          <t>SM.18.139</t>
        </is>
      </c>
      <c r="D225" s="4" t="inlineStr">
        <is>
          <t>Dominica</t>
        </is>
      </c>
      <c r="E225" s="4" t="inlineStr">
        <is>
          <t>DMA</t>
        </is>
      </c>
      <c r="F225" s="10" t="n">
        <v>43255</v>
      </c>
      <c r="G225" s="4" t="inlineStr">
        <is>
          <t>2013gn</t>
        </is>
      </c>
      <c r="H225" s="4" t="n">
        <v>2017</v>
      </c>
      <c r="I225" s="4" t="inlineStr">
        <is>
          <t>new.amt.lcl.fx</t>
        </is>
      </c>
      <c r="J225" t="inlineStr">
        <is>
          <t xml:space="preserve">    of which: interest</t>
        </is>
      </c>
      <c r="N225" t="n">
        <v>0.007424630260395287</v>
      </c>
      <c r="O225" t="n">
        <v>0.00496312569693243</v>
      </c>
      <c r="P225" t="n">
        <v>0.008449129906411945</v>
      </c>
      <c r="Q225" t="n">
        <v>0.00976774748543317</v>
      </c>
      <c r="R225" t="n">
        <v>0.01092121711964722</v>
      </c>
      <c r="S225" t="n">
        <v>0.0129305902650354</v>
      </c>
      <c r="T225" t="n">
        <v>0.01424424987608494</v>
      </c>
      <c r="U225" t="n">
        <v>0.01496590951923968</v>
      </c>
      <c r="V225" t="n">
        <v>0.01538130339726914</v>
      </c>
      <c r="W225" t="n">
        <v>0.01575613094857059</v>
      </c>
      <c r="X225" t="n">
        <v>0.01609329392922629</v>
      </c>
      <c r="Y225" t="n">
        <v>0.01638219029432003</v>
      </c>
      <c r="Z225" t="n">
        <v>0.01560846114281658</v>
      </c>
      <c r="AA225" t="n">
        <v>0.01724737519437421</v>
      </c>
      <c r="AB225" t="n">
        <v>0.01751738972786459</v>
      </c>
      <c r="AC225" t="n">
        <v>0.01779475489354011</v>
      </c>
      <c r="AD225" t="n">
        <v>0.01807284793003595</v>
      </c>
      <c r="AE225" t="n">
        <v>0.01814301681172444</v>
      </c>
      <c r="AF225" t="n">
        <v>0.01847911824329917</v>
      </c>
      <c r="AG225" t="n">
        <v>0.01884802481729564</v>
      </c>
      <c r="AH225" t="n">
        <v>0.01925434755674456</v>
      </c>
      <c r="AI225" t="n">
        <v>0.01968907300308274</v>
      </c>
    </row>
    <row r="226">
      <c r="A226" t="inlineStr">
        <is>
          <t>Dominica_2018_August</t>
        </is>
      </c>
      <c r="B226" s="2" t="n"/>
      <c r="C226" s="3" t="inlineStr">
        <is>
          <t>SM.18.139</t>
        </is>
      </c>
      <c r="D226" s="4" t="inlineStr">
        <is>
          <t>Dominica</t>
        </is>
      </c>
      <c r="E226" s="4" t="inlineStr">
        <is>
          <t>DMA</t>
        </is>
      </c>
      <c r="F226" s="10" t="n">
        <v>43255</v>
      </c>
      <c r="G226" s="4" t="inlineStr">
        <is>
          <t>2013gn</t>
        </is>
      </c>
      <c r="H226" s="4" t="n">
        <v>2017</v>
      </c>
      <c r="I226" s="4" t="inlineStr">
        <is>
          <t>new.amt.lcl.fx.bnd.1to3.fx</t>
        </is>
      </c>
    </row>
    <row r="227">
      <c r="A227" t="inlineStr">
        <is>
          <t>Dominica_2018_August</t>
        </is>
      </c>
      <c r="B227" s="2" t="n"/>
      <c r="C227" s="3" t="inlineStr">
        <is>
          <t>SM.18.139</t>
        </is>
      </c>
      <c r="D227" s="4" t="inlineStr">
        <is>
          <t>Dominica</t>
        </is>
      </c>
      <c r="E227" s="4" t="inlineStr">
        <is>
          <t>DMA</t>
        </is>
      </c>
      <c r="F227" s="10" t="n">
        <v>43255</v>
      </c>
      <c r="G227" s="4" t="inlineStr">
        <is>
          <t>2013gn</t>
        </is>
      </c>
      <c r="H227" s="4" t="n">
        <v>2017</v>
      </c>
      <c r="I227" s="4" t="inlineStr">
        <is>
          <t>new.amt.lcl.fx.bnd.4to7.fx</t>
        </is>
      </c>
    </row>
    <row r="228">
      <c r="A228" t="inlineStr">
        <is>
          <t>Dominica_2018_August</t>
        </is>
      </c>
      <c r="B228" s="2" t="n"/>
      <c r="C228" s="3" t="inlineStr">
        <is>
          <t>SM.18.139</t>
        </is>
      </c>
      <c r="D228" s="4" t="inlineStr">
        <is>
          <t>Dominica</t>
        </is>
      </c>
      <c r="E228" s="4" t="inlineStr">
        <is>
          <t>DMA</t>
        </is>
      </c>
      <c r="F228" s="10" t="n">
        <v>43255</v>
      </c>
      <c r="G228" s="4" t="inlineStr">
        <is>
          <t>2013gn</t>
        </is>
      </c>
      <c r="H228" s="4" t="n">
        <v>2017</v>
      </c>
      <c r="I228" s="4" t="inlineStr">
        <is>
          <t>new.amt.lcl.fx.bnd.byd7.fx</t>
        </is>
      </c>
      <c r="J228" t="inlineStr">
        <is>
          <t>Calculation of grant implicit in new borrowing and average discount rates</t>
        </is>
      </c>
    </row>
    <row r="229">
      <c r="A229" t="inlineStr">
        <is>
          <t>Dominica_2018_August</t>
        </is>
      </c>
      <c r="B229" s="2" t="n"/>
      <c r="C229" s="3" t="inlineStr">
        <is>
          <t>SM.18.139</t>
        </is>
      </c>
      <c r="D229" s="4" t="inlineStr">
        <is>
          <t>Dominica</t>
        </is>
      </c>
      <c r="E229" s="4" t="inlineStr">
        <is>
          <t>DMA</t>
        </is>
      </c>
      <c r="F229" s="10" t="n">
        <v>43255</v>
      </c>
      <c r="G229" s="4" t="inlineStr">
        <is>
          <t>2013gn</t>
        </is>
      </c>
      <c r="H229" s="4" t="n">
        <v>2017</v>
      </c>
      <c r="I229" s="5" t="n"/>
    </row>
    <row r="230">
      <c r="A230" t="inlineStr">
        <is>
          <t>Dominica_2018_August</t>
        </is>
      </c>
      <c r="B230" s="2" t="n"/>
      <c r="C230" s="3" t="inlineStr">
        <is>
          <t>SM.18.139</t>
        </is>
      </c>
      <c r="D230" s="4" t="inlineStr">
        <is>
          <t>Dominica</t>
        </is>
      </c>
      <c r="E230" s="4" t="inlineStr">
        <is>
          <t>DMA</t>
        </is>
      </c>
      <c r="F230" s="10" t="n">
        <v>43255</v>
      </c>
      <c r="G230" s="4" t="inlineStr">
        <is>
          <t>2013gn</t>
        </is>
      </c>
      <c r="H230" s="4" t="n">
        <v>2017</v>
      </c>
      <c r="I230" s="4" t="inlineStr">
        <is>
          <t>pv.old.dbt.mlg.trm</t>
        </is>
      </c>
      <c r="J230" t="inlineStr">
        <is>
          <t>PV of new disbursements PPG</t>
        </is>
      </c>
      <c r="O230" t="n">
        <v>0.03936193067457203</v>
      </c>
      <c r="P230" t="n">
        <v>0.03515453106031804</v>
      </c>
      <c r="Q230" t="n">
        <v>0.04130756890358118</v>
      </c>
      <c r="R230" t="n">
        <v>0.06703222132000143</v>
      </c>
      <c r="S230" t="n">
        <v>0.05194608653318665</v>
      </c>
      <c r="T230" t="n">
        <v>0.03577138726626414</v>
      </c>
      <c r="U230" t="n">
        <v>0.03121204131677805</v>
      </c>
      <c r="V230" t="n">
        <v>0.02934793462191953</v>
      </c>
      <c r="W230" t="n">
        <v>0.0334715951718976</v>
      </c>
      <c r="X230" t="n">
        <v>0.03452488932230525</v>
      </c>
      <c r="Y230" t="n">
        <v>0.03501329669020692</v>
      </c>
      <c r="Z230" t="n">
        <v>0.03649778937636166</v>
      </c>
      <c r="AA230" t="n">
        <v>0.03684194243769524</v>
      </c>
      <c r="AB230" t="n">
        <v>0.03966482432731222</v>
      </c>
      <c r="AC230" t="n">
        <v>0.04306449046858057</v>
      </c>
      <c r="AD230" t="n">
        <v>0.04447393892500236</v>
      </c>
      <c r="AE230" t="n">
        <v>0.04576555412056063</v>
      </c>
      <c r="AF230" t="n">
        <v>0.0472651407153504</v>
      </c>
      <c r="AG230" t="n">
        <v>0.04867352035356091</v>
      </c>
      <c r="AH230" t="n">
        <v>0.0501628762192961</v>
      </c>
      <c r="AI230" t="n">
        <v>0.05101130811028991</v>
      </c>
    </row>
    <row r="231">
      <c r="A231" t="inlineStr">
        <is>
          <t>Dominica_2018_August</t>
        </is>
      </c>
      <c r="B231" s="2" t="n"/>
      <c r="C231" s="3" t="inlineStr">
        <is>
          <t>SM.18.139</t>
        </is>
      </c>
      <c r="D231" s="4" t="inlineStr">
        <is>
          <t>Dominica</t>
        </is>
      </c>
      <c r="E231" s="4" t="inlineStr">
        <is>
          <t>DMA</t>
        </is>
      </c>
      <c r="F231" s="10" t="n">
        <v>43255</v>
      </c>
      <c r="G231" s="4" t="inlineStr">
        <is>
          <t>2013gn</t>
        </is>
      </c>
      <c r="H231" s="4" t="n">
        <v>2017</v>
      </c>
      <c r="I231" s="5" t="n"/>
      <c r="J231" t="inlineStr">
        <is>
          <t>Grant element of new disbursement (percent)</t>
        </is>
      </c>
      <c r="O231" t="n">
        <v>17.99194607496393</v>
      </c>
      <c r="P231" t="n">
        <v>18.74451617486202</v>
      </c>
      <c r="Q231" t="n">
        <v>17.50721981413448</v>
      </c>
      <c r="R231" t="n">
        <v>14.24113495049689</v>
      </c>
      <c r="S231" t="n">
        <v>16.15002275387937</v>
      </c>
      <c r="T231" t="n">
        <v>14.98841064564498</v>
      </c>
      <c r="U231" t="n">
        <v>14.75622671794486</v>
      </c>
      <c r="V231" t="n">
        <v>14.29839456301089</v>
      </c>
      <c r="W231" t="n">
        <v>14.28642726918808</v>
      </c>
      <c r="X231" t="n">
        <v>15.12348221998809</v>
      </c>
      <c r="Y231" t="n">
        <v>15.019436728228</v>
      </c>
      <c r="Z231" t="n">
        <v>15.1475790687929</v>
      </c>
      <c r="AA231" t="n">
        <v>15.56912362654328</v>
      </c>
      <c r="AB231" t="n">
        <v>15.82434017504999</v>
      </c>
      <c r="AC231" t="n">
        <v>16.02362477196863</v>
      </c>
      <c r="AD231" t="n">
        <v>16.09745266518751</v>
      </c>
      <c r="AE231" t="n">
        <v>16.10512289757816</v>
      </c>
      <c r="AF231" t="n">
        <v>16.08108096540975</v>
      </c>
      <c r="AG231" t="n">
        <v>16.03960413153003</v>
      </c>
      <c r="AH231" t="n">
        <v>16.00140148246836</v>
      </c>
      <c r="AI231" t="n">
        <v>15.90321213773809</v>
      </c>
    </row>
    <row r="232">
      <c r="A232" t="inlineStr">
        <is>
          <t>Dominica_2018_August</t>
        </is>
      </c>
      <c r="B232" s="2" t="n"/>
      <c r="C232" s="3" t="inlineStr">
        <is>
          <t>SM.18.139</t>
        </is>
      </c>
      <c r="D232" s="4" t="inlineStr">
        <is>
          <t>Dominica</t>
        </is>
      </c>
      <c r="E232" s="4" t="inlineStr">
        <is>
          <t>DMA</t>
        </is>
      </c>
      <c r="F232" s="10" t="n">
        <v>43255</v>
      </c>
      <c r="G232" s="4" t="inlineStr">
        <is>
          <t>2013gn</t>
        </is>
      </c>
      <c r="H232" s="4" t="n">
        <v>2017</v>
      </c>
      <c r="I232" s="4" t="inlineStr">
        <is>
          <t>pv.old.dbt.mlt</t>
        </is>
      </c>
      <c r="J232" t="inlineStr">
        <is>
          <t>Grant implicit in new disbursements (US billion)</t>
        </is>
      </c>
      <c r="O232" t="n">
        <v>0.008635709545683589</v>
      </c>
      <c r="P232" t="n">
        <v>0.008109664050464496</v>
      </c>
      <c r="Q232" t="n">
        <v>0.008766593720724337</v>
      </c>
      <c r="R232" t="n">
        <v>0.01113138460144822</v>
      </c>
      <c r="S232" t="n">
        <v>0.01000513663854052</v>
      </c>
      <c r="T232" t="n">
        <v>0.006306860579635736</v>
      </c>
      <c r="U232" t="n">
        <v>0.005402998251570772</v>
      </c>
      <c r="V232" t="n">
        <v>0.004896388424627344</v>
      </c>
      <c r="W232" t="n">
        <v>0.005578924023022605</v>
      </c>
      <c r="X232" t="n">
        <v>0.006151719739094921</v>
      </c>
      <c r="Y232" t="n">
        <v>0.006188238510533846</v>
      </c>
      <c r="Z232" t="n">
        <v>0.006515467023183768</v>
      </c>
      <c r="AA232" t="n">
        <v>0.006793684740607465</v>
      </c>
      <c r="AB232" t="n">
        <v>0.007456664722845965</v>
      </c>
      <c r="AC232" t="n">
        <v>0.008217182920681911</v>
      </c>
      <c r="AD232" t="n">
        <v>0.008532722180922636</v>
      </c>
      <c r="AE232" t="n">
        <v>0.008785517054725103</v>
      </c>
      <c r="AF232" t="n">
        <v>0.009057249109366413</v>
      </c>
      <c r="AG232" t="n">
        <v>0.009298479242309858</v>
      </c>
      <c r="AH232" t="n">
        <v>0.009555829931290963</v>
      </c>
      <c r="AI232" t="n">
        <v>0.009646547447569069</v>
      </c>
    </row>
    <row r="233">
      <c r="A233" t="inlineStr">
        <is>
          <t>Dominica_2018_August</t>
        </is>
      </c>
      <c r="B233" s="2" t="n"/>
      <c r="C233" s="3" t="inlineStr">
        <is>
          <t>SM.18.139</t>
        </is>
      </c>
      <c r="D233" s="4" t="inlineStr">
        <is>
          <t>Dominica</t>
        </is>
      </c>
      <c r="E233" s="4" t="inlineStr">
        <is>
          <t>DMA</t>
        </is>
      </c>
      <c r="F233" s="10" t="n">
        <v>43255</v>
      </c>
      <c r="G233" s="4" t="inlineStr">
        <is>
          <t>2013gn</t>
        </is>
      </c>
      <c r="H233" s="4" t="n">
        <v>2017</v>
      </c>
      <c r="I233" s="4" t="inlineStr">
        <is>
          <t>pv.old.dbt.mlt.imf</t>
        </is>
      </c>
      <c r="J233" t="inlineStr">
        <is>
          <t>Average discount rate</t>
        </is>
      </c>
      <c r="O233" t="n">
        <v>5</v>
      </c>
      <c r="P233" t="n">
        <v>5</v>
      </c>
      <c r="Q233" t="n">
        <v>5</v>
      </c>
      <c r="R233" t="n">
        <v>5.000000000000001</v>
      </c>
      <c r="S233" t="n">
        <v>5.000000000000001</v>
      </c>
      <c r="T233" t="n">
        <v>5</v>
      </c>
      <c r="U233" t="n">
        <v>5</v>
      </c>
      <c r="V233" t="n">
        <v>5</v>
      </c>
      <c r="W233" t="n">
        <v>5</v>
      </c>
      <c r="X233" t="n">
        <v>5.000000000000001</v>
      </c>
      <c r="Y233" t="n">
        <v>5.000000000000001</v>
      </c>
      <c r="Z233" t="n">
        <v>5</v>
      </c>
      <c r="AA233" t="n">
        <v>5</v>
      </c>
      <c r="AB233" t="n">
        <v>5.000000000000001</v>
      </c>
      <c r="AC233" t="n">
        <v>5.000000000000001</v>
      </c>
      <c r="AD233" t="n">
        <v>5.000000000000001</v>
      </c>
      <c r="AE233" t="n">
        <v>5</v>
      </c>
      <c r="AF233" t="n">
        <v>5</v>
      </c>
      <c r="AG233" t="n">
        <v>5.000000000000001</v>
      </c>
      <c r="AH233" t="n">
        <v>5</v>
      </c>
      <c r="AI233" t="n">
        <v>5.000000000000001</v>
      </c>
    </row>
    <row r="234">
      <c r="A234" t="inlineStr">
        <is>
          <t>Dominica_2018_August</t>
        </is>
      </c>
      <c r="B234" s="2" t="n"/>
      <c r="C234" s="3" t="inlineStr">
        <is>
          <t>SM.18.139</t>
        </is>
      </c>
      <c r="D234" s="4" t="inlineStr">
        <is>
          <t>Dominica</t>
        </is>
      </c>
      <c r="E234" s="4" t="inlineStr">
        <is>
          <t>DMA</t>
        </is>
      </c>
      <c r="F234" s="10" t="n">
        <v>43255</v>
      </c>
      <c r="G234" s="4" t="inlineStr">
        <is>
          <t>2013gn</t>
        </is>
      </c>
      <c r="H234" s="4" t="n">
        <v>2017</v>
      </c>
      <c r="I234" s="4" t="inlineStr">
        <is>
          <t>pv.old.dbt.mlt.ida.reg</t>
        </is>
      </c>
    </row>
    <row r="235">
      <c r="A235" t="inlineStr">
        <is>
          <t>Dominica_2018_August</t>
        </is>
      </c>
      <c r="B235" s="2" t="n"/>
      <c r="C235" s="3" t="inlineStr">
        <is>
          <t>SM.18.139</t>
        </is>
      </c>
      <c r="D235" s="4" t="inlineStr">
        <is>
          <t>Dominica</t>
        </is>
      </c>
      <c r="E235" s="4" t="inlineStr">
        <is>
          <t>DMA</t>
        </is>
      </c>
      <c r="F235" s="10" t="n">
        <v>43255</v>
      </c>
      <c r="G235" s="4" t="inlineStr">
        <is>
          <t>2013gn</t>
        </is>
      </c>
      <c r="H235" s="4" t="n">
        <v>2017</v>
      </c>
      <c r="I235" s="4" t="inlineStr">
        <is>
          <t>pv.old.dbt.mlt.ida.bld</t>
        </is>
      </c>
    </row>
    <row r="236">
      <c r="A236" t="inlineStr">
        <is>
          <t>Dominica_2018_August</t>
        </is>
      </c>
      <c r="B236" s="2" t="n"/>
      <c r="C236" s="3" t="inlineStr">
        <is>
          <t>SM.18.139</t>
        </is>
      </c>
      <c r="D236" s="4" t="inlineStr">
        <is>
          <t>Dominica</t>
        </is>
      </c>
      <c r="E236" s="4" t="inlineStr">
        <is>
          <t>DMA</t>
        </is>
      </c>
      <c r="F236" s="10" t="n">
        <v>43255</v>
      </c>
      <c r="G236" s="4" t="inlineStr">
        <is>
          <t>2013gn</t>
        </is>
      </c>
      <c r="H236" s="4" t="n">
        <v>2017</v>
      </c>
      <c r="I236" s="4" t="inlineStr">
        <is>
          <t>pv.old.dbt.mlt.afdb</t>
        </is>
      </c>
      <c r="J236" t="inlineStr">
        <is>
          <t xml:space="preserve">1/ After rescheduling if a rescheduling has been agreed or is imminent. For HIPCs that have reached their decision or completion points, </t>
        </is>
      </c>
    </row>
    <row r="237">
      <c r="A237" t="inlineStr">
        <is>
          <t>Dominica_2018_August</t>
        </is>
      </c>
      <c r="B237" s="2" t="n"/>
      <c r="C237" s="3" t="inlineStr">
        <is>
          <t>SM.18.139</t>
        </is>
      </c>
      <c r="D237" s="4" t="inlineStr">
        <is>
          <t>Dominica</t>
        </is>
      </c>
      <c r="E237" s="4" t="inlineStr">
        <is>
          <t>DMA</t>
        </is>
      </c>
      <c r="F237" s="10" t="n">
        <v>43255</v>
      </c>
      <c r="G237" s="4" t="inlineStr">
        <is>
          <t>2013gn</t>
        </is>
      </c>
      <c r="H237" s="4" t="n">
        <v>2017</v>
      </c>
      <c r="I237" s="4" t="inlineStr">
        <is>
          <t>pv.old.dbt.mlt2</t>
        </is>
      </c>
      <c r="J237" t="inlineStr">
        <is>
          <t>enter debt service due after HIPC assistance (including additional bilateral assistance for completion point cases).</t>
        </is>
      </c>
    </row>
    <row r="238">
      <c r="A238" t="inlineStr">
        <is>
          <t>Dominica_2018_August</t>
        </is>
      </c>
      <c r="B238" s="2" t="n"/>
      <c r="C238" s="3" t="inlineStr">
        <is>
          <t>SM.18.139</t>
        </is>
      </c>
      <c r="D238" s="4" t="inlineStr">
        <is>
          <t>Dominica</t>
        </is>
      </c>
      <c r="E238" s="4" t="inlineStr">
        <is>
          <t>DMA</t>
        </is>
      </c>
      <c r="F238" s="10" t="n">
        <v>43255</v>
      </c>
      <c r="G238" s="4" t="inlineStr">
        <is>
          <t>2013gn</t>
        </is>
      </c>
      <c r="H238" s="4" t="n">
        <v>2017</v>
      </c>
      <c r="I238" s="4" t="inlineStr">
        <is>
          <t>pv.old.dbt.mlt3</t>
        </is>
      </c>
    </row>
    <row r="239">
      <c r="A239" t="inlineStr">
        <is>
          <t>Dominica_2018_August</t>
        </is>
      </c>
      <c r="B239" s="2" t="n"/>
      <c r="C239" s="3" t="inlineStr">
        <is>
          <t>SM.18.139</t>
        </is>
      </c>
      <c r="D239" s="4" t="inlineStr">
        <is>
          <t>Dominica</t>
        </is>
      </c>
      <c r="E239" s="4" t="inlineStr">
        <is>
          <t>DMA</t>
        </is>
      </c>
      <c r="F239" s="10" t="n">
        <v>43255</v>
      </c>
      <c r="G239" s="4" t="inlineStr">
        <is>
          <t>2013gn</t>
        </is>
      </c>
      <c r="H239" s="4" t="n">
        <v>2017</v>
      </c>
      <c r="I239" s="4" t="inlineStr">
        <is>
          <t>pv.old.dbt.mlt.oth</t>
        </is>
      </c>
    </row>
    <row r="240">
      <c r="A240" t="inlineStr">
        <is>
          <t>Dominica_2018_August</t>
        </is>
      </c>
      <c r="B240" s="2" t="n"/>
      <c r="C240" s="3" t="inlineStr">
        <is>
          <t>SM.18.139</t>
        </is>
      </c>
      <c r="D240" s="4" t="inlineStr">
        <is>
          <t>Dominica</t>
        </is>
      </c>
      <c r="E240" s="4" t="inlineStr">
        <is>
          <t>DMA</t>
        </is>
      </c>
      <c r="F240" s="10" t="n">
        <v>43255</v>
      </c>
      <c r="G240" s="4" t="inlineStr">
        <is>
          <t>2013gn</t>
        </is>
      </c>
      <c r="H240" s="4" t="n">
        <v>2017</v>
      </c>
      <c r="I240" s="4" t="inlineStr">
        <is>
          <t>pv.old.dbt.mlt.oth1</t>
        </is>
      </c>
      <c r="J240" t="inlineStr">
        <is>
          <t>Concessional loans</t>
        </is>
      </c>
      <c r="L240" t="inlineStr">
        <is>
          <t>Minimum Concessionality Requirement</t>
        </is>
      </c>
      <c r="M240" t="n">
        <v>0.35</v>
      </c>
      <c r="O240" t="n">
        <v>0.003251629057932816</v>
      </c>
      <c r="P240" t="n">
        <v>0.003877035228789192</v>
      </c>
      <c r="Q240" t="n">
        <v>0.004758122371984067</v>
      </c>
      <c r="R240" t="n">
        <v>0.005721645493893468</v>
      </c>
      <c r="S240" t="n">
        <v>0.005441488153268808</v>
      </c>
      <c r="T240" t="n">
        <v>0.003062219999156712</v>
      </c>
      <c r="U240" t="n">
        <v>0.001942380125985648</v>
      </c>
      <c r="V240" t="n">
        <v>0.001594179654216984</v>
      </c>
      <c r="W240" t="n">
        <v>0.00159897435516792</v>
      </c>
      <c r="X240" t="n">
        <v>0.0016463440251726</v>
      </c>
      <c r="Y240" t="n">
        <v>0.00169029386621064</v>
      </c>
      <c r="Z240" t="n">
        <v>0.001733082963420396</v>
      </c>
      <c r="AA240" t="n">
        <v>0.001772605413174852</v>
      </c>
      <c r="AB240" t="n">
        <v>0.00180752655272418</v>
      </c>
      <c r="AC240" t="n">
        <v>0.001848861586810068</v>
      </c>
      <c r="AD240" t="n">
        <v>0.001635745987097112</v>
      </c>
      <c r="AE240" t="n">
        <v>0.001550529704244276</v>
      </c>
      <c r="AF240" t="n">
        <v>0.001601088665690796</v>
      </c>
      <c r="AG240" t="n">
        <v>0.001669056139889256</v>
      </c>
      <c r="AH240" t="n">
        <v>0.00174085364054928</v>
      </c>
      <c r="AI240" t="n">
        <v>0.001814523085925256</v>
      </c>
    </row>
    <row r="241">
      <c r="A241" t="inlineStr">
        <is>
          <t>Dominica_2018_August</t>
        </is>
      </c>
      <c r="B241" s="2" t="n"/>
      <c r="C241" s="3" t="inlineStr">
        <is>
          <t>SM.18.139</t>
        </is>
      </c>
      <c r="D241" s="4" t="inlineStr">
        <is>
          <t>Dominica</t>
        </is>
      </c>
      <c r="E241" s="4" t="inlineStr">
        <is>
          <t>DMA</t>
        </is>
      </c>
      <c r="F241" s="10" t="n">
        <v>43255</v>
      </c>
      <c r="G241" s="4" t="inlineStr">
        <is>
          <t>2013gn</t>
        </is>
      </c>
      <c r="H241" s="4" t="n">
        <v>2017</v>
      </c>
      <c r="I241" s="4" t="inlineStr">
        <is>
          <t>pv.old.dbt.mlt.oth2</t>
        </is>
      </c>
      <c r="J241" t="inlineStr">
        <is>
          <t>Multilaterals</t>
        </is>
      </c>
    </row>
    <row r="242">
      <c r="A242" t="inlineStr">
        <is>
          <t>Dominica_2018_August</t>
        </is>
      </c>
      <c r="B242" s="2" t="n"/>
      <c r="C242" s="3" t="inlineStr">
        <is>
          <t>SM.18.139</t>
        </is>
      </c>
      <c r="D242" s="4" t="inlineStr">
        <is>
          <t>Dominica</t>
        </is>
      </c>
      <c r="E242" s="4" t="inlineStr">
        <is>
          <t>DMA</t>
        </is>
      </c>
      <c r="F242" s="10" t="n">
        <v>43255</v>
      </c>
      <c r="G242" s="4" t="inlineStr">
        <is>
          <t>2013gn</t>
        </is>
      </c>
      <c r="H242" s="4" t="n">
        <v>2017</v>
      </c>
      <c r="I242" s="4" t="inlineStr">
        <is>
          <t>pv.old.dbt.mlt.oth3</t>
        </is>
      </c>
      <c r="J242" t="inlineStr">
        <is>
          <t xml:space="preserve">   IMF</t>
        </is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Dominica_2018_August</t>
        </is>
      </c>
      <c r="B243" s="2" t="n"/>
      <c r="C243" s="3" t="inlineStr">
        <is>
          <t>SM.18.139</t>
        </is>
      </c>
      <c r="D243" s="4" t="inlineStr">
        <is>
          <t>Dominica</t>
        </is>
      </c>
      <c r="E243" s="4" t="inlineStr">
        <is>
          <t>DMA</t>
        </is>
      </c>
      <c r="F243" s="10" t="n">
        <v>43255</v>
      </c>
      <c r="G243" s="4" t="inlineStr">
        <is>
          <t>2013gn</t>
        </is>
      </c>
      <c r="H243" s="4" t="n">
        <v>2017</v>
      </c>
      <c r="I243" s="4" t="inlineStr">
        <is>
          <t>pv.old.dbt.blt</t>
        </is>
      </c>
      <c r="J243" t="inlineStr">
        <is>
          <t xml:space="preserve">   IDA - Small Island Country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Dominica_2018_August</t>
        </is>
      </c>
      <c r="B244" s="2" t="n"/>
      <c r="C244" s="3" t="inlineStr">
        <is>
          <t>SM.18.139</t>
        </is>
      </c>
      <c r="D244" s="4" t="inlineStr">
        <is>
          <t>Dominica</t>
        </is>
      </c>
      <c r="E244" s="4" t="inlineStr">
        <is>
          <t>DMA</t>
        </is>
      </c>
      <c r="F244" s="10" t="n">
        <v>43255</v>
      </c>
      <c r="G244" s="4" t="inlineStr">
        <is>
          <t>2013gn</t>
        </is>
      </c>
      <c r="H244" s="4" t="n">
        <v>2017</v>
      </c>
      <c r="I244" s="4" t="inlineStr">
        <is>
          <t>pv.old.dbt.pc</t>
        </is>
      </c>
      <c r="J244" t="inlineStr">
        <is>
          <t>IDA - Regular</t>
        </is>
      </c>
      <c r="O244" t="n">
        <v>0.003251629057932816</v>
      </c>
      <c r="P244" t="n">
        <v>0.003877035228789192</v>
      </c>
      <c r="Q244" t="n">
        <v>0.004758122371984067</v>
      </c>
      <c r="R244" t="n">
        <v>0.005721645493893468</v>
      </c>
      <c r="S244" t="n">
        <v>0.005441488153268808</v>
      </c>
      <c r="T244" t="n">
        <v>0.003062219999156712</v>
      </c>
      <c r="U244" t="n">
        <v>0.001942380125985648</v>
      </c>
      <c r="V244" t="n">
        <v>0.001594179654216984</v>
      </c>
      <c r="W244" t="n">
        <v>0.00159897435516792</v>
      </c>
      <c r="X244" t="n">
        <v>0.0016463440251726</v>
      </c>
      <c r="Y244" t="n">
        <v>0.00169029386621064</v>
      </c>
      <c r="Z244" t="n">
        <v>0.001733082963420396</v>
      </c>
      <c r="AA244" t="n">
        <v>0.001772605413174852</v>
      </c>
      <c r="AB244" t="n">
        <v>0.00180752655272418</v>
      </c>
      <c r="AC244" t="n">
        <v>0.001848861586810068</v>
      </c>
      <c r="AD244" t="n">
        <v>0.001635745987097112</v>
      </c>
      <c r="AE244" t="n">
        <v>0.001550529704244276</v>
      </c>
      <c r="AF244" t="n">
        <v>0.001601088665690796</v>
      </c>
      <c r="AG244" t="n">
        <v>0.001669056139889256</v>
      </c>
      <c r="AH244" t="n">
        <v>0.00174085364054928</v>
      </c>
      <c r="AI244" t="n">
        <v>0.001814523085925256</v>
      </c>
    </row>
    <row r="245">
      <c r="A245" t="inlineStr">
        <is>
          <t>Dominica_2018_August</t>
        </is>
      </c>
      <c r="B245" s="2" t="n"/>
      <c r="C245" s="3" t="inlineStr">
        <is>
          <t>SM.18.139</t>
        </is>
      </c>
      <c r="D245" s="4" t="inlineStr">
        <is>
          <t>Dominica</t>
        </is>
      </c>
      <c r="E245" s="4" t="inlineStr">
        <is>
          <t>DMA</t>
        </is>
      </c>
      <c r="F245" s="10" t="n">
        <v>43255</v>
      </c>
      <c r="G245" s="4" t="inlineStr">
        <is>
          <t>2013gn</t>
        </is>
      </c>
      <c r="H245" s="4" t="n">
        <v>2017</v>
      </c>
      <c r="I245" s="4" t="inlineStr">
        <is>
          <t>pv.old.dbt.pc1</t>
        </is>
      </c>
      <c r="J245" t="inlineStr">
        <is>
          <t>IBRD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Dominica_2018_August</t>
        </is>
      </c>
      <c r="B246" s="2" t="n"/>
      <c r="C246" s="3" t="inlineStr">
        <is>
          <t>SM.18.139</t>
        </is>
      </c>
      <c r="D246" s="4" t="inlineStr">
        <is>
          <t>Dominica</t>
        </is>
      </c>
      <c r="E246" s="4" t="inlineStr">
        <is>
          <t>DMA</t>
        </is>
      </c>
      <c r="F246" s="10" t="n">
        <v>43255</v>
      </c>
      <c r="G246" s="4" t="inlineStr">
        <is>
          <t>2013gn</t>
        </is>
      </c>
      <c r="H246" s="4" t="n">
        <v>2017</v>
      </c>
      <c r="I246" s="4" t="inlineStr">
        <is>
          <t>pv.old.dbt.pc2</t>
        </is>
      </c>
      <c r="J246" t="inlineStr">
        <is>
          <t>Other Multilateral</t>
        </is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Dominica_2018_August</t>
        </is>
      </c>
      <c r="B247" s="2" t="n"/>
      <c r="C247" s="3" t="inlineStr">
        <is>
          <t>SM.18.139</t>
        </is>
      </c>
      <c r="D247" s="4" t="inlineStr">
        <is>
          <t>Dominica</t>
        </is>
      </c>
      <c r="E247" s="4" t="inlineStr">
        <is>
          <t>DMA</t>
        </is>
      </c>
      <c r="F247" s="10" t="n">
        <v>43255</v>
      </c>
      <c r="G247" s="4" t="inlineStr">
        <is>
          <t>2013gn</t>
        </is>
      </c>
      <c r="H247" s="4" t="n">
        <v>2017</v>
      </c>
      <c r="I247" s="4" t="inlineStr">
        <is>
          <t>pv.old.dbt.pc3</t>
        </is>
      </c>
      <c r="J247" t="inlineStr">
        <is>
          <t>Official Bilaterals</t>
        </is>
      </c>
    </row>
    <row r="248">
      <c r="A248" t="inlineStr">
        <is>
          <t>Dominica_2018_August</t>
        </is>
      </c>
      <c r="B248" s="2" t="n"/>
      <c r="C248" s="3" t="inlineStr">
        <is>
          <t>SM.18.139</t>
        </is>
      </c>
      <c r="D248" s="4" t="inlineStr">
        <is>
          <t>Dominica</t>
        </is>
      </c>
      <c r="E248" s="4" t="inlineStr">
        <is>
          <t>DMA</t>
        </is>
      </c>
      <c r="F248" s="10" t="n">
        <v>43255</v>
      </c>
      <c r="G248" s="4" t="inlineStr">
        <is>
          <t>2013gn</t>
        </is>
      </c>
      <c r="H248" s="4" t="n">
        <v>2017</v>
      </c>
      <c r="I248" s="4" t="inlineStr">
        <is>
          <t>pv.old.dbt.pc4</t>
        </is>
      </c>
      <c r="J248" t="inlineStr">
        <is>
          <t xml:space="preserve">   PC</t>
        </is>
      </c>
    </row>
    <row r="249">
      <c r="A249" t="inlineStr">
        <is>
          <t>Dominica_2018_August</t>
        </is>
      </c>
      <c r="B249" s="2" t="n"/>
      <c r="C249" s="3" t="inlineStr">
        <is>
          <t>SM.18.139</t>
        </is>
      </c>
      <c r="D249" s="4" t="inlineStr">
        <is>
          <t>Dominica</t>
        </is>
      </c>
      <c r="E249" s="4" t="inlineStr">
        <is>
          <t>DMA</t>
        </is>
      </c>
      <c r="F249" s="10" t="n">
        <v>43255</v>
      </c>
      <c r="G249" s="4" t="inlineStr">
        <is>
          <t>2013gn</t>
        </is>
      </c>
      <c r="H249" s="4" t="n">
        <v>2017</v>
      </c>
      <c r="I249" s="4" t="inlineStr">
        <is>
          <t>pv.old.dbt.pc5</t>
        </is>
      </c>
      <c r="J249" t="inlineStr">
        <is>
          <t>…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Dominica_2018_August</t>
        </is>
      </c>
      <c r="B250" s="2" t="n"/>
      <c r="C250" s="3" t="inlineStr">
        <is>
          <t>SM.18.139</t>
        </is>
      </c>
      <c r="D250" s="4" t="inlineStr">
        <is>
          <t>Dominica</t>
        </is>
      </c>
      <c r="E250" s="4" t="inlineStr">
        <is>
          <t>DMA</t>
        </is>
      </c>
      <c r="F250" s="10" t="n">
        <v>43255</v>
      </c>
      <c r="G250" s="4" t="inlineStr">
        <is>
          <t>2013gn</t>
        </is>
      </c>
      <c r="H250" s="4" t="n">
        <v>2017</v>
      </c>
      <c r="I250" s="4" t="inlineStr">
        <is>
          <t>pv.old.dbt.npc</t>
        </is>
      </c>
      <c r="J250" t="inlineStr">
        <is>
          <t>AFD (France)</t>
        </is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Dominica_2018_August</t>
        </is>
      </c>
      <c r="B251" s="2" t="n"/>
      <c r="C251" s="3" t="inlineStr">
        <is>
          <t>SM.18.139</t>
        </is>
      </c>
      <c r="D251" s="4" t="inlineStr">
        <is>
          <t>Dominica</t>
        </is>
      </c>
      <c r="E251" s="4" t="inlineStr">
        <is>
          <t>DMA</t>
        </is>
      </c>
      <c r="F251" s="10" t="n">
        <v>43255</v>
      </c>
      <c r="G251" s="4" t="inlineStr">
        <is>
          <t>2013gn</t>
        </is>
      </c>
      <c r="H251" s="4" t="n">
        <v>2017</v>
      </c>
      <c r="I251" s="4" t="inlineStr">
        <is>
          <t>pv.old.dbt.npc.eximbk</t>
        </is>
      </c>
      <c r="J251" t="inlineStr">
        <is>
          <t xml:space="preserve">   Others Paris Club</t>
        </is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Dominica_2018_August</t>
        </is>
      </c>
      <c r="B252" s="2" t="n"/>
      <c r="C252" s="3" t="inlineStr">
        <is>
          <t>SM.18.139</t>
        </is>
      </c>
      <c r="D252" s="4" t="inlineStr">
        <is>
          <t>Dominica</t>
        </is>
      </c>
      <c r="E252" s="4" t="inlineStr">
        <is>
          <t>DMA</t>
        </is>
      </c>
      <c r="F252" s="10" t="n">
        <v>43255</v>
      </c>
      <c r="G252" s="4" t="inlineStr">
        <is>
          <t>2013gn</t>
        </is>
      </c>
      <c r="H252" s="4" t="n">
        <v>2017</v>
      </c>
      <c r="I252" s="4" t="inlineStr">
        <is>
          <t>pv.old.dbt.npc2</t>
        </is>
      </c>
      <c r="J252" t="inlineStr">
        <is>
          <t xml:space="preserve">   NPC</t>
        </is>
      </c>
    </row>
    <row r="253">
      <c r="A253" t="inlineStr">
        <is>
          <t>Dominica_2018_August</t>
        </is>
      </c>
      <c r="B253" s="2" t="n"/>
      <c r="C253" s="3" t="inlineStr">
        <is>
          <t>SM.18.139</t>
        </is>
      </c>
      <c r="D253" s="4" t="inlineStr">
        <is>
          <t>Dominica</t>
        </is>
      </c>
      <c r="E253" s="4" t="inlineStr">
        <is>
          <t>DMA</t>
        </is>
      </c>
      <c r="F253" s="10" t="n">
        <v>43255</v>
      </c>
      <c r="G253" s="4" t="inlineStr">
        <is>
          <t>2013gn</t>
        </is>
      </c>
      <c r="H253" s="4" t="n">
        <v>2017</v>
      </c>
      <c r="I253" s="4" t="inlineStr">
        <is>
          <t>pv.old.dbt.npc3</t>
        </is>
      </c>
      <c r="J253" t="inlineStr">
        <is>
          <t>Taiwan</t>
        </is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Dominica_2018_August</t>
        </is>
      </c>
      <c r="B254" s="2" t="n"/>
      <c r="C254" s="3" t="inlineStr">
        <is>
          <t>SM.18.139</t>
        </is>
      </c>
      <c r="D254" s="4" t="inlineStr">
        <is>
          <t>Dominica</t>
        </is>
      </c>
      <c r="E254" s="4" t="inlineStr">
        <is>
          <t>DMA</t>
        </is>
      </c>
      <c r="F254" s="10" t="n">
        <v>43255</v>
      </c>
      <c r="G254" s="4" t="inlineStr">
        <is>
          <t>2013gn</t>
        </is>
      </c>
      <c r="H254" s="4" t="n">
        <v>2017</v>
      </c>
      <c r="I254" s="4" t="inlineStr">
        <is>
          <t>pv.old.dbt.npc4</t>
        </is>
      </c>
      <c r="J254" t="inlineStr">
        <is>
          <t>Kuwait</t>
        </is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Dominica_2018_August</t>
        </is>
      </c>
      <c r="B255" s="2" t="n"/>
      <c r="C255" s="3" t="inlineStr">
        <is>
          <t>SM.18.139</t>
        </is>
      </c>
      <c r="D255" s="4" t="inlineStr">
        <is>
          <t>Dominica</t>
        </is>
      </c>
      <c r="E255" s="4" t="inlineStr">
        <is>
          <t>DMA</t>
        </is>
      </c>
      <c r="F255" s="10" t="n">
        <v>43255</v>
      </c>
      <c r="G255" s="4" t="inlineStr">
        <is>
          <t>2013gn</t>
        </is>
      </c>
      <c r="H255" s="4" t="n">
        <v>2017</v>
      </c>
      <c r="I255" s="4" t="inlineStr">
        <is>
          <t>pv.old.dbt.npc5</t>
        </is>
      </c>
      <c r="J255" t="inlineStr">
        <is>
          <t xml:space="preserve">   Others Non Paris Club</t>
        </is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Dominica_2018_August</t>
        </is>
      </c>
      <c r="B256" s="2" t="n"/>
      <c r="C256" s="3" t="inlineStr">
        <is>
          <t>SM.18.139</t>
        </is>
      </c>
      <c r="D256" s="4" t="inlineStr">
        <is>
          <t>Dominica</t>
        </is>
      </c>
      <c r="E256" s="4" t="inlineStr">
        <is>
          <t>DMA</t>
        </is>
      </c>
      <c r="F256" s="10" t="n">
        <v>43255</v>
      </c>
      <c r="G256" s="4" t="inlineStr">
        <is>
          <t>2013gn</t>
        </is>
      </c>
      <c r="H256" s="4" t="n">
        <v>2017</v>
      </c>
      <c r="I256" s="4" t="inlineStr">
        <is>
          <t>pv.old.dbt.prvt</t>
        </is>
      </c>
      <c r="J256" t="inlineStr">
        <is>
          <t>Commercial</t>
        </is>
      </c>
    </row>
    <row r="257">
      <c r="A257" t="inlineStr">
        <is>
          <t>Dominica_2018_August</t>
        </is>
      </c>
      <c r="B257" s="2" t="n"/>
      <c r="C257" s="3" t="inlineStr">
        <is>
          <t>SM.18.139</t>
        </is>
      </c>
      <c r="D257" s="4" t="inlineStr">
        <is>
          <t>Dominica</t>
        </is>
      </c>
      <c r="E257" s="4" t="inlineStr">
        <is>
          <t>DMA</t>
        </is>
      </c>
      <c r="F257" s="10" t="n">
        <v>43255</v>
      </c>
      <c r="G257" s="4" t="inlineStr">
        <is>
          <t>2013gn</t>
        </is>
      </c>
      <c r="H257" s="4" t="n">
        <v>2017</v>
      </c>
      <c r="I257" s="4" t="inlineStr">
        <is>
          <t>pv.old.dbt.prvt.bnd</t>
        </is>
      </c>
      <c r="J257" t="inlineStr">
        <is>
          <t>Royal Merchant Bank</t>
        </is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Dominica_2018_August</t>
        </is>
      </c>
      <c r="B258" s="2" t="n"/>
      <c r="C258" s="3" t="inlineStr">
        <is>
          <t>SM.18.139</t>
        </is>
      </c>
      <c r="D258" s="4" t="inlineStr">
        <is>
          <t>Dominica</t>
        </is>
      </c>
      <c r="E258" s="4" t="inlineStr">
        <is>
          <t>DMA</t>
        </is>
      </c>
      <c r="F258" s="10" t="n">
        <v>43255</v>
      </c>
      <c r="G258" s="4" t="inlineStr">
        <is>
          <t>2013gn</t>
        </is>
      </c>
      <c r="H258" s="4" t="n">
        <v>2017</v>
      </c>
      <c r="I258" s="4" t="inlineStr">
        <is>
          <t>pv.old.dbt.prvt.cmbk</t>
        </is>
      </c>
      <c r="J258" t="inlineStr">
        <is>
          <t>…</t>
        </is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Dominica_2018_August</t>
        </is>
      </c>
      <c r="B259" s="2" t="n"/>
      <c r="C259" s="3" t="inlineStr">
        <is>
          <t>SM.18.139</t>
        </is>
      </c>
      <c r="D259" s="4" t="inlineStr">
        <is>
          <t>Dominica</t>
        </is>
      </c>
      <c r="E259" s="4" t="inlineStr">
        <is>
          <t>DMA</t>
        </is>
      </c>
      <c r="F259" s="10" t="n">
        <v>43255</v>
      </c>
      <c r="G259" s="4" t="inlineStr">
        <is>
          <t>2013gn</t>
        </is>
      </c>
      <c r="H259" s="4" t="n">
        <v>2017</v>
      </c>
      <c r="I259" s="4" t="inlineStr">
        <is>
          <t>pv.old.dbt.prvt.com3</t>
        </is>
      </c>
      <c r="J259" t="inlineStr">
        <is>
          <t xml:space="preserve">   Others Commercial</t>
        </is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Dominica_2018_August</t>
        </is>
      </c>
      <c r="B260" s="2" t="n"/>
      <c r="C260" s="3" t="inlineStr">
        <is>
          <t>SM.18.139</t>
        </is>
      </c>
      <c r="D260" s="4" t="inlineStr">
        <is>
          <t>Dominica</t>
        </is>
      </c>
      <c r="E260" s="4" t="inlineStr">
        <is>
          <t>DMA</t>
        </is>
      </c>
      <c r="F260" s="10" t="n">
        <v>43255</v>
      </c>
      <c r="G260" s="4" t="inlineStr">
        <is>
          <t>2013gn</t>
        </is>
      </c>
      <c r="H260" s="4" t="n">
        <v>2017</v>
      </c>
      <c r="I260" s="4" t="inlineStr">
        <is>
          <t>pv.old.dbt.prvt.com4</t>
        </is>
      </c>
    </row>
    <row r="261">
      <c r="A261" t="inlineStr">
        <is>
          <t>Dominica_2018_August</t>
        </is>
      </c>
      <c r="B261" s="2" t="n"/>
      <c r="C261" s="3" t="inlineStr">
        <is>
          <t>SM.18.139</t>
        </is>
      </c>
      <c r="D261" s="4" t="inlineStr">
        <is>
          <t>Dominica</t>
        </is>
      </c>
      <c r="E261" s="4" t="inlineStr">
        <is>
          <t>DMA</t>
        </is>
      </c>
      <c r="F261" s="10" t="n">
        <v>43255</v>
      </c>
      <c r="G261" s="4" t="inlineStr">
        <is>
          <t>2013gn</t>
        </is>
      </c>
      <c r="H261" s="4" t="n">
        <v>2017</v>
      </c>
      <c r="I261" s="4" t="inlineStr">
        <is>
          <t>pv.old.dbt.prvt.com5</t>
        </is>
      </c>
    </row>
    <row r="262">
      <c r="A262" t="inlineStr">
        <is>
          <t>Dominica_2018_August</t>
        </is>
      </c>
      <c r="B262" s="2" t="n"/>
      <c r="C262" s="3" t="inlineStr">
        <is>
          <t>SM.18.139</t>
        </is>
      </c>
      <c r="D262" s="4" t="inlineStr">
        <is>
          <t>Dominica</t>
        </is>
      </c>
      <c r="E262" s="4" t="inlineStr">
        <is>
          <t>DMA</t>
        </is>
      </c>
      <c r="F262" s="10" t="n">
        <v>43255</v>
      </c>
      <c r="G262" s="4" t="inlineStr">
        <is>
          <t>2013gn</t>
        </is>
      </c>
      <c r="H262" s="4" t="n">
        <v>2017</v>
      </c>
      <c r="I262" s="4" t="inlineStr">
        <is>
          <t>pv.old.dbt.lcl.iss</t>
        </is>
      </c>
    </row>
    <row r="263">
      <c r="A263" t="inlineStr">
        <is>
          <t>Dominica_2018_August</t>
        </is>
      </c>
      <c r="B263" s="2" t="n"/>
      <c r="C263" s="3" t="inlineStr">
        <is>
          <t>SM.18.139</t>
        </is>
      </c>
      <c r="D263" s="4" t="inlineStr">
        <is>
          <t>Dominica</t>
        </is>
      </c>
      <c r="E263" s="4" t="inlineStr">
        <is>
          <t>DMA</t>
        </is>
      </c>
      <c r="F263" s="10" t="n">
        <v>43255</v>
      </c>
      <c r="G263" s="4" t="inlineStr">
        <is>
          <t>2013gn</t>
        </is>
      </c>
      <c r="H263" s="4" t="n">
        <v>2017</v>
      </c>
      <c r="I263" s="5" t="n"/>
      <c r="J263" t="inlineStr">
        <is>
          <t>ENGLISH</t>
        </is>
      </c>
    </row>
    <row r="264">
      <c r="A264" t="inlineStr">
        <is>
          <t>Dominica_2018_August</t>
        </is>
      </c>
      <c r="B264" s="2" t="n"/>
      <c r="C264" s="3" t="inlineStr">
        <is>
          <t>SM.18.139</t>
        </is>
      </c>
      <c r="D264" s="4" t="inlineStr">
        <is>
          <t>Dominica</t>
        </is>
      </c>
      <c r="E264" s="4" t="inlineStr">
        <is>
          <t>DMA</t>
        </is>
      </c>
      <c r="F264" s="10" t="n">
        <v>43255</v>
      </c>
      <c r="G264" s="4" t="inlineStr">
        <is>
          <t>2013gn</t>
        </is>
      </c>
      <c r="H264" s="4" t="n">
        <v>2017</v>
      </c>
      <c r="I264" s="5" t="n"/>
      <c r="J264" t="inlineStr">
        <is>
          <t>THIS SHEET CALCULATES THE PV OF PUBLIC (PPG) EXTERNAL DEBT</t>
        </is>
      </c>
    </row>
    <row r="265">
      <c r="A265" t="inlineStr">
        <is>
          <t>Dominica_2018_August</t>
        </is>
      </c>
      <c r="B265" s="2" t="n"/>
      <c r="C265" s="3" t="inlineStr">
        <is>
          <t>SM.18.139</t>
        </is>
      </c>
      <c r="D265" s="4" t="inlineStr">
        <is>
          <t>Dominica</t>
        </is>
      </c>
      <c r="E265" s="4" t="inlineStr">
        <is>
          <t>DMA</t>
        </is>
      </c>
      <c r="F265" s="10" t="n">
        <v>43255</v>
      </c>
      <c r="G265" s="4" t="inlineStr">
        <is>
          <t>2013gn</t>
        </is>
      </c>
      <c r="H265" s="4" t="n">
        <v>2017</v>
      </c>
      <c r="I265" s="4" t="inlineStr">
        <is>
          <t>pv.out.arr</t>
        </is>
      </c>
    </row>
    <row r="266">
      <c r="A266" t="inlineStr">
        <is>
          <t>Dominica_2018_August</t>
        </is>
      </c>
      <c r="B266" s="2" t="n"/>
      <c r="C266" s="3" t="inlineStr">
        <is>
          <t>SM.18.139</t>
        </is>
      </c>
      <c r="D266" s="4" t="inlineStr">
        <is>
          <t>Dominica</t>
        </is>
      </c>
      <c r="E266" s="4" t="inlineStr">
        <is>
          <t>DMA</t>
        </is>
      </c>
      <c r="F266" s="10" t="n">
        <v>43255</v>
      </c>
      <c r="G266" s="4" t="inlineStr">
        <is>
          <t>2013gn</t>
        </is>
      </c>
      <c r="H266" s="4" t="n">
        <v>2017</v>
      </c>
      <c r="I266" s="5" t="n"/>
      <c r="J266" t="inlineStr">
        <is>
          <t>Enter information for PPG debt in yellow sells in same unit as data_input (e.g., billion US)</t>
        </is>
      </c>
    </row>
    <row r="267">
      <c r="A267" t="inlineStr">
        <is>
          <t>Dominica_2018_August</t>
        </is>
      </c>
      <c r="B267" s="2" t="n"/>
      <c r="C267" s="3" t="inlineStr">
        <is>
          <t>SM.18.139</t>
        </is>
      </c>
      <c r="D267" s="4" t="inlineStr">
        <is>
          <t>Dominica</t>
        </is>
      </c>
      <c r="E267" s="4" t="inlineStr">
        <is>
          <t>DMA</t>
        </is>
      </c>
      <c r="F267" s="10" t="n">
        <v>43255</v>
      </c>
      <c r="G267" s="4" t="inlineStr">
        <is>
          <t>2013gn</t>
        </is>
      </c>
      <c r="H267" s="4" t="n">
        <v>2017</v>
      </c>
      <c r="I267" s="4" t="inlineStr">
        <is>
          <t>pv.new.dbt.mlg.trm</t>
        </is>
      </c>
    </row>
    <row r="268">
      <c r="A268" t="inlineStr">
        <is>
          <t>Dominica_2018_August</t>
        </is>
      </c>
      <c r="B268" s="2" t="n"/>
      <c r="C268" s="3" t="inlineStr">
        <is>
          <t>SM.18.139</t>
        </is>
      </c>
      <c r="D268" s="4" t="inlineStr">
        <is>
          <t>Dominica</t>
        </is>
      </c>
      <c r="E268" s="4" t="inlineStr">
        <is>
          <t>DMA</t>
        </is>
      </c>
      <c r="F268" s="10" t="n">
        <v>43255</v>
      </c>
      <c r="G268" s="4" t="inlineStr">
        <is>
          <t>2013gn</t>
        </is>
      </c>
      <c r="H268" s="4" t="n">
        <v>2017</v>
      </c>
      <c r="I268" s="4" t="inlineStr">
        <is>
          <t>pv.new.dbt.mlt</t>
        </is>
      </c>
      <c r="J268" t="inlineStr">
        <is>
          <t>A. INPUT</t>
        </is>
      </c>
    </row>
    <row r="269">
      <c r="A269" t="inlineStr">
        <is>
          <t>Dominica_2018_August</t>
        </is>
      </c>
      <c r="B269" s="2" t="n"/>
      <c r="C269" s="3" t="inlineStr">
        <is>
          <t>SM.18.139</t>
        </is>
      </c>
      <c r="D269" s="4" t="inlineStr">
        <is>
          <t>Dominica</t>
        </is>
      </c>
      <c r="E269" s="4" t="inlineStr">
        <is>
          <t>DMA</t>
        </is>
      </c>
      <c r="F269" s="10" t="n">
        <v>43255</v>
      </c>
      <c r="G269" s="4" t="inlineStr">
        <is>
          <t>2013gn</t>
        </is>
      </c>
      <c r="H269" s="4" t="n">
        <v>2017</v>
      </c>
      <c r="I269" s="4" t="inlineStr">
        <is>
          <t>pv.new.dbt.mlt.imf</t>
        </is>
      </c>
    </row>
    <row r="270">
      <c r="A270" t="inlineStr">
        <is>
          <t>Dominica_2018_August</t>
        </is>
      </c>
      <c r="B270" s="2" t="n"/>
      <c r="C270" s="3" t="inlineStr">
        <is>
          <t>SM.18.139</t>
        </is>
      </c>
      <c r="D270" s="4" t="inlineStr">
        <is>
          <t>Dominica</t>
        </is>
      </c>
      <c r="E270" s="4" t="inlineStr">
        <is>
          <t>DMA</t>
        </is>
      </c>
      <c r="F270" s="10" t="n">
        <v>43255</v>
      </c>
      <c r="G270" s="4" t="inlineStr">
        <is>
          <t>2013gn</t>
        </is>
      </c>
      <c r="H270" s="4" t="n">
        <v>2017</v>
      </c>
      <c r="I270" s="4" t="inlineStr">
        <is>
          <t>pv.new.dbt.mlt.ida.reg</t>
        </is>
      </c>
      <c r="J270" t="inlineStr">
        <is>
          <t>Assumptions on new external debt</t>
        </is>
      </c>
      <c r="S270" t="inlineStr">
        <is>
          <t>Assumptions on the terms on additional financing resulting from the stress tests</t>
        </is>
      </c>
    </row>
    <row r="271">
      <c r="A271" t="inlineStr">
        <is>
          <t>Dominica_2018_August</t>
        </is>
      </c>
      <c r="B271" s="2" t="n"/>
      <c r="C271" s="3" t="inlineStr">
        <is>
          <t>SM.18.139</t>
        </is>
      </c>
      <c r="D271" s="4" t="inlineStr">
        <is>
          <t>Dominica</t>
        </is>
      </c>
      <c r="E271" s="4" t="inlineStr">
        <is>
          <t>DMA</t>
        </is>
      </c>
      <c r="F271" s="10" t="n">
        <v>43255</v>
      </c>
      <c r="G271" s="4" t="inlineStr">
        <is>
          <t>2013gn</t>
        </is>
      </c>
      <c r="H271" s="4" t="n">
        <v>2017</v>
      </c>
      <c r="I271" s="4" t="inlineStr">
        <is>
          <t>pv.new.dbt.mlt.ida.bld</t>
        </is>
      </c>
    </row>
    <row r="272">
      <c r="A272" t="inlineStr">
        <is>
          <t>Dominica_2018_August</t>
        </is>
      </c>
      <c r="B272" s="2" t="n"/>
      <c r="C272" s="3" t="inlineStr">
        <is>
          <t>SM.18.139</t>
        </is>
      </c>
      <c r="D272" s="4" t="inlineStr">
        <is>
          <t>Dominica</t>
        </is>
      </c>
      <c r="E272" s="4" t="inlineStr">
        <is>
          <t>DMA</t>
        </is>
      </c>
      <c r="F272" s="10" t="n">
        <v>43255</v>
      </c>
      <c r="G272" s="4" t="inlineStr">
        <is>
          <t>2013gn</t>
        </is>
      </c>
      <c r="H272" s="4" t="n">
        <v>2017</v>
      </c>
      <c r="I272" s="4" t="inlineStr">
        <is>
          <t>pv.new.dbt.mlt.afdb</t>
        </is>
      </c>
      <c r="K272" t="inlineStr">
        <is>
          <t>Loan</t>
        </is>
      </c>
      <c r="M272" t="inlineStr">
        <is>
          <t>Discount</t>
        </is>
      </c>
      <c r="N272" t="inlineStr">
        <is>
          <t>Interest</t>
        </is>
      </c>
      <c r="O272" t="inlineStr">
        <is>
          <t>Grace</t>
        </is>
      </c>
      <c r="P272" t="inlineStr">
        <is>
          <t>Loan</t>
        </is>
      </c>
      <c r="Q272" t="inlineStr">
        <is>
          <t xml:space="preserve">Grant </t>
        </is>
      </c>
      <c r="S272" t="inlineStr">
        <is>
          <t>Shares of marginal debt*</t>
        </is>
      </c>
    </row>
    <row r="273">
      <c r="A273" t="inlineStr">
        <is>
          <t>Dominica_2018_August</t>
        </is>
      </c>
      <c r="B273" s="2" t="n"/>
      <c r="C273" s="3" t="inlineStr">
        <is>
          <t>SM.18.139</t>
        </is>
      </c>
      <c r="D273" s="4" t="inlineStr">
        <is>
          <t>Dominica</t>
        </is>
      </c>
      <c r="E273" s="4" t="inlineStr">
        <is>
          <t>DMA</t>
        </is>
      </c>
      <c r="F273" s="10" t="n">
        <v>43255</v>
      </c>
      <c r="G273" s="4" t="inlineStr">
        <is>
          <t>2013gn</t>
        </is>
      </c>
      <c r="H273" s="4" t="n">
        <v>2017</v>
      </c>
      <c r="I273" s="4" t="inlineStr">
        <is>
          <t>pv.new.dbt.mlt2</t>
        </is>
      </c>
      <c r="K273" t="inlineStr">
        <is>
          <t>Currency</t>
        </is>
      </c>
      <c r="M273" t="inlineStr">
        <is>
          <t>rate</t>
        </is>
      </c>
      <c r="N273" t="inlineStr">
        <is>
          <t>rate</t>
        </is>
      </c>
      <c r="O273" t="inlineStr">
        <is>
          <t>period</t>
        </is>
      </c>
      <c r="P273" t="inlineStr">
        <is>
          <t>Maturity</t>
        </is>
      </c>
      <c r="Q273" t="inlineStr">
        <is>
          <t>Element, %</t>
        </is>
      </c>
      <c r="S273" t="inlineStr">
        <is>
          <t>Forex</t>
        </is>
      </c>
    </row>
    <row r="274">
      <c r="A274" t="inlineStr">
        <is>
          <t>Dominica_2018_August</t>
        </is>
      </c>
      <c r="B274" s="2" t="n"/>
      <c r="C274" s="3" t="inlineStr">
        <is>
          <t>SM.18.139</t>
        </is>
      </c>
      <c r="D274" s="4" t="inlineStr">
        <is>
          <t>Dominica</t>
        </is>
      </c>
      <c r="E274" s="4" t="inlineStr">
        <is>
          <t>DMA</t>
        </is>
      </c>
      <c r="F274" s="10" t="n">
        <v>43255</v>
      </c>
      <c r="G274" s="4" t="inlineStr">
        <is>
          <t>2013gn</t>
        </is>
      </c>
      <c r="H274" s="4" t="n">
        <v>2017</v>
      </c>
      <c r="I274" s="4" t="inlineStr">
        <is>
          <t>pv.new.dbt.mlt3</t>
        </is>
      </c>
      <c r="J274" t="inlineStr">
        <is>
          <t>Multilaterals</t>
        </is>
      </c>
      <c r="S274" t="inlineStr">
        <is>
          <t>Domestic medium and long-term</t>
        </is>
      </c>
    </row>
    <row r="275">
      <c r="A275" t="inlineStr">
        <is>
          <t>Dominica_2018_August</t>
        </is>
      </c>
      <c r="B275" s="2" t="n"/>
      <c r="C275" s="3" t="inlineStr">
        <is>
          <t>SM.18.139</t>
        </is>
      </c>
      <c r="D275" s="4" t="inlineStr">
        <is>
          <t>Dominica</t>
        </is>
      </c>
      <c r="E275" s="4" t="inlineStr">
        <is>
          <t>DMA</t>
        </is>
      </c>
      <c r="F275" s="10" t="n">
        <v>43255</v>
      </c>
      <c r="G275" s="4" t="inlineStr">
        <is>
          <t>2013gn</t>
        </is>
      </c>
      <c r="H275" s="4" t="n">
        <v>2017</v>
      </c>
      <c r="I275" s="4" t="inlineStr">
        <is>
          <t>pv.new.dbt.mlt.oth</t>
        </is>
      </c>
      <c r="J275" t="inlineStr">
        <is>
          <t xml:space="preserve">   IMF</t>
        </is>
      </c>
      <c r="K275" t="inlineStr">
        <is>
          <t>SDR</t>
        </is>
      </c>
      <c r="S275" t="inlineStr">
        <is>
          <t>Domestic short-term</t>
        </is>
      </c>
    </row>
    <row r="276">
      <c r="A276" t="inlineStr">
        <is>
          <t>Dominica_2018_August</t>
        </is>
      </c>
      <c r="B276" s="2" t="n"/>
      <c r="C276" s="3" t="inlineStr">
        <is>
          <t>SM.18.139</t>
        </is>
      </c>
      <c r="D276" s="4" t="inlineStr">
        <is>
          <t>Dominica</t>
        </is>
      </c>
      <c r="E276" s="4" t="inlineStr">
        <is>
          <t>DMA</t>
        </is>
      </c>
      <c r="F276" s="10" t="n">
        <v>43255</v>
      </c>
      <c r="G276" s="4" t="inlineStr">
        <is>
          <t>2013gn</t>
        </is>
      </c>
      <c r="H276" s="4" t="n">
        <v>2017</v>
      </c>
      <c r="I276" s="4" t="inlineStr">
        <is>
          <t>pv.new.dbt.mlt.oth1</t>
        </is>
      </c>
      <c r="J276" t="inlineStr">
        <is>
          <t xml:space="preserve">   IDA - Small Island Country</t>
        </is>
      </c>
      <c r="K276" t="inlineStr">
        <is>
          <t>SDR</t>
        </is>
      </c>
      <c r="S276" t="inlineStr">
        <is>
          <t>Terms of marginal debt</t>
        </is>
      </c>
    </row>
    <row r="277">
      <c r="A277" t="inlineStr">
        <is>
          <t>Dominica_2018_August</t>
        </is>
      </c>
      <c r="B277" s="2" t="n"/>
      <c r="C277" s="3" t="inlineStr">
        <is>
          <t>SM.18.139</t>
        </is>
      </c>
      <c r="D277" s="4" t="inlineStr">
        <is>
          <t>Dominica</t>
        </is>
      </c>
      <c r="E277" s="4" t="inlineStr">
        <is>
          <t>DMA</t>
        </is>
      </c>
      <c r="F277" s="10" t="n">
        <v>43255</v>
      </c>
      <c r="G277" s="4" t="inlineStr">
        <is>
          <t>2013gn</t>
        </is>
      </c>
      <c r="H277" s="4" t="n">
        <v>2017</v>
      </c>
      <c r="I277" s="4" t="inlineStr">
        <is>
          <t>pv.new.dbt.mlt.oth2</t>
        </is>
      </c>
      <c r="J277" t="inlineStr">
        <is>
          <t>IDA - Regular</t>
        </is>
      </c>
      <c r="S277" t="inlineStr">
        <is>
          <t>Forex debt</t>
        </is>
      </c>
    </row>
    <row r="278">
      <c r="A278" t="inlineStr">
        <is>
          <t>Dominica_2018_August</t>
        </is>
      </c>
      <c r="B278" s="2" t="n"/>
      <c r="C278" s="3" t="inlineStr">
        <is>
          <t>SM.18.139</t>
        </is>
      </c>
      <c r="D278" s="4" t="inlineStr">
        <is>
          <t>Dominica</t>
        </is>
      </c>
      <c r="E278" s="4" t="inlineStr">
        <is>
          <t>DMA</t>
        </is>
      </c>
      <c r="F278" s="10" t="n">
        <v>43255</v>
      </c>
      <c r="G278" s="4" t="inlineStr">
        <is>
          <t>2013gn</t>
        </is>
      </c>
      <c r="H278" s="4" t="n">
        <v>2017</v>
      </c>
      <c r="I278" s="4" t="inlineStr">
        <is>
          <t>pv.new.dbt.mlt.oth3</t>
        </is>
      </c>
      <c r="J278" t="inlineStr">
        <is>
          <t>Descriptor</t>
        </is>
      </c>
      <c r="S278" t="inlineStr">
        <is>
          <t>Avg. nominal interest rate on new borrowing in USD</t>
        </is>
      </c>
    </row>
    <row r="279">
      <c r="A279" t="inlineStr">
        <is>
          <t>Dominica_2018_August</t>
        </is>
      </c>
      <c r="B279" s="2" t="n"/>
      <c r="C279" s="3" t="inlineStr">
        <is>
          <t>SM.18.139</t>
        </is>
      </c>
      <c r="D279" s="4" t="inlineStr">
        <is>
          <t>Dominica</t>
        </is>
      </c>
      <c r="E279" s="4" t="inlineStr">
        <is>
          <t>DMA</t>
        </is>
      </c>
      <c r="F279" s="10" t="n">
        <v>43255</v>
      </c>
      <c r="G279" s="4" t="inlineStr">
        <is>
          <t>2013gn</t>
        </is>
      </c>
      <c r="H279" s="4" t="n">
        <v>2017</v>
      </c>
      <c r="I279" s="4" t="inlineStr">
        <is>
          <t>pv.new.dbt.blt</t>
        </is>
      </c>
      <c r="J279" t="inlineStr">
        <is>
          <t xml:space="preserve">   Others Multilateral</t>
        </is>
      </c>
      <c r="K279" t="inlineStr">
        <is>
          <t>Euro</t>
        </is>
      </c>
      <c r="S279" t="inlineStr">
        <is>
          <t>USD Discount rate</t>
        </is>
      </c>
    </row>
    <row r="280">
      <c r="A280" t="inlineStr">
        <is>
          <t>Dominica_2018_August</t>
        </is>
      </c>
      <c r="B280" s="2" t="n"/>
      <c r="C280" s="3" t="inlineStr">
        <is>
          <t>SM.18.139</t>
        </is>
      </c>
      <c r="D280" s="4" t="inlineStr">
        <is>
          <t>Dominica</t>
        </is>
      </c>
      <c r="E280" s="4" t="inlineStr">
        <is>
          <t>DMA</t>
        </is>
      </c>
      <c r="F280" s="10" t="n">
        <v>43255</v>
      </c>
      <c r="G280" s="4" t="inlineStr">
        <is>
          <t>2013gn</t>
        </is>
      </c>
      <c r="H280" s="4" t="n">
        <v>2017</v>
      </c>
      <c r="I280" s="4" t="inlineStr">
        <is>
          <t>pv.new.dbt.pc</t>
        </is>
      </c>
      <c r="J280" t="inlineStr">
        <is>
          <t>Official Bilaterals</t>
        </is>
      </c>
      <c r="S280" t="inlineStr">
        <is>
          <t>Avg. maturity (incl. grace period)</t>
        </is>
      </c>
    </row>
    <row r="281">
      <c r="A281" t="inlineStr">
        <is>
          <t>Dominica_2018_August</t>
        </is>
      </c>
      <c r="B281" s="2" t="n"/>
      <c r="C281" s="3" t="inlineStr">
        <is>
          <t>SM.18.139</t>
        </is>
      </c>
      <c r="D281" s="4" t="inlineStr">
        <is>
          <t>Dominica</t>
        </is>
      </c>
      <c r="E281" s="4" t="inlineStr">
        <is>
          <t>DMA</t>
        </is>
      </c>
      <c r="F281" s="10" t="n">
        <v>43255</v>
      </c>
      <c r="G281" s="4" t="inlineStr">
        <is>
          <t>2013gn</t>
        </is>
      </c>
      <c r="H281" s="4" t="n">
        <v>2017</v>
      </c>
      <c r="I281" s="4" t="inlineStr">
        <is>
          <t>pv.new.dbt.pc1</t>
        </is>
      </c>
      <c r="J281" t="inlineStr">
        <is>
          <t xml:space="preserve">   Paris Club</t>
        </is>
      </c>
      <c r="K281" t="inlineStr">
        <is>
          <t>Euro</t>
        </is>
      </c>
      <c r="S281" t="inlineStr">
        <is>
          <t>Avg. grace period (minimum 1)</t>
        </is>
      </c>
    </row>
    <row r="282">
      <c r="A282" t="inlineStr">
        <is>
          <t>Dominica_2018_August</t>
        </is>
      </c>
      <c r="B282" s="2" t="n"/>
      <c r="C282" s="3" t="inlineStr">
        <is>
          <t>SM.18.139</t>
        </is>
      </c>
      <c r="D282" s="4" t="inlineStr">
        <is>
          <t>Dominica</t>
        </is>
      </c>
      <c r="E282" s="4" t="inlineStr">
        <is>
          <t>DMA</t>
        </is>
      </c>
      <c r="F282" s="10" t="n">
        <v>43255</v>
      </c>
      <c r="G282" s="4" t="inlineStr">
        <is>
          <t>2013gn</t>
        </is>
      </c>
      <c r="H282" s="4" t="n">
        <v>2017</v>
      </c>
      <c r="I282" s="4" t="inlineStr">
        <is>
          <t>pv.new.dbt.pc2</t>
        </is>
      </c>
      <c r="J282" t="inlineStr">
        <is>
          <t>Descriptor</t>
        </is>
      </c>
      <c r="S282" t="inlineStr">
        <is>
          <t>Domestic MLT debt</t>
        </is>
      </c>
    </row>
    <row r="283">
      <c r="A283" t="inlineStr">
        <is>
          <t>Dominica_2018_August</t>
        </is>
      </c>
      <c r="B283" s="2" t="n"/>
      <c r="C283" s="3" t="inlineStr">
        <is>
          <t>SM.18.139</t>
        </is>
      </c>
      <c r="D283" s="4" t="inlineStr">
        <is>
          <t>Dominica</t>
        </is>
      </c>
      <c r="E283" s="4" t="inlineStr">
        <is>
          <t>DMA</t>
        </is>
      </c>
      <c r="F283" s="10" t="n">
        <v>43255</v>
      </c>
      <c r="G283" s="4" t="inlineStr">
        <is>
          <t>2013gn</t>
        </is>
      </c>
      <c r="H283" s="4" t="n">
        <v>2017</v>
      </c>
      <c r="I283" s="4" t="inlineStr">
        <is>
          <t>pv.new.dbt.pc3</t>
        </is>
      </c>
      <c r="J283" t="inlineStr">
        <is>
          <t>Descriptor</t>
        </is>
      </c>
      <c r="S283" t="inlineStr">
        <is>
          <t>Avg. real interest rate on new borrowing</t>
        </is>
      </c>
    </row>
    <row r="284">
      <c r="A284" t="inlineStr">
        <is>
          <t>Dominica_2018_August</t>
        </is>
      </c>
      <c r="B284" s="2" t="n"/>
      <c r="C284" s="3" t="inlineStr">
        <is>
          <t>SM.18.139</t>
        </is>
      </c>
      <c r="D284" s="4" t="inlineStr">
        <is>
          <t>Dominica</t>
        </is>
      </c>
      <c r="E284" s="4" t="inlineStr">
        <is>
          <t>DMA</t>
        </is>
      </c>
      <c r="F284" s="10" t="n">
        <v>43255</v>
      </c>
      <c r="G284" s="4" t="inlineStr">
        <is>
          <t>2013gn</t>
        </is>
      </c>
      <c r="H284" s="4" t="n">
        <v>2017</v>
      </c>
      <c r="I284" s="4" t="inlineStr">
        <is>
          <t>pv.new.dbt.pc4</t>
        </is>
      </c>
      <c r="J284" t="inlineStr">
        <is>
          <t xml:space="preserve">   Others Paris Club</t>
        </is>
      </c>
      <c r="S284" t="inlineStr">
        <is>
          <t>Avg. maturity (incl. grace period)</t>
        </is>
      </c>
    </row>
    <row r="285">
      <c r="A285" t="inlineStr">
        <is>
          <t>Dominica_2018_August</t>
        </is>
      </c>
      <c r="B285" s="2" t="n"/>
      <c r="C285" s="3" t="inlineStr">
        <is>
          <t>SM.18.139</t>
        </is>
      </c>
      <c r="D285" s="4" t="inlineStr">
        <is>
          <t>Dominica</t>
        </is>
      </c>
      <c r="E285" s="4" t="inlineStr">
        <is>
          <t>DMA</t>
        </is>
      </c>
      <c r="F285" s="10" t="n">
        <v>43255</v>
      </c>
      <c r="G285" s="4" t="inlineStr">
        <is>
          <t>2013gn</t>
        </is>
      </c>
      <c r="H285" s="4" t="n">
        <v>2017</v>
      </c>
      <c r="I285" s="4" t="inlineStr">
        <is>
          <t>pv.new.dbt.pc5</t>
        </is>
      </c>
      <c r="J285" t="inlineStr">
        <is>
          <t xml:space="preserve">   Non-Paris Club</t>
        </is>
      </c>
      <c r="K285" t="inlineStr">
        <is>
          <t>USD</t>
        </is>
      </c>
      <c r="S285" t="inlineStr">
        <is>
          <t>Avg. grace period (minimum 1)</t>
        </is>
      </c>
    </row>
    <row r="286">
      <c r="A286" t="inlineStr">
        <is>
          <t>Dominica_2018_August</t>
        </is>
      </c>
      <c r="B286" s="2" t="n"/>
      <c r="C286" s="3" t="inlineStr">
        <is>
          <t>SM.18.139</t>
        </is>
      </c>
      <c r="D286" s="4" t="inlineStr">
        <is>
          <t>Dominica</t>
        </is>
      </c>
      <c r="E286" s="4" t="inlineStr">
        <is>
          <t>DMA</t>
        </is>
      </c>
      <c r="F286" s="10" t="n">
        <v>43255</v>
      </c>
      <c r="G286" s="4" t="inlineStr">
        <is>
          <t>2013gn</t>
        </is>
      </c>
      <c r="H286" s="4" t="n">
        <v>2017</v>
      </c>
      <c r="I286" s="4" t="inlineStr">
        <is>
          <t>pv.new.dbt.npc</t>
        </is>
      </c>
      <c r="J286" t="inlineStr">
        <is>
          <t>Descriptor</t>
        </is>
      </c>
      <c r="S286" t="inlineStr">
        <is>
          <t>Domestic short-term debt</t>
        </is>
      </c>
    </row>
    <row r="287">
      <c r="A287" t="inlineStr">
        <is>
          <t>Dominica_2018_August</t>
        </is>
      </c>
      <c r="B287" s="2" t="n"/>
      <c r="C287" s="3" t="inlineStr">
        <is>
          <t>SM.18.139</t>
        </is>
      </c>
      <c r="D287" s="4" t="inlineStr">
        <is>
          <t>Dominica</t>
        </is>
      </c>
      <c r="E287" s="4" t="inlineStr">
        <is>
          <t>DMA</t>
        </is>
      </c>
      <c r="F287" s="10" t="n">
        <v>43255</v>
      </c>
      <c r="G287" s="4" t="inlineStr">
        <is>
          <t>2013gn</t>
        </is>
      </c>
      <c r="H287" s="4" t="n">
        <v>2017</v>
      </c>
      <c r="I287" s="4" t="inlineStr">
        <is>
          <t>pv.new.dbt.npc.eximbk</t>
        </is>
      </c>
      <c r="J287" t="inlineStr">
        <is>
          <t>Descriptor</t>
        </is>
      </c>
      <c r="S287" t="inlineStr">
        <is>
          <t>Avg. real interest rate</t>
        </is>
      </c>
    </row>
    <row r="288">
      <c r="A288" t="inlineStr">
        <is>
          <t>Dominica_2018_August</t>
        </is>
      </c>
      <c r="B288" s="2" t="n"/>
      <c r="C288" s="3" t="inlineStr">
        <is>
          <t>SM.18.139</t>
        </is>
      </c>
      <c r="D288" s="4" t="inlineStr">
        <is>
          <t>Dominica</t>
        </is>
      </c>
      <c r="E288" s="4" t="inlineStr">
        <is>
          <t>DMA</t>
        </is>
      </c>
      <c r="F288" s="10" t="n">
        <v>43255</v>
      </c>
      <c r="G288" s="4" t="inlineStr">
        <is>
          <t>2013gn</t>
        </is>
      </c>
      <c r="H288" s="4" t="n">
        <v>2017</v>
      </c>
      <c r="I288" s="4" t="inlineStr">
        <is>
          <t>pv.new.dbt.npc2</t>
        </is>
      </c>
      <c r="J288" t="inlineStr">
        <is>
          <t xml:space="preserve">   Others Non Paris Club</t>
        </is>
      </c>
    </row>
    <row r="289">
      <c r="A289" t="inlineStr">
        <is>
          <t>Dominica_2018_August</t>
        </is>
      </c>
      <c r="B289" s="2" t="n"/>
      <c r="C289" s="3" t="inlineStr">
        <is>
          <t>SM.18.139</t>
        </is>
      </c>
      <c r="D289" s="4" t="inlineStr">
        <is>
          <t>Dominica</t>
        </is>
      </c>
      <c r="E289" s="4" t="inlineStr">
        <is>
          <t>DMA</t>
        </is>
      </c>
      <c r="F289" s="10" t="n">
        <v>43255</v>
      </c>
      <c r="G289" s="4" t="inlineStr">
        <is>
          <t>2013gn</t>
        </is>
      </c>
      <c r="H289" s="4" t="n">
        <v>2017</v>
      </c>
      <c r="I289" s="4" t="inlineStr">
        <is>
          <t>pv.new.dbt.npc3</t>
        </is>
      </c>
      <c r="J289" t="inlineStr">
        <is>
          <t>Commercial</t>
        </is>
      </c>
      <c r="K289" t="inlineStr">
        <is>
          <t>USD</t>
        </is>
      </c>
      <c r="S289" t="inlineStr">
        <is>
          <t>* Note: This model is not designed for the assumption of zero domestic debt accumulation to cover the additional financing generated by the shocks under the stress tests</t>
        </is>
      </c>
    </row>
    <row r="290">
      <c r="A290" t="inlineStr">
        <is>
          <t>Dominica_2018_August</t>
        </is>
      </c>
      <c r="B290" s="2" t="n"/>
      <c r="C290" s="3" t="inlineStr">
        <is>
          <t>SM.18.139</t>
        </is>
      </c>
      <c r="D290" s="4" t="inlineStr">
        <is>
          <t>Dominica</t>
        </is>
      </c>
      <c r="E290" s="4" t="inlineStr">
        <is>
          <t>DMA</t>
        </is>
      </c>
      <c r="F290" s="10" t="n">
        <v>43255</v>
      </c>
      <c r="G290" s="4" t="inlineStr">
        <is>
          <t>2013gn</t>
        </is>
      </c>
      <c r="H290" s="4" t="n">
        <v>2017</v>
      </c>
      <c r="I290" s="4" t="inlineStr">
        <is>
          <t>pv.new.dbt.npc4</t>
        </is>
      </c>
      <c r="J290" t="inlineStr">
        <is>
          <t>Descriptor</t>
        </is>
      </c>
    </row>
    <row r="291">
      <c r="A291" t="inlineStr">
        <is>
          <t>Dominica_2018_August</t>
        </is>
      </c>
      <c r="B291" s="2" t="n"/>
      <c r="C291" s="3" t="inlineStr">
        <is>
          <t>SM.18.139</t>
        </is>
      </c>
      <c r="D291" s="4" t="inlineStr">
        <is>
          <t>Dominica</t>
        </is>
      </c>
      <c r="E291" s="4" t="inlineStr">
        <is>
          <t>DMA</t>
        </is>
      </c>
      <c r="F291" s="10" t="n">
        <v>43255</v>
      </c>
      <c r="G291" s="4" t="inlineStr">
        <is>
          <t>2013gn</t>
        </is>
      </c>
      <c r="H291" s="4" t="n">
        <v>2017</v>
      </c>
      <c r="I291" s="4" t="inlineStr">
        <is>
          <t>pv.new.dbt.npc5</t>
        </is>
      </c>
      <c r="J291" t="inlineStr">
        <is>
          <t>Descriptor</t>
        </is>
      </c>
    </row>
    <row r="292">
      <c r="A292" t="inlineStr">
        <is>
          <t>Dominica_2018_August</t>
        </is>
      </c>
      <c r="B292" s="2" t="n"/>
      <c r="C292" s="3" t="inlineStr">
        <is>
          <t>SM.18.139</t>
        </is>
      </c>
      <c r="D292" s="4" t="inlineStr">
        <is>
          <t>Dominica</t>
        </is>
      </c>
      <c r="E292" s="4" t="inlineStr">
        <is>
          <t>DMA</t>
        </is>
      </c>
      <c r="F292" s="10" t="n">
        <v>43255</v>
      </c>
      <c r="G292" s="4" t="inlineStr">
        <is>
          <t>2013gn</t>
        </is>
      </c>
      <c r="H292" s="4" t="n">
        <v>2017</v>
      </c>
      <c r="I292" s="4" t="inlineStr">
        <is>
          <t>pv.new.dbt.prvt</t>
        </is>
      </c>
      <c r="J292" t="inlineStr">
        <is>
          <t xml:space="preserve">   Others Commercial</t>
        </is>
      </c>
    </row>
    <row r="293">
      <c r="A293" t="inlineStr">
        <is>
          <t>Dominica_2018_August</t>
        </is>
      </c>
      <c r="B293" s="2" t="n"/>
      <c r="C293" s="3" t="inlineStr">
        <is>
          <t>SM.18.139</t>
        </is>
      </c>
      <c r="D293" s="4" t="inlineStr">
        <is>
          <t>Dominica</t>
        </is>
      </c>
      <c r="E293" s="4" t="inlineStr">
        <is>
          <t>DMA</t>
        </is>
      </c>
      <c r="F293" s="10" t="n">
        <v>43255</v>
      </c>
      <c r="G293" s="4" t="inlineStr">
        <is>
          <t>2013gn</t>
        </is>
      </c>
      <c r="H293" s="4" t="n">
        <v>2017</v>
      </c>
      <c r="I293" s="4" t="inlineStr">
        <is>
          <t>pv.new.dbt.prvt.bnd</t>
        </is>
      </c>
      <c r="N293" t="inlineStr">
        <is>
          <t>minimum 1</t>
        </is>
      </c>
    </row>
    <row r="294">
      <c r="A294" t="inlineStr">
        <is>
          <t>Dominica_2018_August</t>
        </is>
      </c>
      <c r="B294" s="2" t="n"/>
      <c r="C294" s="3" t="inlineStr">
        <is>
          <t>SM.18.139</t>
        </is>
      </c>
      <c r="D294" s="4" t="inlineStr">
        <is>
          <t>Dominica</t>
        </is>
      </c>
      <c r="E294" s="4" t="inlineStr">
        <is>
          <t>DMA</t>
        </is>
      </c>
      <c r="F294" s="10" t="n">
        <v>43255</v>
      </c>
      <c r="G294" s="4" t="inlineStr">
        <is>
          <t>2013gn</t>
        </is>
      </c>
      <c r="H294" s="4" t="n">
        <v>2017</v>
      </c>
      <c r="I294" s="4" t="inlineStr">
        <is>
          <t>pv.new.dbt.prvt.cmbk</t>
        </is>
      </c>
      <c r="J294" t="inlineStr">
        <is>
          <t>1. Old MLT debt (excluding arrears): debt service due 1/</t>
        </is>
      </c>
    </row>
    <row r="295">
      <c r="A295" t="inlineStr">
        <is>
          <t>Dominica_2018_August</t>
        </is>
      </c>
      <c r="B295" s="2" t="n"/>
      <c r="C295" s="3" t="inlineStr">
        <is>
          <t>SM.18.139</t>
        </is>
      </c>
      <c r="D295" s="4" t="inlineStr">
        <is>
          <t>Dominica</t>
        </is>
      </c>
      <c r="E295" s="4" t="inlineStr">
        <is>
          <t>DMA</t>
        </is>
      </c>
      <c r="F295" s="10" t="n">
        <v>43255</v>
      </c>
      <c r="G295" s="4" t="inlineStr">
        <is>
          <t>2013gn</t>
        </is>
      </c>
      <c r="H295" s="4" t="n">
        <v>2017</v>
      </c>
      <c r="I295" s="4" t="inlineStr">
        <is>
          <t>pv.new.dbt.prvt.com3</t>
        </is>
      </c>
    </row>
    <row r="296">
      <c r="A296" t="inlineStr">
        <is>
          <t>Dominica_2018_August</t>
        </is>
      </c>
      <c r="B296" s="2" t="n"/>
      <c r="C296" s="3" t="inlineStr">
        <is>
          <t>SM.18.139</t>
        </is>
      </c>
      <c r="D296" s="4" t="inlineStr">
        <is>
          <t>Dominica</t>
        </is>
      </c>
      <c r="E296" s="4" t="inlineStr">
        <is>
          <t>DMA</t>
        </is>
      </c>
      <c r="F296" s="10" t="n">
        <v>43255</v>
      </c>
      <c r="G296" s="4" t="inlineStr">
        <is>
          <t>2013gn</t>
        </is>
      </c>
      <c r="H296" s="4" t="n">
        <v>2017</v>
      </c>
      <c r="I296" s="4" t="inlineStr">
        <is>
          <t>pv.new.dbt.prvt.com4</t>
        </is>
      </c>
      <c r="J296" t="inlineStr">
        <is>
          <t>Multilaterals</t>
        </is>
      </c>
    </row>
    <row r="297">
      <c r="A297" t="inlineStr">
        <is>
          <t>Dominica_2018_August</t>
        </is>
      </c>
      <c r="B297" s="2" t="n"/>
      <c r="C297" s="3" t="inlineStr">
        <is>
          <t>SM.18.139</t>
        </is>
      </c>
      <c r="D297" s="4" t="inlineStr">
        <is>
          <t>Dominica</t>
        </is>
      </c>
      <c r="E297" s="4" t="inlineStr">
        <is>
          <t>DMA</t>
        </is>
      </c>
      <c r="F297" s="10" t="n">
        <v>43255</v>
      </c>
      <c r="G297" s="4" t="inlineStr">
        <is>
          <t>2013gn</t>
        </is>
      </c>
      <c r="H297" s="4" t="n">
        <v>2017</v>
      </c>
      <c r="I297" s="4" t="inlineStr">
        <is>
          <t>pv.new.dbt.prvt.com5</t>
        </is>
      </c>
      <c r="J297" t="inlineStr">
        <is>
          <t xml:space="preserve">   IMF</t>
        </is>
      </c>
    </row>
    <row r="298">
      <c r="A298" t="inlineStr">
        <is>
          <t>Dominica_2018_August</t>
        </is>
      </c>
      <c r="B298" s="2" t="n"/>
      <c r="C298" s="3" t="inlineStr">
        <is>
          <t>SM.18.139</t>
        </is>
      </c>
      <c r="D298" s="4" t="inlineStr">
        <is>
          <t>Dominica</t>
        </is>
      </c>
      <c r="E298" s="4" t="inlineStr">
        <is>
          <t>DMA</t>
        </is>
      </c>
      <c r="F298" s="10" t="n">
        <v>43255</v>
      </c>
      <c r="G298" s="4" t="inlineStr">
        <is>
          <t>2013gn</t>
        </is>
      </c>
      <c r="H298" s="4" t="n">
        <v>2017</v>
      </c>
      <c r="I298" s="4" t="inlineStr">
        <is>
          <t>pv.new.dbt.lcl.iss.nres</t>
        </is>
      </c>
      <c r="J298" t="inlineStr">
        <is>
          <t xml:space="preserve">   IDA - Small Island Country</t>
        </is>
      </c>
    </row>
    <row r="299">
      <c r="A299" t="inlineStr">
        <is>
          <t>Dominica_2018_August</t>
        </is>
      </c>
      <c r="B299" s="2" t="n"/>
      <c r="C299" s="3" t="inlineStr">
        <is>
          <t>SM.18.139</t>
        </is>
      </c>
      <c r="D299" s="4" t="inlineStr">
        <is>
          <t>Dominica</t>
        </is>
      </c>
      <c r="E299" s="4" t="inlineStr">
        <is>
          <t>DMA</t>
        </is>
      </c>
      <c r="F299" s="10" t="n">
        <v>43255</v>
      </c>
      <c r="G299" s="4" t="inlineStr">
        <is>
          <t>2013gn</t>
        </is>
      </c>
      <c r="H299" s="4" t="n">
        <v>2017</v>
      </c>
      <c r="I299" s="4" t="inlineStr">
        <is>
          <t>pn.new.dbt.lcl.nres.lc</t>
        </is>
      </c>
      <c r="J299" t="inlineStr">
        <is>
          <t>IDA - Regular</t>
        </is>
      </c>
    </row>
    <row r="300">
      <c r="A300" t="inlineStr">
        <is>
          <t>Dominica_2018_August</t>
        </is>
      </c>
      <c r="B300" s="2" t="n"/>
      <c r="C300" s="3" t="inlineStr">
        <is>
          <t>SM.18.139</t>
        </is>
      </c>
      <c r="D300" s="4" t="inlineStr">
        <is>
          <t>Dominica</t>
        </is>
      </c>
      <c r="E300" s="4" t="inlineStr">
        <is>
          <t>DMA</t>
        </is>
      </c>
      <c r="F300" s="10" t="n">
        <v>43255</v>
      </c>
      <c r="G300" s="4" t="inlineStr">
        <is>
          <t>2013gn</t>
        </is>
      </c>
      <c r="H300" s="4" t="n">
        <v>2017</v>
      </c>
      <c r="I300" s="4" t="inlineStr">
        <is>
          <t>pn.new.dbt.lcl.nres.bnd.1to3.lc</t>
        </is>
      </c>
      <c r="J300" t="inlineStr">
        <is>
          <t>IBRD</t>
        </is>
      </c>
    </row>
    <row r="301">
      <c r="A301" t="inlineStr">
        <is>
          <t>Dominica_2018_August</t>
        </is>
      </c>
      <c r="B301" s="2" t="n"/>
      <c r="C301" s="3" t="inlineStr">
        <is>
          <t>SM.18.139</t>
        </is>
      </c>
      <c r="D301" s="4" t="inlineStr">
        <is>
          <t>Dominica</t>
        </is>
      </c>
      <c r="E301" s="4" t="inlineStr">
        <is>
          <t>DMA</t>
        </is>
      </c>
      <c r="F301" s="10" t="n">
        <v>43255</v>
      </c>
      <c r="G301" s="4" t="inlineStr">
        <is>
          <t>2013gn</t>
        </is>
      </c>
      <c r="H301" s="4" t="n">
        <v>2017</v>
      </c>
      <c r="I301" s="4" t="inlineStr">
        <is>
          <t>pn.new.dbt.lcl.nres.bnd.4to7.lc</t>
        </is>
      </c>
      <c r="J301" t="inlineStr">
        <is>
          <t>Other Multilateral</t>
        </is>
      </c>
    </row>
    <row r="302">
      <c r="A302" t="inlineStr">
        <is>
          <t>Dominica_2018_August</t>
        </is>
      </c>
      <c r="B302" s="2" t="n"/>
      <c r="C302" s="3" t="inlineStr">
        <is>
          <t>SM.18.139</t>
        </is>
      </c>
      <c r="D302" s="4" t="inlineStr">
        <is>
          <t>Dominica</t>
        </is>
      </c>
      <c r="E302" s="4" t="inlineStr">
        <is>
          <t>DMA</t>
        </is>
      </c>
      <c r="F302" s="10" t="n">
        <v>43255</v>
      </c>
      <c r="G302" s="4" t="inlineStr">
        <is>
          <t>2013gn</t>
        </is>
      </c>
      <c r="H302" s="4" t="n">
        <v>2017</v>
      </c>
      <c r="I302" s="4" t="inlineStr">
        <is>
          <t>pn.new.dbt.lcl.nres.bnd.byd7.lc</t>
        </is>
      </c>
      <c r="J302" t="inlineStr">
        <is>
          <t>Official Bilaterals</t>
        </is>
      </c>
    </row>
    <row r="303">
      <c r="A303" t="inlineStr">
        <is>
          <t>Dominica_2018_August</t>
        </is>
      </c>
      <c r="B303" s="2" t="n"/>
      <c r="C303" s="3" t="inlineStr">
        <is>
          <t>SM.18.139</t>
        </is>
      </c>
      <c r="D303" s="4" t="inlineStr">
        <is>
          <t>Dominica</t>
        </is>
      </c>
      <c r="E303" s="4" t="inlineStr">
        <is>
          <t>DMA</t>
        </is>
      </c>
      <c r="F303" s="10" t="n">
        <v>43255</v>
      </c>
      <c r="G303" s="4" t="inlineStr">
        <is>
          <t>2013gn</t>
        </is>
      </c>
      <c r="H303" s="4" t="n">
        <v>2017</v>
      </c>
      <c r="I303" s="4" t="inlineStr">
        <is>
          <t>pn.new.dbt.lcl.nres.fx</t>
        </is>
      </c>
      <c r="J303" t="inlineStr">
        <is>
          <t xml:space="preserve">   PC</t>
        </is>
      </c>
    </row>
    <row r="304">
      <c r="A304" t="inlineStr">
        <is>
          <t>Dominica_2018_August</t>
        </is>
      </c>
      <c r="B304" s="2" t="n"/>
      <c r="C304" s="3" t="inlineStr">
        <is>
          <t>SM.18.139</t>
        </is>
      </c>
      <c r="D304" s="4" t="inlineStr">
        <is>
          <t>Dominica</t>
        </is>
      </c>
      <c r="E304" s="4" t="inlineStr">
        <is>
          <t>DMA</t>
        </is>
      </c>
      <c r="F304" s="10" t="n">
        <v>43255</v>
      </c>
      <c r="G304" s="4" t="inlineStr">
        <is>
          <t>2013gn</t>
        </is>
      </c>
      <c r="H304" s="4" t="n">
        <v>2017</v>
      </c>
      <c r="I304" s="4" t="inlineStr">
        <is>
          <t>pn.new.dbt.lcl.nres.bnd.1to3.fx</t>
        </is>
      </c>
      <c r="J304" t="inlineStr">
        <is>
          <t>…</t>
        </is>
      </c>
    </row>
    <row r="305">
      <c r="A305" t="inlineStr">
        <is>
          <t>Dominica_2018_August</t>
        </is>
      </c>
      <c r="B305" s="2" t="n"/>
      <c r="C305" s="3" t="inlineStr">
        <is>
          <t>SM.18.139</t>
        </is>
      </c>
      <c r="D305" s="4" t="inlineStr">
        <is>
          <t>Dominica</t>
        </is>
      </c>
      <c r="E305" s="4" t="inlineStr">
        <is>
          <t>DMA</t>
        </is>
      </c>
      <c r="F305" s="10" t="n">
        <v>43255</v>
      </c>
      <c r="G305" s="4" t="inlineStr">
        <is>
          <t>2013gn</t>
        </is>
      </c>
      <c r="H305" s="4" t="n">
        <v>2017</v>
      </c>
      <c r="I305" s="4" t="inlineStr">
        <is>
          <t>pn.new.dbt.lcl.nres.bnd.4to7.fx</t>
        </is>
      </c>
      <c r="J305" t="inlineStr">
        <is>
          <t>…</t>
        </is>
      </c>
    </row>
    <row r="306">
      <c r="A306" t="inlineStr">
        <is>
          <t>Dominica_2018_August</t>
        </is>
      </c>
      <c r="B306" s="2" t="n"/>
      <c r="C306" s="3" t="inlineStr">
        <is>
          <t>SM.18.139</t>
        </is>
      </c>
      <c r="D306" s="4" t="inlineStr">
        <is>
          <t>Dominica</t>
        </is>
      </c>
      <c r="E306" s="4" t="inlineStr">
        <is>
          <t>DMA</t>
        </is>
      </c>
      <c r="F306" s="10" t="n">
        <v>43255</v>
      </c>
      <c r="G306" s="4" t="inlineStr">
        <is>
          <t>2013gn</t>
        </is>
      </c>
      <c r="H306" s="4" t="n">
        <v>2017</v>
      </c>
      <c r="I306" s="4" t="inlineStr">
        <is>
          <t>pn.new.dbt.lcl.nres.bnd.byd7.fx</t>
        </is>
      </c>
      <c r="J306" t="inlineStr">
        <is>
          <t xml:space="preserve">   Others Paris Club</t>
        </is>
      </c>
    </row>
    <row r="307">
      <c r="A307" t="inlineStr">
        <is>
          <t>Dominica_2018_August</t>
        </is>
      </c>
      <c r="B307" s="2" t="n"/>
      <c r="C307" s="3" t="inlineStr">
        <is>
          <t>SM.18.139</t>
        </is>
      </c>
      <c r="D307" s="4" t="inlineStr">
        <is>
          <t>Dominica</t>
        </is>
      </c>
      <c r="E307" s="4" t="inlineStr">
        <is>
          <t>DMA</t>
        </is>
      </c>
      <c r="F307" s="10" t="n">
        <v>43255</v>
      </c>
      <c r="G307" s="4" t="inlineStr">
        <is>
          <t>2013gn</t>
        </is>
      </c>
      <c r="H307" s="4" t="n">
        <v>2017</v>
      </c>
      <c r="I307" s="5" t="n"/>
      <c r="J307" t="inlineStr">
        <is>
          <t xml:space="preserve">   NPC</t>
        </is>
      </c>
    </row>
    <row r="308">
      <c r="A308" t="inlineStr">
        <is>
          <t>Dominica_2018_August</t>
        </is>
      </c>
      <c r="B308" s="2" t="n"/>
      <c r="C308" s="3" t="inlineStr">
        <is>
          <t>SM.18.139</t>
        </is>
      </c>
      <c r="D308" s="4" t="inlineStr">
        <is>
          <t>Dominica</t>
        </is>
      </c>
      <c r="E308" s="4" t="inlineStr">
        <is>
          <t>DMA</t>
        </is>
      </c>
      <c r="F308" s="10" t="n">
        <v>43255</v>
      </c>
      <c r="G308" s="4" t="inlineStr">
        <is>
          <t>2013gn</t>
        </is>
      </c>
      <c r="H308" s="4" t="n">
        <v>2017</v>
      </c>
      <c r="I308" s="4" t="inlineStr">
        <is>
          <t>pn.new.dbt.lcl.fx</t>
        </is>
      </c>
      <c r="J308" t="inlineStr">
        <is>
          <t>…</t>
        </is>
      </c>
    </row>
    <row r="309">
      <c r="A309" t="inlineStr">
        <is>
          <t>Dominica_2018_August</t>
        </is>
      </c>
      <c r="B309" s="2" t="n"/>
      <c r="C309" s="3" t="inlineStr">
        <is>
          <t>SM.18.139</t>
        </is>
      </c>
      <c r="D309" s="4" t="inlineStr">
        <is>
          <t>Dominica</t>
        </is>
      </c>
      <c r="E309" s="4" t="inlineStr">
        <is>
          <t>DMA</t>
        </is>
      </c>
      <c r="F309" s="10" t="n">
        <v>43255</v>
      </c>
      <c r="G309" s="4" t="inlineStr">
        <is>
          <t>2013gn</t>
        </is>
      </c>
      <c r="H309" s="4" t="n">
        <v>2017</v>
      </c>
      <c r="I309" s="4" t="inlineStr">
        <is>
          <t>pn.new.dbt.lcl.fx.bnd.1to3.fx</t>
        </is>
      </c>
      <c r="J309" t="inlineStr">
        <is>
          <t>…</t>
        </is>
      </c>
    </row>
    <row r="310">
      <c r="A310" t="inlineStr">
        <is>
          <t>Dominica_2018_August</t>
        </is>
      </c>
      <c r="B310" s="2" t="n"/>
      <c r="C310" s="3" t="inlineStr">
        <is>
          <t>SM.18.139</t>
        </is>
      </c>
      <c r="D310" s="4" t="inlineStr">
        <is>
          <t>Dominica</t>
        </is>
      </c>
      <c r="E310" s="4" t="inlineStr">
        <is>
          <t>DMA</t>
        </is>
      </c>
      <c r="F310" s="10" t="n">
        <v>43255</v>
      </c>
      <c r="G310" s="4" t="inlineStr">
        <is>
          <t>2013gn</t>
        </is>
      </c>
      <c r="H310" s="4" t="n">
        <v>2017</v>
      </c>
      <c r="I310" s="4" t="inlineStr">
        <is>
          <t>pn.new.dbt.lcl.fx.bnd.4to7.fx</t>
        </is>
      </c>
      <c r="J310" t="inlineStr">
        <is>
          <t xml:space="preserve">   Others Non Paris Club</t>
        </is>
      </c>
    </row>
    <row r="311">
      <c r="A311" t="inlineStr">
        <is>
          <t>Dominica_2018_August</t>
        </is>
      </c>
      <c r="B311" s="2" t="n"/>
      <c r="C311" s="3" t="inlineStr">
        <is>
          <t>SM.18.139</t>
        </is>
      </c>
      <c r="D311" s="4" t="inlineStr">
        <is>
          <t>Dominica</t>
        </is>
      </c>
      <c r="E311" s="4" t="inlineStr">
        <is>
          <t>DMA</t>
        </is>
      </c>
      <c r="F311" s="10" t="n">
        <v>43255</v>
      </c>
      <c r="G311" s="4" t="inlineStr">
        <is>
          <t>2013gn</t>
        </is>
      </c>
      <c r="H311" s="4" t="n">
        <v>2017</v>
      </c>
      <c r="I311" s="4" t="inlineStr">
        <is>
          <t>pn.new.dbt.lcl.fx.bnd.byd7.fx</t>
        </is>
      </c>
      <c r="J311" t="inlineStr">
        <is>
          <t>Commercial</t>
        </is>
      </c>
    </row>
    <row r="312">
      <c r="A312" t="inlineStr">
        <is>
          <t>Dominica_2018_August</t>
        </is>
      </c>
      <c r="B312" s="2" t="n"/>
      <c r="C312" s="3" t="inlineStr">
        <is>
          <t>SM.18.139</t>
        </is>
      </c>
      <c r="D312" s="4" t="inlineStr">
        <is>
          <t>Dominica</t>
        </is>
      </c>
      <c r="E312" s="4" t="inlineStr">
        <is>
          <t>DMA</t>
        </is>
      </c>
      <c r="F312" s="10" t="n">
        <v>43255</v>
      </c>
      <c r="G312" s="4" t="inlineStr">
        <is>
          <t>2013gn</t>
        </is>
      </c>
      <c r="H312" s="4" t="n">
        <v>2017</v>
      </c>
      <c r="I312" s="5" t="n"/>
      <c r="J312" t="inlineStr">
        <is>
          <t>…</t>
        </is>
      </c>
    </row>
    <row r="313">
      <c r="A313" t="inlineStr">
        <is>
          <t>Dominica_2018_August</t>
        </is>
      </c>
      <c r="B313" s="2" t="n"/>
      <c r="C313" s="3" t="inlineStr">
        <is>
          <t>SM.18.139</t>
        </is>
      </c>
      <c r="D313" s="4" t="inlineStr">
        <is>
          <t>Dominica</t>
        </is>
      </c>
      <c r="E313" s="4" t="inlineStr">
        <is>
          <t>DMA</t>
        </is>
      </c>
      <c r="F313" s="10" t="n">
        <v>43255</v>
      </c>
      <c r="G313" s="4" t="inlineStr">
        <is>
          <t>2013gn</t>
        </is>
      </c>
      <c r="H313" s="4" t="n">
        <v>2017</v>
      </c>
      <c r="I313" s="4" t="inlineStr">
        <is>
          <t>nom.val.dbt.mlg.trm</t>
        </is>
      </c>
      <c r="J313" t="inlineStr">
        <is>
          <t>…</t>
        </is>
      </c>
    </row>
    <row r="314">
      <c r="A314" t="inlineStr">
        <is>
          <t>Dominica_2018_August</t>
        </is>
      </c>
      <c r="B314" s="2" t="n"/>
      <c r="C314" s="3" t="inlineStr">
        <is>
          <t>SM.18.139</t>
        </is>
      </c>
      <c r="D314" s="4" t="inlineStr">
        <is>
          <t>Dominica</t>
        </is>
      </c>
      <c r="E314" s="4" t="inlineStr">
        <is>
          <t>DMA</t>
        </is>
      </c>
      <c r="F314" s="10" t="n">
        <v>43255</v>
      </c>
      <c r="G314" s="4" t="inlineStr">
        <is>
          <t>2013gn</t>
        </is>
      </c>
      <c r="H314" s="4" t="n">
        <v>2017</v>
      </c>
      <c r="I314" s="4" t="inlineStr">
        <is>
          <t>nom.val.dbt.mlt</t>
        </is>
      </c>
      <c r="J314" t="inlineStr">
        <is>
          <t xml:space="preserve">   Others Commercial</t>
        </is>
      </c>
    </row>
    <row r="315">
      <c r="A315" t="inlineStr">
        <is>
          <t>Dominica_2018_August</t>
        </is>
      </c>
      <c r="B315" s="2" t="n"/>
      <c r="C315" s="3" t="inlineStr">
        <is>
          <t>SM.18.139</t>
        </is>
      </c>
      <c r="D315" s="4" t="inlineStr">
        <is>
          <t>Dominica</t>
        </is>
      </c>
      <c r="E315" s="4" t="inlineStr">
        <is>
          <t>DMA</t>
        </is>
      </c>
      <c r="F315" s="10" t="n">
        <v>43255</v>
      </c>
      <c r="G315" s="4" t="inlineStr">
        <is>
          <t>2013gn</t>
        </is>
      </c>
      <c r="H315" s="4" t="n">
        <v>2017</v>
      </c>
      <c r="I315" s="4" t="inlineStr">
        <is>
          <t>nom.val.dbt.mlt.imf</t>
        </is>
      </c>
      <c r="J315" t="inlineStr">
        <is>
          <t>If the Breakdown is not available insert total debt service here</t>
        </is>
      </c>
    </row>
    <row r="316">
      <c r="A316" t="inlineStr">
        <is>
          <t>Dominica_2018_August</t>
        </is>
      </c>
      <c r="B316" s="2" t="n"/>
      <c r="C316" s="3" t="inlineStr">
        <is>
          <t>SM.18.139</t>
        </is>
      </c>
      <c r="D316" s="4" t="inlineStr">
        <is>
          <t>Dominica</t>
        </is>
      </c>
      <c r="E316" s="4" t="inlineStr">
        <is>
          <t>DMA</t>
        </is>
      </c>
      <c r="F316" s="10" t="n">
        <v>43255</v>
      </c>
      <c r="G316" s="4" t="inlineStr">
        <is>
          <t>2013gn</t>
        </is>
      </c>
      <c r="H316" s="4" t="n">
        <v>2017</v>
      </c>
      <c r="I316" s="4" t="inlineStr">
        <is>
          <t>nom.val.dbt.mlt.ida.reg</t>
        </is>
      </c>
      <c r="J316" t="inlineStr">
        <is>
          <t>Total</t>
        </is>
      </c>
    </row>
    <row r="317">
      <c r="A317" t="inlineStr">
        <is>
          <t>Dominica_2018_August</t>
        </is>
      </c>
      <c r="B317" s="2" t="n"/>
      <c r="C317" s="3" t="inlineStr">
        <is>
          <t>SM.18.139</t>
        </is>
      </c>
      <c r="D317" s="4" t="inlineStr">
        <is>
          <t>Dominica</t>
        </is>
      </c>
      <c r="E317" s="4" t="inlineStr">
        <is>
          <t>DMA</t>
        </is>
      </c>
      <c r="F317" s="10" t="n">
        <v>43255</v>
      </c>
      <c r="G317" s="4" t="inlineStr">
        <is>
          <t>2013gn</t>
        </is>
      </c>
      <c r="H317" s="4" t="n">
        <v>2017</v>
      </c>
      <c r="I317" s="4" t="inlineStr">
        <is>
          <t>nom.val.dbt.mlt.ida.bld</t>
        </is>
      </c>
      <c r="J317" t="inlineStr">
        <is>
          <t xml:space="preserve">    of which: principal</t>
        </is>
      </c>
    </row>
    <row r="318">
      <c r="A318" t="inlineStr">
        <is>
          <t>Dominica_2018_August</t>
        </is>
      </c>
      <c r="B318" s="2" t="n"/>
      <c r="C318" s="3" t="inlineStr">
        <is>
          <t>SM.18.139</t>
        </is>
      </c>
      <c r="D318" s="4" t="inlineStr">
        <is>
          <t>Dominica</t>
        </is>
      </c>
      <c r="E318" s="4" t="inlineStr">
        <is>
          <t>DMA</t>
        </is>
      </c>
      <c r="F318" s="10" t="n">
        <v>43255</v>
      </c>
      <c r="G318" s="4" t="inlineStr">
        <is>
          <t>2013gn</t>
        </is>
      </c>
      <c r="H318" s="4" t="n">
        <v>2017</v>
      </c>
      <c r="I318" s="4" t="inlineStr">
        <is>
          <t>nom.val.dbt.mlt.afdb</t>
        </is>
      </c>
      <c r="J318" t="inlineStr">
        <is>
          <t xml:space="preserve">    of which: interest</t>
        </is>
      </c>
    </row>
    <row r="319">
      <c r="A319" t="inlineStr">
        <is>
          <t>Dominica_2018_August</t>
        </is>
      </c>
      <c r="B319" s="2" t="n"/>
      <c r="C319" s="3" t="inlineStr">
        <is>
          <t>SM.18.139</t>
        </is>
      </c>
      <c r="D319" s="4" t="inlineStr">
        <is>
          <t>Dominica</t>
        </is>
      </c>
      <c r="E319" s="4" t="inlineStr">
        <is>
          <t>DMA</t>
        </is>
      </c>
      <c r="F319" s="10" t="n">
        <v>43255</v>
      </c>
      <c r="G319" s="4" t="inlineStr">
        <is>
          <t>2013gn</t>
        </is>
      </c>
      <c r="H319" s="4" t="n">
        <v>2017</v>
      </c>
      <c r="I319" s="4" t="inlineStr">
        <is>
          <t>nom.val.dbt.mlt2</t>
        </is>
      </c>
    </row>
    <row r="320">
      <c r="A320" t="inlineStr">
        <is>
          <t>Dominica_2018_August</t>
        </is>
      </c>
      <c r="B320" s="2" t="n"/>
      <c r="C320" s="3" t="inlineStr">
        <is>
          <t>SM.18.139</t>
        </is>
      </c>
      <c r="D320" s="4" t="inlineStr">
        <is>
          <t>Dominica</t>
        </is>
      </c>
      <c r="E320" s="4" t="inlineStr">
        <is>
          <t>DMA</t>
        </is>
      </c>
      <c r="F320" s="10" t="n">
        <v>43255</v>
      </c>
      <c r="G320" s="4" t="inlineStr">
        <is>
          <t>2013gn</t>
        </is>
      </c>
      <c r="H320" s="4" t="n">
        <v>2017</v>
      </c>
      <c r="I320" s="4" t="inlineStr">
        <is>
          <t>nom.val.dbt.mlt3</t>
        </is>
      </c>
      <c r="J320" t="inlineStr">
        <is>
          <t>2. Stock of outstanding arrears</t>
        </is>
      </c>
    </row>
    <row r="321">
      <c r="A321" t="inlineStr">
        <is>
          <t>Dominica_2018_August</t>
        </is>
      </c>
      <c r="B321" s="2" t="n"/>
      <c r="C321" s="3" t="inlineStr">
        <is>
          <t>SM.18.139</t>
        </is>
      </c>
      <c r="D321" s="4" t="inlineStr">
        <is>
          <t>Dominica</t>
        </is>
      </c>
      <c r="E321" s="4" t="inlineStr">
        <is>
          <t>DMA</t>
        </is>
      </c>
      <c r="F321" s="10" t="n">
        <v>43255</v>
      </c>
      <c r="G321" s="4" t="inlineStr">
        <is>
          <t>2013gn</t>
        </is>
      </c>
      <c r="H321" s="4" t="n">
        <v>2017</v>
      </c>
      <c r="I321" s="4" t="inlineStr">
        <is>
          <t>nom.val.dbt.mlt.oth</t>
        </is>
      </c>
    </row>
    <row r="322">
      <c r="A322" t="inlineStr">
        <is>
          <t>Dominica_2018_August</t>
        </is>
      </c>
      <c r="B322" s="2" t="n"/>
      <c r="C322" s="3" t="inlineStr">
        <is>
          <t>SM.18.139</t>
        </is>
      </c>
      <c r="D322" s="4" t="inlineStr">
        <is>
          <t>Dominica</t>
        </is>
      </c>
      <c r="E322" s="4" t="inlineStr">
        <is>
          <t>DMA</t>
        </is>
      </c>
      <c r="F322" s="10" t="n">
        <v>43255</v>
      </c>
      <c r="G322" s="4" t="inlineStr">
        <is>
          <t>2013gn</t>
        </is>
      </c>
      <c r="H322" s="4" t="n">
        <v>2017</v>
      </c>
      <c r="I322" s="4" t="inlineStr">
        <is>
          <t>nom.val.dbt.mlt.oth1</t>
        </is>
      </c>
      <c r="J322" t="inlineStr">
        <is>
          <t>Evolution of old MLT debt, excluding arrears (nominal)</t>
        </is>
      </c>
    </row>
    <row r="323">
      <c r="A323" t="inlineStr">
        <is>
          <t>Dominica_2018_August</t>
        </is>
      </c>
      <c r="B323" s="2" t="n"/>
      <c r="C323" s="3" t="inlineStr">
        <is>
          <t>SM.18.139</t>
        </is>
      </c>
      <c r="D323" s="4" t="inlineStr">
        <is>
          <t>Dominica</t>
        </is>
      </c>
      <c r="E323" s="4" t="inlineStr">
        <is>
          <t>DMA</t>
        </is>
      </c>
      <c r="F323" s="10" t="n">
        <v>43255</v>
      </c>
      <c r="G323" s="4" t="inlineStr">
        <is>
          <t>2013gn</t>
        </is>
      </c>
      <c r="H323" s="4" t="n">
        <v>2017</v>
      </c>
      <c r="I323" s="4" t="inlineStr">
        <is>
          <t>nom.val.dbt.mlt.oth2</t>
        </is>
      </c>
      <c r="J323" t="inlineStr">
        <is>
          <t>Check</t>
        </is>
      </c>
    </row>
    <row r="324">
      <c r="A324" t="inlineStr">
        <is>
          <t>Dominica_2018_August</t>
        </is>
      </c>
      <c r="B324" s="2" t="n"/>
      <c r="C324" s="3" t="inlineStr">
        <is>
          <t>SM.18.139</t>
        </is>
      </c>
      <c r="D324" s="4" t="inlineStr">
        <is>
          <t>Dominica</t>
        </is>
      </c>
      <c r="E324" s="4" t="inlineStr">
        <is>
          <t>DMA</t>
        </is>
      </c>
      <c r="F324" s="10" t="n">
        <v>43255</v>
      </c>
      <c r="G324" s="4" t="inlineStr">
        <is>
          <t>2013gn</t>
        </is>
      </c>
      <c r="H324" s="4" t="n">
        <v>2017</v>
      </c>
      <c r="I324" s="4" t="inlineStr">
        <is>
          <t>nom.val.dbt.mlt.oth3</t>
        </is>
      </c>
    </row>
    <row r="325">
      <c r="A325" t="inlineStr">
        <is>
          <t>Dominica_2018_August</t>
        </is>
      </c>
      <c r="B325" s="2" t="n"/>
      <c r="C325" s="3" t="inlineStr">
        <is>
          <t>SM.18.139</t>
        </is>
      </c>
      <c r="D325" s="4" t="inlineStr">
        <is>
          <t>Dominica</t>
        </is>
      </c>
      <c r="E325" s="4" t="inlineStr">
        <is>
          <t>DMA</t>
        </is>
      </c>
      <c r="F325" s="10" t="n">
        <v>43255</v>
      </c>
      <c r="G325" s="4" t="inlineStr">
        <is>
          <t>2013gn</t>
        </is>
      </c>
      <c r="H325" s="4" t="n">
        <v>2017</v>
      </c>
      <c r="I325" s="4" t="inlineStr">
        <is>
          <t>nom.val.dbt.blt</t>
        </is>
      </c>
      <c r="J325" t="inlineStr">
        <is>
          <t>3. NEW MLT DEBT: Disbursements (including for refinancing/clearance of arrears)</t>
        </is>
      </c>
    </row>
    <row r="326">
      <c r="A326" t="inlineStr">
        <is>
          <t>Dominica_2018_August</t>
        </is>
      </c>
      <c r="B326" s="2" t="n"/>
      <c r="C326" s="3" t="inlineStr">
        <is>
          <t>SM.18.139</t>
        </is>
      </c>
      <c r="D326" s="4" t="inlineStr">
        <is>
          <t>Dominica</t>
        </is>
      </c>
      <c r="E326" s="4" t="inlineStr">
        <is>
          <t>DMA</t>
        </is>
      </c>
      <c r="F326" s="10" t="n">
        <v>43255</v>
      </c>
      <c r="G326" s="4" t="inlineStr">
        <is>
          <t>2013gn</t>
        </is>
      </c>
      <c r="H326" s="4" t="n">
        <v>2017</v>
      </c>
      <c r="I326" s="4" t="inlineStr">
        <is>
          <t>nom.val.dbt.pc</t>
        </is>
      </c>
      <c r="J326" t="inlineStr">
        <is>
          <t>Multilaterals</t>
        </is>
      </c>
    </row>
    <row r="327">
      <c r="A327" t="inlineStr">
        <is>
          <t>Dominica_2018_August</t>
        </is>
      </c>
      <c r="B327" s="2" t="n"/>
      <c r="C327" s="3" t="inlineStr">
        <is>
          <t>SM.18.139</t>
        </is>
      </c>
      <c r="D327" s="4" t="inlineStr">
        <is>
          <t>Dominica</t>
        </is>
      </c>
      <c r="E327" s="4" t="inlineStr">
        <is>
          <t>DMA</t>
        </is>
      </c>
      <c r="F327" s="10" t="n">
        <v>43255</v>
      </c>
      <c r="G327" s="4" t="inlineStr">
        <is>
          <t>2013gn</t>
        </is>
      </c>
      <c r="H327" s="4" t="n">
        <v>2017</v>
      </c>
      <c r="I327" s="4" t="inlineStr">
        <is>
          <t>nom.val.dbt.pc1</t>
        </is>
      </c>
      <c r="J327" t="inlineStr">
        <is>
          <t xml:space="preserve">   IMF</t>
        </is>
      </c>
    </row>
    <row r="328">
      <c r="A328" t="inlineStr">
        <is>
          <t>Dominica_2018_August</t>
        </is>
      </c>
      <c r="B328" s="2" t="n"/>
      <c r="C328" s="3" t="inlineStr">
        <is>
          <t>SM.18.139</t>
        </is>
      </c>
      <c r="D328" s="4" t="inlineStr">
        <is>
          <t>Dominica</t>
        </is>
      </c>
      <c r="E328" s="4" t="inlineStr">
        <is>
          <t>DMA</t>
        </is>
      </c>
      <c r="F328" s="10" t="n">
        <v>43255</v>
      </c>
      <c r="G328" s="4" t="inlineStr">
        <is>
          <t>2013gn</t>
        </is>
      </c>
      <c r="H328" s="4" t="n">
        <v>2017</v>
      </c>
      <c r="I328" s="4" t="inlineStr">
        <is>
          <t>nom.val.dbt.pc2</t>
        </is>
      </c>
      <c r="J328" t="inlineStr">
        <is>
          <t xml:space="preserve">   IDA - Small Island Country</t>
        </is>
      </c>
    </row>
    <row r="329">
      <c r="A329" t="inlineStr">
        <is>
          <t>Dominica_2018_August</t>
        </is>
      </c>
      <c r="B329" s="2" t="n"/>
      <c r="C329" s="3" t="inlineStr">
        <is>
          <t>SM.18.139</t>
        </is>
      </c>
      <c r="D329" s="4" t="inlineStr">
        <is>
          <t>Dominica</t>
        </is>
      </c>
      <c r="E329" s="4" t="inlineStr">
        <is>
          <t>DMA</t>
        </is>
      </c>
      <c r="F329" s="10" t="n">
        <v>43255</v>
      </c>
      <c r="G329" s="4" t="inlineStr">
        <is>
          <t>2013gn</t>
        </is>
      </c>
      <c r="H329" s="4" t="n">
        <v>2017</v>
      </c>
      <c r="I329" s="4" t="inlineStr">
        <is>
          <t>nom.val.dbt.pc3</t>
        </is>
      </c>
      <c r="J329" t="inlineStr">
        <is>
          <t>IDA - Regular</t>
        </is>
      </c>
    </row>
    <row r="330">
      <c r="A330" t="inlineStr">
        <is>
          <t>Dominica_2018_August</t>
        </is>
      </c>
      <c r="B330" s="2" t="n"/>
      <c r="C330" s="3" t="inlineStr">
        <is>
          <t>SM.18.139</t>
        </is>
      </c>
      <c r="D330" s="4" t="inlineStr">
        <is>
          <t>Dominica</t>
        </is>
      </c>
      <c r="E330" s="4" t="inlineStr">
        <is>
          <t>DMA</t>
        </is>
      </c>
      <c r="F330" s="10" t="n">
        <v>43255</v>
      </c>
      <c r="G330" s="4" t="inlineStr">
        <is>
          <t>2013gn</t>
        </is>
      </c>
      <c r="H330" s="4" t="n">
        <v>2017</v>
      </c>
      <c r="I330" s="4" t="inlineStr">
        <is>
          <t>nom.val.dbt.pc4</t>
        </is>
      </c>
      <c r="J330" t="inlineStr">
        <is>
          <t>IBRD</t>
        </is>
      </c>
    </row>
    <row r="331">
      <c r="A331" t="inlineStr">
        <is>
          <t>Dominica_2018_August</t>
        </is>
      </c>
      <c r="B331" s="2" t="n"/>
      <c r="C331" s="3" t="inlineStr">
        <is>
          <t>SM.18.139</t>
        </is>
      </c>
      <c r="D331" s="4" t="inlineStr">
        <is>
          <t>Dominica</t>
        </is>
      </c>
      <c r="E331" s="4" t="inlineStr">
        <is>
          <t>DMA</t>
        </is>
      </c>
      <c r="F331" s="10" t="n">
        <v>43255</v>
      </c>
      <c r="G331" s="4" t="inlineStr">
        <is>
          <t>2013gn</t>
        </is>
      </c>
      <c r="H331" s="4" t="n">
        <v>2017</v>
      </c>
      <c r="I331" s="4" t="inlineStr">
        <is>
          <t>nom.val.dbt.pc5</t>
        </is>
      </c>
      <c r="J331" t="inlineStr">
        <is>
          <t>Other Multilateral</t>
        </is>
      </c>
    </row>
    <row r="332">
      <c r="A332" t="inlineStr">
        <is>
          <t>Dominica_2018_August</t>
        </is>
      </c>
      <c r="B332" s="2" t="n"/>
      <c r="C332" s="3" t="inlineStr">
        <is>
          <t>SM.18.139</t>
        </is>
      </c>
      <c r="D332" s="4" t="inlineStr">
        <is>
          <t>Dominica</t>
        </is>
      </c>
      <c r="E332" s="4" t="inlineStr">
        <is>
          <t>DMA</t>
        </is>
      </c>
      <c r="F332" s="10" t="n">
        <v>43255</v>
      </c>
      <c r="G332" s="4" t="inlineStr">
        <is>
          <t>2013gn</t>
        </is>
      </c>
      <c r="H332" s="4" t="n">
        <v>2017</v>
      </c>
      <c r="I332" s="4" t="inlineStr">
        <is>
          <t>nom.val.dbt.npc</t>
        </is>
      </c>
      <c r="J332" t="inlineStr">
        <is>
          <t>Official Bilaterals</t>
        </is>
      </c>
    </row>
    <row r="333">
      <c r="A333" t="inlineStr">
        <is>
          <t>Dominica_2018_August</t>
        </is>
      </c>
      <c r="B333" s="2" t="n"/>
      <c r="C333" s="3" t="inlineStr">
        <is>
          <t>SM.18.139</t>
        </is>
      </c>
      <c r="D333" s="4" t="inlineStr">
        <is>
          <t>Dominica</t>
        </is>
      </c>
      <c r="E333" s="4" t="inlineStr">
        <is>
          <t>DMA</t>
        </is>
      </c>
      <c r="F333" s="10" t="n">
        <v>43255</v>
      </c>
      <c r="G333" s="4" t="inlineStr">
        <is>
          <t>2013gn</t>
        </is>
      </c>
      <c r="H333" s="4" t="n">
        <v>2017</v>
      </c>
      <c r="I333" s="4" t="inlineStr">
        <is>
          <t>nom.val.dbt.npc.eximbk</t>
        </is>
      </c>
      <c r="J333" t="inlineStr">
        <is>
          <t xml:space="preserve">   PC</t>
        </is>
      </c>
    </row>
    <row r="334">
      <c r="A334" t="inlineStr">
        <is>
          <t>Dominica_2018_August</t>
        </is>
      </c>
      <c r="B334" s="2" t="n"/>
      <c r="C334" s="3" t="inlineStr">
        <is>
          <t>SM.18.139</t>
        </is>
      </c>
      <c r="D334" s="4" t="inlineStr">
        <is>
          <t>Dominica</t>
        </is>
      </c>
      <c r="E334" s="4" t="inlineStr">
        <is>
          <t>DMA</t>
        </is>
      </c>
      <c r="F334" s="10" t="n">
        <v>43255</v>
      </c>
      <c r="G334" s="4" t="inlineStr">
        <is>
          <t>2013gn</t>
        </is>
      </c>
      <c r="H334" s="4" t="n">
        <v>2017</v>
      </c>
      <c r="I334" s="4" t="inlineStr">
        <is>
          <t>nom.val.dbt.npc2</t>
        </is>
      </c>
      <c r="J334" t="inlineStr">
        <is>
          <t>…</t>
        </is>
      </c>
    </row>
    <row r="335">
      <c r="A335" t="inlineStr">
        <is>
          <t>Dominica_2018_August</t>
        </is>
      </c>
      <c r="B335" s="2" t="n"/>
      <c r="C335" s="3" t="inlineStr">
        <is>
          <t>SM.18.139</t>
        </is>
      </c>
      <c r="D335" s="4" t="inlineStr">
        <is>
          <t>Dominica</t>
        </is>
      </c>
      <c r="E335" s="4" t="inlineStr">
        <is>
          <t>DMA</t>
        </is>
      </c>
      <c r="F335" s="10" t="n">
        <v>43255</v>
      </c>
      <c r="G335" s="4" t="inlineStr">
        <is>
          <t>2013gn</t>
        </is>
      </c>
      <c r="H335" s="4" t="n">
        <v>2017</v>
      </c>
      <c r="I335" s="4" t="inlineStr">
        <is>
          <t>nom.val.dbt.npc3</t>
        </is>
      </c>
      <c r="J335" t="inlineStr">
        <is>
          <t>…</t>
        </is>
      </c>
    </row>
    <row r="336">
      <c r="A336" t="inlineStr">
        <is>
          <t>Dominica_2018_August</t>
        </is>
      </c>
      <c r="B336" s="2" t="n"/>
      <c r="C336" s="3" t="inlineStr">
        <is>
          <t>SM.18.139</t>
        </is>
      </c>
      <c r="D336" s="4" t="inlineStr">
        <is>
          <t>Dominica</t>
        </is>
      </c>
      <c r="E336" s="4" t="inlineStr">
        <is>
          <t>DMA</t>
        </is>
      </c>
      <c r="F336" s="10" t="n">
        <v>43255</v>
      </c>
      <c r="G336" s="4" t="inlineStr">
        <is>
          <t>2013gn</t>
        </is>
      </c>
      <c r="H336" s="4" t="n">
        <v>2017</v>
      </c>
      <c r="I336" s="4" t="inlineStr">
        <is>
          <t>nom.val.dbt.npc4</t>
        </is>
      </c>
      <c r="J336" t="inlineStr">
        <is>
          <t xml:space="preserve">   Others Paris Club</t>
        </is>
      </c>
    </row>
    <row r="337">
      <c r="A337" t="inlineStr">
        <is>
          <t>Dominica_2018_August</t>
        </is>
      </c>
      <c r="B337" s="2" t="n"/>
      <c r="C337" s="3" t="inlineStr">
        <is>
          <t>SM.18.139</t>
        </is>
      </c>
      <c r="D337" s="4" t="inlineStr">
        <is>
          <t>Dominica</t>
        </is>
      </c>
      <c r="E337" s="4" t="inlineStr">
        <is>
          <t>DMA</t>
        </is>
      </c>
      <c r="F337" s="10" t="n">
        <v>43255</v>
      </c>
      <c r="G337" s="4" t="inlineStr">
        <is>
          <t>2013gn</t>
        </is>
      </c>
      <c r="H337" s="4" t="n">
        <v>2017</v>
      </c>
      <c r="I337" s="4" t="inlineStr">
        <is>
          <t>nom.val.dbt.npc5</t>
        </is>
      </c>
      <c r="J337" t="inlineStr">
        <is>
          <t xml:space="preserve">   NPC</t>
        </is>
      </c>
    </row>
    <row r="338">
      <c r="A338" t="inlineStr">
        <is>
          <t>Dominica_2018_August</t>
        </is>
      </c>
      <c r="B338" s="2" t="n"/>
      <c r="C338" s="3" t="inlineStr">
        <is>
          <t>SM.18.139</t>
        </is>
      </c>
      <c r="D338" s="4" t="inlineStr">
        <is>
          <t>Dominica</t>
        </is>
      </c>
      <c r="E338" s="4" t="inlineStr">
        <is>
          <t>DMA</t>
        </is>
      </c>
      <c r="F338" s="10" t="n">
        <v>43255</v>
      </c>
      <c r="G338" s="4" t="inlineStr">
        <is>
          <t>2013gn</t>
        </is>
      </c>
      <c r="H338" s="4" t="n">
        <v>2017</v>
      </c>
      <c r="I338" s="4" t="inlineStr">
        <is>
          <t>nom.val.dbt.prvt</t>
        </is>
      </c>
      <c r="J338" t="inlineStr">
        <is>
          <t>…</t>
        </is>
      </c>
    </row>
    <row r="339">
      <c r="A339" t="inlineStr">
        <is>
          <t>Dominica_2018_August</t>
        </is>
      </c>
      <c r="B339" s="2" t="n"/>
      <c r="C339" s="3" t="inlineStr">
        <is>
          <t>SM.18.139</t>
        </is>
      </c>
      <c r="D339" s="4" t="inlineStr">
        <is>
          <t>Dominica</t>
        </is>
      </c>
      <c r="E339" s="4" t="inlineStr">
        <is>
          <t>DMA</t>
        </is>
      </c>
      <c r="F339" s="10" t="n">
        <v>43255</v>
      </c>
      <c r="G339" s="4" t="inlineStr">
        <is>
          <t>2013gn</t>
        </is>
      </c>
      <c r="H339" s="4" t="n">
        <v>2017</v>
      </c>
      <c r="I339" s="4" t="inlineStr">
        <is>
          <t>nom.val.dbt.prvt.bnd</t>
        </is>
      </c>
      <c r="J339" t="inlineStr">
        <is>
          <t>…</t>
        </is>
      </c>
    </row>
    <row r="340">
      <c r="A340" t="inlineStr">
        <is>
          <t>Dominica_2018_August</t>
        </is>
      </c>
      <c r="B340" s="2" t="n"/>
      <c r="C340" s="3" t="inlineStr">
        <is>
          <t>SM.18.139</t>
        </is>
      </c>
      <c r="D340" s="4" t="inlineStr">
        <is>
          <t>Dominica</t>
        </is>
      </c>
      <c r="E340" s="4" t="inlineStr">
        <is>
          <t>DMA</t>
        </is>
      </c>
      <c r="F340" s="10" t="n">
        <v>43255</v>
      </c>
      <c r="G340" s="4" t="inlineStr">
        <is>
          <t>2013gn</t>
        </is>
      </c>
      <c r="H340" s="4" t="n">
        <v>2017</v>
      </c>
      <c r="I340" s="4" t="inlineStr">
        <is>
          <t>nom.val.dbt.prvt.cmbk</t>
        </is>
      </c>
      <c r="J340" t="inlineStr">
        <is>
          <t xml:space="preserve">   Others Non Paris Club</t>
        </is>
      </c>
    </row>
    <row r="341">
      <c r="A341" t="inlineStr">
        <is>
          <t>Dominica_2018_August</t>
        </is>
      </c>
      <c r="B341" s="2" t="n"/>
      <c r="C341" s="3" t="inlineStr">
        <is>
          <t>SM.18.139</t>
        </is>
      </c>
      <c r="D341" s="4" t="inlineStr">
        <is>
          <t>Dominica</t>
        </is>
      </c>
      <c r="E341" s="4" t="inlineStr">
        <is>
          <t>DMA</t>
        </is>
      </c>
      <c r="F341" s="10" t="n">
        <v>43255</v>
      </c>
      <c r="G341" s="4" t="inlineStr">
        <is>
          <t>2013gn</t>
        </is>
      </c>
      <c r="H341" s="4" t="n">
        <v>2017</v>
      </c>
      <c r="I341" s="4" t="inlineStr">
        <is>
          <t>nom.val.dbt.prvt.com3</t>
        </is>
      </c>
      <c r="J341" t="inlineStr">
        <is>
          <t>Commercial</t>
        </is>
      </c>
    </row>
    <row r="342">
      <c r="A342" t="inlineStr">
        <is>
          <t>Dominica_2018_August</t>
        </is>
      </c>
      <c r="B342" s="2" t="n"/>
      <c r="C342" s="3" t="inlineStr">
        <is>
          <t>SM.18.139</t>
        </is>
      </c>
      <c r="D342" s="4" t="inlineStr">
        <is>
          <t>Dominica</t>
        </is>
      </c>
      <c r="E342" s="4" t="inlineStr">
        <is>
          <t>DMA</t>
        </is>
      </c>
      <c r="F342" s="10" t="n">
        <v>43255</v>
      </c>
      <c r="G342" s="4" t="inlineStr">
        <is>
          <t>2013gn</t>
        </is>
      </c>
      <c r="H342" s="4" t="n">
        <v>2017</v>
      </c>
      <c r="I342" s="4" t="inlineStr">
        <is>
          <t>nom.val.dbt.prvt.com4</t>
        </is>
      </c>
      <c r="J342" t="inlineStr">
        <is>
          <t>…</t>
        </is>
      </c>
    </row>
    <row r="343">
      <c r="A343" t="inlineStr">
        <is>
          <t>Dominica_2018_August</t>
        </is>
      </c>
      <c r="B343" s="2" t="n"/>
      <c r="C343" s="3" t="inlineStr">
        <is>
          <t>SM.18.139</t>
        </is>
      </c>
      <c r="D343" s="4" t="inlineStr">
        <is>
          <t>Dominica</t>
        </is>
      </c>
      <c r="E343" s="4" t="inlineStr">
        <is>
          <t>DMA</t>
        </is>
      </c>
      <c r="F343" s="10" t="n">
        <v>43255</v>
      </c>
      <c r="G343" s="4" t="inlineStr">
        <is>
          <t>2013gn</t>
        </is>
      </c>
      <c r="H343" s="4" t="n">
        <v>2017</v>
      </c>
      <c r="I343" s="4" t="inlineStr">
        <is>
          <t>nom.val.dbt.prvt.com5</t>
        </is>
      </c>
      <c r="J343" t="inlineStr">
        <is>
          <t>…</t>
        </is>
      </c>
    </row>
    <row r="344">
      <c r="A344" t="inlineStr">
        <is>
          <t>Dominica_2018_August</t>
        </is>
      </c>
      <c r="B344" s="2" t="n"/>
      <c r="C344" s="3" t="inlineStr">
        <is>
          <t>SM.18.139</t>
        </is>
      </c>
      <c r="D344" s="4" t="inlineStr">
        <is>
          <t>Dominica</t>
        </is>
      </c>
      <c r="E344" s="4" t="inlineStr">
        <is>
          <t>DMA</t>
        </is>
      </c>
      <c r="F344" s="10" t="n">
        <v>43255</v>
      </c>
      <c r="G344" s="4" t="inlineStr">
        <is>
          <t>2013gn</t>
        </is>
      </c>
      <c r="H344" s="4" t="n">
        <v>2017</v>
      </c>
      <c r="I344" s="4" t="inlineStr">
        <is>
          <t>nom.val.dbt.lcl.iss.nres</t>
        </is>
      </c>
      <c r="J344" t="inlineStr">
        <is>
          <t xml:space="preserve">   Others Commercial</t>
        </is>
      </c>
    </row>
    <row r="345">
      <c r="A345" t="inlineStr">
        <is>
          <t>Dominica_2018_August</t>
        </is>
      </c>
      <c r="B345" s="2" t="n"/>
      <c r="C345" s="3" t="inlineStr">
        <is>
          <t>SM.18.139</t>
        </is>
      </c>
      <c r="D345" s="4" t="inlineStr">
        <is>
          <t>Dominica</t>
        </is>
      </c>
      <c r="E345" s="4" t="inlineStr">
        <is>
          <t>DMA</t>
        </is>
      </c>
      <c r="F345" s="10" t="n">
        <v>43255</v>
      </c>
      <c r="G345" s="4" t="inlineStr">
        <is>
          <t>2013gn</t>
        </is>
      </c>
      <c r="H345" s="4" t="n">
        <v>2017</v>
      </c>
      <c r="I345" s="4" t="inlineStr">
        <is>
          <t>pn.new.dbt.lcl.nres.lc</t>
        </is>
      </c>
    </row>
    <row r="346">
      <c r="A346" t="inlineStr">
        <is>
          <t>Dominica_2018_August</t>
        </is>
      </c>
      <c r="B346" s="2" t="n"/>
      <c r="C346" s="3" t="inlineStr">
        <is>
          <t>SM.18.139</t>
        </is>
      </c>
      <c r="D346" s="4" t="inlineStr">
        <is>
          <t>Dominica</t>
        </is>
      </c>
      <c r="E346" s="4" t="inlineStr">
        <is>
          <t>DMA</t>
        </is>
      </c>
      <c r="F346" s="10" t="n">
        <v>43255</v>
      </c>
      <c r="G346" s="4" t="inlineStr">
        <is>
          <t>2013gn</t>
        </is>
      </c>
      <c r="H346" s="4" t="n">
        <v>2017</v>
      </c>
      <c r="I346" s="4" t="inlineStr">
        <is>
          <t>pn.new.dbt.lcl.nres.bnd.1to3.lc</t>
        </is>
      </c>
      <c r="J346" t="inlineStr">
        <is>
          <t>Total new MLT disbursements</t>
        </is>
      </c>
    </row>
    <row r="347">
      <c r="A347" t="inlineStr">
        <is>
          <t>Dominica_2018_August</t>
        </is>
      </c>
      <c r="B347" s="2" t="n"/>
      <c r="C347" s="3" t="inlineStr">
        <is>
          <t>SM.18.139</t>
        </is>
      </c>
      <c r="D347" s="4" t="inlineStr">
        <is>
          <t>Dominica</t>
        </is>
      </c>
      <c r="E347" s="4" t="inlineStr">
        <is>
          <t>DMA</t>
        </is>
      </c>
      <c r="F347" s="10" t="n">
        <v>43255</v>
      </c>
      <c r="G347" s="4" t="inlineStr">
        <is>
          <t>2013gn</t>
        </is>
      </c>
      <c r="H347" s="4" t="n">
        <v>2017</v>
      </c>
      <c r="I347" s="4" t="inlineStr">
        <is>
          <t>pn.new.dbt.lcl.nres.bnd.4to7.lc</t>
        </is>
      </c>
      <c r="J347" t="inlineStr">
        <is>
          <t>Terms of residual financing under stress tests</t>
        </is>
      </c>
    </row>
    <row r="348">
      <c r="A348" t="inlineStr">
        <is>
          <t>Dominica_2018_August</t>
        </is>
      </c>
      <c r="B348" s="2" t="n"/>
      <c r="C348" s="3" t="inlineStr">
        <is>
          <t>SM.18.139</t>
        </is>
      </c>
      <c r="D348" s="4" t="inlineStr">
        <is>
          <t>Dominica</t>
        </is>
      </c>
      <c r="E348" s="4" t="inlineStr">
        <is>
          <t>DMA</t>
        </is>
      </c>
      <c r="F348" s="10" t="n">
        <v>43255</v>
      </c>
      <c r="G348" s="4" t="inlineStr">
        <is>
          <t>2013gn</t>
        </is>
      </c>
      <c r="H348" s="4" t="n">
        <v>2017</v>
      </c>
      <c r="I348" s="4" t="inlineStr">
        <is>
          <t>pn.new.dbt.lcl.nres.bnd.byd7.lc</t>
        </is>
      </c>
      <c r="J348" t="inlineStr">
        <is>
          <t>Average interest rate on new debt</t>
        </is>
      </c>
      <c r="L348" t="n">
        <v>1.507444713250269</v>
      </c>
    </row>
    <row r="349">
      <c r="A349" t="inlineStr">
        <is>
          <t>Dominica_2018_August</t>
        </is>
      </c>
      <c r="B349" s="2" t="n"/>
      <c r="C349" s="3" t="inlineStr">
        <is>
          <t>SM.18.139</t>
        </is>
      </c>
      <c r="D349" s="4" t="inlineStr">
        <is>
          <t>Dominica</t>
        </is>
      </c>
      <c r="E349" s="4" t="inlineStr">
        <is>
          <t>DMA</t>
        </is>
      </c>
      <c r="F349" s="10" t="n">
        <v>43255</v>
      </c>
      <c r="G349" s="4" t="inlineStr">
        <is>
          <t>2013gn</t>
        </is>
      </c>
      <c r="H349" s="4" t="n">
        <v>2017</v>
      </c>
      <c r="I349" s="4" t="inlineStr">
        <is>
          <t>pn.new.dbt.lcl.nres.fx</t>
        </is>
      </c>
      <c r="J349" t="inlineStr">
        <is>
          <t>Average grace period on new debt</t>
        </is>
      </c>
      <c r="L349" t="n">
        <v>8</v>
      </c>
    </row>
    <row r="350">
      <c r="A350" t="inlineStr">
        <is>
          <t>Dominica_2018_August</t>
        </is>
      </c>
      <c r="B350" s="2" t="n"/>
      <c r="C350" s="3" t="inlineStr">
        <is>
          <t>SM.18.139</t>
        </is>
      </c>
      <c r="D350" s="4" t="inlineStr">
        <is>
          <t>Dominica</t>
        </is>
      </c>
      <c r="E350" s="4" t="inlineStr">
        <is>
          <t>DMA</t>
        </is>
      </c>
      <c r="F350" s="10" t="n">
        <v>43255</v>
      </c>
      <c r="G350" s="4" t="inlineStr">
        <is>
          <t>2013gn</t>
        </is>
      </c>
      <c r="H350" s="4" t="n">
        <v>2017</v>
      </c>
      <c r="I350" s="4" t="inlineStr">
        <is>
          <t>pn.new.dbt.lcl.nres.bnd.1to3.fx</t>
        </is>
      </c>
      <c r="J350" t="inlineStr">
        <is>
          <t>Average maturity of new debt</t>
        </is>
      </c>
      <c r="L350" t="n">
        <v>31</v>
      </c>
    </row>
    <row r="351">
      <c r="A351" t="inlineStr">
        <is>
          <t>Dominica_2018_August</t>
        </is>
      </c>
      <c r="B351" s="2" t="n"/>
      <c r="C351" s="3" t="inlineStr">
        <is>
          <t>SM.18.139</t>
        </is>
      </c>
      <c r="D351" s="4" t="inlineStr">
        <is>
          <t>Dominica</t>
        </is>
      </c>
      <c r="E351" s="4" t="inlineStr">
        <is>
          <t>DMA</t>
        </is>
      </c>
      <c r="F351" s="10" t="n">
        <v>43255</v>
      </c>
      <c r="G351" s="4" t="inlineStr">
        <is>
          <t>2013gn</t>
        </is>
      </c>
      <c r="H351" s="4" t="n">
        <v>2017</v>
      </c>
      <c r="I351" s="4" t="inlineStr">
        <is>
          <t>pn.new.dbt.lcl.nres.bnd.4to7.fx</t>
        </is>
      </c>
    </row>
    <row r="352">
      <c r="A352" t="inlineStr">
        <is>
          <t>Dominica_2018_August</t>
        </is>
      </c>
      <c r="B352" s="2" t="n"/>
      <c r="C352" s="3" t="inlineStr">
        <is>
          <t>SM.18.139</t>
        </is>
      </c>
      <c r="D352" s="4" t="inlineStr">
        <is>
          <t>Dominica</t>
        </is>
      </c>
      <c r="E352" s="4" t="inlineStr">
        <is>
          <t>DMA</t>
        </is>
      </c>
      <c r="F352" s="10" t="n">
        <v>43255</v>
      </c>
      <c r="G352" s="4" t="inlineStr">
        <is>
          <t>2013gn</t>
        </is>
      </c>
      <c r="H352" s="4" t="n">
        <v>2017</v>
      </c>
      <c r="I352" s="4" t="inlineStr">
        <is>
          <t>pn.new.dbt.lcl.nres.bnd.byd7.fx</t>
        </is>
      </c>
      <c r="J352" t="inlineStr">
        <is>
          <t>Average grace period on new debt (rounded down)</t>
        </is>
      </c>
    </row>
    <row r="353">
      <c r="A353" t="inlineStr">
        <is>
          <t>Dominica_2018_August</t>
        </is>
      </c>
      <c r="B353" s="2" t="n"/>
      <c r="C353" s="3" t="inlineStr">
        <is>
          <t>SM.18.139</t>
        </is>
      </c>
      <c r="D353" s="4" t="inlineStr">
        <is>
          <t>Dominica</t>
        </is>
      </c>
      <c r="E353" s="4" t="inlineStr">
        <is>
          <t>DMA</t>
        </is>
      </c>
      <c r="F353" s="10" t="n">
        <v>43255</v>
      </c>
      <c r="G353" s="4" t="inlineStr">
        <is>
          <t>2013gn</t>
        </is>
      </c>
      <c r="H353" s="4" t="n">
        <v>2017</v>
      </c>
      <c r="I353" s="5" t="n"/>
      <c r="J353" t="inlineStr">
        <is>
          <t>Average maturity of new debt (rounded down)</t>
        </is>
      </c>
    </row>
    <row r="354">
      <c r="A354" t="inlineStr">
        <is>
          <t>Dominica_2018_August</t>
        </is>
      </c>
      <c r="B354" s="2" t="n"/>
      <c r="C354" s="3" t="inlineStr">
        <is>
          <t>SM.18.139</t>
        </is>
      </c>
      <c r="D354" s="4" t="inlineStr">
        <is>
          <t>Dominica</t>
        </is>
      </c>
      <c r="E354" s="4" t="inlineStr">
        <is>
          <t>DMA</t>
        </is>
      </c>
      <c r="F354" s="10" t="n">
        <v>43255</v>
      </c>
      <c r="G354" s="4" t="inlineStr">
        <is>
          <t>2013gn</t>
        </is>
      </c>
      <c r="H354" s="4" t="n">
        <v>2017</v>
      </c>
      <c r="I354" s="4" t="inlineStr">
        <is>
          <t>pn.new.dbt.lcl.fx</t>
        </is>
      </c>
    </row>
    <row r="355">
      <c r="A355" t="inlineStr">
        <is>
          <t>Dominica_2018_August</t>
        </is>
      </c>
      <c r="B355" s="2" t="n"/>
      <c r="C355" s="3" t="inlineStr">
        <is>
          <t>SM.18.139</t>
        </is>
      </c>
      <c r="D355" s="4" t="inlineStr">
        <is>
          <t>Dominica</t>
        </is>
      </c>
      <c r="E355" s="4" t="inlineStr">
        <is>
          <t>DMA</t>
        </is>
      </c>
      <c r="F355" s="10" t="n">
        <v>43255</v>
      </c>
      <c r="G355" s="4" t="inlineStr">
        <is>
          <t>2013gn</t>
        </is>
      </c>
      <c r="H355" s="4" t="n">
        <v>2017</v>
      </c>
      <c r="I355" s="4" t="inlineStr">
        <is>
          <t>pn.new.dbt.lcl.fx.bnd.1to3.fx</t>
        </is>
      </c>
      <c r="J355" t="inlineStr">
        <is>
          <t>B. OUTPUT</t>
        </is>
      </c>
    </row>
    <row r="356">
      <c r="A356" t="inlineStr">
        <is>
          <t>Dominica_2018_August</t>
        </is>
      </c>
      <c r="B356" s="2" t="n"/>
      <c r="C356" s="3" t="inlineStr">
        <is>
          <t>SM.18.139</t>
        </is>
      </c>
      <c r="D356" s="4" t="inlineStr">
        <is>
          <t>Dominica</t>
        </is>
      </c>
      <c r="E356" s="4" t="inlineStr">
        <is>
          <t>DMA</t>
        </is>
      </c>
      <c r="F356" s="10" t="n">
        <v>43255</v>
      </c>
      <c r="G356" s="4" t="inlineStr">
        <is>
          <t>2013gn</t>
        </is>
      </c>
      <c r="H356" s="4" t="n">
        <v>2017</v>
      </c>
      <c r="I356" s="4" t="inlineStr">
        <is>
          <t>pn.new.dbt.lcl.fx.bnd.4to7.fx</t>
        </is>
      </c>
    </row>
    <row r="357">
      <c r="A357" t="inlineStr">
        <is>
          <t>Dominica_2018_August</t>
        </is>
      </c>
      <c r="B357" s="2" t="n"/>
      <c r="C357" s="3" t="inlineStr">
        <is>
          <t>SM.18.139</t>
        </is>
      </c>
      <c r="D357" s="4" t="inlineStr">
        <is>
          <t>Dominica</t>
        </is>
      </c>
      <c r="E357" s="4" t="inlineStr">
        <is>
          <t>DMA</t>
        </is>
      </c>
      <c r="F357" s="10" t="n">
        <v>43255</v>
      </c>
      <c r="G357" s="4" t="inlineStr">
        <is>
          <t>2013gn</t>
        </is>
      </c>
      <c r="H357" s="4" t="n">
        <v>2017</v>
      </c>
      <c r="I357" s="4" t="inlineStr">
        <is>
          <t>pn.new.dbt.lcl.fx.bnd.byd7.fx</t>
        </is>
      </c>
      <c r="J357" t="inlineStr">
        <is>
          <t>New debt: Debt service</t>
        </is>
      </c>
    </row>
    <row r="358">
      <c r="A358" t="inlineStr">
        <is>
          <t>Dominica_2018_August</t>
        </is>
      </c>
      <c r="B358" s="2" t="n"/>
      <c r="C358" s="3" t="inlineStr">
        <is>
          <t>SM.18.139</t>
        </is>
      </c>
      <c r="D358" s="4" t="inlineStr">
        <is>
          <t>Dominica</t>
        </is>
      </c>
      <c r="E358" s="4" t="inlineStr">
        <is>
          <t>DMA</t>
        </is>
      </c>
      <c r="F358" s="10" t="n">
        <v>43255</v>
      </c>
      <c r="G358" s="4" t="inlineStr">
        <is>
          <t>2013gn</t>
        </is>
      </c>
      <c r="H358" s="4" t="n">
        <v>2017</v>
      </c>
      <c r="I358" s="5" t="n"/>
    </row>
    <row r="359">
      <c r="A359" t="inlineStr">
        <is>
          <t>Dominica_2018_August</t>
        </is>
      </c>
      <c r="B359" s="2" t="n"/>
      <c r="C359" s="3" t="inlineStr">
        <is>
          <t>SM.18.139</t>
        </is>
      </c>
      <c r="D359" s="4" t="inlineStr">
        <is>
          <t>Dominica</t>
        </is>
      </c>
      <c r="E359" s="4" t="inlineStr">
        <is>
          <t>DMA</t>
        </is>
      </c>
      <c r="F359" s="10" t="n">
        <v>43255</v>
      </c>
      <c r="G359" s="4" t="inlineStr">
        <is>
          <t>2013gn</t>
        </is>
      </c>
      <c r="H359" s="4" t="n">
        <v>2017</v>
      </c>
      <c r="I359" s="4" t="inlineStr">
        <is>
          <t>sht.trm.dbt</t>
        </is>
      </c>
      <c r="J359" t="inlineStr">
        <is>
          <t>Total new debt service</t>
        </is>
      </c>
    </row>
    <row r="360">
      <c r="A360" t="inlineStr">
        <is>
          <t>Dominica_2018_August</t>
        </is>
      </c>
      <c r="B360" s="2" t="n"/>
      <c r="C360" s="3" t="inlineStr">
        <is>
          <t>SM.18.139</t>
        </is>
      </c>
      <c r="D360" s="4" t="inlineStr">
        <is>
          <t>Dominica</t>
        </is>
      </c>
      <c r="E360" s="4" t="inlineStr">
        <is>
          <t>DMA</t>
        </is>
      </c>
      <c r="F360" s="10" t="n">
        <v>43255</v>
      </c>
      <c r="G360" s="4" t="inlineStr">
        <is>
          <t>2013gn</t>
        </is>
      </c>
      <c r="H360" s="4" t="n">
        <v>2017</v>
      </c>
      <c r="I360" s="4" t="inlineStr">
        <is>
          <t>sht.trm.dbt.int</t>
        </is>
      </c>
    </row>
    <row r="361">
      <c r="A361" t="inlineStr">
        <is>
          <t>Dominica_2018_August</t>
        </is>
      </c>
      <c r="B361" s="2" t="n"/>
      <c r="C361" s="3" t="inlineStr">
        <is>
          <t>SM.18.139</t>
        </is>
      </c>
      <c r="D361" s="4" t="inlineStr">
        <is>
          <t>Dominica</t>
        </is>
      </c>
      <c r="E361" s="4" t="inlineStr">
        <is>
          <t>DMA</t>
        </is>
      </c>
      <c r="F361" s="10" t="n">
        <v>43255</v>
      </c>
      <c r="G361" s="4" t="inlineStr">
        <is>
          <t>2013gn</t>
        </is>
      </c>
      <c r="H361" s="4" t="n">
        <v>2017</v>
      </c>
      <c r="I361" s="5" t="n"/>
      <c r="J361" t="inlineStr">
        <is>
          <t>Interest</t>
        </is>
      </c>
    </row>
    <row r="362">
      <c r="A362" t="inlineStr">
        <is>
          <t>Dominica_2018_August</t>
        </is>
      </c>
      <c r="B362" s="2" t="n"/>
      <c r="C362" s="3" t="inlineStr">
        <is>
          <t>SM.18.139</t>
        </is>
      </c>
      <c r="D362" s="4" t="inlineStr">
        <is>
          <t>Dominica</t>
        </is>
      </c>
      <c r="E362" s="4" t="inlineStr">
        <is>
          <t>DMA</t>
        </is>
      </c>
      <c r="F362" s="10" t="n">
        <v>43255</v>
      </c>
      <c r="G362" s="4" t="inlineStr">
        <is>
          <t>2013gn</t>
        </is>
      </c>
      <c r="H362" s="4" t="n">
        <v>2017</v>
      </c>
      <c r="I362" s="4" t="inlineStr">
        <is>
          <t>sht.trm.dbt.lcl.iss</t>
        </is>
      </c>
      <c r="J362" t="inlineStr">
        <is>
          <t>Multilaterals</t>
        </is>
      </c>
    </row>
    <row r="363">
      <c r="A363" t="inlineStr">
        <is>
          <t>Dominica_2018_August</t>
        </is>
      </c>
      <c r="B363" s="2" t="n"/>
      <c r="C363" s="3" t="inlineStr">
        <is>
          <t>SM.18.139</t>
        </is>
      </c>
      <c r="D363" s="4" t="inlineStr">
        <is>
          <t>Dominica</t>
        </is>
      </c>
      <c r="E363" s="4" t="inlineStr">
        <is>
          <t>DMA</t>
        </is>
      </c>
      <c r="F363" s="10" t="n">
        <v>43255</v>
      </c>
      <c r="G363" s="4" t="inlineStr">
        <is>
          <t>2013gn</t>
        </is>
      </c>
      <c r="H363" s="4" t="n">
        <v>2017</v>
      </c>
      <c r="I363" s="4" t="inlineStr">
        <is>
          <t>sht.trm.dbt.lcl.amt</t>
        </is>
      </c>
      <c r="J363" t="inlineStr">
        <is>
          <t xml:space="preserve">   IMF</t>
        </is>
      </c>
    </row>
    <row r="364">
      <c r="A364" t="inlineStr">
        <is>
          <t>Dominica_2018_August</t>
        </is>
      </c>
      <c r="B364" s="2" t="n"/>
      <c r="C364" s="3" t="inlineStr">
        <is>
          <t>SM.18.139</t>
        </is>
      </c>
      <c r="D364" s="4" t="inlineStr">
        <is>
          <t>Dominica</t>
        </is>
      </c>
      <c r="E364" s="4" t="inlineStr">
        <is>
          <t>DMA</t>
        </is>
      </c>
      <c r="F364" s="10" t="n">
        <v>43255</v>
      </c>
      <c r="G364" s="4" t="inlineStr">
        <is>
          <t>2013gn</t>
        </is>
      </c>
      <c r="H364" s="4" t="n">
        <v>2017</v>
      </c>
      <c r="I364" s="4" t="inlineStr">
        <is>
          <t>sht.trm.dbt.lcl.int</t>
        </is>
      </c>
      <c r="J364" t="inlineStr">
        <is>
          <t xml:space="preserve">   IDA - Small Island Country</t>
        </is>
      </c>
    </row>
    <row r="365">
      <c r="A365" t="inlineStr">
        <is>
          <t>Dominica_2018_August</t>
        </is>
      </c>
      <c r="B365" s="2" t="n"/>
      <c r="C365" s="3" t="inlineStr">
        <is>
          <t>SM.18.139</t>
        </is>
      </c>
      <c r="D365" s="4" t="inlineStr">
        <is>
          <t>Dominica</t>
        </is>
      </c>
      <c r="E365" s="4" t="inlineStr">
        <is>
          <t>DMA</t>
        </is>
      </c>
      <c r="F365" s="10" t="n">
        <v>43255</v>
      </c>
      <c r="G365" s="4" t="inlineStr">
        <is>
          <t>2013gn</t>
        </is>
      </c>
      <c r="H365" s="4" t="n">
        <v>2017</v>
      </c>
      <c r="I365" s="5" t="n"/>
      <c r="J365" t="inlineStr">
        <is>
          <t>IDA - Regular</t>
        </is>
      </c>
    </row>
    <row r="366">
      <c r="A366" t="inlineStr">
        <is>
          <t>Dominica_2018_August</t>
        </is>
      </c>
      <c r="B366" s="2" t="n"/>
      <c r="C366" s="3" t="inlineStr">
        <is>
          <t>SM.18.139</t>
        </is>
      </c>
      <c r="D366" s="4" t="inlineStr">
        <is>
          <t>Dominica</t>
        </is>
      </c>
      <c r="E366" s="4" t="inlineStr">
        <is>
          <t>DMA</t>
        </is>
      </c>
      <c r="F366" s="10" t="n">
        <v>43255</v>
      </c>
      <c r="G366" s="4" t="inlineStr">
        <is>
          <t>2013gn</t>
        </is>
      </c>
      <c r="H366" s="4" t="n">
        <v>2017</v>
      </c>
      <c r="I366" s="4" t="inlineStr">
        <is>
          <t>sht.trm.dbt.tot</t>
        </is>
      </c>
      <c r="J366" t="inlineStr">
        <is>
          <t>IBRD</t>
        </is>
      </c>
    </row>
    <row r="367">
      <c r="A367" t="inlineStr">
        <is>
          <t>Dominica_2018_August</t>
        </is>
      </c>
      <c r="B367" s="2" t="n"/>
      <c r="C367" s="3" t="inlineStr">
        <is>
          <t>SM.18.139</t>
        </is>
      </c>
      <c r="D367" s="4" t="inlineStr">
        <is>
          <t>Dominica</t>
        </is>
      </c>
      <c r="E367" s="4" t="inlineStr">
        <is>
          <t>DMA</t>
        </is>
      </c>
      <c r="F367" s="10" t="n">
        <v>43255</v>
      </c>
      <c r="G367" s="4" t="inlineStr">
        <is>
          <t>2013gn</t>
        </is>
      </c>
      <c r="H367" s="4" t="n">
        <v>2017</v>
      </c>
      <c r="I367" s="4" t="inlineStr">
        <is>
          <t>sht.trm.dbt.tot.amt</t>
        </is>
      </c>
      <c r="J367" t="inlineStr">
        <is>
          <t>Other Multilateral</t>
        </is>
      </c>
    </row>
    <row r="368">
      <c r="A368" t="inlineStr">
        <is>
          <t>Dominica_2018_August</t>
        </is>
      </c>
      <c r="B368" s="2" t="n"/>
      <c r="C368" s="3" t="inlineStr">
        <is>
          <t>SM.18.139</t>
        </is>
      </c>
      <c r="D368" s="4" t="inlineStr">
        <is>
          <t>Dominica</t>
        </is>
      </c>
      <c r="E368" s="4" t="inlineStr">
        <is>
          <t>DMA</t>
        </is>
      </c>
      <c r="F368" s="10" t="n">
        <v>43255</v>
      </c>
      <c r="G368" s="4" t="inlineStr">
        <is>
          <t>2013gn</t>
        </is>
      </c>
      <c r="H368" s="4" t="n">
        <v>2017</v>
      </c>
      <c r="I368" s="4" t="inlineStr">
        <is>
          <t>sht.trm.dbt.tot.int</t>
        </is>
      </c>
      <c r="J368" t="inlineStr">
        <is>
          <t>Official Bilaterals</t>
        </is>
      </c>
    </row>
    <row r="369">
      <c r="A369" t="inlineStr">
        <is>
          <t>Dominica_2018_August</t>
        </is>
      </c>
      <c r="B369" s="2" t="n"/>
      <c r="C369" s="3" t="inlineStr">
        <is>
          <t>SM.18.139</t>
        </is>
      </c>
      <c r="D369" s="4" t="inlineStr">
        <is>
          <t>Dominica</t>
        </is>
      </c>
      <c r="E369" s="4" t="inlineStr">
        <is>
          <t>DMA</t>
        </is>
      </c>
      <c r="F369" s="10" t="n">
        <v>43255</v>
      </c>
      <c r="G369" s="4" t="inlineStr">
        <is>
          <t>2013gn</t>
        </is>
      </c>
      <c r="H369" s="4" t="n">
        <v>2017</v>
      </c>
      <c r="I369" s="5" t="n"/>
      <c r="J369" t="inlineStr">
        <is>
          <t xml:space="preserve">   PC</t>
        </is>
      </c>
    </row>
    <row r="370">
      <c r="A370" t="inlineStr">
        <is>
          <t>Dominica_2018_August</t>
        </is>
      </c>
      <c r="B370" s="2" t="n"/>
      <c r="C370" s="3" t="inlineStr">
        <is>
          <t>SM.18.139</t>
        </is>
      </c>
      <c r="D370" s="4" t="inlineStr">
        <is>
          <t>Dominica</t>
        </is>
      </c>
      <c r="E370" s="4" t="inlineStr">
        <is>
          <t>DMA</t>
        </is>
      </c>
      <c r="F370" s="10" t="n">
        <v>43255</v>
      </c>
      <c r="G370" s="4" t="inlineStr">
        <is>
          <t>2013gn</t>
        </is>
      </c>
      <c r="H370" s="4" t="n">
        <v>2017</v>
      </c>
      <c r="I370" s="4" t="inlineStr">
        <is>
          <t>pv.net.use.sdr</t>
        </is>
      </c>
      <c r="J370" t="inlineStr">
        <is>
          <t>…</t>
        </is>
      </c>
    </row>
    <row r="371">
      <c r="A371" t="inlineStr">
        <is>
          <t>Dominica_2018_August</t>
        </is>
      </c>
      <c r="B371" s="2" t="n"/>
      <c r="C371" s="3" t="inlineStr">
        <is>
          <t>SM.18.139</t>
        </is>
      </c>
      <c r="D371" s="4" t="inlineStr">
        <is>
          <t>Dominica</t>
        </is>
      </c>
      <c r="E371" s="4" t="inlineStr">
        <is>
          <t>DMA</t>
        </is>
      </c>
      <c r="F371" s="10" t="n">
        <v>43255</v>
      </c>
      <c r="G371" s="4" t="inlineStr">
        <is>
          <t>2013gn</t>
        </is>
      </c>
      <c r="H371" s="4" t="n">
        <v>2017</v>
      </c>
      <c r="I371" s="4" t="inlineStr">
        <is>
          <t>tot.pv.dbt</t>
        </is>
      </c>
      <c r="J371" t="inlineStr">
        <is>
          <t>…</t>
        </is>
      </c>
    </row>
    <row r="372">
      <c r="A372" t="inlineStr">
        <is>
          <t>Dominica_2018_August</t>
        </is>
      </c>
      <c r="B372" s="2" t="n"/>
      <c r="C372" s="3" t="inlineStr">
        <is>
          <t>SM.18.139</t>
        </is>
      </c>
      <c r="D372" s="4" t="inlineStr">
        <is>
          <t>Dominica</t>
        </is>
      </c>
      <c r="E372" s="4" t="inlineStr">
        <is>
          <t>DMA</t>
        </is>
      </c>
      <c r="F372" s="10" t="n">
        <v>43255</v>
      </c>
      <c r="G372" s="4" t="inlineStr">
        <is>
          <t>2013gn</t>
        </is>
      </c>
      <c r="H372" s="4" t="n">
        <v>2017</v>
      </c>
      <c r="I372" s="5" t="n"/>
      <c r="J372" t="inlineStr">
        <is>
          <t xml:space="preserve">   Others Paris Club</t>
        </is>
      </c>
    </row>
    <row r="373">
      <c r="A373" t="inlineStr">
        <is>
          <t>Dominica_2018_August</t>
        </is>
      </c>
      <c r="B373" s="2" t="n"/>
      <c r="C373" s="3" t="inlineStr">
        <is>
          <t>SM.18.139</t>
        </is>
      </c>
      <c r="D373" s="4" t="inlineStr">
        <is>
          <t>Dominica</t>
        </is>
      </c>
      <c r="E373" s="4" t="inlineStr">
        <is>
          <t>DMA</t>
        </is>
      </c>
      <c r="F373" s="10" t="n">
        <v>43255</v>
      </c>
      <c r="G373" s="4" t="inlineStr">
        <is>
          <t>2013gn</t>
        </is>
      </c>
      <c r="H373" s="4" t="n">
        <v>2017</v>
      </c>
      <c r="I373" s="4" t="inlineStr">
        <is>
          <t>nom.ppg.dbt.delta</t>
        </is>
      </c>
      <c r="J373" t="inlineStr">
        <is>
          <t xml:space="preserve">   NPC</t>
        </is>
      </c>
    </row>
    <row r="374">
      <c r="A374" t="inlineStr">
        <is>
          <t>Dominica_2018_August</t>
        </is>
      </c>
      <c r="B374" s="2" t="n"/>
      <c r="C374" s="3" t="inlineStr">
        <is>
          <t>SM.18.139</t>
        </is>
      </c>
      <c r="D374" s="4" t="inlineStr">
        <is>
          <t>Dominica</t>
        </is>
      </c>
      <c r="E374" s="4" t="inlineStr">
        <is>
          <t>DMA</t>
        </is>
      </c>
      <c r="F374" s="10" t="n">
        <v>43255</v>
      </c>
      <c r="G374" s="4" t="inlineStr">
        <is>
          <t>2013gn</t>
        </is>
      </c>
      <c r="H374" s="4" t="n">
        <v>2017</v>
      </c>
      <c r="I374" s="4" t="inlineStr">
        <is>
          <t>tot.pub.tds</t>
        </is>
      </c>
      <c r="J374" t="inlineStr">
        <is>
          <t>…</t>
        </is>
      </c>
    </row>
    <row r="375">
      <c r="A375" t="inlineStr">
        <is>
          <t>Dominica_2018_August</t>
        </is>
      </c>
      <c r="B375" s="2" t="n"/>
      <c r="C375" s="3" t="inlineStr">
        <is>
          <t>SM.18.139</t>
        </is>
      </c>
      <c r="D375" s="4" t="inlineStr">
        <is>
          <t>Dominica</t>
        </is>
      </c>
      <c r="E375" s="4" t="inlineStr">
        <is>
          <t>DMA</t>
        </is>
      </c>
      <c r="F375" s="10" t="n">
        <v>43255</v>
      </c>
      <c r="G375" s="4" t="inlineStr">
        <is>
          <t>2013gn</t>
        </is>
      </c>
      <c r="H375" s="4" t="n">
        <v>2017</v>
      </c>
      <c r="I375" s="4" t="inlineStr">
        <is>
          <t>tot.pub.amt</t>
        </is>
      </c>
      <c r="J375" t="inlineStr">
        <is>
          <t>…</t>
        </is>
      </c>
    </row>
    <row r="376">
      <c r="A376" t="inlineStr">
        <is>
          <t>Dominica_2018_August</t>
        </is>
      </c>
      <c r="B376" s="2" t="n"/>
      <c r="C376" s="3" t="inlineStr">
        <is>
          <t>SM.18.139</t>
        </is>
      </c>
      <c r="D376" s="4" t="inlineStr">
        <is>
          <t>Dominica</t>
        </is>
      </c>
      <c r="E376" s="4" t="inlineStr">
        <is>
          <t>DMA</t>
        </is>
      </c>
      <c r="F376" s="10" t="n">
        <v>43255</v>
      </c>
      <c r="G376" s="4" t="inlineStr">
        <is>
          <t>2013gn</t>
        </is>
      </c>
      <c r="H376" s="4" t="n">
        <v>2017</v>
      </c>
      <c r="I376" s="4" t="inlineStr">
        <is>
          <t>tot.pub.int</t>
        </is>
      </c>
      <c r="J376" t="inlineStr">
        <is>
          <t xml:space="preserve">   Others Non Paris Club</t>
        </is>
      </c>
    </row>
    <row r="377">
      <c r="A377" t="inlineStr">
        <is>
          <t>Dominica_2018_August</t>
        </is>
      </c>
      <c r="B377" s="2" t="n"/>
      <c r="C377" s="3" t="inlineStr">
        <is>
          <t>SM.18.139</t>
        </is>
      </c>
      <c r="D377" s="4" t="inlineStr">
        <is>
          <t>Dominica</t>
        </is>
      </c>
      <c r="E377" s="4" t="inlineStr">
        <is>
          <t>DMA</t>
        </is>
      </c>
      <c r="F377" s="10" t="n">
        <v>43255</v>
      </c>
      <c r="G377" s="4" t="inlineStr">
        <is>
          <t>2013gn</t>
        </is>
      </c>
      <c r="H377" s="4" t="n">
        <v>2017</v>
      </c>
      <c r="I377" s="5" t="n"/>
      <c r="J377" t="inlineStr">
        <is>
          <t>Commercial</t>
        </is>
      </c>
    </row>
    <row r="378">
      <c r="A378" t="inlineStr">
        <is>
          <t>Dominica_2018_August</t>
        </is>
      </c>
      <c r="B378" s="2" t="n"/>
      <c r="C378" s="3" t="inlineStr">
        <is>
          <t>SM.18.139</t>
        </is>
      </c>
      <c r="D378" s="4" t="inlineStr">
        <is>
          <t>Dominica</t>
        </is>
      </c>
      <c r="E378" s="4" t="inlineStr">
        <is>
          <t>DMA</t>
        </is>
      </c>
      <c r="F378" s="10" t="n">
        <v>43255</v>
      </c>
      <c r="G378" s="4" t="inlineStr">
        <is>
          <t>2013gn</t>
        </is>
      </c>
      <c r="H378" s="4" t="n">
        <v>2017</v>
      </c>
      <c r="I378" s="4" t="inlineStr">
        <is>
          <t>ext.dbt.out</t>
        </is>
      </c>
      <c r="J378" t="inlineStr">
        <is>
          <t>…</t>
        </is>
      </c>
    </row>
    <row r="379">
      <c r="A379" t="inlineStr">
        <is>
          <t>Dominica_2018_August</t>
        </is>
      </c>
      <c r="B379" s="2" t="n"/>
      <c r="C379" s="3" t="inlineStr">
        <is>
          <t>SM.18.139</t>
        </is>
      </c>
      <c r="D379" s="4" t="inlineStr">
        <is>
          <t>Dominica</t>
        </is>
      </c>
      <c r="E379" s="4" t="inlineStr">
        <is>
          <t>DMA</t>
        </is>
      </c>
      <c r="F379" s="10" t="n">
        <v>43255</v>
      </c>
      <c r="G379" s="4" t="inlineStr">
        <is>
          <t>2013gn</t>
        </is>
      </c>
      <c r="H379" s="4" t="n">
        <v>2017</v>
      </c>
      <c r="I379" s="4" t="inlineStr">
        <is>
          <t>ext.dbt.out.fx</t>
        </is>
      </c>
      <c r="J379" t="inlineStr">
        <is>
          <t>…</t>
        </is>
      </c>
    </row>
    <row r="380">
      <c r="A380" t="inlineStr">
        <is>
          <t>Dominica_2018_August</t>
        </is>
      </c>
      <c r="B380" s="2" t="n"/>
      <c r="C380" s="3" t="inlineStr">
        <is>
          <t>SM.18.139</t>
        </is>
      </c>
      <c r="D380" s="4" t="inlineStr">
        <is>
          <t>Dominica</t>
        </is>
      </c>
      <c r="E380" s="4" t="inlineStr">
        <is>
          <t>DMA</t>
        </is>
      </c>
      <c r="F380" s="10" t="n">
        <v>43255</v>
      </c>
      <c r="G380" s="4" t="inlineStr">
        <is>
          <t>2013gn</t>
        </is>
      </c>
      <c r="H380" s="4" t="n">
        <v>2017</v>
      </c>
      <c r="I380" s="5" t="n"/>
      <c r="J380" t="inlineStr">
        <is>
          <t xml:space="preserve">   Others Commercial</t>
        </is>
      </c>
    </row>
    <row r="381">
      <c r="A381" t="inlineStr">
        <is>
          <t>Dominica_2018_August</t>
        </is>
      </c>
      <c r="B381" s="2" t="n"/>
      <c r="C381" s="3" t="inlineStr">
        <is>
          <t>SM.18.139</t>
        </is>
      </c>
      <c r="D381" s="4" t="inlineStr">
        <is>
          <t>Dominica</t>
        </is>
      </c>
      <c r="E381" s="4" t="inlineStr">
        <is>
          <t>DMA</t>
        </is>
      </c>
      <c r="F381" s="10" t="n">
        <v>43255</v>
      </c>
      <c r="G381" s="4" t="inlineStr">
        <is>
          <t>2013gn</t>
        </is>
      </c>
      <c r="H381" s="4" t="n">
        <v>2017</v>
      </c>
      <c r="I381" s="5" t="n"/>
    </row>
    <row r="382">
      <c r="A382" t="inlineStr">
        <is>
          <t>Dominica_2018_August</t>
        </is>
      </c>
      <c r="B382" s="2" t="n"/>
      <c r="C382" s="3" t="inlineStr">
        <is>
          <t>SM.18.139</t>
        </is>
      </c>
      <c r="D382" s="4" t="inlineStr">
        <is>
          <t>Dominica</t>
        </is>
      </c>
      <c r="E382" s="4" t="inlineStr">
        <is>
          <t>DMA</t>
        </is>
      </c>
      <c r="F382" s="10" t="n">
        <v>43255</v>
      </c>
      <c r="G382" s="4" t="inlineStr">
        <is>
          <t>2013gn</t>
        </is>
      </c>
      <c r="H382" s="4" t="n">
        <v>2017</v>
      </c>
      <c r="I382" s="4" t="inlineStr">
        <is>
          <t>xcg.rat.eop</t>
        </is>
      </c>
      <c r="J382" t="inlineStr">
        <is>
          <t>Amortization</t>
        </is>
      </c>
    </row>
    <row r="383">
      <c r="A383" t="inlineStr">
        <is>
          <t>Dominica_2018_August</t>
        </is>
      </c>
      <c r="B383" s="2" t="n"/>
      <c r="C383" s="3" t="inlineStr">
        <is>
          <t>SM.18.139</t>
        </is>
      </c>
      <c r="D383" s="4" t="inlineStr">
        <is>
          <t>Dominica</t>
        </is>
      </c>
      <c r="E383" s="4" t="inlineStr">
        <is>
          <t>DMA</t>
        </is>
      </c>
      <c r="F383" s="10" t="n">
        <v>43255</v>
      </c>
      <c r="G383" s="4" t="inlineStr">
        <is>
          <t>2013gn</t>
        </is>
      </c>
      <c r="H383" s="4" t="n">
        <v>2017</v>
      </c>
      <c r="I383" s="4" t="inlineStr">
        <is>
          <t>xcg.rat.pa</t>
        </is>
      </c>
      <c r="J383" t="inlineStr">
        <is>
          <t>Multilaterals</t>
        </is>
      </c>
    </row>
    <row r="384">
      <c r="A384" t="inlineStr">
        <is>
          <t>Dominica_2018_August</t>
        </is>
      </c>
      <c r="B384" s="2" t="n"/>
      <c r="C384" s="3" t="inlineStr">
        <is>
          <t>SM.18.139</t>
        </is>
      </c>
      <c r="D384" s="4" t="inlineStr">
        <is>
          <t>Dominica</t>
        </is>
      </c>
      <c r="E384" s="4" t="inlineStr">
        <is>
          <t>DMA</t>
        </is>
      </c>
      <c r="F384" s="10" t="n">
        <v>43255</v>
      </c>
      <c r="G384" s="4" t="inlineStr">
        <is>
          <t>2013gn</t>
        </is>
      </c>
      <c r="H384" s="4" t="n">
        <v>2017</v>
      </c>
      <c r="I384" s="5" t="n"/>
      <c r="J384" t="inlineStr">
        <is>
          <t xml:space="preserve">   IMF</t>
        </is>
      </c>
    </row>
    <row r="385">
      <c r="A385" t="inlineStr">
        <is>
          <t>Dominica_2018_August</t>
        </is>
      </c>
      <c r="B385" s="2" t="n"/>
      <c r="C385" s="3" t="inlineStr">
        <is>
          <t>SM.18.139</t>
        </is>
      </c>
      <c r="D385" s="4" t="inlineStr">
        <is>
          <t>Dominica</t>
        </is>
      </c>
      <c r="E385" s="4" t="inlineStr">
        <is>
          <t>DMA</t>
        </is>
      </c>
      <c r="F385" s="10" t="n">
        <v>43255</v>
      </c>
      <c r="G385" s="4" t="inlineStr">
        <is>
          <t>2013gn</t>
        </is>
      </c>
      <c r="H385" s="4" t="n">
        <v>2017</v>
      </c>
      <c r="I385" s="5" t="n"/>
      <c r="J385" t="inlineStr">
        <is>
          <t xml:space="preserve">   IDA - Small Island Country</t>
        </is>
      </c>
    </row>
    <row r="386">
      <c r="A386" t="inlineStr">
        <is>
          <t>Dominica_2018_August</t>
        </is>
      </c>
      <c r="B386" s="2" t="n"/>
      <c r="C386" s="3" t="inlineStr">
        <is>
          <t>SM.18.139</t>
        </is>
      </c>
      <c r="D386" s="4" t="inlineStr">
        <is>
          <t>Dominica</t>
        </is>
      </c>
      <c r="E386" s="4" t="inlineStr">
        <is>
          <t>DMA</t>
        </is>
      </c>
      <c r="F386" s="10" t="n">
        <v>43255</v>
      </c>
      <c r="G386" s="4" t="inlineStr">
        <is>
          <t>2013gn</t>
        </is>
      </c>
      <c r="H386" s="4" t="n">
        <v>2017</v>
      </c>
      <c r="I386" s="5" t="n"/>
      <c r="J386" t="inlineStr">
        <is>
          <t>IDA - Regular</t>
        </is>
      </c>
    </row>
    <row r="387">
      <c r="A387" t="inlineStr">
        <is>
          <t>Dominica_2018_August</t>
        </is>
      </c>
      <c r="B387" s="2" t="n"/>
      <c r="C387" s="3" t="inlineStr">
        <is>
          <t>SM.18.139</t>
        </is>
      </c>
      <c r="D387" s="4" t="inlineStr">
        <is>
          <t>Dominica</t>
        </is>
      </c>
      <c r="E387" s="4" t="inlineStr">
        <is>
          <t>DMA</t>
        </is>
      </c>
      <c r="F387" s="10" t="n">
        <v>43255</v>
      </c>
      <c r="G387" s="4" t="inlineStr">
        <is>
          <t>2013gn</t>
        </is>
      </c>
      <c r="H387" s="4" t="n">
        <v>2017</v>
      </c>
      <c r="I387" s="4" t="inlineStr">
        <is>
          <t>pv.new.dis.ppg</t>
        </is>
      </c>
      <c r="J387" t="inlineStr">
        <is>
          <t>IBRD</t>
        </is>
      </c>
    </row>
    <row r="388">
      <c r="A388" t="inlineStr">
        <is>
          <t>Dominica_2018_August</t>
        </is>
      </c>
      <c r="B388" s="2" t="n"/>
      <c r="C388" s="3" t="inlineStr">
        <is>
          <t>SM.18.139</t>
        </is>
      </c>
      <c r="D388" s="4" t="inlineStr">
        <is>
          <t>Dominica</t>
        </is>
      </c>
      <c r="E388" s="4" t="inlineStr">
        <is>
          <t>DMA</t>
        </is>
      </c>
      <c r="F388" s="10" t="n">
        <v>43255</v>
      </c>
      <c r="G388" s="4" t="inlineStr">
        <is>
          <t>2013gn</t>
        </is>
      </c>
      <c r="H388" s="4" t="n">
        <v>2017</v>
      </c>
      <c r="I388" s="4" t="inlineStr">
        <is>
          <t>new.dis.grt.lmt</t>
        </is>
      </c>
      <c r="J388" t="inlineStr">
        <is>
          <t>Other Multilateral</t>
        </is>
      </c>
    </row>
    <row r="389">
      <c r="A389" t="inlineStr">
        <is>
          <t>Dominica_2018_August</t>
        </is>
      </c>
      <c r="B389" s="2" t="n"/>
      <c r="C389" s="3" t="inlineStr">
        <is>
          <t>SM.18.139</t>
        </is>
      </c>
      <c r="D389" s="4" t="inlineStr">
        <is>
          <t>Dominica</t>
        </is>
      </c>
      <c r="E389" s="4" t="inlineStr">
        <is>
          <t>DMA</t>
        </is>
      </c>
      <c r="F389" s="10" t="n">
        <v>43255</v>
      </c>
      <c r="G389" s="4" t="inlineStr">
        <is>
          <t>2013gn</t>
        </is>
      </c>
      <c r="H389" s="4" t="n">
        <v>2017</v>
      </c>
      <c r="I389" s="4" t="inlineStr">
        <is>
          <t>new.dis.grt.ipct</t>
        </is>
      </c>
      <c r="J389" t="inlineStr">
        <is>
          <t>Official Bilaterals</t>
        </is>
      </c>
    </row>
    <row r="390">
      <c r="A390" t="inlineStr">
        <is>
          <t>Dominica_2018_August</t>
        </is>
      </c>
      <c r="B390" s="2" t="n"/>
      <c r="C390" s="3" t="inlineStr">
        <is>
          <t>SM.18.139</t>
        </is>
      </c>
      <c r="D390" s="4" t="inlineStr">
        <is>
          <t>Dominica</t>
        </is>
      </c>
      <c r="E390" s="4" t="inlineStr">
        <is>
          <t>DMA</t>
        </is>
      </c>
      <c r="F390" s="10" t="n">
        <v>43255</v>
      </c>
      <c r="G390" s="4" t="inlineStr">
        <is>
          <t>2013gn</t>
        </is>
      </c>
      <c r="H390" s="4" t="n">
        <v>2017</v>
      </c>
      <c r="I390" s="4" t="inlineStr">
        <is>
          <t>avg.disc.rat</t>
        </is>
      </c>
      <c r="J390" t="inlineStr">
        <is>
          <t xml:space="preserve">   PC</t>
        </is>
      </c>
    </row>
    <row r="391">
      <c r="A391" t="inlineStr">
        <is>
          <t>Dominica_2018_August</t>
        </is>
      </c>
      <c r="B391" s="2" t="n"/>
      <c r="C391" s="3" t="inlineStr">
        <is>
          <t>SM.18.139</t>
        </is>
      </c>
      <c r="D391" s="4" t="inlineStr">
        <is>
          <t>Dominica</t>
        </is>
      </c>
      <c r="E391" s="4" t="inlineStr">
        <is>
          <t>DMA</t>
        </is>
      </c>
      <c r="F391" s="10" t="n">
        <v>43255</v>
      </c>
      <c r="G391" s="4" t="inlineStr">
        <is>
          <t>2013gn</t>
        </is>
      </c>
      <c r="H391" s="4" t="n">
        <v>2017</v>
      </c>
      <c r="I391" s="5" t="n"/>
      <c r="J391" t="inlineStr">
        <is>
          <t>…</t>
        </is>
      </c>
    </row>
    <row r="392">
      <c r="A392" t="inlineStr">
        <is>
          <t>Dominica_2018_August</t>
        </is>
      </c>
      <c r="B392" s="2" t="n"/>
      <c r="C392" s="3" t="inlineStr">
        <is>
          <t>SM.18.139</t>
        </is>
      </c>
      <c r="D392" s="4" t="inlineStr">
        <is>
          <t>Dominica</t>
        </is>
      </c>
      <c r="E392" s="4" t="inlineStr">
        <is>
          <t>DMA</t>
        </is>
      </c>
      <c r="F392" s="10" t="n">
        <v>43255</v>
      </c>
      <c r="G392" s="4" t="inlineStr">
        <is>
          <t>2013gn</t>
        </is>
      </c>
      <c r="H392" s="4" t="n">
        <v>2017</v>
      </c>
      <c r="I392" s="5" t="n"/>
      <c r="J392" t="inlineStr">
        <is>
          <t>…</t>
        </is>
      </c>
    </row>
    <row r="393">
      <c r="A393" t="inlineStr">
        <is>
          <t>Dominica_2018_August</t>
        </is>
      </c>
      <c r="B393" s="2" t="n"/>
      <c r="C393" s="3" t="inlineStr">
        <is>
          <t>SM.18.139</t>
        </is>
      </c>
      <c r="D393" s="4" t="inlineStr">
        <is>
          <t>Dominica</t>
        </is>
      </c>
      <c r="E393" s="4" t="inlineStr">
        <is>
          <t>DMA</t>
        </is>
      </c>
      <c r="F393" s="10" t="n">
        <v>43255</v>
      </c>
      <c r="G393" s="4" t="inlineStr">
        <is>
          <t>2013gn</t>
        </is>
      </c>
      <c r="H393" s="4" t="n">
        <v>2017</v>
      </c>
      <c r="I393" s="5" t="n"/>
      <c r="J393" t="inlineStr">
        <is>
          <t xml:space="preserve">   Others Paris Club</t>
        </is>
      </c>
    </row>
    <row r="394">
      <c r="A394" t="inlineStr">
        <is>
          <t>Dominica_2018_August</t>
        </is>
      </c>
      <c r="B394" s="2" t="n"/>
      <c r="C394" s="3" t="inlineStr">
        <is>
          <t>SM.18.139</t>
        </is>
      </c>
      <c r="D394" s="4" t="inlineStr">
        <is>
          <t>Dominica</t>
        </is>
      </c>
      <c r="E394" s="4" t="inlineStr">
        <is>
          <t>DMA</t>
        </is>
      </c>
      <c r="F394" s="10" t="n">
        <v>43255</v>
      </c>
      <c r="G394" s="4" t="inlineStr">
        <is>
          <t>2013gn</t>
        </is>
      </c>
      <c r="H394" s="4" t="n">
        <v>2017</v>
      </c>
      <c r="I394" s="5" t="n"/>
      <c r="J394" t="inlineStr">
        <is>
          <t xml:space="preserve">   NPC</t>
        </is>
      </c>
    </row>
    <row r="395">
      <c r="A395" t="inlineStr">
        <is>
          <t>Dominica_2018_August</t>
        </is>
      </c>
      <c r="B395" s="2" t="n"/>
      <c r="C395" s="3" t="inlineStr">
        <is>
          <t>SM.18.139</t>
        </is>
      </c>
      <c r="D395" s="4" t="inlineStr">
        <is>
          <t>Dominica</t>
        </is>
      </c>
      <c r="E395" s="4" t="inlineStr">
        <is>
          <t>DMA</t>
        </is>
      </c>
      <c r="F395" s="10" t="n">
        <v>43255</v>
      </c>
      <c r="G395" s="4" t="inlineStr">
        <is>
          <t>2013gn</t>
        </is>
      </c>
      <c r="H395" s="4" t="n">
        <v>2017</v>
      </c>
      <c r="I395" s="5" t="n"/>
      <c r="J395" t="inlineStr">
        <is>
          <t>…</t>
        </is>
      </c>
    </row>
    <row r="396">
      <c r="A396" t="inlineStr">
        <is>
          <t>Dominica_2018_August</t>
        </is>
      </c>
      <c r="B396" s="2" t="n"/>
      <c r="C396" s="3" t="inlineStr">
        <is>
          <t>SM.18.139</t>
        </is>
      </c>
      <c r="D396" s="4" t="inlineStr">
        <is>
          <t>Dominica</t>
        </is>
      </c>
      <c r="E396" s="4" t="inlineStr">
        <is>
          <t>DMA</t>
        </is>
      </c>
      <c r="F396" s="10" t="n">
        <v>43255</v>
      </c>
      <c r="G396" s="4" t="inlineStr">
        <is>
          <t>2013gn</t>
        </is>
      </c>
      <c r="H396" s="4" t="n">
        <v>2017</v>
      </c>
      <c r="I396" s="5" t="n"/>
      <c r="J396" t="inlineStr">
        <is>
          <t>…</t>
        </is>
      </c>
    </row>
    <row r="397">
      <c r="A397" t="inlineStr">
        <is>
          <t>Dominica_2018_August</t>
        </is>
      </c>
      <c r="B397" s="2" t="n"/>
      <c r="C397" s="3" t="inlineStr">
        <is>
          <t>SM.18.139</t>
        </is>
      </c>
      <c r="D397" s="4" t="inlineStr">
        <is>
          <t>Dominica</t>
        </is>
      </c>
      <c r="E397" s="4" t="inlineStr">
        <is>
          <t>DMA</t>
        </is>
      </c>
      <c r="F397" s="10" t="n">
        <v>43255</v>
      </c>
      <c r="G397" s="4" t="inlineStr">
        <is>
          <t>2013gn</t>
        </is>
      </c>
      <c r="H397" s="4" t="n">
        <v>2017</v>
      </c>
      <c r="I397" s="4" t="inlineStr">
        <is>
          <t>css.loan</t>
        </is>
      </c>
      <c r="J397" t="inlineStr">
        <is>
          <t xml:space="preserve">   Others Non Paris Club</t>
        </is>
      </c>
    </row>
    <row r="398">
      <c r="A398" t="inlineStr">
        <is>
          <t>Dominica_2018_August</t>
        </is>
      </c>
      <c r="B398" s="2" t="n"/>
      <c r="C398" s="3" t="inlineStr">
        <is>
          <t>SM.18.139</t>
        </is>
      </c>
      <c r="D398" s="4" t="inlineStr">
        <is>
          <t>Dominica</t>
        </is>
      </c>
      <c r="E398" s="4" t="inlineStr">
        <is>
          <t>DMA</t>
        </is>
      </c>
      <c r="F398" s="10" t="n">
        <v>43255</v>
      </c>
      <c r="G398" s="4" t="inlineStr">
        <is>
          <t>2013gn</t>
        </is>
      </c>
      <c r="H398" s="4" t="n">
        <v>2017</v>
      </c>
      <c r="I398" s="4" t="inlineStr">
        <is>
          <t>css.loan.mlt</t>
        </is>
      </c>
      <c r="J398" t="inlineStr">
        <is>
          <t>Commercial</t>
        </is>
      </c>
    </row>
    <row r="399">
      <c r="A399" t="inlineStr">
        <is>
          <t>Dominica_2018_August</t>
        </is>
      </c>
      <c r="B399" s="2" t="n"/>
      <c r="C399" s="3" t="inlineStr">
        <is>
          <t>SM.18.139</t>
        </is>
      </c>
      <c r="D399" s="4" t="inlineStr">
        <is>
          <t>Dominica</t>
        </is>
      </c>
      <c r="E399" s="4" t="inlineStr">
        <is>
          <t>DMA</t>
        </is>
      </c>
      <c r="F399" s="10" t="n">
        <v>43255</v>
      </c>
      <c r="G399" s="4" t="inlineStr">
        <is>
          <t>2013gn</t>
        </is>
      </c>
      <c r="H399" s="4" t="n">
        <v>2017</v>
      </c>
      <c r="I399" s="4" t="inlineStr">
        <is>
          <t>css.loan.mlt.imf</t>
        </is>
      </c>
      <c r="J399" t="inlineStr">
        <is>
          <t>…</t>
        </is>
      </c>
    </row>
    <row r="400">
      <c r="A400" t="inlineStr">
        <is>
          <t>Dominica_2018_August</t>
        </is>
      </c>
      <c r="B400" s="2" t="n"/>
      <c r="C400" s="3" t="inlineStr">
        <is>
          <t>SM.18.139</t>
        </is>
      </c>
      <c r="D400" s="4" t="inlineStr">
        <is>
          <t>Dominica</t>
        </is>
      </c>
      <c r="E400" s="4" t="inlineStr">
        <is>
          <t>DMA</t>
        </is>
      </c>
      <c r="F400" s="10" t="n">
        <v>43255</v>
      </c>
      <c r="G400" s="4" t="inlineStr">
        <is>
          <t>2013gn</t>
        </is>
      </c>
      <c r="H400" s="4" t="n">
        <v>2017</v>
      </c>
      <c r="I400" s="4" t="inlineStr">
        <is>
          <t>css.loan.mlt.ida.reg</t>
        </is>
      </c>
      <c r="J400" t="inlineStr">
        <is>
          <t>…</t>
        </is>
      </c>
    </row>
    <row r="401">
      <c r="A401" t="inlineStr">
        <is>
          <t>Dominica_2018_August</t>
        </is>
      </c>
      <c r="B401" s="2" t="n"/>
      <c r="C401" s="3" t="inlineStr">
        <is>
          <t>SM.18.139</t>
        </is>
      </c>
      <c r="D401" s="4" t="inlineStr">
        <is>
          <t>Dominica</t>
        </is>
      </c>
      <c r="E401" s="4" t="inlineStr">
        <is>
          <t>DMA</t>
        </is>
      </c>
      <c r="F401" s="10" t="n">
        <v>43255</v>
      </c>
      <c r="G401" s="4" t="inlineStr">
        <is>
          <t>2013gn</t>
        </is>
      </c>
      <c r="H401" s="4" t="n">
        <v>2017</v>
      </c>
      <c r="I401" s="4" t="inlineStr">
        <is>
          <t>css.loan.mlt.ida.bld</t>
        </is>
      </c>
      <c r="J401" t="inlineStr">
        <is>
          <t xml:space="preserve">   Others Commercial</t>
        </is>
      </c>
    </row>
    <row r="402">
      <c r="A402" t="inlineStr">
        <is>
          <t>Dominica_2018_August</t>
        </is>
      </c>
      <c r="B402" s="2" t="n"/>
      <c r="C402" s="3" t="inlineStr">
        <is>
          <t>SM.18.139</t>
        </is>
      </c>
      <c r="D402" s="4" t="inlineStr">
        <is>
          <t>Dominica</t>
        </is>
      </c>
      <c r="E402" s="4" t="inlineStr">
        <is>
          <t>DMA</t>
        </is>
      </c>
      <c r="F402" s="10" t="n">
        <v>43255</v>
      </c>
      <c r="G402" s="4" t="inlineStr">
        <is>
          <t>2013gn</t>
        </is>
      </c>
      <c r="H402" s="4" t="n">
        <v>2017</v>
      </c>
      <c r="I402" s="4" t="inlineStr">
        <is>
          <t>css.loan.mlt.afdb</t>
        </is>
      </c>
    </row>
    <row r="403">
      <c r="A403" t="inlineStr">
        <is>
          <t>Dominica_2018_August</t>
        </is>
      </c>
      <c r="B403" s="2" t="n"/>
      <c r="C403" s="3" t="inlineStr">
        <is>
          <t>SM.18.139</t>
        </is>
      </c>
      <c r="D403" s="4" t="inlineStr">
        <is>
          <t>Dominica</t>
        </is>
      </c>
      <c r="E403" s="4" t="inlineStr">
        <is>
          <t>DMA</t>
        </is>
      </c>
      <c r="F403" s="10" t="n">
        <v>43255</v>
      </c>
      <c r="G403" s="4" t="inlineStr">
        <is>
          <t>2013gn</t>
        </is>
      </c>
      <c r="H403" s="4" t="n">
        <v>2017</v>
      </c>
      <c r="I403" s="4" t="inlineStr">
        <is>
          <t>css.loan.mlt2</t>
        </is>
      </c>
      <c r="J403" t="inlineStr">
        <is>
          <t>PV of old MLT debt</t>
        </is>
      </c>
    </row>
    <row r="404">
      <c r="A404" t="inlineStr">
        <is>
          <t>Dominica_2018_August</t>
        </is>
      </c>
      <c r="B404" s="2" t="n"/>
      <c r="C404" s="3" t="inlineStr">
        <is>
          <t>SM.18.139</t>
        </is>
      </c>
      <c r="D404" s="4" t="inlineStr">
        <is>
          <t>Dominica</t>
        </is>
      </c>
      <c r="E404" s="4" t="inlineStr">
        <is>
          <t>DMA</t>
        </is>
      </c>
      <c r="F404" s="10" t="n">
        <v>43255</v>
      </c>
      <c r="G404" s="4" t="inlineStr">
        <is>
          <t>2013gn</t>
        </is>
      </c>
      <c r="H404" s="4" t="n">
        <v>2017</v>
      </c>
      <c r="I404" s="4" t="inlineStr">
        <is>
          <t>css.loan.mlt3</t>
        </is>
      </c>
      <c r="J404" t="inlineStr">
        <is>
          <t>Multilaterals</t>
        </is>
      </c>
    </row>
    <row r="405">
      <c r="A405" t="inlineStr">
        <is>
          <t>Dominica_2018_August</t>
        </is>
      </c>
      <c r="B405" s="2" t="n"/>
      <c r="C405" s="3" t="inlineStr">
        <is>
          <t>SM.18.139</t>
        </is>
      </c>
      <c r="D405" s="4" t="inlineStr">
        <is>
          <t>Dominica</t>
        </is>
      </c>
      <c r="E405" s="4" t="inlineStr">
        <is>
          <t>DMA</t>
        </is>
      </c>
      <c r="F405" s="10" t="n">
        <v>43255</v>
      </c>
      <c r="G405" s="4" t="inlineStr">
        <is>
          <t>2013gn</t>
        </is>
      </c>
      <c r="H405" s="4" t="n">
        <v>2017</v>
      </c>
      <c r="I405" s="4" t="inlineStr">
        <is>
          <t>css.loan.blt</t>
        </is>
      </c>
      <c r="J405" t="inlineStr">
        <is>
          <t xml:space="preserve">   IMF</t>
        </is>
      </c>
    </row>
    <row r="406">
      <c r="A406" t="inlineStr">
        <is>
          <t>Dominica_2018_August</t>
        </is>
      </c>
      <c r="B406" s="2" t="n"/>
      <c r="C406" s="3" t="inlineStr">
        <is>
          <t>SM.18.139</t>
        </is>
      </c>
      <c r="D406" s="4" t="inlineStr">
        <is>
          <t>Dominica</t>
        </is>
      </c>
      <c r="E406" s="4" t="inlineStr">
        <is>
          <t>DMA</t>
        </is>
      </c>
      <c r="F406" s="10" t="n">
        <v>43255</v>
      </c>
      <c r="G406" s="4" t="inlineStr">
        <is>
          <t>2013gn</t>
        </is>
      </c>
      <c r="H406" s="4" t="n">
        <v>2017</v>
      </c>
      <c r="I406" s="4" t="inlineStr">
        <is>
          <t>css.loan.pc</t>
        </is>
      </c>
      <c r="J406" t="inlineStr">
        <is>
          <t xml:space="preserve">   IDA - Small Island Country</t>
        </is>
      </c>
    </row>
    <row r="407">
      <c r="A407" t="inlineStr">
        <is>
          <t>Dominica_2018_August</t>
        </is>
      </c>
      <c r="B407" s="2" t="n"/>
      <c r="C407" s="3" t="inlineStr">
        <is>
          <t>SM.18.139</t>
        </is>
      </c>
      <c r="D407" s="4" t="inlineStr">
        <is>
          <t>Dominica</t>
        </is>
      </c>
      <c r="E407" s="4" t="inlineStr">
        <is>
          <t>DMA</t>
        </is>
      </c>
      <c r="F407" s="10" t="n">
        <v>43255</v>
      </c>
      <c r="G407" s="4" t="inlineStr">
        <is>
          <t>2013gn</t>
        </is>
      </c>
      <c r="H407" s="4" t="n">
        <v>2017</v>
      </c>
      <c r="I407" s="4" t="inlineStr">
        <is>
          <t>css.loan.pc1</t>
        </is>
      </c>
      <c r="J407" t="inlineStr">
        <is>
          <t>IDA - Regular</t>
        </is>
      </c>
    </row>
    <row r="408">
      <c r="A408" t="inlineStr">
        <is>
          <t>Dominica_2018_August</t>
        </is>
      </c>
      <c r="B408" s="2" t="n"/>
      <c r="C408" s="3" t="inlineStr">
        <is>
          <t>SM.18.139</t>
        </is>
      </c>
      <c r="D408" s="4" t="inlineStr">
        <is>
          <t>Dominica</t>
        </is>
      </c>
      <c r="E408" s="4" t="inlineStr">
        <is>
          <t>DMA</t>
        </is>
      </c>
      <c r="F408" s="10" t="n">
        <v>43255</v>
      </c>
      <c r="G408" s="4" t="inlineStr">
        <is>
          <t>2013gn</t>
        </is>
      </c>
      <c r="H408" s="4" t="n">
        <v>2017</v>
      </c>
      <c r="I408" s="4" t="inlineStr">
        <is>
          <t>css.loan.pc2</t>
        </is>
      </c>
      <c r="J408" t="inlineStr">
        <is>
          <t>IBRD</t>
        </is>
      </c>
    </row>
    <row r="409">
      <c r="A409" t="inlineStr">
        <is>
          <t>Dominica_2018_August</t>
        </is>
      </c>
      <c r="B409" s="2" t="n"/>
      <c r="C409" s="3" t="inlineStr">
        <is>
          <t>SM.18.139</t>
        </is>
      </c>
      <c r="D409" s="4" t="inlineStr">
        <is>
          <t>Dominica</t>
        </is>
      </c>
      <c r="E409" s="4" t="inlineStr">
        <is>
          <t>DMA</t>
        </is>
      </c>
      <c r="F409" s="10" t="n">
        <v>43255</v>
      </c>
      <c r="G409" s="4" t="inlineStr">
        <is>
          <t>2013gn</t>
        </is>
      </c>
      <c r="H409" s="4" t="n">
        <v>2017</v>
      </c>
      <c r="I409" s="4" t="inlineStr">
        <is>
          <t>css.loan.pc3</t>
        </is>
      </c>
      <c r="J409" t="inlineStr">
        <is>
          <t>Other Multilateral</t>
        </is>
      </c>
    </row>
    <row r="410">
      <c r="A410" t="inlineStr">
        <is>
          <t>Dominica_2018_August</t>
        </is>
      </c>
      <c r="B410" s="2" t="n"/>
      <c r="C410" s="3" t="inlineStr">
        <is>
          <t>SM.18.139</t>
        </is>
      </c>
      <c r="D410" s="4" t="inlineStr">
        <is>
          <t>Dominica</t>
        </is>
      </c>
      <c r="E410" s="4" t="inlineStr">
        <is>
          <t>DMA</t>
        </is>
      </c>
      <c r="F410" s="10" t="n">
        <v>43255</v>
      </c>
      <c r="G410" s="4" t="inlineStr">
        <is>
          <t>2013gn</t>
        </is>
      </c>
      <c r="H410" s="4" t="n">
        <v>2017</v>
      </c>
      <c r="I410" s="4" t="inlineStr">
        <is>
          <t>css.loan.pc4</t>
        </is>
      </c>
      <c r="J410" t="inlineStr">
        <is>
          <t>Official Bilaterals</t>
        </is>
      </c>
    </row>
    <row r="411">
      <c r="A411" t="inlineStr">
        <is>
          <t>Dominica_2018_August</t>
        </is>
      </c>
      <c r="B411" s="2" t="n"/>
      <c r="C411" s="3" t="inlineStr">
        <is>
          <t>SM.18.139</t>
        </is>
      </c>
      <c r="D411" s="4" t="inlineStr">
        <is>
          <t>Dominica</t>
        </is>
      </c>
      <c r="E411" s="4" t="inlineStr">
        <is>
          <t>DMA</t>
        </is>
      </c>
      <c r="F411" s="10" t="n">
        <v>43255</v>
      </c>
      <c r="G411" s="4" t="inlineStr">
        <is>
          <t>2013gn</t>
        </is>
      </c>
      <c r="H411" s="4" t="n">
        <v>2017</v>
      </c>
      <c r="I411" s="4" t="inlineStr">
        <is>
          <t>css.loan.pc5</t>
        </is>
      </c>
      <c r="J411" t="inlineStr">
        <is>
          <t xml:space="preserve">   PC</t>
        </is>
      </c>
    </row>
    <row r="412">
      <c r="A412" t="inlineStr">
        <is>
          <t>Dominica_2018_August</t>
        </is>
      </c>
      <c r="B412" s="2" t="n"/>
      <c r="C412" s="3" t="inlineStr">
        <is>
          <t>SM.18.139</t>
        </is>
      </c>
      <c r="D412" s="4" t="inlineStr">
        <is>
          <t>Dominica</t>
        </is>
      </c>
      <c r="E412" s="4" t="inlineStr">
        <is>
          <t>DMA</t>
        </is>
      </c>
      <c r="F412" s="10" t="n">
        <v>43255</v>
      </c>
      <c r="G412" s="4" t="inlineStr">
        <is>
          <t>2013gn</t>
        </is>
      </c>
      <c r="H412" s="4" t="n">
        <v>2017</v>
      </c>
      <c r="I412" s="4" t="inlineStr">
        <is>
          <t>css.loan.npc</t>
        </is>
      </c>
      <c r="J412" t="inlineStr">
        <is>
          <t>…</t>
        </is>
      </c>
    </row>
    <row r="413">
      <c r="A413" t="inlineStr">
        <is>
          <t>Dominica_2018_August</t>
        </is>
      </c>
      <c r="B413" s="2" t="n"/>
      <c r="C413" s="3" t="inlineStr">
        <is>
          <t>SM.18.139</t>
        </is>
      </c>
      <c r="D413" s="4" t="inlineStr">
        <is>
          <t>Dominica</t>
        </is>
      </c>
      <c r="E413" s="4" t="inlineStr">
        <is>
          <t>DMA</t>
        </is>
      </c>
      <c r="F413" s="10" t="n">
        <v>43255</v>
      </c>
      <c r="G413" s="4" t="inlineStr">
        <is>
          <t>2013gn</t>
        </is>
      </c>
      <c r="H413" s="4" t="n">
        <v>2017</v>
      </c>
      <c r="I413" s="4" t="inlineStr">
        <is>
          <t>css.loan.npc.eximbk</t>
        </is>
      </c>
      <c r="J413" t="inlineStr">
        <is>
          <t>…</t>
        </is>
      </c>
    </row>
    <row r="414">
      <c r="A414" t="inlineStr">
        <is>
          <t>Dominica_2018_August</t>
        </is>
      </c>
      <c r="B414" s="2" t="n"/>
      <c r="C414" s="3" t="inlineStr">
        <is>
          <t>SM.18.139</t>
        </is>
      </c>
      <c r="D414" s="4" t="inlineStr">
        <is>
          <t>Dominica</t>
        </is>
      </c>
      <c r="E414" s="4" t="inlineStr">
        <is>
          <t>DMA</t>
        </is>
      </c>
      <c r="F414" s="10" t="n">
        <v>43255</v>
      </c>
      <c r="G414" s="4" t="inlineStr">
        <is>
          <t>2013gn</t>
        </is>
      </c>
      <c r="H414" s="4" t="n">
        <v>2017</v>
      </c>
      <c r="I414" s="4" t="inlineStr">
        <is>
          <t>css.loan.npc2</t>
        </is>
      </c>
      <c r="J414" t="inlineStr">
        <is>
          <t xml:space="preserve">   Others Paris Club</t>
        </is>
      </c>
    </row>
    <row r="415">
      <c r="A415" t="inlineStr">
        <is>
          <t>Dominica_2018_August</t>
        </is>
      </c>
      <c r="B415" s="2" t="n"/>
      <c r="C415" s="3" t="inlineStr">
        <is>
          <t>SM.18.139</t>
        </is>
      </c>
      <c r="D415" s="4" t="inlineStr">
        <is>
          <t>Dominica</t>
        </is>
      </c>
      <c r="E415" s="4" t="inlineStr">
        <is>
          <t>DMA</t>
        </is>
      </c>
      <c r="F415" s="10" t="n">
        <v>43255</v>
      </c>
      <c r="G415" s="4" t="inlineStr">
        <is>
          <t>2013gn</t>
        </is>
      </c>
      <c r="H415" s="4" t="n">
        <v>2017</v>
      </c>
      <c r="I415" s="4" t="inlineStr">
        <is>
          <t>css.loan.npc3</t>
        </is>
      </c>
      <c r="J415" t="inlineStr">
        <is>
          <t xml:space="preserve">   NPC</t>
        </is>
      </c>
    </row>
    <row r="416">
      <c r="A416" t="inlineStr">
        <is>
          <t>Dominica_2018_August</t>
        </is>
      </c>
      <c r="B416" s="2" t="n"/>
      <c r="C416" s="3" t="inlineStr">
        <is>
          <t>SM.18.139</t>
        </is>
      </c>
      <c r="D416" s="4" t="inlineStr">
        <is>
          <t>Dominica</t>
        </is>
      </c>
      <c r="E416" s="4" t="inlineStr">
        <is>
          <t>DMA</t>
        </is>
      </c>
      <c r="F416" s="10" t="n">
        <v>43255</v>
      </c>
      <c r="G416" s="4" t="inlineStr">
        <is>
          <t>2013gn</t>
        </is>
      </c>
      <c r="H416" s="4" t="n">
        <v>2017</v>
      </c>
      <c r="I416" s="4" t="inlineStr">
        <is>
          <t>css.loan.npc4</t>
        </is>
      </c>
      <c r="J416" t="inlineStr">
        <is>
          <t>…</t>
        </is>
      </c>
      <c r="K416" t="n">
        <v>0</v>
      </c>
    </row>
    <row r="417">
      <c r="A417" t="inlineStr">
        <is>
          <t>Dominica_2018_August</t>
        </is>
      </c>
      <c r="B417" s="2" t="n"/>
      <c r="C417" s="3" t="inlineStr">
        <is>
          <t>SM.18.139</t>
        </is>
      </c>
      <c r="D417" s="4" t="inlineStr">
        <is>
          <t>Dominica</t>
        </is>
      </c>
      <c r="E417" s="4" t="inlineStr">
        <is>
          <t>DMA</t>
        </is>
      </c>
      <c r="F417" s="10" t="n">
        <v>43255</v>
      </c>
      <c r="G417" s="4" t="inlineStr">
        <is>
          <t>2013gn</t>
        </is>
      </c>
      <c r="H417" s="4" t="n">
        <v>2017</v>
      </c>
      <c r="I417" s="4" t="inlineStr">
        <is>
          <t>css.loan.npc5</t>
        </is>
      </c>
      <c r="J417" t="inlineStr">
        <is>
          <t>…</t>
        </is>
      </c>
    </row>
    <row r="418">
      <c r="A418" t="inlineStr">
        <is>
          <t>Dominica_2018_August</t>
        </is>
      </c>
      <c r="B418" s="2" t="n"/>
      <c r="C418" s="3" t="inlineStr">
        <is>
          <t>SM.18.139</t>
        </is>
      </c>
      <c r="D418" s="4" t="inlineStr">
        <is>
          <t>Dominica</t>
        </is>
      </c>
      <c r="E418" s="4" t="inlineStr">
        <is>
          <t>DMA</t>
        </is>
      </c>
      <c r="F418" s="10" t="n">
        <v>43255</v>
      </c>
      <c r="G418" s="4" t="inlineStr">
        <is>
          <t>2013gn</t>
        </is>
      </c>
      <c r="H418" s="4" t="n">
        <v>2017</v>
      </c>
      <c r="I418" s="4" t="inlineStr">
        <is>
          <t>css.loan.prvt</t>
        </is>
      </c>
      <c r="J418" t="inlineStr">
        <is>
          <t xml:space="preserve">   Others Non Paris Club</t>
        </is>
      </c>
    </row>
    <row r="419">
      <c r="A419" t="inlineStr">
        <is>
          <t>Dominica_2018_August</t>
        </is>
      </c>
      <c r="B419" s="2" t="n"/>
      <c r="C419" s="3" t="inlineStr">
        <is>
          <t>SM.18.139</t>
        </is>
      </c>
      <c r="D419" s="4" t="inlineStr">
        <is>
          <t>Dominica</t>
        </is>
      </c>
      <c r="E419" s="4" t="inlineStr">
        <is>
          <t>DMA</t>
        </is>
      </c>
      <c r="F419" s="10" t="n">
        <v>43255</v>
      </c>
      <c r="G419" s="4" t="inlineStr">
        <is>
          <t>2013gn</t>
        </is>
      </c>
      <c r="H419" s="4" t="n">
        <v>2017</v>
      </c>
      <c r="I419" s="4" t="inlineStr">
        <is>
          <t>css.loan.prvt.bnd</t>
        </is>
      </c>
      <c r="J419" t="inlineStr">
        <is>
          <t>Commercial</t>
        </is>
      </c>
    </row>
    <row r="420">
      <c r="A420" t="inlineStr">
        <is>
          <t>Dominica_2018_August</t>
        </is>
      </c>
      <c r="B420" s="2" t="n"/>
      <c r="C420" s="3" t="inlineStr">
        <is>
          <t>SM.18.139</t>
        </is>
      </c>
      <c r="D420" s="4" t="inlineStr">
        <is>
          <t>Dominica</t>
        </is>
      </c>
      <c r="E420" s="4" t="inlineStr">
        <is>
          <t>DMA</t>
        </is>
      </c>
      <c r="F420" s="10" t="n">
        <v>43255</v>
      </c>
      <c r="G420" s="4" t="inlineStr">
        <is>
          <t>2013gn</t>
        </is>
      </c>
      <c r="H420" s="4" t="n">
        <v>2017</v>
      </c>
      <c r="I420" s="4" t="inlineStr">
        <is>
          <t>css.loan.prvt.cmbk</t>
        </is>
      </c>
      <c r="J420" t="inlineStr">
        <is>
          <t>…</t>
        </is>
      </c>
    </row>
    <row r="421">
      <c r="A421" t="inlineStr">
        <is>
          <t>Dominica_2018_August</t>
        </is>
      </c>
      <c r="B421" s="2" t="n"/>
      <c r="C421" s="3" t="inlineStr">
        <is>
          <t>SM.18.139</t>
        </is>
      </c>
      <c r="D421" s="4" t="inlineStr">
        <is>
          <t>Dominica</t>
        </is>
      </c>
      <c r="E421" s="4" t="inlineStr">
        <is>
          <t>DMA</t>
        </is>
      </c>
      <c r="F421" s="10" t="n">
        <v>43255</v>
      </c>
      <c r="G421" s="4" t="inlineStr">
        <is>
          <t>2013gn</t>
        </is>
      </c>
      <c r="H421" s="4" t="n">
        <v>2017</v>
      </c>
      <c r="I421" s="4" t="inlineStr">
        <is>
          <t>css.loan.prvt.com3</t>
        </is>
      </c>
      <c r="J421" t="inlineStr">
        <is>
          <t>…</t>
        </is>
      </c>
    </row>
    <row r="422">
      <c r="A422" t="inlineStr">
        <is>
          <t>Dominica_2018_August</t>
        </is>
      </c>
      <c r="B422" s="2" t="n"/>
      <c r="C422" s="3" t="inlineStr">
        <is>
          <t>SM.18.139</t>
        </is>
      </c>
      <c r="D422" s="4" t="inlineStr">
        <is>
          <t>Dominica</t>
        </is>
      </c>
      <c r="E422" s="4" t="inlineStr">
        <is>
          <t>DMA</t>
        </is>
      </c>
      <c r="F422" s="10" t="n">
        <v>43255</v>
      </c>
      <c r="G422" s="4" t="inlineStr">
        <is>
          <t>2013gn</t>
        </is>
      </c>
      <c r="H422" s="4" t="n">
        <v>2017</v>
      </c>
      <c r="I422" s="4" t="inlineStr">
        <is>
          <t>css.loan.prvt.com4</t>
        </is>
      </c>
      <c r="J422" t="inlineStr">
        <is>
          <t xml:space="preserve">   Others Commercial</t>
        </is>
      </c>
    </row>
    <row r="423">
      <c r="A423" t="inlineStr">
        <is>
          <t>Dominica_2018_August</t>
        </is>
      </c>
      <c r="B423" s="2" t="n"/>
      <c r="C423" s="3" t="inlineStr">
        <is>
          <t>SM.18.139</t>
        </is>
      </c>
      <c r="D423" s="4" t="inlineStr">
        <is>
          <t>Dominica</t>
        </is>
      </c>
      <c r="E423" s="4" t="inlineStr">
        <is>
          <t>DMA</t>
        </is>
      </c>
      <c r="F423" s="10" t="n">
        <v>43255</v>
      </c>
      <c r="G423" s="4" t="inlineStr">
        <is>
          <t>2013gn</t>
        </is>
      </c>
      <c r="H423" s="4" t="n">
        <v>2017</v>
      </c>
      <c r="I423" s="4" t="inlineStr">
        <is>
          <t>css.loan.prvt.com5</t>
        </is>
      </c>
    </row>
    <row r="424">
      <c r="A424" t="inlineStr">
        <is>
          <t>Dominica_2018_August</t>
        </is>
      </c>
      <c r="C424" t="inlineStr">
        <is>
          <t>SM.18.139</t>
        </is>
      </c>
      <c r="D424" t="inlineStr">
        <is>
          <t>Dominica</t>
        </is>
      </c>
      <c r="E424" t="inlineStr">
        <is>
          <t>DMA</t>
        </is>
      </c>
      <c r="F424" s="11" t="n">
        <v>43255</v>
      </c>
      <c r="G424" t="inlineStr">
        <is>
          <t>2013gn</t>
        </is>
      </c>
      <c r="H424" t="n">
        <v>2017</v>
      </c>
      <c r="I424" s="5" t="n"/>
      <c r="J424" t="inlineStr">
        <is>
          <t>PV of existing arrears</t>
        </is>
      </c>
    </row>
    <row r="426">
      <c r="J426" t="inlineStr">
        <is>
          <t>PV of new MLT debt</t>
        </is>
      </c>
    </row>
    <row r="427">
      <c r="J427" t="inlineStr">
        <is>
          <t>Multilaterals</t>
        </is>
      </c>
    </row>
    <row r="428">
      <c r="J428" t="inlineStr">
        <is>
          <t xml:space="preserve">   IMF</t>
        </is>
      </c>
    </row>
    <row r="429">
      <c r="J429" t="inlineStr">
        <is>
          <t xml:space="preserve">   IDA - Small Island Country</t>
        </is>
      </c>
    </row>
    <row r="430">
      <c r="J430" t="inlineStr">
        <is>
          <t>IDA - Regular</t>
        </is>
      </c>
    </row>
    <row r="431">
      <c r="J431" t="inlineStr">
        <is>
          <t>IBRD</t>
        </is>
      </c>
    </row>
    <row r="432">
      <c r="J432" t="inlineStr">
        <is>
          <t>Other Multilateral</t>
        </is>
      </c>
    </row>
    <row r="433">
      <c r="J433" t="inlineStr">
        <is>
          <t>Official Bilaterals</t>
        </is>
      </c>
    </row>
    <row r="434">
      <c r="J434" t="inlineStr">
        <is>
          <t xml:space="preserve">   PC</t>
        </is>
      </c>
    </row>
    <row r="435">
      <c r="J435" t="inlineStr">
        <is>
          <t>…</t>
        </is>
      </c>
    </row>
    <row r="436">
      <c r="J436" t="inlineStr">
        <is>
          <t>…</t>
        </is>
      </c>
    </row>
    <row r="437">
      <c r="J437" t="inlineStr">
        <is>
          <t xml:space="preserve">   Others Paris Club</t>
        </is>
      </c>
    </row>
    <row r="438">
      <c r="J438" t="inlineStr">
        <is>
          <t xml:space="preserve">   NPC</t>
        </is>
      </c>
    </row>
    <row r="439">
      <c r="J439" t="inlineStr">
        <is>
          <t>…</t>
        </is>
      </c>
    </row>
    <row r="440">
      <c r="J440" t="inlineStr">
        <is>
          <t>…</t>
        </is>
      </c>
    </row>
    <row r="441">
      <c r="J441" t="inlineStr">
        <is>
          <t xml:space="preserve">   Others Non Paris Club</t>
        </is>
      </c>
    </row>
    <row r="442">
      <c r="J442" t="inlineStr">
        <is>
          <t>Commercial</t>
        </is>
      </c>
    </row>
    <row r="443">
      <c r="J443" t="inlineStr">
        <is>
          <t>…</t>
        </is>
      </c>
    </row>
    <row r="444">
      <c r="J444" t="inlineStr">
        <is>
          <t>…</t>
        </is>
      </c>
    </row>
    <row r="445">
      <c r="J445" t="inlineStr">
        <is>
          <t xml:space="preserve">   Others Commercial</t>
        </is>
      </c>
    </row>
    <row r="447">
      <c r="J447" t="inlineStr">
        <is>
          <t>Nominal value of new MLT debt</t>
        </is>
      </c>
    </row>
    <row r="448">
      <c r="J448" t="inlineStr">
        <is>
          <t>Multilaterals</t>
        </is>
      </c>
    </row>
    <row r="449">
      <c r="J449" t="inlineStr">
        <is>
          <t xml:space="preserve">   IMF</t>
        </is>
      </c>
    </row>
    <row r="450">
      <c r="J450" t="inlineStr">
        <is>
          <t xml:space="preserve">   IDA - Small Island Country</t>
        </is>
      </c>
    </row>
    <row r="451">
      <c r="J451" t="inlineStr">
        <is>
          <t>IDA - Regular</t>
        </is>
      </c>
    </row>
    <row r="452">
      <c r="J452" t="inlineStr">
        <is>
          <t>IBRD</t>
        </is>
      </c>
    </row>
    <row r="453">
      <c r="J453" t="inlineStr">
        <is>
          <t>Other Multilateral</t>
        </is>
      </c>
    </row>
    <row r="454">
      <c r="J454" t="inlineStr">
        <is>
          <t>Official Bilaterals</t>
        </is>
      </c>
    </row>
    <row r="455">
      <c r="J455" t="inlineStr">
        <is>
          <t xml:space="preserve">   PC</t>
        </is>
      </c>
    </row>
    <row r="456">
      <c r="J456" t="inlineStr">
        <is>
          <t>…</t>
        </is>
      </c>
    </row>
    <row r="457">
      <c r="J457" t="inlineStr">
        <is>
          <t>…</t>
        </is>
      </c>
    </row>
    <row r="458">
      <c r="J458" t="inlineStr">
        <is>
          <t xml:space="preserve">   Others Paris Club</t>
        </is>
      </c>
    </row>
    <row r="459">
      <c r="J459" t="inlineStr">
        <is>
          <t xml:space="preserve">   NPC</t>
        </is>
      </c>
    </row>
    <row r="460">
      <c r="J460" t="inlineStr">
        <is>
          <t>…</t>
        </is>
      </c>
    </row>
    <row r="461">
      <c r="J461" t="inlineStr">
        <is>
          <t>…</t>
        </is>
      </c>
    </row>
    <row r="462">
      <c r="J462" t="inlineStr">
        <is>
          <t xml:space="preserve">   Others Non Paris Club</t>
        </is>
      </c>
    </row>
    <row r="463">
      <c r="J463" t="inlineStr">
        <is>
          <t>Commercial</t>
        </is>
      </c>
    </row>
    <row r="464">
      <c r="J464" t="inlineStr">
        <is>
          <t>…</t>
        </is>
      </c>
    </row>
    <row r="465">
      <c r="J465" t="inlineStr">
        <is>
          <t>…</t>
        </is>
      </c>
    </row>
    <row r="466">
      <c r="J466" t="inlineStr">
        <is>
          <t xml:space="preserve">   Others Commercial</t>
        </is>
      </c>
    </row>
    <row r="468">
      <c r="J468" t="inlineStr">
        <is>
          <t>Nominal value (=PV) of ST debt</t>
        </is>
      </c>
    </row>
    <row r="469">
      <c r="J469" t="inlineStr">
        <is>
          <t>Interest</t>
        </is>
      </c>
    </row>
    <row r="471">
      <c r="J471" t="inlineStr">
        <is>
          <t>Total PV of debt</t>
        </is>
      </c>
    </row>
    <row r="473">
      <c r="J473" t="inlineStr">
        <is>
          <t>Nominal PPG debt check</t>
        </is>
      </c>
    </row>
    <row r="474">
      <c r="J474" t="inlineStr">
        <is>
          <t>Total public debt service</t>
        </is>
      </c>
    </row>
    <row r="475">
      <c r="J475" t="inlineStr">
        <is>
          <t xml:space="preserve">    of which: principal</t>
        </is>
      </c>
    </row>
    <row r="476">
      <c r="J476" t="inlineStr">
        <is>
          <t xml:space="preserve">    of which: interest</t>
        </is>
      </c>
    </row>
    <row r="479">
      <c r="J479" t="inlineStr">
        <is>
          <t>Calculation of grant implicit in new borrowing and average discount rates</t>
        </is>
      </c>
    </row>
    <row r="481">
      <c r="J481" t="inlineStr">
        <is>
          <t>PV of new disbursements PPG</t>
        </is>
      </c>
    </row>
    <row r="482">
      <c r="J482" t="inlineStr">
        <is>
          <t>Grant element of new disbursement (percent)</t>
        </is>
      </c>
    </row>
    <row r="483">
      <c r="J483" t="inlineStr">
        <is>
          <t>Grant implicit in new disbursements (US billion)</t>
        </is>
      </c>
    </row>
    <row r="484">
      <c r="J484" t="inlineStr">
        <is>
          <t>Average discount rate</t>
        </is>
      </c>
    </row>
    <row r="487">
      <c r="J487" t="inlineStr">
        <is>
          <t xml:space="preserve">1/ After rescheduling if a rescheduling has been agreed or is imminent. For HIPCs that have reached their decision or completion points, </t>
        </is>
      </c>
    </row>
    <row r="488">
      <c r="J488" t="inlineStr">
        <is>
          <t>enter debt service due after HIPC assistance (including additional bilateral assistance for completion point cases).</t>
        </is>
      </c>
    </row>
    <row r="492">
      <c r="J492" t="inlineStr">
        <is>
          <t>French</t>
        </is>
      </c>
    </row>
    <row r="493">
      <c r="J493" t="inlineStr">
        <is>
          <t xml:space="preserve">CETTE FEUILLE CALCULE LA VA DE LA DETTE EXTÉRIEURE PUBLIQUE (CGE) </t>
        </is>
      </c>
    </row>
    <row r="495">
      <c r="J495" t="inlineStr">
        <is>
          <t>Inscrire les données de dette CGE dans les blocs jaunes en utilisant les mêmes unités que dans data_input (par ex., milliards de dollars)</t>
        </is>
      </c>
    </row>
    <row r="497">
      <c r="J497" t="inlineStr">
        <is>
          <t xml:space="preserve">A. DONNÉES A SAISIR </t>
        </is>
      </c>
    </row>
    <row r="499">
      <c r="J499" t="inlineStr">
        <is>
          <t xml:space="preserve">Hypothèses sur la nouvelle dette extérieure </t>
        </is>
      </c>
      <c r="S499" t="inlineStr">
        <is>
          <t xml:space="preserve">Hypothèses sur les conditions du financement additionnel résultant des tests de résistance </t>
        </is>
      </c>
    </row>
    <row r="501">
      <c r="K501" t="inlineStr">
        <is>
          <t>Loan</t>
        </is>
      </c>
      <c r="M501" t="inlineStr">
        <is>
          <t xml:space="preserve">Taux </t>
        </is>
      </c>
      <c r="N501" t="inlineStr">
        <is>
          <t>Taux</t>
        </is>
      </c>
      <c r="O501" t="inlineStr">
        <is>
          <t xml:space="preserve">Différé </t>
        </is>
      </c>
      <c r="P501" t="inlineStr">
        <is>
          <t xml:space="preserve">Échéance </t>
        </is>
      </c>
      <c r="Q501" t="inlineStr">
        <is>
          <t xml:space="preserve">Élément </t>
        </is>
      </c>
      <c r="S501" t="inlineStr">
        <is>
          <t>Parts de dette marginale*</t>
        </is>
      </c>
    </row>
    <row r="502">
      <c r="K502" t="inlineStr">
        <is>
          <t>Currency</t>
        </is>
      </c>
      <c r="M502" t="inlineStr">
        <is>
          <t xml:space="preserve">d'actualisation </t>
        </is>
      </c>
      <c r="N502" t="inlineStr">
        <is>
          <t xml:space="preserve"> d'intérêt </t>
        </is>
      </c>
      <c r="O502" t="inlineStr">
        <is>
          <t xml:space="preserve">d'amortissement </t>
        </is>
      </c>
      <c r="P502" t="inlineStr">
        <is>
          <t xml:space="preserve">crédit </t>
        </is>
      </c>
      <c r="Q502" t="inlineStr">
        <is>
          <t>don, %</t>
        </is>
      </c>
      <c r="S502" t="inlineStr">
        <is>
          <t xml:space="preserve">Devises </t>
        </is>
      </c>
    </row>
    <row r="503">
      <c r="J503" t="inlineStr">
        <is>
          <t xml:space="preserve">Multilatéraux </t>
        </is>
      </c>
      <c r="S503" t="inlineStr">
        <is>
          <t xml:space="preserve">Intérieure moyen et long terme </t>
        </is>
      </c>
    </row>
    <row r="504">
      <c r="J504" t="inlineStr">
        <is>
          <t xml:space="preserve">   FMI</t>
        </is>
      </c>
      <c r="K504" t="inlineStr">
        <is>
          <t>SDR</t>
        </is>
      </c>
      <c r="S504" t="inlineStr">
        <is>
          <t xml:space="preserve">Intérieure court terme </t>
        </is>
      </c>
    </row>
    <row r="505">
      <c r="J505" t="inlineStr">
        <is>
          <t xml:space="preserve">   IDA</t>
        </is>
      </c>
      <c r="K505" t="inlineStr">
        <is>
          <t>SDR</t>
        </is>
      </c>
      <c r="S505" t="inlineStr">
        <is>
          <t>Conditions de dette marginale</t>
        </is>
      </c>
    </row>
    <row r="506">
      <c r="J506" t="inlineStr">
        <is>
          <t xml:space="preserve">Intitulé </t>
        </is>
      </c>
      <c r="S506" t="inlineStr">
        <is>
          <t xml:space="preserve">Devises </t>
        </is>
      </c>
    </row>
    <row r="507">
      <c r="J507" t="inlineStr">
        <is>
          <t xml:space="preserve">Intitulé </t>
        </is>
      </c>
      <c r="S507" t="inlineStr">
        <is>
          <t>Taux d'intérêt nominal moyen sur les nouveaux emprunts en dollars EU</t>
        </is>
      </c>
    </row>
    <row r="508">
      <c r="J508" t="inlineStr">
        <is>
          <t xml:space="preserve">   Autres multilatéraux </t>
        </is>
      </c>
      <c r="K508" t="inlineStr">
        <is>
          <t>Euro</t>
        </is>
      </c>
      <c r="S508" t="inlineStr">
        <is>
          <t>Taux d'actualisation dollar EU</t>
        </is>
      </c>
    </row>
    <row r="509">
      <c r="J509" t="inlineStr">
        <is>
          <t xml:space="preserve">Bilatéraux officiels </t>
        </is>
      </c>
      <c r="S509" t="inlineStr">
        <is>
          <t xml:space="preserve">Échéance moyenne (différé d'amortissement compris) </t>
        </is>
      </c>
    </row>
    <row r="510">
      <c r="J510" t="inlineStr">
        <is>
          <t xml:space="preserve">   Club de Paris </t>
        </is>
      </c>
      <c r="K510" t="inlineStr">
        <is>
          <t>Euro</t>
        </is>
      </c>
      <c r="S510" t="inlineStr">
        <is>
          <t>Différé d'amortissement moyen (minimum 1)</t>
        </is>
      </c>
    </row>
    <row r="511">
      <c r="J511" t="inlineStr">
        <is>
          <t xml:space="preserve">Intitulé </t>
        </is>
      </c>
      <c r="S511" t="inlineStr">
        <is>
          <t xml:space="preserve">Dette intérieure à MLT </t>
        </is>
      </c>
    </row>
    <row r="512">
      <c r="J512" t="inlineStr">
        <is>
          <t xml:space="preserve">Intitulé </t>
        </is>
      </c>
      <c r="S512" t="inlineStr">
        <is>
          <t xml:space="preserve">Taux d'intérêt réel moyen sur les nouveaux emprunts </t>
        </is>
      </c>
    </row>
    <row r="513">
      <c r="J513" t="inlineStr">
        <is>
          <t xml:space="preserve">   Autres Club de Paris</t>
        </is>
      </c>
      <c r="S513" t="inlineStr">
        <is>
          <t xml:space="preserve">Échéance moyenne (différé d'amortissement compris) </t>
        </is>
      </c>
    </row>
    <row r="514">
      <c r="J514" t="inlineStr">
        <is>
          <t xml:space="preserve">   Hors Club de Paris </t>
        </is>
      </c>
      <c r="K514" t="inlineStr">
        <is>
          <t>USD</t>
        </is>
      </c>
      <c r="S514" t="inlineStr">
        <is>
          <t>Différé d'amortissement moyen (minimum 1)</t>
        </is>
      </c>
    </row>
    <row r="515">
      <c r="J515" t="inlineStr">
        <is>
          <t xml:space="preserve">Intitulé </t>
        </is>
      </c>
      <c r="S515" t="inlineStr">
        <is>
          <t xml:space="preserve">Dette intérieure à court terme </t>
        </is>
      </c>
    </row>
    <row r="516">
      <c r="J516" t="inlineStr">
        <is>
          <t xml:space="preserve">Intitulé </t>
        </is>
      </c>
      <c r="S516" t="inlineStr">
        <is>
          <t>Taux d'intérêt réel moyen</t>
        </is>
      </c>
    </row>
    <row r="517">
      <c r="J517" t="inlineStr">
        <is>
          <t xml:space="preserve">   Autres hors Club de Paris </t>
        </is>
      </c>
    </row>
    <row r="518">
      <c r="J518" t="inlineStr">
        <is>
          <t>Commerciaux</t>
        </is>
      </c>
      <c r="K518" t="inlineStr">
        <is>
          <t>USD</t>
        </is>
      </c>
      <c r="S518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19">
      <c r="J519" t="inlineStr">
        <is>
          <t xml:space="preserve">Intitulé </t>
        </is>
      </c>
    </row>
    <row r="520">
      <c r="J520" t="inlineStr">
        <is>
          <t xml:space="preserve">Intitulé </t>
        </is>
      </c>
    </row>
    <row r="521">
      <c r="J521" t="inlineStr">
        <is>
          <t xml:space="preserve">   Autres commerciaux </t>
        </is>
      </c>
    </row>
    <row r="522">
      <c r="N522" t="inlineStr">
        <is>
          <t>minimum 1</t>
        </is>
      </c>
    </row>
    <row r="523">
      <c r="J523" t="inlineStr">
        <is>
          <t>1. Ancienne dette MLT (hors arriérés) : service de la dette exigible 1/</t>
        </is>
      </c>
    </row>
    <row r="525">
      <c r="J525" t="inlineStr">
        <is>
          <t xml:space="preserve">Multilatéraux </t>
        </is>
      </c>
    </row>
    <row r="526">
      <c r="J526" t="inlineStr">
        <is>
          <t xml:space="preserve">   FMI</t>
        </is>
      </c>
    </row>
    <row r="527">
      <c r="J527" t="inlineStr">
        <is>
          <t xml:space="preserve">   IDA</t>
        </is>
      </c>
    </row>
    <row r="528">
      <c r="J528" t="inlineStr">
        <is>
          <t>IDA - Regular</t>
        </is>
      </c>
    </row>
    <row r="529">
      <c r="J529" t="inlineStr">
        <is>
          <t>IBRD</t>
        </is>
      </c>
    </row>
    <row r="530">
      <c r="J530" t="inlineStr">
        <is>
          <t xml:space="preserve"> Autres multilatéraux </t>
        </is>
      </c>
    </row>
    <row r="531">
      <c r="J531" t="inlineStr">
        <is>
          <t xml:space="preserve">Bilatéraux officiels </t>
        </is>
      </c>
    </row>
    <row r="532">
      <c r="J532" t="inlineStr">
        <is>
          <t xml:space="preserve">   CP</t>
        </is>
      </c>
    </row>
    <row r="533">
      <c r="J533" t="inlineStr">
        <is>
          <t>Descriptor</t>
        </is>
      </c>
    </row>
    <row r="534">
      <c r="J534" t="inlineStr">
        <is>
          <t>Descriptor</t>
        </is>
      </c>
    </row>
    <row r="535">
      <c r="J535" t="inlineStr">
        <is>
          <t xml:space="preserve">   Autres Club de Paris</t>
        </is>
      </c>
    </row>
    <row r="536">
      <c r="J536" t="inlineStr">
        <is>
          <t xml:space="preserve">   HCP</t>
        </is>
      </c>
    </row>
    <row r="537">
      <c r="J537" t="inlineStr">
        <is>
          <t>Descriptor</t>
        </is>
      </c>
    </row>
    <row r="538">
      <c r="J538" t="inlineStr">
        <is>
          <t>Descriptor</t>
        </is>
      </c>
    </row>
    <row r="539">
      <c r="J539" t="inlineStr">
        <is>
          <t xml:space="preserve">   Autres hors Club de Paris </t>
        </is>
      </c>
    </row>
    <row r="540">
      <c r="J540" t="inlineStr">
        <is>
          <t>Commerciaux</t>
        </is>
      </c>
    </row>
    <row r="541">
      <c r="J541" t="inlineStr">
        <is>
          <t>Descriptor</t>
        </is>
      </c>
    </row>
    <row r="542">
      <c r="J542" t="inlineStr">
        <is>
          <t>Descriptor</t>
        </is>
      </c>
    </row>
    <row r="543">
      <c r="J543" t="inlineStr">
        <is>
          <t xml:space="preserve">   Autres commerciaux </t>
        </is>
      </c>
    </row>
    <row r="544">
      <c r="J544" t="inlineStr">
        <is>
          <t>Si données ventilées non disponibles, inscrire ici le total du service de la dette exigible</t>
        </is>
      </c>
    </row>
    <row r="545">
      <c r="J545" t="inlineStr">
        <is>
          <t>Total</t>
        </is>
      </c>
    </row>
    <row r="546">
      <c r="J546" t="inlineStr">
        <is>
          <t xml:space="preserve">    dont : principal</t>
        </is>
      </c>
    </row>
    <row r="547">
      <c r="J547" t="inlineStr">
        <is>
          <t xml:space="preserve">    dont : intérêts</t>
        </is>
      </c>
    </row>
    <row r="549">
      <c r="J549" t="inlineStr">
        <is>
          <t xml:space="preserve">2. Stock de l'encours des arriérés </t>
        </is>
      </c>
    </row>
    <row r="551">
      <c r="J551" t="inlineStr">
        <is>
          <t>Évolution de l'ancienne dette MLT, hors arriérés (nominal)</t>
        </is>
      </c>
    </row>
    <row r="552">
      <c r="J552" t="inlineStr">
        <is>
          <t>Check</t>
        </is>
      </c>
    </row>
    <row r="554">
      <c r="J554" t="inlineStr">
        <is>
          <t xml:space="preserve">3. NOUVELLE DETTE MLT : décaissements (y compris pour refinancement/apurement des arriérés) </t>
        </is>
      </c>
    </row>
    <row r="555">
      <c r="J555" t="inlineStr">
        <is>
          <t xml:space="preserve">Multilatéraux </t>
        </is>
      </c>
    </row>
    <row r="556">
      <c r="J556" t="inlineStr">
        <is>
          <t xml:space="preserve">   FMI</t>
        </is>
      </c>
    </row>
    <row r="557">
      <c r="J557" t="inlineStr">
        <is>
          <t xml:space="preserve">   IDA</t>
        </is>
      </c>
    </row>
    <row r="558">
      <c r="J558" t="inlineStr">
        <is>
          <t>IDA - Regular</t>
        </is>
      </c>
    </row>
    <row r="559">
      <c r="J559" t="inlineStr">
        <is>
          <t>IBRD</t>
        </is>
      </c>
    </row>
    <row r="560">
      <c r="J560" t="inlineStr">
        <is>
          <t xml:space="preserve"> Autres multilatéraux </t>
        </is>
      </c>
    </row>
    <row r="561">
      <c r="J561" t="inlineStr">
        <is>
          <t xml:space="preserve">Bilatéraux officiels </t>
        </is>
      </c>
    </row>
    <row r="562">
      <c r="J562" t="inlineStr">
        <is>
          <t xml:space="preserve">   CP</t>
        </is>
      </c>
    </row>
    <row r="563">
      <c r="J563" t="inlineStr">
        <is>
          <t>Descriptor</t>
        </is>
      </c>
    </row>
    <row r="564">
      <c r="J564" t="inlineStr">
        <is>
          <t>Descriptor</t>
        </is>
      </c>
    </row>
    <row r="565">
      <c r="J565" t="inlineStr">
        <is>
          <t xml:space="preserve">   Autres Club de Paris</t>
        </is>
      </c>
    </row>
    <row r="566">
      <c r="J566" t="inlineStr">
        <is>
          <t xml:space="preserve">   HCP</t>
        </is>
      </c>
    </row>
    <row r="567">
      <c r="J567" t="inlineStr">
        <is>
          <t>Descriptor</t>
        </is>
      </c>
    </row>
    <row r="568">
      <c r="J568" t="inlineStr">
        <is>
          <t>Descriptor</t>
        </is>
      </c>
    </row>
    <row r="569">
      <c r="J569" t="inlineStr">
        <is>
          <t xml:space="preserve">   Autres hors Club de Paris </t>
        </is>
      </c>
    </row>
    <row r="570">
      <c r="J570" t="inlineStr">
        <is>
          <t>Commerciaux</t>
        </is>
      </c>
    </row>
    <row r="571">
      <c r="J571" t="inlineStr">
        <is>
          <t>Descriptor</t>
        </is>
      </c>
    </row>
    <row r="572">
      <c r="J572" t="inlineStr">
        <is>
          <t>Descriptor</t>
        </is>
      </c>
    </row>
    <row r="573">
      <c r="J573" t="inlineStr">
        <is>
          <t xml:space="preserve">   Autres commerciaux </t>
        </is>
      </c>
    </row>
    <row r="575">
      <c r="J575" t="inlineStr">
        <is>
          <t xml:space="preserve">Total nouveaux décaissements MLT </t>
        </is>
      </c>
    </row>
    <row r="576">
      <c r="J576" t="inlineStr">
        <is>
          <t xml:space="preserve">Conditions du financement résiduel selon tests de résistance </t>
        </is>
      </c>
    </row>
    <row r="577">
      <c r="J577" t="inlineStr">
        <is>
          <t xml:space="preserve">Taux d'intérêt moyen sur nouvelle dette </t>
        </is>
      </c>
      <c r="L577" t="n">
        <v>1.507444713250269</v>
      </c>
    </row>
    <row r="578">
      <c r="J578" t="inlineStr">
        <is>
          <t xml:space="preserve">Différé d'amortissement moyen sur nouvelle dette </t>
        </is>
      </c>
      <c r="L578" t="n">
        <v>8</v>
      </c>
    </row>
    <row r="579">
      <c r="J579" t="inlineStr">
        <is>
          <t xml:space="preserve">Échéance moyenne de la nouvelle dette </t>
        </is>
      </c>
      <c r="L579" t="n">
        <v>31</v>
      </c>
    </row>
    <row r="581">
      <c r="J581" t="inlineStr">
        <is>
          <t xml:space="preserve">Différé d'amortissement moyen sur nouvelle dette (arrondi vers le bas) </t>
        </is>
      </c>
    </row>
    <row r="582">
      <c r="J582" t="inlineStr">
        <is>
          <t xml:space="preserve">Échéance moyenne de la nouvelle dette  (arrondi vers le bas) </t>
        </is>
      </c>
    </row>
    <row r="584">
      <c r="J584" t="inlineStr">
        <is>
          <t xml:space="preserve">B. RÉSULTATS </t>
        </is>
      </c>
    </row>
    <row r="586">
      <c r="J586" t="inlineStr">
        <is>
          <t xml:space="preserve">Nouvelle dette : service de la dette </t>
        </is>
      </c>
    </row>
    <row r="588">
      <c r="J588" t="inlineStr">
        <is>
          <t xml:space="preserve">Total service de la nouvelle dette </t>
        </is>
      </c>
    </row>
    <row r="590">
      <c r="J590" t="inlineStr">
        <is>
          <t>Intérêts</t>
        </is>
      </c>
    </row>
    <row r="591">
      <c r="J591" t="inlineStr">
        <is>
          <t xml:space="preserve">Multilatéraux </t>
        </is>
      </c>
    </row>
    <row r="592">
      <c r="J592" t="inlineStr">
        <is>
          <t xml:space="preserve">   FMI</t>
        </is>
      </c>
    </row>
    <row r="593">
      <c r="J593" t="inlineStr">
        <is>
          <t xml:space="preserve">   IDA</t>
        </is>
      </c>
    </row>
    <row r="594">
      <c r="J594" t="inlineStr">
        <is>
          <t>IDA - Regular</t>
        </is>
      </c>
    </row>
    <row r="595">
      <c r="J595" t="inlineStr">
        <is>
          <t>IBRD</t>
        </is>
      </c>
    </row>
    <row r="596">
      <c r="J596" t="inlineStr">
        <is>
          <t xml:space="preserve"> Autres multilatéraux </t>
        </is>
      </c>
    </row>
    <row r="597">
      <c r="J597" t="inlineStr">
        <is>
          <t xml:space="preserve">Bilatéraux officiels </t>
        </is>
      </c>
    </row>
    <row r="598">
      <c r="J598" t="inlineStr">
        <is>
          <t xml:space="preserve">   CP</t>
        </is>
      </c>
    </row>
    <row r="599">
      <c r="J599" t="inlineStr">
        <is>
          <t>Descriptor</t>
        </is>
      </c>
    </row>
    <row r="600">
      <c r="J600" t="inlineStr">
        <is>
          <t>Descriptor</t>
        </is>
      </c>
    </row>
    <row r="601">
      <c r="J601" t="inlineStr">
        <is>
          <t xml:space="preserve">   Autres Club de Paris</t>
        </is>
      </c>
    </row>
    <row r="602">
      <c r="J602" t="inlineStr">
        <is>
          <t xml:space="preserve">   HCP</t>
        </is>
      </c>
    </row>
    <row r="603">
      <c r="J603" t="inlineStr">
        <is>
          <t>Descriptor</t>
        </is>
      </c>
    </row>
    <row r="604">
      <c r="J604" t="inlineStr">
        <is>
          <t>Descriptor</t>
        </is>
      </c>
    </row>
    <row r="605">
      <c r="J605" t="inlineStr">
        <is>
          <t xml:space="preserve">   Autres hors Club de Paris </t>
        </is>
      </c>
    </row>
    <row r="606">
      <c r="J606" t="inlineStr">
        <is>
          <t>Commerciaux</t>
        </is>
      </c>
    </row>
    <row r="607">
      <c r="J607" t="inlineStr">
        <is>
          <t>Descriptor</t>
        </is>
      </c>
    </row>
    <row r="608">
      <c r="J608" t="inlineStr">
        <is>
          <t>Descriptor</t>
        </is>
      </c>
    </row>
    <row r="609">
      <c r="J609" t="inlineStr">
        <is>
          <t xml:space="preserve">   Autres commerciaux </t>
        </is>
      </c>
    </row>
    <row r="611">
      <c r="J611" t="inlineStr">
        <is>
          <t xml:space="preserve">Amortissement </t>
        </is>
      </c>
    </row>
    <row r="612">
      <c r="J612" t="inlineStr">
        <is>
          <t xml:space="preserve">Multilatéraux </t>
        </is>
      </c>
    </row>
    <row r="613">
      <c r="J613" t="inlineStr">
        <is>
          <t xml:space="preserve">   FMI</t>
        </is>
      </c>
    </row>
    <row r="614">
      <c r="J614" t="inlineStr">
        <is>
          <t xml:space="preserve">   IDA</t>
        </is>
      </c>
    </row>
    <row r="615">
      <c r="J615" t="inlineStr">
        <is>
          <t>IDA - Regular</t>
        </is>
      </c>
    </row>
    <row r="616">
      <c r="J616" t="inlineStr">
        <is>
          <t>IBRD</t>
        </is>
      </c>
    </row>
    <row r="617">
      <c r="J617" t="inlineStr">
        <is>
          <t xml:space="preserve"> Autres multilatéraux </t>
        </is>
      </c>
    </row>
    <row r="618">
      <c r="J618" t="inlineStr">
        <is>
          <t xml:space="preserve">Bilatéraux officiels </t>
        </is>
      </c>
    </row>
    <row r="619">
      <c r="J619" t="inlineStr">
        <is>
          <t xml:space="preserve">   CP</t>
        </is>
      </c>
    </row>
    <row r="620">
      <c r="J620" t="inlineStr">
        <is>
          <t>Descriptor</t>
        </is>
      </c>
    </row>
    <row r="621">
      <c r="J621" t="inlineStr">
        <is>
          <t>Descriptor</t>
        </is>
      </c>
    </row>
    <row r="622">
      <c r="J622" t="inlineStr">
        <is>
          <t xml:space="preserve">   Autres Club de Paris</t>
        </is>
      </c>
    </row>
    <row r="623">
      <c r="J623" t="inlineStr">
        <is>
          <t xml:space="preserve">   HCP</t>
        </is>
      </c>
    </row>
    <row r="624">
      <c r="J624" t="inlineStr">
        <is>
          <t>Descriptor</t>
        </is>
      </c>
    </row>
    <row r="625">
      <c r="J625" t="inlineStr">
        <is>
          <t>Descriptor</t>
        </is>
      </c>
    </row>
    <row r="626">
      <c r="J626" t="inlineStr">
        <is>
          <t xml:space="preserve">   Autres hors Club de Paris </t>
        </is>
      </c>
    </row>
    <row r="627">
      <c r="J627" t="inlineStr">
        <is>
          <t>Commerciaux</t>
        </is>
      </c>
    </row>
    <row r="628">
      <c r="J628" t="inlineStr">
        <is>
          <t>Descriptor</t>
        </is>
      </c>
    </row>
    <row r="629">
      <c r="J629" t="inlineStr">
        <is>
          <t>Descriptor</t>
        </is>
      </c>
    </row>
    <row r="630">
      <c r="J630" t="inlineStr">
        <is>
          <t xml:space="preserve">   Autres commerciaux </t>
        </is>
      </c>
    </row>
    <row r="632">
      <c r="J632" t="inlineStr">
        <is>
          <t xml:space="preserve">VA de l'ancienne dette MLT </t>
        </is>
      </c>
    </row>
    <row r="633">
      <c r="J633" t="inlineStr">
        <is>
          <t xml:space="preserve">Multilatéraux </t>
        </is>
      </c>
    </row>
    <row r="634">
      <c r="J634" t="inlineStr">
        <is>
          <t xml:space="preserve">   FMI</t>
        </is>
      </c>
    </row>
    <row r="635">
      <c r="J635" t="inlineStr">
        <is>
          <t xml:space="preserve">   IDA</t>
        </is>
      </c>
    </row>
    <row r="636">
      <c r="J636" t="inlineStr">
        <is>
          <t>IDA - Regular</t>
        </is>
      </c>
    </row>
    <row r="637">
      <c r="J637" t="inlineStr">
        <is>
          <t>IBRD</t>
        </is>
      </c>
    </row>
    <row r="638">
      <c r="J638" t="inlineStr">
        <is>
          <t xml:space="preserve"> Autres multilatéraux </t>
        </is>
      </c>
    </row>
    <row r="639">
      <c r="J639" t="inlineStr">
        <is>
          <t xml:space="preserve">Bilatéraux officiels </t>
        </is>
      </c>
    </row>
    <row r="640">
      <c r="J640" t="inlineStr">
        <is>
          <t xml:space="preserve">   CP</t>
        </is>
      </c>
    </row>
    <row r="641">
      <c r="J641" t="inlineStr">
        <is>
          <t>Descriptor</t>
        </is>
      </c>
    </row>
    <row r="642">
      <c r="J642" t="inlineStr">
        <is>
          <t>Descriptor</t>
        </is>
      </c>
    </row>
    <row r="643">
      <c r="J643" t="inlineStr">
        <is>
          <t xml:space="preserve">   Autres Club de Paris</t>
        </is>
      </c>
    </row>
    <row r="644">
      <c r="J644" t="inlineStr">
        <is>
          <t xml:space="preserve">   HCP</t>
        </is>
      </c>
    </row>
    <row r="645">
      <c r="J645" t="inlineStr">
        <is>
          <t>Descriptor</t>
        </is>
      </c>
      <c r="K645" t="n">
        <v>0</v>
      </c>
    </row>
    <row r="646">
      <c r="J646" t="inlineStr">
        <is>
          <t>Descriptor</t>
        </is>
      </c>
    </row>
    <row r="647">
      <c r="J647" t="inlineStr">
        <is>
          <t xml:space="preserve">   Autres hors Club de Paris </t>
        </is>
      </c>
    </row>
    <row r="648">
      <c r="J648" t="inlineStr">
        <is>
          <t>Commerciaux</t>
        </is>
      </c>
    </row>
    <row r="649">
      <c r="J649" t="inlineStr">
        <is>
          <t>Descriptor</t>
        </is>
      </c>
    </row>
    <row r="650">
      <c r="J650" t="inlineStr">
        <is>
          <t>Descriptor</t>
        </is>
      </c>
    </row>
    <row r="651">
      <c r="J651" t="inlineStr">
        <is>
          <t xml:space="preserve">   Autres commerciaux </t>
        </is>
      </c>
    </row>
    <row r="653">
      <c r="J653" t="inlineStr">
        <is>
          <t xml:space="preserve">VA des arriérés existants </t>
        </is>
      </c>
    </row>
    <row r="655">
      <c r="J655" t="inlineStr">
        <is>
          <t xml:space="preserve">VA de la nouvelle dette MLT </t>
        </is>
      </c>
    </row>
    <row r="656">
      <c r="J656" t="inlineStr">
        <is>
          <t xml:space="preserve">Multilatéraux </t>
        </is>
      </c>
    </row>
    <row r="657">
      <c r="J657" t="inlineStr">
        <is>
          <t xml:space="preserve">   FMI</t>
        </is>
      </c>
    </row>
    <row r="658">
      <c r="J658" t="inlineStr">
        <is>
          <t xml:space="preserve">   IDA</t>
        </is>
      </c>
    </row>
    <row r="659">
      <c r="J659" t="inlineStr">
        <is>
          <t>IDA - Regular</t>
        </is>
      </c>
    </row>
    <row r="660">
      <c r="J660" t="inlineStr">
        <is>
          <t>IBRD</t>
        </is>
      </c>
    </row>
    <row r="661">
      <c r="J661" t="inlineStr">
        <is>
          <t xml:space="preserve"> Autres multilatéraux </t>
        </is>
      </c>
    </row>
    <row r="662">
      <c r="J662" t="inlineStr">
        <is>
          <t xml:space="preserve">Bilatéraux officiels </t>
        </is>
      </c>
    </row>
    <row r="663">
      <c r="J663" t="inlineStr">
        <is>
          <t xml:space="preserve">   CP</t>
        </is>
      </c>
    </row>
    <row r="664">
      <c r="J664" t="inlineStr">
        <is>
          <t>Descriptor</t>
        </is>
      </c>
    </row>
    <row r="665">
      <c r="J665" t="inlineStr">
        <is>
          <t>Descriptor</t>
        </is>
      </c>
    </row>
    <row r="666">
      <c r="J666" t="inlineStr">
        <is>
          <t xml:space="preserve">   Autres Club de Paris</t>
        </is>
      </c>
    </row>
    <row r="667">
      <c r="J667" t="inlineStr">
        <is>
          <t xml:space="preserve">   HCP</t>
        </is>
      </c>
    </row>
    <row r="668">
      <c r="J668" t="inlineStr">
        <is>
          <t>Descriptor</t>
        </is>
      </c>
    </row>
    <row r="669">
      <c r="J669" t="inlineStr">
        <is>
          <t>Descriptor</t>
        </is>
      </c>
    </row>
    <row r="670">
      <c r="J670" t="inlineStr">
        <is>
          <t xml:space="preserve">   Autres hors Club de Paris </t>
        </is>
      </c>
    </row>
    <row r="671">
      <c r="J671" t="inlineStr">
        <is>
          <t>Commerciaux</t>
        </is>
      </c>
    </row>
    <row r="672">
      <c r="J672" t="inlineStr">
        <is>
          <t>Descriptor</t>
        </is>
      </c>
    </row>
    <row r="673">
      <c r="J673" t="inlineStr">
        <is>
          <t>Descriptor</t>
        </is>
      </c>
    </row>
    <row r="674">
      <c r="J674" t="inlineStr">
        <is>
          <t xml:space="preserve">   Autres commerciaux </t>
        </is>
      </c>
    </row>
    <row r="676">
      <c r="J676" t="inlineStr">
        <is>
          <t xml:space="preserve">Valeur nominale de la nouvelle dette MLT </t>
        </is>
      </c>
    </row>
    <row r="677">
      <c r="J677" t="inlineStr">
        <is>
          <t xml:space="preserve">Multilatéraux </t>
        </is>
      </c>
    </row>
    <row r="678">
      <c r="J678" t="inlineStr">
        <is>
          <t xml:space="preserve">   FMI</t>
        </is>
      </c>
    </row>
    <row r="679">
      <c r="J679" t="inlineStr">
        <is>
          <t xml:space="preserve">   IDA</t>
        </is>
      </c>
    </row>
    <row r="680">
      <c r="J680" t="inlineStr">
        <is>
          <t>IDA - Regular</t>
        </is>
      </c>
    </row>
    <row r="681">
      <c r="J681" t="inlineStr">
        <is>
          <t>IBRD</t>
        </is>
      </c>
    </row>
    <row r="682">
      <c r="J682" t="inlineStr">
        <is>
          <t xml:space="preserve"> Autres multilatéraux </t>
        </is>
      </c>
    </row>
    <row r="683">
      <c r="J683" t="inlineStr">
        <is>
          <t xml:space="preserve">Bilatéraux officiels </t>
        </is>
      </c>
    </row>
    <row r="684">
      <c r="J684" t="inlineStr">
        <is>
          <t xml:space="preserve">   CP</t>
        </is>
      </c>
    </row>
    <row r="685">
      <c r="J685" t="inlineStr">
        <is>
          <t>Descriptor</t>
        </is>
      </c>
    </row>
    <row r="686">
      <c r="J686" t="inlineStr">
        <is>
          <t>Descriptor</t>
        </is>
      </c>
    </row>
    <row r="687">
      <c r="J687" t="inlineStr">
        <is>
          <t xml:space="preserve">   Autres Club de Paris</t>
        </is>
      </c>
    </row>
    <row r="688">
      <c r="J688" t="inlineStr">
        <is>
          <t xml:space="preserve">   HCP</t>
        </is>
      </c>
    </row>
    <row r="689">
      <c r="J689" t="inlineStr">
        <is>
          <t>Descriptor</t>
        </is>
      </c>
    </row>
    <row r="690">
      <c r="J690" t="inlineStr">
        <is>
          <t>Descriptor</t>
        </is>
      </c>
    </row>
    <row r="691">
      <c r="J691" t="inlineStr">
        <is>
          <t xml:space="preserve">   Autres hors Club de Paris </t>
        </is>
      </c>
    </row>
    <row r="692">
      <c r="J692" t="inlineStr">
        <is>
          <t>Commerciaux</t>
        </is>
      </c>
    </row>
    <row r="693">
      <c r="J693" t="inlineStr">
        <is>
          <t>Descriptor</t>
        </is>
      </c>
    </row>
    <row r="694">
      <c r="J694" t="inlineStr">
        <is>
          <t>Descriptor</t>
        </is>
      </c>
    </row>
    <row r="695">
      <c r="J695" t="inlineStr">
        <is>
          <t xml:space="preserve">   Autres commerciaux </t>
        </is>
      </c>
    </row>
    <row r="697">
      <c r="J697" t="inlineStr">
        <is>
          <t xml:space="preserve">Valeur nominale (=VA) de la dette CT </t>
        </is>
      </c>
    </row>
    <row r="698">
      <c r="J698" t="inlineStr">
        <is>
          <t xml:space="preserve">Intérêts </t>
        </is>
      </c>
    </row>
    <row r="700">
      <c r="J700" t="inlineStr">
        <is>
          <t xml:space="preserve">Total VA de la dette </t>
        </is>
      </c>
    </row>
    <row r="702">
      <c r="J702" t="inlineStr">
        <is>
          <t>Vérification dette CGE nominale</t>
        </is>
      </c>
    </row>
    <row r="703">
      <c r="J703" t="inlineStr">
        <is>
          <t xml:space="preserve">Total service dette publique </t>
        </is>
      </c>
    </row>
    <row r="704">
      <c r="J704" t="inlineStr">
        <is>
          <t xml:space="preserve">    dont : principal</t>
        </is>
      </c>
    </row>
    <row r="705">
      <c r="J705" t="inlineStr">
        <is>
          <t xml:space="preserve">    dont : intérêts </t>
        </is>
      </c>
    </row>
    <row r="708">
      <c r="J708" t="inlineStr">
        <is>
          <t xml:space="preserve">Calcul de l'élément don implicite des nouveaux emprunts et taux d'actualisation moyens </t>
        </is>
      </c>
    </row>
    <row r="710">
      <c r="J710" t="inlineStr">
        <is>
          <t xml:space="preserve">VA des nouveaux décaissements CGE </t>
        </is>
      </c>
    </row>
    <row r="711">
      <c r="J711" t="inlineStr">
        <is>
          <t xml:space="preserve">Élément don nouveau décaissement (pourcentage) </t>
        </is>
      </c>
    </row>
    <row r="712">
      <c r="J712" t="inlineStr">
        <is>
          <t xml:space="preserve">Élément don implicite dans nouveaux décaissements (milliards dollars EU) </t>
        </is>
      </c>
    </row>
    <row r="713">
      <c r="J713" t="inlineStr">
        <is>
          <t xml:space="preserve">Taux d'actualisation moyen </t>
        </is>
      </c>
    </row>
    <row r="716">
      <c r="J716" t="inlineStr">
        <is>
          <t xml:space="preserve">1/ Après rééchelonnement si un rééchelonnement a été convenu ou est imminent. Pour les PPTE qui ont atteint leur point de décision ou d'achèvement, </t>
        </is>
      </c>
    </row>
    <row r="717">
      <c r="J717" t="inlineStr">
        <is>
          <t xml:space="preserve">inscrire le service de la dette exigible après assistance PPTE (y compris assistance bilatérale additionnelle dans le cas du point d'achèvement) </t>
        </is>
      </c>
    </row>
    <row r="721">
      <c r="J721" t="inlineStr">
        <is>
          <t>Portuguese</t>
        </is>
      </c>
    </row>
    <row r="722">
      <c r="J722" t="inlineStr">
        <is>
          <t>ESTA FOLHA CALCULA O VA DA DÍVIDA EXTERNA PÚBLICA (PGP)</t>
        </is>
      </c>
    </row>
    <row r="724">
      <c r="J724" t="inlineStr">
        <is>
          <t>Insira a informação sobre a dívida PGP nos blocos amarelos nas mesmas unidades que na folha Data_Input (ex., mil milhões de USD)</t>
        </is>
      </c>
    </row>
    <row r="726">
      <c r="J726" t="inlineStr">
        <is>
          <t>A. ENTRADA</t>
        </is>
      </c>
    </row>
    <row r="728">
      <c r="J728" t="inlineStr">
        <is>
          <t>Pressupostos sobre a nova dívida externa</t>
        </is>
      </c>
      <c r="S728" t="inlineStr">
        <is>
          <t>Pressupostos sobre as condições do financiamento adicional resultantes dos testes de estresse</t>
        </is>
      </c>
    </row>
    <row r="730">
      <c r="K730" t="inlineStr">
        <is>
          <t>Loan</t>
        </is>
      </c>
      <c r="M730" t="inlineStr">
        <is>
          <t>Taxa de</t>
        </is>
      </c>
      <c r="N730" t="inlineStr">
        <is>
          <t>Taxa de</t>
        </is>
      </c>
      <c r="O730" t="inlineStr">
        <is>
          <t>Prazo de</t>
        </is>
      </c>
      <c r="P730" t="inlineStr">
        <is>
          <t>Vencimento</t>
        </is>
      </c>
      <c r="Q730" t="inlineStr">
        <is>
          <t>Elemento de</t>
        </is>
      </c>
      <c r="S730" t="inlineStr">
        <is>
          <t>Parcela da dívida marginal*</t>
        </is>
      </c>
    </row>
    <row r="731">
      <c r="K731" t="inlineStr">
        <is>
          <t>Currency</t>
        </is>
      </c>
      <c r="M731" t="inlineStr">
        <is>
          <t>desconto</t>
        </is>
      </c>
      <c r="N731" t="inlineStr">
        <is>
          <t>juro</t>
        </is>
      </c>
      <c r="O731" t="inlineStr">
        <is>
          <t>carência</t>
        </is>
      </c>
      <c r="P731" t="inlineStr">
        <is>
          <t>do empr.</t>
        </is>
      </c>
      <c r="Q731" t="inlineStr">
        <is>
          <t>donativo, %</t>
        </is>
      </c>
      <c r="S731" t="inlineStr">
        <is>
          <t>Em moeda estrangeira</t>
        </is>
      </c>
      <c r="AS731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32">
      <c r="J732" t="inlineStr">
        <is>
          <t>Multilaterais</t>
        </is>
      </c>
      <c r="S732" t="inlineStr">
        <is>
          <t>Interna de médio e longo prazo</t>
        </is>
      </c>
    </row>
    <row r="733">
      <c r="J733" t="inlineStr">
        <is>
          <t xml:space="preserve">   FMI</t>
        </is>
      </c>
      <c r="K733" t="inlineStr">
        <is>
          <t>SDR</t>
        </is>
      </c>
      <c r="S733" t="inlineStr">
        <is>
          <t>Interna de curto prazo</t>
        </is>
      </c>
    </row>
    <row r="734">
      <c r="J734" t="inlineStr">
        <is>
          <t xml:space="preserve">   IDA</t>
        </is>
      </c>
      <c r="K734" t="inlineStr">
        <is>
          <t>SDR</t>
        </is>
      </c>
      <c r="S734" t="inlineStr">
        <is>
          <t>Condições da dívida marginal</t>
        </is>
      </c>
    </row>
    <row r="735">
      <c r="J735" t="inlineStr">
        <is>
          <t>Descritor</t>
        </is>
      </c>
      <c r="S735" t="inlineStr">
        <is>
          <t>Dívida em moeda estrangeira</t>
        </is>
      </c>
    </row>
    <row r="736">
      <c r="J736" t="inlineStr">
        <is>
          <t>Descritor</t>
        </is>
      </c>
      <c r="S736" t="inlineStr">
        <is>
          <t>Taxa de juro nominal média sobre o novo endividamento em USD</t>
        </is>
      </c>
    </row>
    <row r="737">
      <c r="J737" t="inlineStr">
        <is>
          <t xml:space="preserve">   Outros Multilaterais</t>
        </is>
      </c>
      <c r="K737" t="inlineStr">
        <is>
          <t>Euro</t>
        </is>
      </c>
      <c r="S737" t="inlineStr">
        <is>
          <t>Taxa de desconto em USD</t>
        </is>
      </c>
    </row>
    <row r="738">
      <c r="J738" t="inlineStr">
        <is>
          <t>Oficiais Bilaterais</t>
        </is>
      </c>
      <c r="S738" t="inlineStr">
        <is>
          <t>Vencimento médio (incl. prazo de carência)</t>
        </is>
      </c>
    </row>
    <row r="739">
      <c r="J739" t="inlineStr">
        <is>
          <t xml:space="preserve">   Clube de Paris</t>
        </is>
      </c>
      <c r="K739" t="inlineStr">
        <is>
          <t>Euro</t>
        </is>
      </c>
      <c r="S739" t="inlineStr">
        <is>
          <t>Prazo médio de carência (mínimo 1)</t>
        </is>
      </c>
    </row>
    <row r="740">
      <c r="J740" t="inlineStr">
        <is>
          <t>Descritor</t>
        </is>
      </c>
      <c r="S740" t="inlineStr">
        <is>
          <t>Dívida interna de MLP</t>
        </is>
      </c>
    </row>
    <row r="741">
      <c r="J741" t="inlineStr">
        <is>
          <t>Descritor</t>
        </is>
      </c>
      <c r="S741" t="inlineStr">
        <is>
          <t>Taxa de juro real média sobre o novo endividamento</t>
        </is>
      </c>
    </row>
    <row r="742">
      <c r="J742" t="inlineStr">
        <is>
          <t xml:space="preserve">   Outros Clube de Paris</t>
        </is>
      </c>
      <c r="S742" t="inlineStr">
        <is>
          <t>Vencimento médio (incl. prazo de carência)</t>
        </is>
      </c>
    </row>
    <row r="743">
      <c r="J743" t="inlineStr">
        <is>
          <t xml:space="preserve">   Fora do Clube de Paris</t>
        </is>
      </c>
      <c r="K743" t="inlineStr">
        <is>
          <t>USD</t>
        </is>
      </c>
      <c r="S743" t="inlineStr">
        <is>
          <t>Prazo médio de carência (mínimo 1)</t>
        </is>
      </c>
    </row>
    <row r="744">
      <c r="J744" t="inlineStr">
        <is>
          <t>Descritor</t>
        </is>
      </c>
      <c r="S744" t="inlineStr">
        <is>
          <t>Dívida interna de curto prazo</t>
        </is>
      </c>
    </row>
    <row r="745">
      <c r="J745" t="inlineStr">
        <is>
          <t>Descritor</t>
        </is>
      </c>
      <c r="S745" t="inlineStr">
        <is>
          <t>Taxa de juro real média</t>
        </is>
      </c>
    </row>
    <row r="746">
      <c r="J746" t="inlineStr">
        <is>
          <t xml:space="preserve">   Outros fora do Clube de Paris</t>
        </is>
      </c>
    </row>
    <row r="747">
      <c r="J747" t="inlineStr">
        <is>
          <t>Comerciais</t>
        </is>
      </c>
      <c r="K747" t="inlineStr">
        <is>
          <t>USD</t>
        </is>
      </c>
      <c r="S747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48">
      <c r="J748" t="inlineStr">
        <is>
          <t>Descritor</t>
        </is>
      </c>
    </row>
    <row r="749">
      <c r="J749" t="inlineStr">
        <is>
          <t>Descritor</t>
        </is>
      </c>
    </row>
    <row r="750">
      <c r="J750" t="inlineStr">
        <is>
          <t xml:space="preserve">   Outros Comerciais</t>
        </is>
      </c>
    </row>
    <row r="751">
      <c r="N751" t="inlineStr">
        <is>
          <t>mínimo 1</t>
        </is>
      </c>
    </row>
    <row r="752">
      <c r="J752" t="inlineStr">
        <is>
          <t>1. Dívida antiga MLP (excl. atrasados): serviço da dívida devido 1/</t>
        </is>
      </c>
    </row>
    <row r="754">
      <c r="J754" t="inlineStr">
        <is>
          <t>Multilaterais</t>
        </is>
      </c>
    </row>
    <row r="755">
      <c r="J755" t="inlineStr">
        <is>
          <t xml:space="preserve">   FMI</t>
        </is>
      </c>
    </row>
    <row r="756">
      <c r="J756" t="inlineStr">
        <is>
          <t xml:space="preserve">   IDA</t>
        </is>
      </c>
    </row>
    <row r="757">
      <c r="J757" t="inlineStr">
        <is>
          <t>IDA - Regular</t>
        </is>
      </c>
    </row>
    <row r="758">
      <c r="J758" t="inlineStr">
        <is>
          <t>IBRD</t>
        </is>
      </c>
    </row>
    <row r="759">
      <c r="J759" t="inlineStr">
        <is>
          <t xml:space="preserve">   Outros Multilaterais</t>
        </is>
      </c>
    </row>
    <row r="760">
      <c r="J760" t="inlineStr">
        <is>
          <t>Oficiais Bilaterais</t>
        </is>
      </c>
    </row>
    <row r="761">
      <c r="J761" t="inlineStr">
        <is>
          <t xml:space="preserve">   Clube de Paris</t>
        </is>
      </c>
    </row>
    <row r="762">
      <c r="J762" t="inlineStr">
        <is>
          <t>Descriptor</t>
        </is>
      </c>
    </row>
    <row r="763">
      <c r="J763" t="inlineStr">
        <is>
          <t>Descriptor</t>
        </is>
      </c>
    </row>
    <row r="764">
      <c r="J764" t="inlineStr">
        <is>
          <t xml:space="preserve">   Outros Clube de Paris</t>
        </is>
      </c>
    </row>
    <row r="765">
      <c r="J765" t="inlineStr">
        <is>
          <t xml:space="preserve">   Fora do Clube de Paris</t>
        </is>
      </c>
    </row>
    <row r="766">
      <c r="J766" t="inlineStr">
        <is>
          <t>Descriptor</t>
        </is>
      </c>
    </row>
    <row r="767">
      <c r="J767" t="inlineStr">
        <is>
          <t>Descriptor</t>
        </is>
      </c>
    </row>
    <row r="768">
      <c r="J768" t="inlineStr">
        <is>
          <t xml:space="preserve">   Outros fora do Clube de Paris</t>
        </is>
      </c>
    </row>
    <row r="769">
      <c r="J769" t="inlineStr">
        <is>
          <t>Comerciais</t>
        </is>
      </c>
    </row>
    <row r="770">
      <c r="J770" t="inlineStr">
        <is>
          <t>Descriptor</t>
        </is>
      </c>
    </row>
    <row r="771">
      <c r="J771" t="inlineStr">
        <is>
          <t>Descriptor</t>
        </is>
      </c>
    </row>
    <row r="772">
      <c r="J772" t="inlineStr">
        <is>
          <t xml:space="preserve">   Outros Comerciais</t>
        </is>
      </c>
    </row>
    <row r="773">
      <c r="J773" t="inlineStr">
        <is>
          <t>Se a desagregação não estiver disponível, insira aqui o total do serviço da dívida</t>
        </is>
      </c>
    </row>
    <row r="774">
      <c r="J774" t="inlineStr">
        <is>
          <t>Total</t>
        </is>
      </c>
    </row>
    <row r="775">
      <c r="J775" t="inlineStr">
        <is>
          <t xml:space="preserve">    d/q: capital</t>
        </is>
      </c>
    </row>
    <row r="776">
      <c r="J776" t="inlineStr">
        <is>
          <t xml:space="preserve">    d/q: juros</t>
        </is>
      </c>
    </row>
    <row r="778">
      <c r="J778" t="inlineStr">
        <is>
          <t>2. Stock de atrasados pendentes</t>
        </is>
      </c>
    </row>
    <row r="780">
      <c r="J780" t="inlineStr">
        <is>
          <t>Evolução da dívida de MLP antiga, excl. atrasados (nominal)</t>
        </is>
      </c>
    </row>
    <row r="781">
      <c r="J781" t="inlineStr">
        <is>
          <t>Verificação</t>
        </is>
      </c>
    </row>
    <row r="783">
      <c r="J783" t="inlineStr">
        <is>
          <t>3. NOVA DÍVIDA DE MLP: Desembolsos (incl. para refinanciamento/regularização de atrasados)</t>
        </is>
      </c>
    </row>
    <row r="784">
      <c r="J784" t="inlineStr">
        <is>
          <t>Multilaterais</t>
        </is>
      </c>
    </row>
    <row r="785">
      <c r="J785" t="inlineStr">
        <is>
          <t xml:space="preserve">   FMI</t>
        </is>
      </c>
    </row>
    <row r="786">
      <c r="J786" t="inlineStr">
        <is>
          <t xml:space="preserve">   IDA</t>
        </is>
      </c>
    </row>
    <row r="787">
      <c r="J787" t="inlineStr">
        <is>
          <t>IDA - Regular</t>
        </is>
      </c>
    </row>
    <row r="788">
      <c r="J788" t="inlineStr">
        <is>
          <t>IBRD</t>
        </is>
      </c>
    </row>
    <row r="789">
      <c r="J789" t="inlineStr">
        <is>
          <t xml:space="preserve">   Outros Multilaterais</t>
        </is>
      </c>
    </row>
    <row r="790">
      <c r="J790" t="inlineStr">
        <is>
          <t>Oficiais Bilaterais</t>
        </is>
      </c>
    </row>
    <row r="791">
      <c r="J791" t="inlineStr">
        <is>
          <t xml:space="preserve">   Clube de Paris</t>
        </is>
      </c>
    </row>
    <row r="792">
      <c r="J792" t="inlineStr">
        <is>
          <t>Descriptor</t>
        </is>
      </c>
    </row>
    <row r="793">
      <c r="J793" t="inlineStr">
        <is>
          <t>Descriptor</t>
        </is>
      </c>
    </row>
    <row r="794">
      <c r="J794" t="inlineStr">
        <is>
          <t xml:space="preserve">   Outros Clube de Paris</t>
        </is>
      </c>
    </row>
    <row r="795">
      <c r="J795" t="inlineStr">
        <is>
          <t xml:space="preserve">   Fora do Clube de Paris</t>
        </is>
      </c>
    </row>
    <row r="796">
      <c r="J796" t="inlineStr">
        <is>
          <t>Descriptor</t>
        </is>
      </c>
    </row>
    <row r="797">
      <c r="J797" t="inlineStr">
        <is>
          <t>Descriptor</t>
        </is>
      </c>
    </row>
    <row r="798">
      <c r="J798" t="inlineStr">
        <is>
          <t xml:space="preserve">   Outros fora do Clube de Paris</t>
        </is>
      </c>
    </row>
    <row r="799">
      <c r="J799" t="inlineStr">
        <is>
          <t>Comerciais</t>
        </is>
      </c>
    </row>
    <row r="800">
      <c r="J800" t="inlineStr">
        <is>
          <t>Descriptor</t>
        </is>
      </c>
    </row>
    <row r="801">
      <c r="J801" t="inlineStr">
        <is>
          <t>Descriptor</t>
        </is>
      </c>
    </row>
    <row r="802">
      <c r="J802" t="inlineStr">
        <is>
          <t xml:space="preserve">   Outros Comerciais</t>
        </is>
      </c>
    </row>
    <row r="804">
      <c r="J804" t="inlineStr">
        <is>
          <t>Total dos novos desembolsos de MLP</t>
        </is>
      </c>
    </row>
    <row r="805">
      <c r="J805" t="inlineStr">
        <is>
          <t>Condições do financiamento residual nos testes de estresse</t>
        </is>
      </c>
    </row>
    <row r="806">
      <c r="J806" t="inlineStr">
        <is>
          <t>Taxa de juro média sobre nova dívida</t>
        </is>
      </c>
      <c r="L806" t="n">
        <v>1.507444713250269</v>
      </c>
    </row>
    <row r="807">
      <c r="J807" t="inlineStr">
        <is>
          <t>Prazo médio de carência sobre a nova dívida</t>
        </is>
      </c>
      <c r="L807" t="n">
        <v>8</v>
      </c>
    </row>
    <row r="808">
      <c r="J808" t="inlineStr">
        <is>
          <t>Prazo médio de vencimento da nova dívida</t>
        </is>
      </c>
      <c r="L808" t="n">
        <v>31</v>
      </c>
    </row>
    <row r="810">
      <c r="J810" t="inlineStr">
        <is>
          <t>Prazo médio de carência sobre a nova dívida (arredondado para baixo)</t>
        </is>
      </c>
    </row>
    <row r="811">
      <c r="J811" t="inlineStr">
        <is>
          <t>Prazo médio de vencimento da nova dívida (arredondado para baixo)</t>
        </is>
      </c>
    </row>
    <row r="813">
      <c r="J813" t="inlineStr">
        <is>
          <t>B. SAÍDA</t>
        </is>
      </c>
    </row>
    <row r="815">
      <c r="J815" t="inlineStr">
        <is>
          <t>Nova dívida: Serviço da dívida</t>
        </is>
      </c>
    </row>
    <row r="817">
      <c r="J817" t="inlineStr">
        <is>
          <t>Total do novo serviço da dívida</t>
        </is>
      </c>
    </row>
    <row r="819">
      <c r="J819" t="inlineStr">
        <is>
          <t>Juros</t>
        </is>
      </c>
    </row>
    <row r="820">
      <c r="J820" t="inlineStr">
        <is>
          <t>Multilaterais</t>
        </is>
      </c>
    </row>
    <row r="821">
      <c r="J821" t="inlineStr">
        <is>
          <t xml:space="preserve">   FMI</t>
        </is>
      </c>
    </row>
    <row r="822">
      <c r="J822" t="inlineStr">
        <is>
          <t xml:space="preserve">   IDA</t>
        </is>
      </c>
    </row>
    <row r="823">
      <c r="J823" t="inlineStr">
        <is>
          <t>IDA - Regular</t>
        </is>
      </c>
    </row>
    <row r="824">
      <c r="J824" t="inlineStr">
        <is>
          <t>IBRD</t>
        </is>
      </c>
    </row>
    <row r="825">
      <c r="J825" t="inlineStr">
        <is>
          <t xml:space="preserve">   Outros Multilaterais</t>
        </is>
      </c>
    </row>
    <row r="826">
      <c r="J826" t="inlineStr">
        <is>
          <t>Oficiais Bilaterais</t>
        </is>
      </c>
    </row>
    <row r="827">
      <c r="J827" t="inlineStr">
        <is>
          <t xml:space="preserve">   Clube de Paris</t>
        </is>
      </c>
    </row>
    <row r="828">
      <c r="J828" t="inlineStr">
        <is>
          <t>Descriptor</t>
        </is>
      </c>
    </row>
    <row r="829">
      <c r="J829" t="inlineStr">
        <is>
          <t>Descriptor</t>
        </is>
      </c>
    </row>
    <row r="830">
      <c r="J830" t="inlineStr">
        <is>
          <t xml:space="preserve">   Outros Clube de Paris</t>
        </is>
      </c>
    </row>
    <row r="831">
      <c r="J831" t="inlineStr">
        <is>
          <t xml:space="preserve">   Fora do Clube de Paris</t>
        </is>
      </c>
    </row>
    <row r="832">
      <c r="J832" t="inlineStr">
        <is>
          <t>Descriptor</t>
        </is>
      </c>
    </row>
    <row r="833">
      <c r="J833" t="inlineStr">
        <is>
          <t>Descriptor</t>
        </is>
      </c>
    </row>
    <row r="834">
      <c r="J834" t="inlineStr">
        <is>
          <t xml:space="preserve">   Outros fora do Clube de Paris</t>
        </is>
      </c>
    </row>
    <row r="835">
      <c r="J835" t="inlineStr">
        <is>
          <t>Comerciais</t>
        </is>
      </c>
    </row>
    <row r="836">
      <c r="J836" t="inlineStr">
        <is>
          <t>Descriptor</t>
        </is>
      </c>
    </row>
    <row r="837">
      <c r="J837" t="inlineStr">
        <is>
          <t>Descriptor</t>
        </is>
      </c>
    </row>
    <row r="838">
      <c r="J838" t="inlineStr">
        <is>
          <t xml:space="preserve">   Outros Comerciais</t>
        </is>
      </c>
    </row>
    <row r="840">
      <c r="J840" t="inlineStr">
        <is>
          <t>Amortização</t>
        </is>
      </c>
    </row>
    <row r="841">
      <c r="J841" t="inlineStr">
        <is>
          <t>Multilaterais</t>
        </is>
      </c>
    </row>
    <row r="842">
      <c r="J842" t="inlineStr">
        <is>
          <t xml:space="preserve">   FMI</t>
        </is>
      </c>
    </row>
    <row r="843">
      <c r="J843" t="inlineStr">
        <is>
          <t xml:space="preserve">   IDA</t>
        </is>
      </c>
    </row>
    <row r="844">
      <c r="J844" t="inlineStr">
        <is>
          <t>IDA - Regular</t>
        </is>
      </c>
    </row>
    <row r="845">
      <c r="J845" t="inlineStr">
        <is>
          <t>IBRD</t>
        </is>
      </c>
    </row>
    <row r="846">
      <c r="J846" t="inlineStr">
        <is>
          <t xml:space="preserve">   Outros Multilaterais</t>
        </is>
      </c>
    </row>
    <row r="847">
      <c r="J847" t="inlineStr">
        <is>
          <t>Oficiais Bilaterais</t>
        </is>
      </c>
    </row>
    <row r="848">
      <c r="J848" t="inlineStr">
        <is>
          <t xml:space="preserve">   Clube de Paris</t>
        </is>
      </c>
    </row>
    <row r="849">
      <c r="J849" t="inlineStr">
        <is>
          <t>Descriptor</t>
        </is>
      </c>
    </row>
    <row r="850">
      <c r="J850" t="inlineStr">
        <is>
          <t>Descriptor</t>
        </is>
      </c>
    </row>
    <row r="851">
      <c r="J851" t="inlineStr">
        <is>
          <t xml:space="preserve">   Outros Clube de Paris</t>
        </is>
      </c>
    </row>
    <row r="852">
      <c r="J852" t="inlineStr">
        <is>
          <t xml:space="preserve">   Fora do Clube de Paris</t>
        </is>
      </c>
    </row>
    <row r="853">
      <c r="J853" t="inlineStr">
        <is>
          <t>Descriptor</t>
        </is>
      </c>
    </row>
    <row r="854">
      <c r="J854" t="inlineStr">
        <is>
          <t>Descriptor</t>
        </is>
      </c>
    </row>
    <row r="855">
      <c r="J855" t="inlineStr">
        <is>
          <t xml:space="preserve">   Outros fora do Clube de Paris</t>
        </is>
      </c>
    </row>
    <row r="856">
      <c r="J856" t="inlineStr">
        <is>
          <t>Comerciais</t>
        </is>
      </c>
    </row>
    <row r="857">
      <c r="J857" t="inlineStr">
        <is>
          <t>Descriptor</t>
        </is>
      </c>
    </row>
    <row r="858">
      <c r="J858" t="inlineStr">
        <is>
          <t>Descriptor</t>
        </is>
      </c>
    </row>
    <row r="859">
      <c r="J859" t="inlineStr">
        <is>
          <t xml:space="preserve">   Outros Comerciais</t>
        </is>
      </c>
    </row>
    <row r="861">
      <c r="J861" t="inlineStr">
        <is>
          <t>VA da dívida antiga de MLP</t>
        </is>
      </c>
    </row>
    <row r="862">
      <c r="J862" t="inlineStr">
        <is>
          <t>Multilaterais</t>
        </is>
      </c>
    </row>
    <row r="863">
      <c r="J863" t="inlineStr">
        <is>
          <t xml:space="preserve">   FMI</t>
        </is>
      </c>
    </row>
    <row r="864">
      <c r="J864" t="inlineStr">
        <is>
          <t xml:space="preserve">   IDA</t>
        </is>
      </c>
    </row>
    <row r="865">
      <c r="J865" t="inlineStr">
        <is>
          <t>IDA - Regular</t>
        </is>
      </c>
    </row>
    <row r="866">
      <c r="J866" t="inlineStr">
        <is>
          <t>IBRD</t>
        </is>
      </c>
    </row>
    <row r="867">
      <c r="J867" t="inlineStr">
        <is>
          <t xml:space="preserve">   Outros Multilaterais</t>
        </is>
      </c>
    </row>
    <row r="868">
      <c r="J868" t="inlineStr">
        <is>
          <t>Oficiais Bilaterais</t>
        </is>
      </c>
    </row>
    <row r="869">
      <c r="J869" t="inlineStr">
        <is>
          <t xml:space="preserve">   Clube de Paris</t>
        </is>
      </c>
    </row>
    <row r="870">
      <c r="J870" t="inlineStr">
        <is>
          <t>Descriptor</t>
        </is>
      </c>
    </row>
    <row r="871">
      <c r="J871" t="inlineStr">
        <is>
          <t>Descriptor</t>
        </is>
      </c>
    </row>
    <row r="872">
      <c r="J872" t="inlineStr">
        <is>
          <t xml:space="preserve">   Outros Clube de Paris</t>
        </is>
      </c>
    </row>
    <row r="873">
      <c r="J873" t="inlineStr">
        <is>
          <t xml:space="preserve">   Fora do Clube de Paris</t>
        </is>
      </c>
    </row>
    <row r="874">
      <c r="J874" t="inlineStr">
        <is>
          <t>Descriptor</t>
        </is>
      </c>
      <c r="K874" t="n">
        <v>0</v>
      </c>
    </row>
    <row r="875">
      <c r="J875" t="inlineStr">
        <is>
          <t>Descriptor</t>
        </is>
      </c>
    </row>
    <row r="876">
      <c r="J876" t="inlineStr">
        <is>
          <t xml:space="preserve">   Outros fora do Clube de Paris</t>
        </is>
      </c>
    </row>
    <row r="877">
      <c r="J877" t="inlineStr">
        <is>
          <t>Comerciais</t>
        </is>
      </c>
    </row>
    <row r="878">
      <c r="J878" t="inlineStr">
        <is>
          <t>Descriptor</t>
        </is>
      </c>
    </row>
    <row r="879">
      <c r="J879" t="inlineStr">
        <is>
          <t>Descriptor</t>
        </is>
      </c>
    </row>
    <row r="880">
      <c r="J880" t="inlineStr">
        <is>
          <t xml:space="preserve">   Outros Comerciais</t>
        </is>
      </c>
    </row>
    <row r="882">
      <c r="J882" t="inlineStr">
        <is>
          <t>VA dos atrasados existentes</t>
        </is>
      </c>
    </row>
    <row r="884">
      <c r="J884" t="inlineStr">
        <is>
          <t>VA da nova dívida MLP</t>
        </is>
      </c>
    </row>
    <row r="885">
      <c r="J885" t="inlineStr">
        <is>
          <t>Multilaterais</t>
        </is>
      </c>
    </row>
    <row r="886">
      <c r="J886" t="inlineStr">
        <is>
          <t xml:space="preserve">   FMI</t>
        </is>
      </c>
    </row>
    <row r="887">
      <c r="J887" t="inlineStr">
        <is>
          <t xml:space="preserve">   IDA</t>
        </is>
      </c>
    </row>
    <row r="888">
      <c r="J888" t="inlineStr">
        <is>
          <t>IDA - Regular</t>
        </is>
      </c>
    </row>
    <row r="889">
      <c r="J889" t="inlineStr">
        <is>
          <t>IBRD</t>
        </is>
      </c>
    </row>
    <row r="890">
      <c r="J890" t="inlineStr">
        <is>
          <t xml:space="preserve">   Outros Multilaterais</t>
        </is>
      </c>
    </row>
    <row r="891">
      <c r="J891" t="inlineStr">
        <is>
          <t>Oficiais Bilaterais</t>
        </is>
      </c>
    </row>
    <row r="892">
      <c r="J892" t="inlineStr">
        <is>
          <t xml:space="preserve">   Clube de Paris</t>
        </is>
      </c>
    </row>
    <row r="893">
      <c r="J893" t="inlineStr">
        <is>
          <t>Descriptor</t>
        </is>
      </c>
    </row>
    <row r="894">
      <c r="J894" t="inlineStr">
        <is>
          <t>Descriptor</t>
        </is>
      </c>
    </row>
    <row r="895">
      <c r="J895" t="inlineStr">
        <is>
          <t xml:space="preserve">   Outros Clube de Paris</t>
        </is>
      </c>
    </row>
    <row r="896">
      <c r="J896" t="inlineStr">
        <is>
          <t xml:space="preserve">   Fora do Clube de Paris</t>
        </is>
      </c>
    </row>
    <row r="897">
      <c r="J897" t="inlineStr">
        <is>
          <t>Descriptor</t>
        </is>
      </c>
    </row>
    <row r="898">
      <c r="J898" t="inlineStr">
        <is>
          <t>Descriptor</t>
        </is>
      </c>
    </row>
    <row r="899">
      <c r="J899" t="inlineStr">
        <is>
          <t xml:space="preserve">   Outros fora do Clube de Paris</t>
        </is>
      </c>
    </row>
    <row r="900">
      <c r="J900" t="inlineStr">
        <is>
          <t>Comerciais</t>
        </is>
      </c>
    </row>
    <row r="901">
      <c r="J901" t="inlineStr">
        <is>
          <t>Descriptor</t>
        </is>
      </c>
    </row>
    <row r="902">
      <c r="J902" t="inlineStr">
        <is>
          <t>Descriptor</t>
        </is>
      </c>
    </row>
    <row r="903">
      <c r="J903" t="inlineStr">
        <is>
          <t xml:space="preserve">   Outros Comerciais</t>
        </is>
      </c>
    </row>
    <row r="905">
      <c r="J905" t="inlineStr">
        <is>
          <t>Valor nominal da nova dívida de MLP</t>
        </is>
      </c>
    </row>
    <row r="906">
      <c r="J906" t="inlineStr">
        <is>
          <t>Multilaterais</t>
        </is>
      </c>
    </row>
    <row r="907">
      <c r="J907" t="inlineStr">
        <is>
          <t xml:space="preserve">   FMI</t>
        </is>
      </c>
    </row>
    <row r="908">
      <c r="J908" t="inlineStr">
        <is>
          <t xml:space="preserve">   IDA</t>
        </is>
      </c>
    </row>
    <row r="909">
      <c r="J909" t="inlineStr">
        <is>
          <t>IDA - Regular</t>
        </is>
      </c>
    </row>
    <row r="910">
      <c r="J910" t="inlineStr">
        <is>
          <t>IBRD</t>
        </is>
      </c>
    </row>
    <row r="911">
      <c r="J911" t="inlineStr">
        <is>
          <t xml:space="preserve">   Outros Multilaterais</t>
        </is>
      </c>
    </row>
    <row r="912">
      <c r="J912" t="inlineStr">
        <is>
          <t>Oficiais Bilaterais</t>
        </is>
      </c>
    </row>
    <row r="913">
      <c r="J913" t="inlineStr">
        <is>
          <t xml:space="preserve">   Clube de Paris</t>
        </is>
      </c>
    </row>
    <row r="914">
      <c r="J914" t="inlineStr">
        <is>
          <t>Descriptor</t>
        </is>
      </c>
    </row>
    <row r="915">
      <c r="J915" t="inlineStr">
        <is>
          <t>Descriptor</t>
        </is>
      </c>
    </row>
    <row r="916">
      <c r="J916" t="inlineStr">
        <is>
          <t xml:space="preserve">   Outros Clube de Paris</t>
        </is>
      </c>
    </row>
    <row r="917">
      <c r="J917" t="inlineStr">
        <is>
          <t xml:space="preserve">   Fora do Clube de Paris</t>
        </is>
      </c>
    </row>
    <row r="918">
      <c r="J918" t="inlineStr">
        <is>
          <t>Descriptor</t>
        </is>
      </c>
    </row>
    <row r="919">
      <c r="J919" t="inlineStr">
        <is>
          <t>Descriptor</t>
        </is>
      </c>
    </row>
    <row r="920">
      <c r="J920" t="inlineStr">
        <is>
          <t xml:space="preserve">   Outros fora do Clube de Paris</t>
        </is>
      </c>
    </row>
    <row r="921">
      <c r="J921" t="inlineStr">
        <is>
          <t>Comerciais</t>
        </is>
      </c>
    </row>
    <row r="922">
      <c r="J922" t="inlineStr">
        <is>
          <t>Descriptor</t>
        </is>
      </c>
    </row>
    <row r="923">
      <c r="J923" t="inlineStr">
        <is>
          <t>Descriptor</t>
        </is>
      </c>
    </row>
    <row r="924">
      <c r="J924" t="inlineStr">
        <is>
          <t xml:space="preserve">   Outros Comerciais</t>
        </is>
      </c>
    </row>
    <row r="926">
      <c r="J926" t="inlineStr">
        <is>
          <t>Valor nominal (=VA) da dívida de CP</t>
        </is>
      </c>
    </row>
    <row r="927">
      <c r="J927" t="inlineStr">
        <is>
          <t>Juros</t>
        </is>
      </c>
    </row>
    <row r="929">
      <c r="J929" t="inlineStr">
        <is>
          <t>Total do VA da dívida</t>
        </is>
      </c>
    </row>
    <row r="931">
      <c r="J931" t="inlineStr">
        <is>
          <t>Verificação - Dívida nominal PGP</t>
        </is>
      </c>
    </row>
    <row r="932">
      <c r="J932" t="inlineStr">
        <is>
          <t>Total do serviço da dívida pública</t>
        </is>
      </c>
    </row>
    <row r="933">
      <c r="J933" t="inlineStr">
        <is>
          <t xml:space="preserve">    d/q: capital</t>
        </is>
      </c>
    </row>
    <row r="934">
      <c r="J934" t="inlineStr">
        <is>
          <t xml:space="preserve">    d/q: juros</t>
        </is>
      </c>
    </row>
    <row r="937">
      <c r="J937" t="inlineStr">
        <is>
          <t>Cálculo do donativo implícito no novo endividamento e taxas médias de desconto</t>
        </is>
      </c>
    </row>
    <row r="939">
      <c r="J939" t="inlineStr">
        <is>
          <t>VA dos novos desembolsos PGP</t>
        </is>
      </c>
    </row>
    <row r="940">
      <c r="J940" t="inlineStr">
        <is>
          <t>Elemento de donativo dos novos desembolsos (%)</t>
        </is>
      </c>
    </row>
    <row r="941">
      <c r="J941" t="inlineStr">
        <is>
          <t>Donativo implícito dos novos desembolsos (mil milhões de USD)</t>
        </is>
      </c>
    </row>
    <row r="942">
      <c r="J942" t="inlineStr">
        <is>
          <t>Taxa média de desconto</t>
        </is>
      </c>
    </row>
    <row r="945">
      <c r="J945" t="inlineStr">
        <is>
          <t xml:space="preserve">1/ Após o reescalonamento se este tiver sido acordado ou estiver iminente. Para os PPMEs que tiverem alcançado o ponto de decisão ou conclusão, </t>
        </is>
      </c>
    </row>
    <row r="946">
      <c r="J946" t="inlineStr">
        <is>
          <t>inserir o serviço da dívida devido após a assistência HIPC (incl. assistência bilateral adicional no ponto de conclusão).</t>
        </is>
      </c>
    </row>
    <row r="950">
      <c r="J950" t="inlineStr">
        <is>
          <t>Español</t>
        </is>
      </c>
    </row>
    <row r="951">
      <c r="J951" t="inlineStr">
        <is>
          <t xml:space="preserve">EN ESTA HOJA SE CALCULA EL VA DE LA DEUDA EXTERNA PÚBLICA Y CON GARANTÍA PÚBLICA (PGP) </t>
        </is>
      </c>
    </row>
    <row r="953">
      <c r="J953" t="inlineStr">
        <is>
          <t>Ingrese información sobre deuda PGP en los bloques de color amarillo en la misma unidad que en data_input (p. ej., miles de millones de dólares de EE.UU.)</t>
        </is>
      </c>
    </row>
    <row r="955">
      <c r="J955" t="inlineStr">
        <is>
          <t>A. INGRESO DE DATOS</t>
        </is>
      </c>
    </row>
    <row r="957">
      <c r="J957" t="inlineStr">
        <is>
          <t>Supuestos sobre nueva deuda externa</t>
        </is>
      </c>
      <c r="S957" t="inlineStr">
        <is>
          <t>Supuestos sobre las condiciones del financiamiento adicional resultante de las pruebas de tensión</t>
        </is>
      </c>
    </row>
    <row r="959">
      <c r="K959" t="inlineStr">
        <is>
          <t>Loan</t>
        </is>
      </c>
      <c r="M959" t="inlineStr">
        <is>
          <t>Tasa de</t>
        </is>
      </c>
      <c r="N959" t="inlineStr">
        <is>
          <t>Tasa de</t>
        </is>
      </c>
      <c r="O959" t="inlineStr">
        <is>
          <t>Período</t>
        </is>
      </c>
      <c r="P959" t="inlineStr">
        <is>
          <t>Vencimiento del</t>
        </is>
      </c>
      <c r="Q959" t="inlineStr">
        <is>
          <t>Componente</t>
        </is>
      </c>
      <c r="S959" t="inlineStr">
        <is>
          <t>Proporciones de deuda marginal*</t>
        </is>
      </c>
    </row>
    <row r="960">
      <c r="K960" t="inlineStr">
        <is>
          <t>Currency</t>
        </is>
      </c>
      <c r="M960" t="inlineStr">
        <is>
          <t>descuento</t>
        </is>
      </c>
      <c r="N960" t="inlineStr">
        <is>
          <t>interés</t>
        </is>
      </c>
      <c r="O960" t="inlineStr">
        <is>
          <t>de gracia</t>
        </is>
      </c>
      <c r="P960" t="inlineStr">
        <is>
          <t>préstamo</t>
        </is>
      </c>
      <c r="Q960" t="inlineStr">
        <is>
          <t>donaciones, %</t>
        </is>
      </c>
      <c r="S960" t="inlineStr">
        <is>
          <t>Moneda extranjera</t>
        </is>
      </c>
    </row>
    <row r="961">
      <c r="J961" t="inlineStr">
        <is>
          <t>Multilaterales</t>
        </is>
      </c>
      <c r="S961" t="inlineStr">
        <is>
          <t>Interna a mediano y largo plazo</t>
        </is>
      </c>
    </row>
    <row r="962">
      <c r="J962" t="inlineStr">
        <is>
          <t xml:space="preserve">   FMI</t>
        </is>
      </c>
      <c r="K962" t="inlineStr">
        <is>
          <t>SDR</t>
        </is>
      </c>
      <c r="N962" t="n">
        <v>0.005</v>
      </c>
      <c r="O962" t="n">
        <v>5</v>
      </c>
      <c r="P962" t="n">
        <v>10</v>
      </c>
      <c r="Q962" t="n">
        <v>100</v>
      </c>
      <c r="S962" t="inlineStr">
        <is>
          <t>Interna a corto plazo</t>
        </is>
      </c>
    </row>
    <row r="963">
      <c r="J963" t="inlineStr">
        <is>
          <t xml:space="preserve">   AIF</t>
        </is>
      </c>
      <c r="K963" t="inlineStr">
        <is>
          <t>SDR</t>
        </is>
      </c>
      <c r="M963" t="n">
        <v>0.05</v>
      </c>
      <c r="N963" t="n">
        <v>0.0075</v>
      </c>
      <c r="O963" t="n">
        <v>10</v>
      </c>
      <c r="P963" t="n">
        <v>40</v>
      </c>
      <c r="Q963" t="n">
        <v>0</v>
      </c>
      <c r="S963" t="inlineStr">
        <is>
          <t>Condiciones de la deuda marginal</t>
        </is>
      </c>
    </row>
    <row r="964">
      <c r="J964" t="inlineStr">
        <is>
          <t>Descriptor</t>
        </is>
      </c>
      <c r="M964" t="n">
        <v>0.05</v>
      </c>
      <c r="N964" t="n">
        <v>0.03</v>
      </c>
      <c r="O964" t="n">
        <v>5</v>
      </c>
      <c r="P964" t="n">
        <v>15</v>
      </c>
      <c r="Q964" t="n">
        <v>2013</v>
      </c>
      <c r="S964" t="inlineStr">
        <is>
          <t>Deuda en moneda extranjera</t>
        </is>
      </c>
    </row>
    <row r="965">
      <c r="J965" t="inlineStr">
        <is>
          <t>Descriptor</t>
        </is>
      </c>
      <c r="M965" t="n">
        <v>0.05</v>
      </c>
      <c r="N965" t="n">
        <v>0.03</v>
      </c>
      <c r="O965" t="n">
        <v>6</v>
      </c>
      <c r="P965" t="n">
        <v>15</v>
      </c>
      <c r="Q965" t="n">
        <v>0</v>
      </c>
      <c r="S965" t="inlineStr">
        <is>
          <t>Tasa de interés nominal media del endeudamiento nuevo en dólares de EE.UU.</t>
        </is>
      </c>
    </row>
    <row r="966">
      <c r="J966" t="inlineStr">
        <is>
          <t xml:space="preserve">   Otros multilateralas</t>
        </is>
      </c>
      <c r="K966" t="inlineStr">
        <is>
          <t>Euro</t>
        </is>
      </c>
      <c r="M966" t="n">
        <v>0.05</v>
      </c>
      <c r="N966" t="n">
        <v>0.03</v>
      </c>
      <c r="O966" t="n">
        <v>5</v>
      </c>
      <c r="P966" t="n">
        <v>15</v>
      </c>
      <c r="Q966" t="n">
        <v>0</v>
      </c>
      <c r="S966" t="inlineStr">
        <is>
          <t>Tasa de descuento dólares de EE.UU.</t>
        </is>
      </c>
    </row>
    <row r="967">
      <c r="J967" t="inlineStr">
        <is>
          <t>Bilaterales oficiales</t>
        </is>
      </c>
      <c r="S967" t="inlineStr">
        <is>
          <t>Vencimiento med. (incl. período de gracia)</t>
        </is>
      </c>
    </row>
    <row r="968">
      <c r="J968" t="inlineStr">
        <is>
          <t xml:space="preserve">  Club de París</t>
        </is>
      </c>
      <c r="K968" t="inlineStr">
        <is>
          <t>Euro</t>
        </is>
      </c>
      <c r="S968" t="inlineStr">
        <is>
          <t>Período de gracia med. (mínimo 1)</t>
        </is>
      </c>
    </row>
    <row r="969">
      <c r="J969" t="inlineStr">
        <is>
          <t>Descriptor</t>
        </is>
      </c>
      <c r="M969" t="n">
        <v>0.05</v>
      </c>
      <c r="N969" t="n">
        <v>0.03</v>
      </c>
      <c r="O969" t="n">
        <v>7</v>
      </c>
      <c r="P969" t="n">
        <v>20</v>
      </c>
      <c r="Q969" t="n">
        <v>0</v>
      </c>
      <c r="S969" t="inlineStr">
        <is>
          <t>Deuda interna a MLP</t>
        </is>
      </c>
    </row>
    <row r="970">
      <c r="J970" t="inlineStr">
        <is>
          <t>Descriptor</t>
        </is>
      </c>
      <c r="M970" t="n">
        <v>0.05</v>
      </c>
      <c r="N970" t="n">
        <v>0.03</v>
      </c>
      <c r="O970" t="n">
        <v>7</v>
      </c>
      <c r="P970" t="n">
        <v>20</v>
      </c>
      <c r="Q970" t="n">
        <v>0</v>
      </c>
      <c r="S970" t="inlineStr">
        <is>
          <t>Tasa de interés real med. del endeudamiento nuevo</t>
        </is>
      </c>
    </row>
    <row r="971">
      <c r="J971" t="inlineStr">
        <is>
          <t xml:space="preserve">   Otros Club de París</t>
        </is>
      </c>
      <c r="M971" t="n">
        <v>0.05</v>
      </c>
      <c r="N971" t="n">
        <v>0.03</v>
      </c>
      <c r="O971" t="n">
        <v>7</v>
      </c>
      <c r="P971" t="n">
        <v>20</v>
      </c>
      <c r="Q971" t="n">
        <v>0</v>
      </c>
      <c r="S971" t="inlineStr">
        <is>
          <t>Vencimiento med. (incl. período de gracia)</t>
        </is>
      </c>
    </row>
    <row r="972">
      <c r="J972" t="inlineStr">
        <is>
          <t xml:space="preserve">   Distintos del Club de París</t>
        </is>
      </c>
      <c r="K972" t="inlineStr">
        <is>
          <t>USD</t>
        </is>
      </c>
      <c r="S972" t="inlineStr">
        <is>
          <t>Período de gracia med. (mínimo 1)</t>
        </is>
      </c>
    </row>
    <row r="973">
      <c r="J973" t="inlineStr">
        <is>
          <t>Descriptor</t>
        </is>
      </c>
      <c r="M973" t="n">
        <v>0.05</v>
      </c>
      <c r="N973" t="n">
        <v>0.0124</v>
      </c>
      <c r="O973" t="n">
        <v>6</v>
      </c>
      <c r="P973" t="n">
        <v>23.2</v>
      </c>
      <c r="Q973" t="n">
        <v>0</v>
      </c>
      <c r="S973" t="inlineStr">
        <is>
          <t>Deuda interna a corto plazo</t>
        </is>
      </c>
    </row>
    <row r="974">
      <c r="J974" t="inlineStr">
        <is>
          <t>Descriptor</t>
        </is>
      </c>
      <c r="M974" t="n">
        <v>0.05</v>
      </c>
      <c r="N974" t="n">
        <v>0.0124</v>
      </c>
      <c r="O974" t="n">
        <v>6</v>
      </c>
      <c r="P974" t="n">
        <v>23.2</v>
      </c>
      <c r="Q974" t="n">
        <v>0</v>
      </c>
      <c r="S974" t="inlineStr">
        <is>
          <t>Tasa de interés real med.</t>
        </is>
      </c>
    </row>
    <row r="975">
      <c r="J975" t="inlineStr">
        <is>
          <t xml:space="preserve">   Otros distintos del Club de París</t>
        </is>
      </c>
      <c r="M975" t="n">
        <v>0.05</v>
      </c>
      <c r="N975" t="n">
        <v>0.0124</v>
      </c>
      <c r="O975" t="n">
        <v>6</v>
      </c>
      <c r="P975" t="n">
        <v>23.2</v>
      </c>
      <c r="Q975" t="n">
        <v>0</v>
      </c>
    </row>
    <row r="976">
      <c r="J976" t="inlineStr">
        <is>
          <t>Comerciales</t>
        </is>
      </c>
      <c r="K976" t="inlineStr">
        <is>
          <t>USD</t>
        </is>
      </c>
      <c r="S976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77">
      <c r="J977" t="inlineStr">
        <is>
          <t>Descriptor</t>
        </is>
      </c>
      <c r="M977" t="n">
        <v>0.05</v>
      </c>
      <c r="N977" t="n">
        <v>0.08</v>
      </c>
      <c r="O977" t="n">
        <v>1</v>
      </c>
      <c r="P977" t="n">
        <v>6</v>
      </c>
      <c r="Q977" t="n">
        <v>0</v>
      </c>
    </row>
    <row r="978">
      <c r="J978" t="inlineStr">
        <is>
          <t>Descriptor</t>
        </is>
      </c>
      <c r="M978" t="n">
        <v>0.05</v>
      </c>
      <c r="N978" t="n">
        <v>0.08</v>
      </c>
      <c r="O978" t="n">
        <v>1</v>
      </c>
      <c r="P978" t="n">
        <v>6</v>
      </c>
      <c r="Q978" t="n">
        <v>0</v>
      </c>
    </row>
    <row r="979">
      <c r="J979" t="inlineStr">
        <is>
          <t xml:space="preserve">   Otros comerciales</t>
        </is>
      </c>
      <c r="M979" t="n">
        <v>0.05</v>
      </c>
      <c r="N979" t="n">
        <v>0.08</v>
      </c>
      <c r="O979" t="n">
        <v>1</v>
      </c>
      <c r="P979" t="n">
        <v>6</v>
      </c>
      <c r="Q979" t="n">
        <v>0</v>
      </c>
    </row>
    <row r="980">
      <c r="N980" t="inlineStr">
        <is>
          <t>minimum 1</t>
        </is>
      </c>
    </row>
    <row r="981">
      <c r="J981" t="inlineStr">
        <is>
          <t>1. Deuda a MLP vieja (excluidos atrasos): servicio de la deuda vencido 1/</t>
        </is>
      </c>
    </row>
    <row r="983">
      <c r="J983" t="inlineStr">
        <is>
          <t>Multilaterales</t>
        </is>
      </c>
    </row>
    <row r="984">
      <c r="J984" t="inlineStr">
        <is>
          <t xml:space="preserve">   FMI</t>
        </is>
      </c>
    </row>
    <row r="985">
      <c r="J985" t="inlineStr">
        <is>
          <t xml:space="preserve">   AIF</t>
        </is>
      </c>
    </row>
    <row r="986">
      <c r="J986" t="inlineStr">
        <is>
          <t>IDA - Regular</t>
        </is>
      </c>
    </row>
    <row r="987">
      <c r="J987" t="inlineStr">
        <is>
          <t>IBRD</t>
        </is>
      </c>
    </row>
    <row r="988">
      <c r="J988" t="inlineStr">
        <is>
          <t xml:space="preserve">   Otros multilateralas</t>
        </is>
      </c>
    </row>
    <row r="989">
      <c r="J989" t="inlineStr">
        <is>
          <t>Bilaterales oficiales</t>
        </is>
      </c>
    </row>
    <row r="990">
      <c r="J990" t="inlineStr">
        <is>
          <t xml:space="preserve">  Club de París</t>
        </is>
      </c>
    </row>
    <row r="991">
      <c r="J991" t="inlineStr">
        <is>
          <t>…</t>
        </is>
      </c>
    </row>
    <row r="992">
      <c r="J992" t="inlineStr">
        <is>
          <t>…</t>
        </is>
      </c>
    </row>
    <row r="993">
      <c r="J993" t="inlineStr">
        <is>
          <t xml:space="preserve">   Otros Club de París</t>
        </is>
      </c>
    </row>
    <row r="994">
      <c r="J994" t="inlineStr">
        <is>
          <t xml:space="preserve">   Distintos del Club de París</t>
        </is>
      </c>
    </row>
    <row r="995">
      <c r="J995" t="inlineStr">
        <is>
          <t>…</t>
        </is>
      </c>
    </row>
    <row r="996">
      <c r="J996" t="inlineStr">
        <is>
          <t>…</t>
        </is>
      </c>
    </row>
    <row r="997">
      <c r="J997" t="inlineStr">
        <is>
          <t xml:space="preserve">   Otros distintos del Club de París</t>
        </is>
      </c>
    </row>
    <row r="998">
      <c r="J998" t="inlineStr">
        <is>
          <t>Comerciales</t>
        </is>
      </c>
    </row>
    <row r="999">
      <c r="J999" t="inlineStr">
        <is>
          <t>…</t>
        </is>
      </c>
    </row>
    <row r="1000">
      <c r="J1000" t="inlineStr">
        <is>
          <t>…</t>
        </is>
      </c>
    </row>
    <row r="1001">
      <c r="J1001" t="inlineStr">
        <is>
          <t xml:space="preserve">   Otros comerciales</t>
        </is>
      </c>
    </row>
    <row r="1002">
      <c r="J1002" t="inlineStr">
        <is>
          <t>Si el desglose no está disponible, indique aquí el total del servicio de la deuda.</t>
        </is>
      </c>
    </row>
    <row r="1003">
      <c r="J1003" t="inlineStr">
        <is>
          <t>Total</t>
        </is>
      </c>
    </row>
    <row r="1004">
      <c r="J1004" t="inlineStr">
        <is>
          <t xml:space="preserve">    del cual: principal</t>
        </is>
      </c>
    </row>
    <row r="1005">
      <c r="J1005" t="inlineStr">
        <is>
          <t xml:space="preserve">    del cual: intereses</t>
        </is>
      </c>
    </row>
    <row r="1007">
      <c r="J1007" t="inlineStr">
        <is>
          <t>2. Saldo de atrasos pendientes</t>
        </is>
      </c>
    </row>
    <row r="1009">
      <c r="J1009" t="inlineStr">
        <is>
          <t>Evolución de deuda a MLP vieja, excluidos atrasos (nominal)</t>
        </is>
      </c>
    </row>
    <row r="1010">
      <c r="J1010" t="inlineStr">
        <is>
          <t>Verificación</t>
        </is>
      </c>
    </row>
    <row r="1012">
      <c r="J1012" t="inlineStr">
        <is>
          <t>3. DEUDA A MLP NUEVA: Desembolsos (incluidos para refinanciamiento/regularización de atrasos)</t>
        </is>
      </c>
    </row>
    <row r="1013">
      <c r="J1013" t="inlineStr">
        <is>
          <t>Multilaterales</t>
        </is>
      </c>
    </row>
    <row r="1014">
      <c r="J1014" t="inlineStr">
        <is>
          <t xml:space="preserve">   FMI</t>
        </is>
      </c>
    </row>
    <row r="1015">
      <c r="J1015" t="inlineStr">
        <is>
          <t xml:space="preserve">   AIF</t>
        </is>
      </c>
    </row>
    <row r="1016">
      <c r="J1016" t="inlineStr">
        <is>
          <t>IDA - Regular</t>
        </is>
      </c>
    </row>
    <row r="1017">
      <c r="J1017" t="inlineStr">
        <is>
          <t>IBRD</t>
        </is>
      </c>
    </row>
    <row r="1018">
      <c r="J1018" t="inlineStr">
        <is>
          <t xml:space="preserve">   Otros multilateralas</t>
        </is>
      </c>
    </row>
    <row r="1019">
      <c r="J1019" t="inlineStr">
        <is>
          <t>Bilaterales oficiales</t>
        </is>
      </c>
    </row>
    <row r="1020">
      <c r="J1020" t="inlineStr">
        <is>
          <t xml:space="preserve">  Club de París</t>
        </is>
      </c>
    </row>
    <row r="1021">
      <c r="J1021" t="inlineStr">
        <is>
          <t>…</t>
        </is>
      </c>
    </row>
    <row r="1022">
      <c r="J1022" t="inlineStr">
        <is>
          <t>…</t>
        </is>
      </c>
    </row>
    <row r="1023">
      <c r="J1023" t="inlineStr">
        <is>
          <t xml:space="preserve">   Otros Club de París</t>
        </is>
      </c>
    </row>
    <row r="1024">
      <c r="J1024" t="inlineStr">
        <is>
          <t xml:space="preserve">   Distintos del Club de París</t>
        </is>
      </c>
    </row>
    <row r="1025">
      <c r="J1025" t="inlineStr">
        <is>
          <t>…</t>
        </is>
      </c>
    </row>
    <row r="1026">
      <c r="J1026" t="inlineStr">
        <is>
          <t>…</t>
        </is>
      </c>
    </row>
    <row r="1027">
      <c r="J1027" t="inlineStr">
        <is>
          <t xml:space="preserve">   Otros distintos del Club de París</t>
        </is>
      </c>
    </row>
    <row r="1028">
      <c r="J1028" t="inlineStr">
        <is>
          <t>Comerciales</t>
        </is>
      </c>
    </row>
    <row r="1029">
      <c r="J1029" t="inlineStr">
        <is>
          <t>…</t>
        </is>
      </c>
    </row>
    <row r="1030">
      <c r="J1030" t="inlineStr">
        <is>
          <t>…</t>
        </is>
      </c>
    </row>
    <row r="1031">
      <c r="J1031" t="inlineStr">
        <is>
          <t xml:space="preserve">   Otros comerciales</t>
        </is>
      </c>
    </row>
    <row r="1033">
      <c r="J1033" t="inlineStr">
        <is>
          <t>Total desembolsos a MLP nuevos</t>
        </is>
      </c>
    </row>
    <row r="1034">
      <c r="J1034" t="inlineStr">
        <is>
          <t>Términos de refinacimiento residual en pruebas de tensión</t>
        </is>
      </c>
    </row>
    <row r="1035">
      <c r="J1035" t="inlineStr">
        <is>
          <t>Tasa de interés media de la deuda nueva</t>
        </is>
      </c>
      <c r="L1035" t="n">
        <v>1.507444713250269</v>
      </c>
    </row>
    <row r="1036">
      <c r="J1036" t="inlineStr">
        <is>
          <t>Período de gracia medio de la deuda nueva</t>
        </is>
      </c>
      <c r="L1036" t="n">
        <v>8</v>
      </c>
    </row>
    <row r="1037">
      <c r="J1037" t="inlineStr">
        <is>
          <t>Vencimiento medio de la deuda nueva</t>
        </is>
      </c>
      <c r="L1037" t="n">
        <v>31</v>
      </c>
    </row>
    <row r="1039">
      <c r="J1039" t="inlineStr">
        <is>
          <t>Período de gracia nuevo de la deuda nueva (redondeado)</t>
        </is>
      </c>
    </row>
    <row r="1040">
      <c r="J1040" t="inlineStr">
        <is>
          <t>Vencimiento medio de la deuda nueva (redondeado)</t>
        </is>
      </c>
    </row>
    <row r="1042">
      <c r="J1042" t="inlineStr">
        <is>
          <t>B. RESULTADOS</t>
        </is>
      </c>
    </row>
    <row r="1044">
      <c r="J1044" t="inlineStr">
        <is>
          <t>Deuda nueva: Servicio de la deuda</t>
        </is>
      </c>
    </row>
    <row r="1046">
      <c r="J1046" t="inlineStr">
        <is>
          <t>Total servicio de la deuda nueva</t>
        </is>
      </c>
    </row>
    <row r="1048">
      <c r="J1048" t="inlineStr">
        <is>
          <t>Intereses</t>
        </is>
      </c>
    </row>
    <row r="1049">
      <c r="J1049" t="inlineStr">
        <is>
          <t>Multilaterales</t>
        </is>
      </c>
    </row>
    <row r="1050">
      <c r="J1050" t="inlineStr">
        <is>
          <t xml:space="preserve">   FMI</t>
        </is>
      </c>
    </row>
    <row r="1051">
      <c r="J1051" t="inlineStr">
        <is>
          <t xml:space="preserve">   AIF</t>
        </is>
      </c>
    </row>
    <row r="1052">
      <c r="J1052" t="inlineStr">
        <is>
          <t>IDA - Regular</t>
        </is>
      </c>
    </row>
    <row r="1053">
      <c r="J1053" t="inlineStr">
        <is>
          <t>IBRD</t>
        </is>
      </c>
    </row>
    <row r="1054">
      <c r="J1054" t="inlineStr">
        <is>
          <t xml:space="preserve">   Otros multilateralas</t>
        </is>
      </c>
    </row>
    <row r="1055">
      <c r="J1055" t="inlineStr">
        <is>
          <t>Bilaterales oficiales</t>
        </is>
      </c>
    </row>
    <row r="1056">
      <c r="J1056" t="inlineStr">
        <is>
          <t xml:space="preserve">  Club de París</t>
        </is>
      </c>
    </row>
    <row r="1057">
      <c r="J1057" t="inlineStr">
        <is>
          <t>…</t>
        </is>
      </c>
    </row>
    <row r="1058">
      <c r="J1058" t="inlineStr">
        <is>
          <t>…</t>
        </is>
      </c>
    </row>
    <row r="1059">
      <c r="J1059" t="inlineStr">
        <is>
          <t xml:space="preserve">   Otros Club de París</t>
        </is>
      </c>
    </row>
    <row r="1060">
      <c r="J1060" t="inlineStr">
        <is>
          <t xml:space="preserve">   Distintos del Club de París</t>
        </is>
      </c>
    </row>
    <row r="1061">
      <c r="J1061" t="inlineStr">
        <is>
          <t>…</t>
        </is>
      </c>
    </row>
    <row r="1062">
      <c r="J1062" t="inlineStr">
        <is>
          <t>…</t>
        </is>
      </c>
    </row>
    <row r="1063">
      <c r="J1063" t="inlineStr">
        <is>
          <t xml:space="preserve">   Otros distintos del Club de París</t>
        </is>
      </c>
    </row>
    <row r="1064">
      <c r="J1064" t="inlineStr">
        <is>
          <t>Comerciales</t>
        </is>
      </c>
    </row>
    <row r="1065">
      <c r="J1065" t="inlineStr">
        <is>
          <t>…</t>
        </is>
      </c>
    </row>
    <row r="1066">
      <c r="J1066" t="inlineStr">
        <is>
          <t>…</t>
        </is>
      </c>
    </row>
    <row r="1067">
      <c r="J1067" t="inlineStr">
        <is>
          <t xml:space="preserve">   Otros comerciales</t>
        </is>
      </c>
    </row>
    <row r="1069">
      <c r="J1069" t="inlineStr">
        <is>
          <t>Amortización</t>
        </is>
      </c>
    </row>
    <row r="1070">
      <c r="J1070" t="inlineStr">
        <is>
          <t>Multilaterales</t>
        </is>
      </c>
    </row>
    <row r="1071">
      <c r="J1071" t="inlineStr">
        <is>
          <t xml:space="preserve">   FMI</t>
        </is>
      </c>
    </row>
    <row r="1072">
      <c r="J1072" t="inlineStr">
        <is>
          <t xml:space="preserve">   AIF</t>
        </is>
      </c>
    </row>
    <row r="1073">
      <c r="J1073" t="inlineStr">
        <is>
          <t>IDA - Regular</t>
        </is>
      </c>
    </row>
    <row r="1074">
      <c r="J1074" t="inlineStr">
        <is>
          <t>IBRD</t>
        </is>
      </c>
    </row>
    <row r="1075">
      <c r="J1075" t="inlineStr">
        <is>
          <t xml:space="preserve">   Otros multilateralas</t>
        </is>
      </c>
    </row>
    <row r="1076">
      <c r="J1076" t="inlineStr">
        <is>
          <t>Bilaterales oficiales</t>
        </is>
      </c>
    </row>
    <row r="1077">
      <c r="J1077" t="inlineStr">
        <is>
          <t xml:space="preserve">  Club de París</t>
        </is>
      </c>
    </row>
    <row r="1078">
      <c r="J1078" t="inlineStr">
        <is>
          <t>…</t>
        </is>
      </c>
    </row>
    <row r="1079">
      <c r="J1079" t="inlineStr">
        <is>
          <t>…</t>
        </is>
      </c>
    </row>
    <row r="1080">
      <c r="J1080" t="inlineStr">
        <is>
          <t xml:space="preserve">   Otros Club de París</t>
        </is>
      </c>
    </row>
    <row r="1081">
      <c r="J1081" t="inlineStr">
        <is>
          <t xml:space="preserve">   Distintos del Club de París</t>
        </is>
      </c>
    </row>
    <row r="1082">
      <c r="J1082" t="inlineStr">
        <is>
          <t>…</t>
        </is>
      </c>
    </row>
    <row r="1083">
      <c r="J1083" t="inlineStr">
        <is>
          <t>…</t>
        </is>
      </c>
    </row>
    <row r="1084">
      <c r="J1084" t="inlineStr">
        <is>
          <t xml:space="preserve">   Otros distintos del Club de París</t>
        </is>
      </c>
    </row>
    <row r="1085">
      <c r="J1085" t="inlineStr">
        <is>
          <t>Comerciales</t>
        </is>
      </c>
    </row>
    <row r="1086">
      <c r="J1086" t="inlineStr">
        <is>
          <t>…</t>
        </is>
      </c>
    </row>
    <row r="1087">
      <c r="J1087" t="inlineStr">
        <is>
          <t>…</t>
        </is>
      </c>
    </row>
    <row r="1088">
      <c r="J1088" t="inlineStr">
        <is>
          <t xml:space="preserve">   Otros comerciales</t>
        </is>
      </c>
    </row>
    <row r="1090">
      <c r="J1090" t="inlineStr">
        <is>
          <t>VA  de la deuda a MLP vieja</t>
        </is>
      </c>
    </row>
    <row r="1091">
      <c r="J1091" t="inlineStr">
        <is>
          <t>Multilaterales</t>
        </is>
      </c>
    </row>
    <row r="1092">
      <c r="J1092" t="inlineStr">
        <is>
          <t xml:space="preserve">   FMI</t>
        </is>
      </c>
    </row>
    <row r="1093">
      <c r="J1093" t="inlineStr">
        <is>
          <t xml:space="preserve">   AIF</t>
        </is>
      </c>
    </row>
    <row r="1094">
      <c r="J1094" t="inlineStr">
        <is>
          <t>IDA - Regular</t>
        </is>
      </c>
    </row>
    <row r="1095">
      <c r="J1095" t="inlineStr">
        <is>
          <t>IBRD</t>
        </is>
      </c>
    </row>
    <row r="1096">
      <c r="J1096" t="inlineStr">
        <is>
          <t xml:space="preserve">   Otros multilateralas</t>
        </is>
      </c>
    </row>
    <row r="1097">
      <c r="J1097" t="inlineStr">
        <is>
          <t>Bilaterales oficiales</t>
        </is>
      </c>
    </row>
    <row r="1098">
      <c r="J1098" t="inlineStr">
        <is>
          <t xml:space="preserve">  Club de París</t>
        </is>
      </c>
    </row>
    <row r="1099">
      <c r="J1099" t="inlineStr">
        <is>
          <t>…</t>
        </is>
      </c>
    </row>
    <row r="1100">
      <c r="J1100" t="inlineStr">
        <is>
          <t>…</t>
        </is>
      </c>
    </row>
    <row r="1101">
      <c r="J1101" t="inlineStr">
        <is>
          <t xml:space="preserve">   Otros Club de París</t>
        </is>
      </c>
    </row>
    <row r="1102">
      <c r="J1102" t="inlineStr">
        <is>
          <t xml:space="preserve">   Distintos del Club de París</t>
        </is>
      </c>
    </row>
    <row r="1103">
      <c r="J1103" t="inlineStr">
        <is>
          <t>…</t>
        </is>
      </c>
      <c r="K1103" t="n">
        <v>0</v>
      </c>
    </row>
    <row r="1104">
      <c r="J1104" t="inlineStr">
        <is>
          <t>…</t>
        </is>
      </c>
    </row>
    <row r="1105">
      <c r="J1105" t="inlineStr">
        <is>
          <t xml:space="preserve">   Otros distintos del Club de París</t>
        </is>
      </c>
    </row>
    <row r="1106">
      <c r="J1106" t="inlineStr">
        <is>
          <t>Comerciales</t>
        </is>
      </c>
    </row>
    <row r="1107">
      <c r="J1107" t="inlineStr">
        <is>
          <t>…</t>
        </is>
      </c>
    </row>
    <row r="1108">
      <c r="J1108" t="inlineStr">
        <is>
          <t>…</t>
        </is>
      </c>
    </row>
    <row r="1109">
      <c r="J1109" t="inlineStr">
        <is>
          <t xml:space="preserve">   Otros comerciales</t>
        </is>
      </c>
    </row>
    <row r="1111">
      <c r="J1111" t="inlineStr">
        <is>
          <t>VA de atrasos existentes</t>
        </is>
      </c>
    </row>
    <row r="1113">
      <c r="J1113" t="inlineStr">
        <is>
          <t>VA de la deuda a MLP nueva</t>
        </is>
      </c>
    </row>
    <row r="1114">
      <c r="J1114" t="inlineStr">
        <is>
          <t>Multilaterales</t>
        </is>
      </c>
    </row>
    <row r="1115">
      <c r="J1115" t="inlineStr">
        <is>
          <t xml:space="preserve">   FMI</t>
        </is>
      </c>
    </row>
    <row r="1116">
      <c r="J1116" t="inlineStr">
        <is>
          <t xml:space="preserve">   AIF</t>
        </is>
      </c>
    </row>
    <row r="1117">
      <c r="J1117" t="inlineStr">
        <is>
          <t>IDA - Regular</t>
        </is>
      </c>
    </row>
    <row r="1118">
      <c r="J1118" t="inlineStr">
        <is>
          <t>IBRD</t>
        </is>
      </c>
    </row>
    <row r="1119">
      <c r="J1119" t="inlineStr">
        <is>
          <t xml:space="preserve">   Otros multilateralas</t>
        </is>
      </c>
    </row>
    <row r="1120">
      <c r="J1120" t="inlineStr">
        <is>
          <t>Bilaterales oficiales</t>
        </is>
      </c>
    </row>
    <row r="1121">
      <c r="J1121" t="inlineStr">
        <is>
          <t xml:space="preserve">  Club de París</t>
        </is>
      </c>
    </row>
    <row r="1122">
      <c r="J1122" t="inlineStr">
        <is>
          <t>…</t>
        </is>
      </c>
    </row>
    <row r="1123">
      <c r="J1123" t="inlineStr">
        <is>
          <t>…</t>
        </is>
      </c>
    </row>
    <row r="1124">
      <c r="J1124" t="inlineStr">
        <is>
          <t xml:space="preserve">   Otros Club de París</t>
        </is>
      </c>
    </row>
    <row r="1125">
      <c r="J1125" t="inlineStr">
        <is>
          <t xml:space="preserve">   Distintos del Club de París</t>
        </is>
      </c>
    </row>
    <row r="1126">
      <c r="J1126" t="inlineStr">
        <is>
          <t>…</t>
        </is>
      </c>
    </row>
    <row r="1127">
      <c r="J1127" t="inlineStr">
        <is>
          <t>…</t>
        </is>
      </c>
    </row>
    <row r="1128">
      <c r="J1128" t="inlineStr">
        <is>
          <t xml:space="preserve">   Otros distintos del Club de París</t>
        </is>
      </c>
    </row>
    <row r="1129">
      <c r="J1129" t="inlineStr">
        <is>
          <t>Comerciales</t>
        </is>
      </c>
    </row>
    <row r="1130">
      <c r="J1130" t="inlineStr">
        <is>
          <t>…</t>
        </is>
      </c>
    </row>
    <row r="1131">
      <c r="J1131" t="inlineStr">
        <is>
          <t>…</t>
        </is>
      </c>
    </row>
    <row r="1132">
      <c r="J1132" t="inlineStr">
        <is>
          <t xml:space="preserve">   Otros comerciales</t>
        </is>
      </c>
    </row>
    <row r="1134">
      <c r="J1134" t="inlineStr">
        <is>
          <t>Valor nominal de la deuda a MLP nueva</t>
        </is>
      </c>
    </row>
    <row r="1135">
      <c r="J1135" t="inlineStr">
        <is>
          <t>Multilaterales</t>
        </is>
      </c>
    </row>
    <row r="1136">
      <c r="J1136" t="inlineStr">
        <is>
          <t xml:space="preserve">   FMI</t>
        </is>
      </c>
    </row>
    <row r="1137">
      <c r="J1137" t="inlineStr">
        <is>
          <t xml:space="preserve">   AIF</t>
        </is>
      </c>
    </row>
    <row r="1138">
      <c r="J1138" t="inlineStr">
        <is>
          <t>IDA - Regular</t>
        </is>
      </c>
    </row>
    <row r="1139">
      <c r="J1139" t="inlineStr">
        <is>
          <t>IBRD</t>
        </is>
      </c>
    </row>
    <row r="1140">
      <c r="J1140" t="inlineStr">
        <is>
          <t xml:space="preserve">   Otros multilateralas</t>
        </is>
      </c>
    </row>
    <row r="1141">
      <c r="J1141" t="inlineStr">
        <is>
          <t>Bilaterales oficiales</t>
        </is>
      </c>
    </row>
    <row r="1142">
      <c r="J1142" t="inlineStr">
        <is>
          <t xml:space="preserve">  Club de París</t>
        </is>
      </c>
    </row>
    <row r="1143">
      <c r="J1143" t="inlineStr">
        <is>
          <t>…</t>
        </is>
      </c>
    </row>
    <row r="1144">
      <c r="J1144" t="inlineStr">
        <is>
          <t>…</t>
        </is>
      </c>
    </row>
    <row r="1145">
      <c r="J1145" t="inlineStr">
        <is>
          <t xml:space="preserve">   Otros Club de París</t>
        </is>
      </c>
    </row>
    <row r="1146">
      <c r="J1146" t="inlineStr">
        <is>
          <t xml:space="preserve">   Distintos del Club de París</t>
        </is>
      </c>
    </row>
    <row r="1147">
      <c r="J1147" t="inlineStr">
        <is>
          <t>…</t>
        </is>
      </c>
    </row>
    <row r="1148">
      <c r="J1148" t="inlineStr">
        <is>
          <t>…</t>
        </is>
      </c>
    </row>
    <row r="1149">
      <c r="J1149" t="inlineStr">
        <is>
          <t xml:space="preserve">   Otros distintos del Club de París</t>
        </is>
      </c>
    </row>
    <row r="1150">
      <c r="J1150" t="inlineStr">
        <is>
          <t>Comerciales</t>
        </is>
      </c>
    </row>
    <row r="1151">
      <c r="J1151" t="inlineStr">
        <is>
          <t>…</t>
        </is>
      </c>
    </row>
    <row r="1152">
      <c r="J1152" t="inlineStr">
        <is>
          <t>…</t>
        </is>
      </c>
    </row>
    <row r="1153">
      <c r="J1153" t="inlineStr">
        <is>
          <t xml:space="preserve">   Otros comerciales</t>
        </is>
      </c>
    </row>
    <row r="1155">
      <c r="J1155" t="inlineStr">
        <is>
          <t>Valor nominal (=VA) de la deuda a corto plazo</t>
        </is>
      </c>
    </row>
    <row r="1156">
      <c r="J1156" t="inlineStr">
        <is>
          <t>Intereses</t>
        </is>
      </c>
    </row>
    <row r="1158">
      <c r="J1158" t="inlineStr">
        <is>
          <t>Total VA de la deuda</t>
        </is>
      </c>
    </row>
    <row r="1160">
      <c r="J1160" t="inlineStr">
        <is>
          <t>Verificación deuda PGP nominal</t>
        </is>
      </c>
    </row>
    <row r="1161">
      <c r="J1161" t="inlineStr">
        <is>
          <t>Total servicio de la deuda pública</t>
        </is>
      </c>
    </row>
    <row r="1162">
      <c r="J1162" t="inlineStr">
        <is>
          <t xml:space="preserve">    del cual: principal</t>
        </is>
      </c>
    </row>
    <row r="1163">
      <c r="J1163" t="inlineStr">
        <is>
          <t xml:space="preserve">    del cual: intereses</t>
        </is>
      </c>
    </row>
    <row r="1166">
      <c r="J1166" t="inlineStr">
        <is>
          <t>Cálculo de donaciones implícitas en endeudamiento nuevo y tasas de descuento medias</t>
        </is>
      </c>
    </row>
    <row r="1168">
      <c r="J1168" t="inlineStr">
        <is>
          <t>VA de nuevos desembolsos de deuda PGP</t>
        </is>
      </c>
    </row>
    <row r="1169">
      <c r="J1169" t="inlineStr">
        <is>
          <t>Componente de donaciones de desembolso nuevo (porcentaje)</t>
        </is>
      </c>
    </row>
    <row r="1170">
      <c r="J1170" t="inlineStr">
        <is>
          <t>Donaciones implícitas en desembolsos nuevos (miles de millones de dólares de EE.UU.)</t>
        </is>
      </c>
    </row>
    <row r="1171">
      <c r="J1171" t="inlineStr">
        <is>
          <t>Tasa de descuento media</t>
        </is>
      </c>
    </row>
    <row r="1174">
      <c r="J1174" t="inlineStr">
        <is>
          <t>1/ Después de una reprogramación si esta ha sido acordada o es inminente. En el caso de PPME que han alcanzado el punto de decisión o culminación,</t>
        </is>
      </c>
    </row>
    <row r="1175">
      <c r="J1175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no_year_in_pairs</t>
        </is>
      </c>
      <c r="B2" s="2" t="n"/>
      <c r="C2" s="3" t="inlineStr">
        <is>
          <t>SM.19.158, Sup. 2</t>
        </is>
      </c>
      <c r="D2" s="4" t="inlineStr">
        <is>
          <t>Dominica</t>
        </is>
      </c>
      <c r="E2" s="4" t="inlineStr">
        <is>
          <t>DMA</t>
        </is>
      </c>
      <c r="F2" s="4" t="n"/>
      <c r="G2" s="4" t="inlineStr">
        <is>
          <t>2018gn</t>
        </is>
      </c>
      <c r="H2" s="4" t="n">
        <v>2018</v>
      </c>
      <c r="I2" s="5" t="n"/>
      <c r="J2" t="inlineStr">
        <is>
          <t>THIS SHEET CALCULATES THE PV OF PUBLIC (PPG) EXTERNAL DEBT</t>
        </is>
      </c>
    </row>
    <row r="3">
      <c r="A3" t="inlineStr">
        <is>
          <t>no_year_in_pairs</t>
        </is>
      </c>
      <c r="B3" s="2" t="n"/>
      <c r="C3" s="3" t="inlineStr">
        <is>
          <t>SM.19.158, Sup. 2</t>
        </is>
      </c>
      <c r="D3" s="4" t="inlineStr">
        <is>
          <t>Dominica</t>
        </is>
      </c>
      <c r="E3" s="4" t="inlineStr">
        <is>
          <t>DMA</t>
        </is>
      </c>
      <c r="F3" s="4" t="n"/>
      <c r="G3" s="4" t="inlineStr">
        <is>
          <t>2018gn</t>
        </is>
      </c>
      <c r="H3" s="4" t="n">
        <v>2018</v>
      </c>
      <c r="I3" s="5" t="n"/>
    </row>
    <row r="4">
      <c r="A4" t="inlineStr">
        <is>
          <t>no_year_in_pairs</t>
        </is>
      </c>
      <c r="B4" s="2" t="n"/>
      <c r="C4" s="3" t="inlineStr">
        <is>
          <t>SM.19.158, Sup. 2</t>
        </is>
      </c>
      <c r="D4" s="4" t="inlineStr">
        <is>
          <t>Dominica</t>
        </is>
      </c>
      <c r="E4" s="4" t="inlineStr">
        <is>
          <t>DMA</t>
        </is>
      </c>
      <c r="F4" s="4" t="n"/>
      <c r="G4" s="4" t="inlineStr">
        <is>
          <t>2018gn</t>
        </is>
      </c>
      <c r="H4" s="4" t="n">
        <v>2018</v>
      </c>
      <c r="I4" s="5" t="n"/>
    </row>
    <row r="5">
      <c r="A5" t="inlineStr">
        <is>
          <t>no_year_in_pairs</t>
        </is>
      </c>
      <c r="B5" s="2" t="n"/>
      <c r="C5" s="3" t="inlineStr">
        <is>
          <t>SM.19.158, Sup. 2</t>
        </is>
      </c>
      <c r="D5" s="4" t="inlineStr">
        <is>
          <t>Dominica</t>
        </is>
      </c>
      <c r="E5" s="4" t="inlineStr">
        <is>
          <t>DMA</t>
        </is>
      </c>
      <c r="F5" s="4" t="n"/>
      <c r="G5" s="4" t="inlineStr">
        <is>
          <t>2018gn</t>
        </is>
      </c>
      <c r="H5" s="4" t="n">
        <v>2018</v>
      </c>
      <c r="I5" s="5" t="n"/>
      <c r="J5" t="inlineStr">
        <is>
          <t>Blue cells are populated automatically</t>
        </is>
      </c>
    </row>
    <row r="6">
      <c r="A6" t="inlineStr">
        <is>
          <t>no_year_in_pairs</t>
        </is>
      </c>
      <c r="B6" s="2" t="n"/>
      <c r="C6" s="3" t="inlineStr">
        <is>
          <t>SM.19.158, Sup. 2</t>
        </is>
      </c>
      <c r="D6" s="4" t="inlineStr">
        <is>
          <t>Dominica</t>
        </is>
      </c>
      <c r="E6" s="4" t="inlineStr">
        <is>
          <t>DMA</t>
        </is>
      </c>
      <c r="F6" s="4" t="n"/>
      <c r="G6" s="4" t="inlineStr">
        <is>
          <t>2018gn</t>
        </is>
      </c>
      <c r="H6" s="4" t="n">
        <v>2018</v>
      </c>
      <c r="I6" s="5" t="n"/>
    </row>
    <row r="7">
      <c r="A7" t="inlineStr">
        <is>
          <t>no_year_in_pairs</t>
        </is>
      </c>
      <c r="B7" s="2" t="n"/>
      <c r="C7" s="3" t="inlineStr">
        <is>
          <t>SM.19.158, Sup. 2</t>
        </is>
      </c>
      <c r="D7" s="4" t="inlineStr">
        <is>
          <t>Dominica</t>
        </is>
      </c>
      <c r="E7" s="4" t="inlineStr">
        <is>
          <t>DMA</t>
        </is>
      </c>
      <c r="F7" s="4" t="n"/>
      <c r="G7" s="4" t="inlineStr">
        <is>
          <t>2018gn</t>
        </is>
      </c>
      <c r="H7" s="4" t="n">
        <v>2018</v>
      </c>
      <c r="I7" s="5" t="n"/>
    </row>
    <row r="8">
      <c r="A8" t="inlineStr">
        <is>
          <t>no_year_in_pairs</t>
        </is>
      </c>
      <c r="B8" s="2" t="n"/>
      <c r="C8" s="3" t="inlineStr">
        <is>
          <t>SM.19.158, Sup. 2</t>
        </is>
      </c>
      <c r="D8" s="4" t="inlineStr">
        <is>
          <t>Dominica</t>
        </is>
      </c>
      <c r="E8" s="4" t="inlineStr">
        <is>
          <t>DMA</t>
        </is>
      </c>
      <c r="F8" s="4" t="n"/>
      <c r="G8" s="4" t="inlineStr">
        <is>
          <t>2018gn</t>
        </is>
      </c>
      <c r="H8" s="4" t="n">
        <v>2018</v>
      </c>
      <c r="I8" s="5" t="n"/>
      <c r="J8" t="inlineStr">
        <is>
          <t>1. Old MLT debt (excluding arrears): debt service due 1/</t>
        </is>
      </c>
    </row>
    <row r="9">
      <c r="A9" t="inlineStr">
        <is>
          <t>no_year_in_pairs</t>
        </is>
      </c>
      <c r="B9" s="2" t="n"/>
      <c r="C9" s="3" t="inlineStr">
        <is>
          <t>SM.19.158, Sup. 2</t>
        </is>
      </c>
      <c r="D9" s="4" t="inlineStr">
        <is>
          <t>Dominica</t>
        </is>
      </c>
      <c r="E9" s="4" t="inlineStr">
        <is>
          <t>DMA</t>
        </is>
      </c>
      <c r="F9" s="4" t="n"/>
      <c r="G9" s="4" t="inlineStr">
        <is>
          <t>2018gn</t>
        </is>
      </c>
      <c r="H9" s="4" t="n">
        <v>2018</v>
      </c>
      <c r="I9" s="5" t="n"/>
      <c r="M9" t="n">
        <v>2016</v>
      </c>
      <c r="N9" t="n">
        <v>2017</v>
      </c>
      <c r="O9" t="n">
        <v>2018</v>
      </c>
      <c r="P9" t="n">
        <v>2019</v>
      </c>
      <c r="Q9" t="n">
        <v>2020</v>
      </c>
      <c r="R9" t="n">
        <v>2021</v>
      </c>
      <c r="S9" t="n">
        <v>2022</v>
      </c>
      <c r="T9" t="n">
        <v>2023</v>
      </c>
      <c r="U9" t="n">
        <v>2024</v>
      </c>
      <c r="V9" t="n">
        <v>2025</v>
      </c>
      <c r="W9" t="n">
        <v>2026</v>
      </c>
      <c r="X9" t="n">
        <v>2027</v>
      </c>
      <c r="Y9" t="n">
        <v>2028</v>
      </c>
      <c r="Z9" t="n">
        <v>2029</v>
      </c>
      <c r="AA9" t="n">
        <v>2030</v>
      </c>
      <c r="AB9" t="n">
        <v>2031</v>
      </c>
      <c r="AC9" t="n">
        <v>2032</v>
      </c>
      <c r="AD9" t="n">
        <v>2033</v>
      </c>
      <c r="AE9" t="n">
        <v>2034</v>
      </c>
      <c r="AF9" t="n">
        <v>2035</v>
      </c>
      <c r="AG9" t="n">
        <v>2036</v>
      </c>
      <c r="AH9" t="n">
        <v>2037</v>
      </c>
      <c r="AI9" t="n">
        <v>2038</v>
      </c>
      <c r="AJ9" t="n">
        <v>2039</v>
      </c>
      <c r="AK9" t="n">
        <v>2040</v>
      </c>
      <c r="AL9" t="n">
        <v>2041</v>
      </c>
      <c r="AM9" t="n">
        <v>2042</v>
      </c>
      <c r="AN9" t="n">
        <v>2043</v>
      </c>
      <c r="AO9" t="n">
        <v>2044</v>
      </c>
      <c r="AP9" t="n">
        <v>2045</v>
      </c>
      <c r="AQ9" t="n">
        <v>2046</v>
      </c>
      <c r="AR9" t="n">
        <v>2047</v>
      </c>
      <c r="AS9" t="n">
        <v>2048</v>
      </c>
      <c r="AT9" t="n">
        <v>2049</v>
      </c>
      <c r="AU9" t="n">
        <v>2050</v>
      </c>
      <c r="AV9" t="n">
        <v>2051</v>
      </c>
      <c r="AW9" t="n">
        <v>2052</v>
      </c>
      <c r="AX9" t="n">
        <v>2053</v>
      </c>
      <c r="AY9" t="n">
        <v>2054</v>
      </c>
      <c r="AZ9" t="n">
        <v>2055</v>
      </c>
      <c r="BA9" t="n">
        <v>2056</v>
      </c>
      <c r="BB9" t="n">
        <v>2057</v>
      </c>
      <c r="BC9" t="n">
        <v>2058</v>
      </c>
      <c r="BD9" t="n">
        <v>2059</v>
      </c>
      <c r="BE9" t="n">
        <v>2060</v>
      </c>
      <c r="BF9" t="n">
        <v>2061</v>
      </c>
      <c r="BG9" t="n">
        <v>2062</v>
      </c>
      <c r="BI9" t="inlineStr">
        <is>
          <t>Series Code</t>
        </is>
      </c>
    </row>
    <row r="10">
      <c r="A10" t="inlineStr">
        <is>
          <t>no_year_in_pairs</t>
        </is>
      </c>
      <c r="B10" s="2" t="n"/>
      <c r="C10" s="3" t="inlineStr">
        <is>
          <t>SM.19.158, Sup. 2</t>
        </is>
      </c>
      <c r="D10" s="4" t="inlineStr">
        <is>
          <t>Dominica</t>
        </is>
      </c>
      <c r="E10" s="4" t="inlineStr">
        <is>
          <t>DMA</t>
        </is>
      </c>
      <c r="F10" s="4" t="n"/>
      <c r="G10" s="4" t="inlineStr">
        <is>
          <t>2018gn</t>
        </is>
      </c>
      <c r="H10" s="4" t="n">
        <v>2018</v>
      </c>
      <c r="I10" s="5" t="n"/>
      <c r="J10" t="inlineStr">
        <is>
          <t>External debt (excluding locally-issued debt)</t>
        </is>
      </c>
    </row>
    <row r="11">
      <c r="A11" t="inlineStr">
        <is>
          <t>no_year_in_pairs</t>
        </is>
      </c>
      <c r="B11" s="2" t="n"/>
      <c r="C11" s="3" t="inlineStr">
        <is>
          <t>SM.19.158, Sup. 2</t>
        </is>
      </c>
      <c r="D11" s="4" t="inlineStr">
        <is>
          <t>Dominica</t>
        </is>
      </c>
      <c r="E11" s="4" t="inlineStr">
        <is>
          <t>DMA</t>
        </is>
      </c>
      <c r="F11" s="4" t="n"/>
      <c r="G11" s="4" t="inlineStr">
        <is>
          <t>2018gn</t>
        </is>
      </c>
      <c r="H11" s="4" t="n">
        <v>2018</v>
      </c>
      <c r="I11" s="4" t="inlineStr">
        <is>
          <t>old.tds.mlt</t>
        </is>
      </c>
      <c r="J11" t="inlineStr">
        <is>
          <t>Multilaterals</t>
        </is>
      </c>
      <c r="N11" t="n">
        <v>11.74808996296296</v>
      </c>
      <c r="O11" t="n">
        <v>3.365137592592587</v>
      </c>
      <c r="P11" t="n">
        <v>8.76125988888888</v>
      </c>
      <c r="Q11" t="n">
        <v>11.46541670370371</v>
      </c>
      <c r="R11" t="n">
        <v>11.82502218518518</v>
      </c>
      <c r="S11" t="n">
        <v>11.56775107407406</v>
      </c>
      <c r="T11" t="n">
        <v>11.45331633333333</v>
      </c>
      <c r="U11" t="n">
        <v>10.66463339473504</v>
      </c>
      <c r="V11" t="n">
        <v>9.94190113263728</v>
      </c>
      <c r="W11" t="n">
        <v>9.278963213100946</v>
      </c>
      <c r="X11" t="n">
        <v>8.670289560577233</v>
      </c>
      <c r="Y11" t="n">
        <v>8.110908163704007</v>
      </c>
      <c r="Z11" t="n">
        <v>7.596344694782744</v>
      </c>
      <c r="AA11" t="n">
        <v>7.122569016146361</v>
      </c>
      <c r="AB11" t="n">
        <v>6.685947756967452</v>
      </c>
      <c r="AC11" t="n">
        <v>6.283202243612577</v>
      </c>
      <c r="AD11" t="n">
        <v>5.911371153810885</v>
      </c>
      <c r="AE11" t="n">
        <v>5.567777341238562</v>
      </c>
      <c r="AF11" t="n">
        <v>5.24999834399474</v>
      </c>
      <c r="AG11" t="n">
        <v>4.955840149049306</v>
      </c>
      <c r="AH11" t="n">
        <v>4.683313836120155</v>
      </c>
      <c r="AI11" t="n">
        <v>4.430614769493193</v>
      </c>
      <c r="AJ11" t="n">
        <v>4.196104045826258</v>
      </c>
      <c r="AK11" t="n">
        <v>3.978291940667604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no_year_in_pairs</t>
        </is>
      </c>
      <c r="B12" s="2" t="n"/>
      <c r="C12" s="3" t="inlineStr">
        <is>
          <t>SM.19.158, Sup. 2</t>
        </is>
      </c>
      <c r="D12" s="4" t="inlineStr">
        <is>
          <t>Dominica</t>
        </is>
      </c>
      <c r="E12" s="4" t="inlineStr">
        <is>
          <t>DMA</t>
        </is>
      </c>
      <c r="F12" s="4" t="n"/>
      <c r="G12" s="4" t="inlineStr">
        <is>
          <t>2018gn</t>
        </is>
      </c>
      <c r="H12" s="4" t="n">
        <v>2018</v>
      </c>
      <c r="I12" s="4" t="inlineStr">
        <is>
          <t>old.tds.mlt.imf</t>
        </is>
      </c>
      <c r="J12" t="inlineStr">
        <is>
          <t>IMF</t>
        </is>
      </c>
      <c r="N12" t="n">
        <v>1.51015574074074</v>
      </c>
      <c r="O12" t="n">
        <v>0</v>
      </c>
      <c r="P12" t="n">
        <v>1.02453533333333</v>
      </c>
      <c r="Q12" t="n">
        <v>0.996076037037037</v>
      </c>
      <c r="R12" t="n">
        <v>1.42296574074074</v>
      </c>
      <c r="S12" t="n">
        <v>0.853779444444444</v>
      </c>
      <c r="T12" t="n">
        <v>0.853779444444444</v>
      </c>
      <c r="U12" t="n">
        <v>0.7399421855144031</v>
      </c>
      <c r="V12" t="n">
        <v>0.6412832277311391</v>
      </c>
      <c r="W12" t="n">
        <v>0.5557787976142661</v>
      </c>
      <c r="X12" t="n">
        <v>0.481674958146673</v>
      </c>
      <c r="Y12" t="n">
        <v>0.417451630579517</v>
      </c>
      <c r="Z12" t="n">
        <v>0.361791413329885</v>
      </c>
      <c r="AA12" t="n">
        <v>0.313552558358741</v>
      </c>
      <c r="AB12" t="n">
        <v>0.271745550698481</v>
      </c>
      <c r="AC12" t="n">
        <v>0.235512810710136</v>
      </c>
      <c r="AD12" t="n">
        <v>0.204111102706265</v>
      </c>
      <c r="AE12" t="n">
        <v>0.176896289090802</v>
      </c>
      <c r="AF12" t="n">
        <v>0.15331011728024</v>
      </c>
      <c r="AG12" t="n">
        <v>0.132868768368657</v>
      </c>
      <c r="AH12" t="n">
        <v>0.115152932637404</v>
      </c>
      <c r="AI12" t="n">
        <v>0.09979920833015329</v>
      </c>
      <c r="AJ12" t="n">
        <v>0.0864926472579489</v>
      </c>
      <c r="AK12" t="n">
        <v>0.074960294323574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no_year_in_pairs</t>
        </is>
      </c>
      <c r="B13" s="2" t="n"/>
      <c r="C13" s="3" t="inlineStr">
        <is>
          <t>SM.19.158, Sup. 2</t>
        </is>
      </c>
      <c r="D13" s="4" t="inlineStr">
        <is>
          <t>Dominica</t>
        </is>
      </c>
      <c r="E13" s="4" t="inlineStr">
        <is>
          <t>DMA</t>
        </is>
      </c>
      <c r="F13" s="4" t="n"/>
      <c r="G13" s="4" t="inlineStr">
        <is>
          <t>2018gn</t>
        </is>
      </c>
      <c r="H13" s="4" t="n">
        <v>2018</v>
      </c>
      <c r="I13" s="4" t="inlineStr">
        <is>
          <t>old.tds.mlt.ida.reg</t>
        </is>
      </c>
      <c r="J13" t="inlineStr">
        <is>
          <t>IDA - small economy</t>
        </is>
      </c>
      <c r="N13" t="n">
        <v>1.09493648148148</v>
      </c>
      <c r="O13" t="n">
        <v>0.177933407407407</v>
      </c>
      <c r="P13" t="n">
        <v>1.315203</v>
      </c>
      <c r="Q13" t="n">
        <v>1.39480374074074</v>
      </c>
      <c r="R13" t="n">
        <v>1.48679281481481</v>
      </c>
      <c r="S13" t="n">
        <v>1.5740227037037</v>
      </c>
      <c r="T13" t="n">
        <v>1.64848833333333</v>
      </c>
      <c r="U13" t="n">
        <v>1.62822179872917</v>
      </c>
      <c r="V13" t="n">
        <v>1.60820442113544</v>
      </c>
      <c r="W13" t="n">
        <v>1.58843313741297</v>
      </c>
      <c r="X13" t="n">
        <v>1.56890492208088</v>
      </c>
      <c r="Y13" t="n">
        <v>1.54961678685356</v>
      </c>
      <c r="Z13" t="n">
        <v>1.53056578018344</v>
      </c>
      <c r="AA13" t="n">
        <v>1.51174898680928</v>
      </c>
      <c r="AB13" t="n">
        <v>1.49316352731014</v>
      </c>
      <c r="AC13" t="n">
        <v>1.47480655766467</v>
      </c>
      <c r="AD13" t="n">
        <v>1.45667526881599</v>
      </c>
      <c r="AE13" t="n">
        <v>1.43876688624176</v>
      </c>
      <c r="AF13" t="n">
        <v>1.42107866952968</v>
      </c>
      <c r="AG13" t="n">
        <v>1.40360791195809</v>
      </c>
      <c r="AH13" t="n">
        <v>1.38635194008181</v>
      </c>
      <c r="AI13" t="n">
        <v>1.36930811332302</v>
      </c>
      <c r="AJ13" t="n">
        <v>1.3524738235672</v>
      </c>
      <c r="AK13" t="n">
        <v>1.33584649476402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no_year_in_pairs</t>
        </is>
      </c>
      <c r="B14" s="2" t="n"/>
      <c r="C14" s="3" t="inlineStr">
        <is>
          <t>SM.19.158, Sup. 2</t>
        </is>
      </c>
      <c r="D14" s="4" t="inlineStr">
        <is>
          <t>Dominica</t>
        </is>
      </c>
      <c r="E14" s="4" t="inlineStr">
        <is>
          <t>DMA</t>
        </is>
      </c>
      <c r="F14" s="4" t="n"/>
      <c r="G14" s="4" t="inlineStr">
        <is>
          <t>2018gn</t>
        </is>
      </c>
      <c r="H14" s="4" t="n">
        <v>2018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no_year_in_pairs</t>
        </is>
      </c>
      <c r="B15" s="2" t="n"/>
      <c r="C15" s="3" t="inlineStr">
        <is>
          <t>SM.19.158, Sup. 2</t>
        </is>
      </c>
      <c r="D15" s="4" t="inlineStr">
        <is>
          <t>Dominica</t>
        </is>
      </c>
      <c r="E15" s="4" t="inlineStr">
        <is>
          <t>DMA</t>
        </is>
      </c>
      <c r="F15" s="4" t="n"/>
      <c r="G15" s="4" t="inlineStr">
        <is>
          <t>2018gn</t>
        </is>
      </c>
      <c r="H15" s="4" t="n">
        <v>2018</v>
      </c>
      <c r="I15" s="4" t="inlineStr">
        <is>
          <t>old.tds.mlt2</t>
        </is>
      </c>
      <c r="J15" t="inlineStr">
        <is>
          <t>CDB</t>
        </is>
      </c>
      <c r="N15" t="n">
        <v>9.142997740740741</v>
      </c>
      <c r="O15" t="n">
        <v>3.18720418518518</v>
      </c>
      <c r="P15" t="n">
        <v>6.42152155555555</v>
      </c>
      <c r="Q15" t="n">
        <v>9.07453692592593</v>
      </c>
      <c r="R15" t="n">
        <v>8.915263629629631</v>
      </c>
      <c r="S15" t="n">
        <v>9.139948925925919</v>
      </c>
      <c r="T15" t="n">
        <v>8.951048555555559</v>
      </c>
      <c r="U15" t="n">
        <v>8.29646941049147</v>
      </c>
      <c r="V15" t="n">
        <v>7.6924134837707</v>
      </c>
      <c r="W15" t="n">
        <v>7.13475127807371</v>
      </c>
      <c r="X15" t="n">
        <v>6.61970968034968</v>
      </c>
      <c r="Y15" t="n">
        <v>6.14383974627093</v>
      </c>
      <c r="Z15" t="n">
        <v>5.703987501269419</v>
      </c>
      <c r="AA15" t="n">
        <v>5.29726747097834</v>
      </c>
      <c r="AB15" t="n">
        <v>4.921038678958831</v>
      </c>
      <c r="AC15" t="n">
        <v>4.57288287523777</v>
      </c>
      <c r="AD15" t="n">
        <v>4.250584782288629</v>
      </c>
      <c r="AE15" t="n">
        <v>3.952114165906</v>
      </c>
      <c r="AF15" t="n">
        <v>3.67560955718482</v>
      </c>
      <c r="AG15" t="n">
        <v>3.41936346872256</v>
      </c>
      <c r="AH15" t="n">
        <v>3.18180896340094</v>
      </c>
      <c r="AI15" t="n">
        <v>2.96150744784002</v>
      </c>
      <c r="AJ15" t="n">
        <v>2.75713757500111</v>
      </c>
      <c r="AK15" t="n">
        <v>2.56748515158001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no_year_in_pairs</t>
        </is>
      </c>
      <c r="B16" s="2" t="n"/>
      <c r="C16" s="3" t="inlineStr">
        <is>
          <t>SM.19.158, Sup. 2</t>
        </is>
      </c>
      <c r="D16" s="4" t="inlineStr">
        <is>
          <t>Dominica</t>
        </is>
      </c>
      <c r="E16" s="4" t="inlineStr">
        <is>
          <t>DMA</t>
        </is>
      </c>
      <c r="F16" s="4" t="n"/>
      <c r="G16" s="4" t="inlineStr">
        <is>
          <t>2018gn</t>
        </is>
      </c>
      <c r="H16" s="4" t="n">
        <v>2018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no_year_in_pairs</t>
        </is>
      </c>
      <c r="B17" s="2" t="n"/>
      <c r="C17" s="3" t="inlineStr">
        <is>
          <t>SM.19.158, Sup. 2</t>
        </is>
      </c>
      <c r="D17" s="4" t="inlineStr">
        <is>
          <t>Dominica</t>
        </is>
      </c>
      <c r="E17" s="4" t="inlineStr">
        <is>
          <t>DMA</t>
        </is>
      </c>
      <c r="F17" s="4" t="n"/>
      <c r="G17" s="4" t="inlineStr">
        <is>
          <t>2018gn</t>
        </is>
      </c>
      <c r="H17" s="4" t="n">
        <v>2018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no_year_in_pairs</t>
        </is>
      </c>
      <c r="B18" s="2" t="n"/>
      <c r="C18" s="3" t="inlineStr">
        <is>
          <t>SM.19.158, Sup. 2</t>
        </is>
      </c>
      <c r="D18" s="4" t="inlineStr">
        <is>
          <t>Dominica</t>
        </is>
      </c>
      <c r="E18" s="4" t="inlineStr">
        <is>
          <t>DMA</t>
        </is>
      </c>
      <c r="F18" s="4" t="n"/>
      <c r="G18" s="4" t="inlineStr">
        <is>
          <t>2018gn</t>
        </is>
      </c>
      <c r="H18" s="4" t="n">
        <v>2018</v>
      </c>
      <c r="I18" s="4" t="inlineStr">
        <is>
          <t>old.tds.mlt.oth</t>
        </is>
      </c>
      <c r="J18" t="inlineStr">
        <is>
          <t>Other Multilaterals</t>
        </is>
      </c>
      <c r="N18" t="n">
        <v>3.15133485185185</v>
      </c>
      <c r="O18" t="n">
        <v>1.24653044444444</v>
      </c>
      <c r="P18" t="n">
        <v>2.51753096296297</v>
      </c>
      <c r="Q18" t="n">
        <v>3.93167074074074</v>
      </c>
      <c r="R18" t="n">
        <v>3.28132781481481</v>
      </c>
      <c r="S18" t="n">
        <v>3.17288440740741</v>
      </c>
      <c r="T18" t="n">
        <v>3.50853333333333</v>
      </c>
      <c r="U18" t="n">
        <v>2.1568401334553</v>
      </c>
      <c r="V18" t="n">
        <v>2.93535648474257</v>
      </c>
      <c r="W18" t="n">
        <v>3.10488450704705</v>
      </c>
      <c r="X18" t="n">
        <v>3.23322216057992</v>
      </c>
      <c r="Y18" t="n">
        <v>3.29921282149621</v>
      </c>
      <c r="Z18" t="n">
        <v>3.18656679133725</v>
      </c>
      <c r="AA18" t="n">
        <v>2.44259819376742</v>
      </c>
      <c r="AB18" t="n">
        <v>0.319109569942808</v>
      </c>
      <c r="AC18" t="n">
        <v>0.387212245505375</v>
      </c>
      <c r="AD18" t="n">
        <v>0.431828340875427</v>
      </c>
      <c r="AE18" t="n">
        <v>0.464656393211936</v>
      </c>
      <c r="AF18" t="n">
        <v>0.506057292955455</v>
      </c>
      <c r="AG18" t="n">
        <v>0.529181085250614</v>
      </c>
      <c r="AH18" t="n">
        <v>0.540261190250789</v>
      </c>
      <c r="AI18" t="n">
        <v>0.54410386928526</v>
      </c>
      <c r="AJ18" t="n">
        <v>0.5432358857360421</v>
      </c>
      <c r="AK18" t="n">
        <v>0.538635856797934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no_year_in_pairs</t>
        </is>
      </c>
      <c r="B19" s="2" t="n"/>
      <c r="C19" s="3" t="inlineStr">
        <is>
          <t>SM.19.158, Sup. 2</t>
        </is>
      </c>
      <c r="D19" s="4" t="inlineStr">
        <is>
          <t>Dominica</t>
        </is>
      </c>
      <c r="E19" s="4" t="inlineStr">
        <is>
          <t>DMA</t>
        </is>
      </c>
      <c r="F19" s="4" t="n"/>
      <c r="G19" s="4" t="inlineStr">
        <is>
          <t>2018gn</t>
        </is>
      </c>
      <c r="H19" s="4" t="n">
        <v>2018</v>
      </c>
      <c r="I19" s="4" t="inlineStr">
        <is>
          <t>old.tds.mlt.oth1</t>
        </is>
      </c>
      <c r="J19" t="inlineStr">
        <is>
          <t>OTH_MULTI1</t>
        </is>
      </c>
      <c r="N19" t="n">
        <v>3.15133485185185</v>
      </c>
      <c r="O19" t="n">
        <v>1.24653044444444</v>
      </c>
      <c r="P19" t="n">
        <v>2.51753096296297</v>
      </c>
      <c r="Q19" t="n">
        <v>3.93167074074074</v>
      </c>
      <c r="R19" t="n">
        <v>3.28132781481481</v>
      </c>
      <c r="S19" t="n">
        <v>3.17288440740741</v>
      </c>
      <c r="T19" t="n">
        <v>3.50853333333333</v>
      </c>
      <c r="U19" t="n">
        <v>2.1568401334553</v>
      </c>
      <c r="V19" t="n">
        <v>2.93535648474257</v>
      </c>
      <c r="W19" t="n">
        <v>3.10488450704705</v>
      </c>
      <c r="X19" t="n">
        <v>3.23322216057992</v>
      </c>
      <c r="Y19" t="n">
        <v>3.29921282149621</v>
      </c>
      <c r="Z19" t="n">
        <v>3.18656679133725</v>
      </c>
      <c r="AA19" t="n">
        <v>2.44259819376742</v>
      </c>
      <c r="AB19" t="n">
        <v>0.319109569942808</v>
      </c>
      <c r="AC19" t="n">
        <v>0.387212245505375</v>
      </c>
      <c r="AD19" t="n">
        <v>0.431828340875427</v>
      </c>
      <c r="AE19" t="n">
        <v>0.464656393211936</v>
      </c>
      <c r="AF19" t="n">
        <v>0.506057292955455</v>
      </c>
      <c r="AG19" t="n">
        <v>0.529181085250614</v>
      </c>
      <c r="AH19" t="n">
        <v>0.540261190250789</v>
      </c>
      <c r="AI19" t="n">
        <v>0.54410386928526</v>
      </c>
      <c r="AJ19" t="n">
        <v>0.5432358857360421</v>
      </c>
      <c r="AK19" t="n">
        <v>0.538635856797934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no_year_in_pairs</t>
        </is>
      </c>
      <c r="B20" s="2" t="n"/>
      <c r="C20" s="3" t="inlineStr">
        <is>
          <t>SM.19.158, Sup. 2</t>
        </is>
      </c>
      <c r="D20" s="4" t="inlineStr">
        <is>
          <t>Dominica</t>
        </is>
      </c>
      <c r="E20" s="4" t="inlineStr">
        <is>
          <t>DMA</t>
        </is>
      </c>
      <c r="F20" s="4" t="n"/>
      <c r="G20" s="4" t="inlineStr">
        <is>
          <t>2018gn</t>
        </is>
      </c>
      <c r="H20" s="4" t="n">
        <v>2018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no_year_in_pairs</t>
        </is>
      </c>
      <c r="B21" s="2" t="n"/>
      <c r="C21" s="3" t="inlineStr">
        <is>
          <t>SM.19.158, Sup. 2</t>
        </is>
      </c>
      <c r="D21" s="4" t="inlineStr">
        <is>
          <t>Dominica</t>
        </is>
      </c>
      <c r="E21" s="4" t="inlineStr">
        <is>
          <t>DMA</t>
        </is>
      </c>
      <c r="F21" s="4" t="n"/>
      <c r="G21" s="4" t="inlineStr">
        <is>
          <t>2018gn</t>
        </is>
      </c>
      <c r="H21" s="4" t="n">
        <v>2018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no_year_in_pairs</t>
        </is>
      </c>
      <c r="B22" s="2" t="n"/>
      <c r="C22" s="3" t="inlineStr">
        <is>
          <t>SM.19.158, Sup. 2</t>
        </is>
      </c>
      <c r="D22" s="4" t="inlineStr">
        <is>
          <t>Dominica</t>
        </is>
      </c>
      <c r="E22" s="4" t="inlineStr">
        <is>
          <t>DMA</t>
        </is>
      </c>
      <c r="F22" s="4" t="n"/>
      <c r="G22" s="4" t="inlineStr">
        <is>
          <t>2018gn</t>
        </is>
      </c>
      <c r="H22" s="4" t="n">
        <v>2018</v>
      </c>
      <c r="I22" s="4" t="inlineStr">
        <is>
          <t>old.tds.blt</t>
        </is>
      </c>
      <c r="J22" t="inlineStr">
        <is>
          <t>Official Bilaterals</t>
        </is>
      </c>
      <c r="N22" t="n">
        <v>9.785817138604642</v>
      </c>
      <c r="O22" t="n">
        <v>1.587388727451696</v>
      </c>
      <c r="P22" t="n">
        <v>8.226584241786158</v>
      </c>
      <c r="Q22" t="n">
        <v>8.088290872792214</v>
      </c>
      <c r="R22" t="n">
        <v>7.524840742517858</v>
      </c>
      <c r="S22" t="n">
        <v>7.336878546386275</v>
      </c>
      <c r="T22" t="n">
        <v>7.183369979426452</v>
      </c>
      <c r="U22" t="n">
        <v>6.397366602498808</v>
      </c>
      <c r="V22" t="n">
        <v>6.066855268643654</v>
      </c>
      <c r="W22" t="n">
        <v>5.704613001262476</v>
      </c>
      <c r="X22" t="n">
        <v>5.390998300337429</v>
      </c>
      <c r="Y22" t="n">
        <v>5.056719249691732</v>
      </c>
      <c r="Z22" t="n">
        <v>4.692086046172691</v>
      </c>
      <c r="AA22" t="n">
        <v>4.401833005951601</v>
      </c>
      <c r="AB22" t="n">
        <v>2.452111595505081</v>
      </c>
      <c r="AC22" t="n">
        <v>0.8324478913009892</v>
      </c>
      <c r="AD22" t="n">
        <v>0.576276980213416</v>
      </c>
      <c r="AE22" t="n">
        <v>0.3584995724845641</v>
      </c>
      <c r="AF22" t="n">
        <v>0.005615839414022855</v>
      </c>
      <c r="AG22" t="n">
        <v>0.004445721005291267</v>
      </c>
      <c r="AH22" t="n">
        <v>0.004285193198248771</v>
      </c>
      <c r="AI22" t="n">
        <v>0.003015783233358368</v>
      </c>
      <c r="AJ22" t="n">
        <v>-1.99615107819487</v>
      </c>
      <c r="AK22" t="n">
        <v>-1.99999992747132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no_year_in_pairs</t>
        </is>
      </c>
      <c r="B23" s="2" t="n"/>
      <c r="C23" s="3" t="inlineStr">
        <is>
          <t>SM.19.158, Sup. 2</t>
        </is>
      </c>
      <c r="D23" s="4" t="inlineStr">
        <is>
          <t>Dominica</t>
        </is>
      </c>
      <c r="E23" s="4" t="inlineStr">
        <is>
          <t>DMA</t>
        </is>
      </c>
      <c r="F23" s="4" t="n"/>
      <c r="G23" s="4" t="inlineStr">
        <is>
          <t>2018gn</t>
        </is>
      </c>
      <c r="H23" s="4" t="n">
        <v>2018</v>
      </c>
      <c r="I23" s="4" t="inlineStr">
        <is>
          <t>old.tds.pc</t>
        </is>
      </c>
      <c r="J23" t="inlineStr">
        <is>
          <t xml:space="preserve">   Paris Club</t>
        </is>
      </c>
      <c r="N23" t="n">
        <v>4.39346411111111</v>
      </c>
      <c r="O23" t="n">
        <v>1.2581427037037</v>
      </c>
      <c r="P23" t="n">
        <v>3.45325874074074</v>
      </c>
      <c r="Q23" t="n">
        <v>2.78387781481481</v>
      </c>
      <c r="R23" t="n">
        <v>2.71946996296296</v>
      </c>
      <c r="S23" t="n">
        <v>2.66727392592593</v>
      </c>
      <c r="T23" t="n">
        <v>2.61793955555556</v>
      </c>
      <c r="U23" t="n">
        <v>2.04121424796273</v>
      </c>
      <c r="V23" t="n">
        <v>1.59154006248636</v>
      </c>
      <c r="W23" t="n">
        <v>1.2409279295533</v>
      </c>
      <c r="X23" t="n">
        <v>0.967554736850132</v>
      </c>
      <c r="Y23" t="n">
        <v>0.754404946899796</v>
      </c>
      <c r="Z23" t="n">
        <v>0.588211500839397</v>
      </c>
      <c r="AA23" t="n">
        <v>0.458630038338935</v>
      </c>
      <c r="AB23" t="n">
        <v>0.35759503472239</v>
      </c>
      <c r="AC23" t="n">
        <v>0.278817779405034</v>
      </c>
      <c r="AD23" t="n">
        <v>0.217394948374227</v>
      </c>
      <c r="AE23" t="n">
        <v>0.169503407133798</v>
      </c>
      <c r="AF23" t="n">
        <v>0.132162247765332</v>
      </c>
      <c r="AG23" t="n">
        <v>0.103047248605436</v>
      </c>
      <c r="AH23" t="n">
        <v>0.08034620797313641</v>
      </c>
      <c r="AI23" t="n">
        <v>0.0626461475005549</v>
      </c>
      <c r="AJ23" t="n">
        <v>0.0488453642762262</v>
      </c>
      <c r="AK23" t="n">
        <v>0.03808485767231101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no_year_in_pairs</t>
        </is>
      </c>
      <c r="B24" s="2" t="n"/>
      <c r="C24" s="3" t="inlineStr">
        <is>
          <t>SM.19.158, Sup. 2</t>
        </is>
      </c>
      <c r="D24" s="4" t="inlineStr">
        <is>
          <t>Dominica</t>
        </is>
      </c>
      <c r="E24" s="4" t="inlineStr">
        <is>
          <t>DMA</t>
        </is>
      </c>
      <c r="F24" s="4" t="n"/>
      <c r="G24" s="4" t="inlineStr">
        <is>
          <t>2018gn</t>
        </is>
      </c>
      <c r="H24" s="4" t="n">
        <v>2018</v>
      </c>
      <c r="I24" s="4" t="inlineStr">
        <is>
          <t>old.tds.pc1</t>
        </is>
      </c>
      <c r="J24" t="inlineStr">
        <is>
          <t>Export Credit Agencies</t>
        </is>
      </c>
      <c r="N24" t="n">
        <v>4.39346411111111</v>
      </c>
      <c r="O24" t="n">
        <v>1.2581427037037</v>
      </c>
      <c r="P24" t="n">
        <v>3.45325874074074</v>
      </c>
      <c r="Q24" t="n">
        <v>2.78387781481481</v>
      </c>
      <c r="R24" t="n">
        <v>2.71946996296296</v>
      </c>
      <c r="S24" t="n">
        <v>2.66727392592593</v>
      </c>
      <c r="T24" t="n">
        <v>2.61793955555556</v>
      </c>
      <c r="U24" t="n">
        <v>2.04121424796273</v>
      </c>
      <c r="V24" t="n">
        <v>1.59154006248636</v>
      </c>
      <c r="W24" t="n">
        <v>1.2409279295533</v>
      </c>
      <c r="X24" t="n">
        <v>0.967554736850132</v>
      </c>
      <c r="Y24" t="n">
        <v>0.754404946899796</v>
      </c>
      <c r="Z24" t="n">
        <v>0.588211500839397</v>
      </c>
      <c r="AA24" t="n">
        <v>0.458630038338935</v>
      </c>
      <c r="AB24" t="n">
        <v>0.35759503472239</v>
      </c>
      <c r="AC24" t="n">
        <v>0.278817779405034</v>
      </c>
      <c r="AD24" t="n">
        <v>0.217394948374227</v>
      </c>
      <c r="AE24" t="n">
        <v>0.169503407133798</v>
      </c>
      <c r="AF24" t="n">
        <v>0.132162247765332</v>
      </c>
      <c r="AG24" t="n">
        <v>0.103047248605436</v>
      </c>
      <c r="AH24" t="n">
        <v>0.08034620797313641</v>
      </c>
      <c r="AI24" t="n">
        <v>0.0626461475005549</v>
      </c>
      <c r="AJ24" t="n">
        <v>0.0488453642762262</v>
      </c>
      <c r="AK24" t="n">
        <v>0.03808485767231101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no_year_in_pairs</t>
        </is>
      </c>
      <c r="B25" s="2" t="n"/>
      <c r="C25" s="3" t="inlineStr">
        <is>
          <t>SM.19.158, Sup. 2</t>
        </is>
      </c>
      <c r="D25" s="4" t="inlineStr">
        <is>
          <t>Dominica</t>
        </is>
      </c>
      <c r="E25" s="4" t="inlineStr">
        <is>
          <t>DMA</t>
        </is>
      </c>
      <c r="F25" s="4" t="n"/>
      <c r="G25" s="4" t="inlineStr">
        <is>
          <t>2018gn</t>
        </is>
      </c>
      <c r="H25" s="4" t="n">
        <v>2018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no_year_in_pairs</t>
        </is>
      </c>
      <c r="B26" s="2" t="n"/>
      <c r="C26" s="3" t="inlineStr">
        <is>
          <t>SM.19.158, Sup. 2</t>
        </is>
      </c>
      <c r="D26" s="4" t="inlineStr">
        <is>
          <t>Dominica</t>
        </is>
      </c>
      <c r="E26" s="4" t="inlineStr">
        <is>
          <t>DMA</t>
        </is>
      </c>
      <c r="F26" s="4" t="n"/>
      <c r="G26" s="4" t="inlineStr">
        <is>
          <t>2018gn</t>
        </is>
      </c>
      <c r="H26" s="4" t="n">
        <v>2018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no_year_in_pairs</t>
        </is>
      </c>
      <c r="B27" s="2" t="n"/>
      <c r="C27" s="3" t="inlineStr">
        <is>
          <t>SM.19.158, Sup. 2</t>
        </is>
      </c>
      <c r="D27" s="4" t="inlineStr">
        <is>
          <t>Dominica</t>
        </is>
      </c>
      <c r="E27" s="4" t="inlineStr">
        <is>
          <t>DMA</t>
        </is>
      </c>
      <c r="F27" s="4" t="n"/>
      <c r="G27" s="4" t="inlineStr">
        <is>
          <t>2018gn</t>
        </is>
      </c>
      <c r="H27" s="4" t="n">
        <v>2018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no_year_in_pairs</t>
        </is>
      </c>
      <c r="B28" s="2" t="n"/>
      <c r="C28" s="3" t="inlineStr">
        <is>
          <t>SM.19.158, Sup. 2</t>
        </is>
      </c>
      <c r="D28" s="4" t="inlineStr">
        <is>
          <t>Dominica</t>
        </is>
      </c>
      <c r="E28" s="4" t="inlineStr">
        <is>
          <t>DMA</t>
        </is>
      </c>
      <c r="F28" s="4" t="n"/>
      <c r="G28" s="4" t="inlineStr">
        <is>
          <t>2018gn</t>
        </is>
      </c>
      <c r="H28" s="4" t="n">
        <v>2018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no_year_in_pairs</t>
        </is>
      </c>
      <c r="B29" s="2" t="n"/>
      <c r="C29" s="3" t="inlineStr">
        <is>
          <t>SM.19.158, Sup. 2</t>
        </is>
      </c>
      <c r="D29" s="4" t="inlineStr">
        <is>
          <t>Dominica</t>
        </is>
      </c>
      <c r="E29" s="4" t="inlineStr">
        <is>
          <t>DMA</t>
        </is>
      </c>
      <c r="F29" s="4" t="n"/>
      <c r="G29" s="4" t="inlineStr">
        <is>
          <t>2018gn</t>
        </is>
      </c>
      <c r="H29" s="4" t="n">
        <v>2018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5.392353027493533</v>
      </c>
      <c r="O29" t="n">
        <v>0.3292460237479954</v>
      </c>
      <c r="P29" t="n">
        <v>4.773325501045418</v>
      </c>
      <c r="Q29" t="n">
        <v>5.304413057977404</v>
      </c>
      <c r="R29" t="n">
        <v>4.805370779554898</v>
      </c>
      <c r="S29" t="n">
        <v>4.669604620460346</v>
      </c>
      <c r="T29" t="n">
        <v>4.565430423870892</v>
      </c>
      <c r="U29" t="n">
        <v>4.356152354536079</v>
      </c>
      <c r="V29" t="n">
        <v>4.475315206157294</v>
      </c>
      <c r="W29" t="n">
        <v>4.463685071709175</v>
      </c>
      <c r="X29" t="n">
        <v>4.423443563487298</v>
      </c>
      <c r="Y29" t="n">
        <v>4.302314302791936</v>
      </c>
      <c r="Z29" t="n">
        <v>4.103874545333294</v>
      </c>
      <c r="AA29" t="n">
        <v>3.943202967612666</v>
      </c>
      <c r="AB29" t="n">
        <v>2.094516560782691</v>
      </c>
      <c r="AC29" t="n">
        <v>0.5536301118959551</v>
      </c>
      <c r="AD29" t="n">
        <v>0.358882031839189</v>
      </c>
      <c r="AE29" t="n">
        <v>0.1889961653507661</v>
      </c>
      <c r="AF29" t="n">
        <v>-0.1265464083513091</v>
      </c>
      <c r="AG29" t="n">
        <v>-0.09860152760014473</v>
      </c>
      <c r="AH29" t="n">
        <v>-0.07606101477488764</v>
      </c>
      <c r="AI29" t="n">
        <v>-0.05963036426719653</v>
      </c>
      <c r="AJ29" t="n">
        <v>-2.044996442471096</v>
      </c>
      <c r="AK29" t="n">
        <v>-2.038084785143631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no_year_in_pairs</t>
        </is>
      </c>
      <c r="B30" s="2" t="n"/>
      <c r="C30" s="3" t="inlineStr">
        <is>
          <t>SM.19.158, Sup. 2</t>
        </is>
      </c>
      <c r="D30" s="4" t="inlineStr">
        <is>
          <t>Dominica</t>
        </is>
      </c>
      <c r="E30" s="4" t="inlineStr">
        <is>
          <t>DMA</t>
        </is>
      </c>
      <c r="F30" s="4" t="n"/>
      <c r="G30" s="4" t="inlineStr">
        <is>
          <t>2018gn</t>
        </is>
      </c>
      <c r="H30" s="4" t="n">
        <v>2018</v>
      </c>
      <c r="I30" s="6" t="inlineStr">
        <is>
          <t>old.tds.npc.eximbk</t>
        </is>
      </c>
      <c r="J30" t="inlineStr">
        <is>
          <t>Export Import Bank of NPC</t>
        </is>
      </c>
      <c r="N30" t="n">
        <v>0.621019444444444</v>
      </c>
      <c r="O30" t="n">
        <v>0</v>
      </c>
      <c r="P30" t="n">
        <v>0.5880506296296301</v>
      </c>
      <c r="Q30" t="n">
        <v>0.572204</v>
      </c>
      <c r="R30" t="n">
        <v>0.0974182222222222</v>
      </c>
      <c r="S30" t="n">
        <v>0.0517803703703704</v>
      </c>
      <c r="T30" t="n">
        <v>0.0502312962962963</v>
      </c>
      <c r="U30" t="n">
        <v>0.0390673083430259</v>
      </c>
      <c r="V30" t="n">
        <v>0.0303845350151077</v>
      </c>
      <c r="W30" t="n">
        <v>0.0236315222942436</v>
      </c>
      <c r="X30" t="n">
        <v>0.0183793777217805</v>
      </c>
      <c r="Y30" t="n">
        <v>0.0142945308911465</v>
      </c>
      <c r="Z30" t="n">
        <v>0.0111175479655003</v>
      </c>
      <c r="AA30" t="n">
        <v>0.008646654703565841</v>
      </c>
      <c r="AB30" t="n">
        <v>0.006724921519988511</v>
      </c>
      <c r="AC30" t="n">
        <v>0.005230296687035989</v>
      </c>
      <c r="AD30" t="n">
        <v>0.00406785467356152</v>
      </c>
      <c r="AE30" t="n">
        <v>0.00316376730334081</v>
      </c>
      <c r="AF30" t="n">
        <v>0.00246061483335266</v>
      </c>
      <c r="AG30" t="n">
        <v>0.00191373915259877</v>
      </c>
      <c r="AH30" t="n">
        <v>0.00148840748846471</v>
      </c>
      <c r="AI30" t="n">
        <v>0.00115760648399208</v>
      </c>
      <c r="AJ30" t="n">
        <v>0.000900326545093346</v>
      </c>
      <c r="AK30" t="n">
        <v>0.000700227494411017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no_year_in_pairs</t>
        </is>
      </c>
      <c r="B31" s="2" t="n"/>
      <c r="C31" s="3" t="inlineStr">
        <is>
          <t>SM.19.158, Sup. 2</t>
        </is>
      </c>
      <c r="D31" s="4" t="inlineStr">
        <is>
          <t>Dominica</t>
        </is>
      </c>
      <c r="E31" s="4" t="inlineStr">
        <is>
          <t>DMA</t>
        </is>
      </c>
      <c r="F31" s="4" t="n"/>
      <c r="G31" s="4" t="inlineStr">
        <is>
          <t>2018gn</t>
        </is>
      </c>
      <c r="H31" s="4" t="n">
        <v>2018</v>
      </c>
      <c r="I31" s="4" t="inlineStr">
        <is>
          <t>old.tds.npc2</t>
        </is>
      </c>
      <c r="J31" t="inlineStr">
        <is>
          <t>NPC2</t>
        </is>
      </c>
      <c r="N31" t="n">
        <v>0.394851111111111</v>
      </c>
      <c r="O31" t="n">
        <v>0.188230592592593</v>
      </c>
      <c r="P31" t="n">
        <v>0.367191</v>
      </c>
      <c r="Q31" t="n">
        <v>0.354830777777778</v>
      </c>
      <c r="R31" t="n">
        <v>0.342470518518519</v>
      </c>
      <c r="S31" t="n">
        <v>0.330110296296296</v>
      </c>
      <c r="T31" t="n">
        <v>0.304600888888889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no_year_in_pairs</t>
        </is>
      </c>
      <c r="B32" s="2" t="n"/>
      <c r="C32" s="3" t="inlineStr">
        <is>
          <t>SM.19.158, Sup. 2</t>
        </is>
      </c>
      <c r="D32" s="4" t="inlineStr">
        <is>
          <t>Dominica</t>
        </is>
      </c>
      <c r="E32" s="4" t="inlineStr">
        <is>
          <t>DMA</t>
        </is>
      </c>
      <c r="F32" s="4" t="n"/>
      <c r="G32" s="4" t="inlineStr">
        <is>
          <t>2018gn</t>
        </is>
      </c>
      <c r="H32" s="4" t="n">
        <v>2018</v>
      </c>
      <c r="I32" s="4" t="inlineStr">
        <is>
          <t>old.tds.npc3</t>
        </is>
      </c>
      <c r="J32" t="inlineStr">
        <is>
          <t>NPC3</t>
        </is>
      </c>
      <c r="N32" t="n">
        <v>3.68818018518519</v>
      </c>
      <c r="O32" t="n">
        <v>0</v>
      </c>
      <c r="P32" t="n">
        <v>3.42296088888889</v>
      </c>
      <c r="Q32" t="n">
        <v>3.36477148148148</v>
      </c>
      <c r="R32" t="n">
        <v>3.30828444444444</v>
      </c>
      <c r="S32" t="n">
        <v>3.25179737037037</v>
      </c>
      <c r="T32" t="n">
        <v>3.19639362962963</v>
      </c>
      <c r="U32" t="n">
        <v>2.77020781347896</v>
      </c>
      <c r="V32" t="n">
        <v>2.40084677266394</v>
      </c>
      <c r="W32" t="n">
        <v>2.0807338704933</v>
      </c>
      <c r="X32" t="n">
        <v>1.80330268849858</v>
      </c>
      <c r="Y32" t="n">
        <v>1.56286233067146</v>
      </c>
      <c r="Z32" t="n">
        <v>1.35448068713605</v>
      </c>
      <c r="AA32" t="n">
        <v>1.1738832626648</v>
      </c>
      <c r="AB32" t="n">
        <v>1.01736549472569</v>
      </c>
      <c r="AC32" t="n">
        <v>0.881716762456308</v>
      </c>
      <c r="AD32" t="n">
        <v>0.7641545277747459</v>
      </c>
      <c r="AE32" t="n">
        <v>0.66226725767571</v>
      </c>
      <c r="AF32" t="n">
        <v>0.573964956887088</v>
      </c>
      <c r="AG32" t="n">
        <v>0.497436296172308</v>
      </c>
      <c r="AH32" t="n">
        <v>0.431111456859033</v>
      </c>
      <c r="AI32" t="n">
        <v>0.373629929430679</v>
      </c>
      <c r="AJ32" t="n">
        <v>0.323812605639058</v>
      </c>
      <c r="AK32" t="n">
        <v>0.280637591668658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no_year_in_pairs</t>
        </is>
      </c>
      <c r="B33" s="2" t="n"/>
      <c r="C33" s="3" t="inlineStr">
        <is>
          <t>SM.19.158, Sup. 2</t>
        </is>
      </c>
      <c r="D33" s="4" t="inlineStr">
        <is>
          <t>Dominica</t>
        </is>
      </c>
      <c r="E33" s="4" t="inlineStr">
        <is>
          <t>DMA</t>
        </is>
      </c>
      <c r="F33" s="4" t="n"/>
      <c r="G33" s="4" t="inlineStr">
        <is>
          <t>2018gn</t>
        </is>
      </c>
      <c r="H33" s="4" t="n">
        <v>2018</v>
      </c>
      <c r="I33" s="4" t="inlineStr">
        <is>
          <t>old.tds.npc4</t>
        </is>
      </c>
      <c r="J33" t="inlineStr">
        <is>
          <t>NPC4</t>
        </is>
      </c>
      <c r="N33" t="n">
        <v>0.00271510156760436</v>
      </c>
      <c r="O33" t="n">
        <v>0.00288780152577235</v>
      </c>
      <c r="P33" t="n">
        <v>0.00306672326763862</v>
      </c>
      <c r="Q33" t="n">
        <v>0.0032912801996261</v>
      </c>
      <c r="R33" t="n">
        <v>0.0034812239993471</v>
      </c>
      <c r="S33" t="n">
        <v>0.00366502786774961</v>
      </c>
      <c r="T33" t="n">
        <v>0.00382323868570689</v>
      </c>
      <c r="U33" t="n">
        <v>0.00396059277907202</v>
      </c>
      <c r="V33" t="n">
        <v>0.00408357101090654</v>
      </c>
      <c r="W33" t="n">
        <v>0.00419826970254165</v>
      </c>
      <c r="X33" t="n">
        <v>0.00431826013374694</v>
      </c>
      <c r="Y33" t="n">
        <v>0.00444377112791033</v>
      </c>
      <c r="Z33" t="n">
        <v>0.00457504140161417</v>
      </c>
      <c r="AA33" t="n">
        <v>0.0047123199971397</v>
      </c>
      <c r="AB33" t="n">
        <v>0.00485586672324195</v>
      </c>
      <c r="AC33" t="n">
        <v>0.00500404623593609</v>
      </c>
      <c r="AD33" t="n">
        <v>0.004790729552288499</v>
      </c>
      <c r="AE33" t="n">
        <v>0.0047495005844113</v>
      </c>
      <c r="AF33" t="n">
        <v>0.00466072925273613</v>
      </c>
      <c r="AG33" t="n">
        <v>0.00430245448109849</v>
      </c>
      <c r="AH33" t="n">
        <v>0.00426370321961974</v>
      </c>
      <c r="AI33" t="n">
        <v>0.00301255973656336</v>
      </c>
      <c r="AJ33" t="n">
        <v>0.00384843828061241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no_year_in_pairs</t>
        </is>
      </c>
      <c r="B34" s="2" t="n"/>
      <c r="C34" s="3" t="inlineStr">
        <is>
          <t>SM.19.158, Sup. 2</t>
        </is>
      </c>
      <c r="D34" s="4" t="inlineStr">
        <is>
          <t>Dominica</t>
        </is>
      </c>
      <c r="E34" s="4" t="inlineStr">
        <is>
          <t>DMA</t>
        </is>
      </c>
      <c r="F34" s="4" t="n"/>
      <c r="G34" s="4" t="inlineStr">
        <is>
          <t>2018gn</t>
        </is>
      </c>
      <c r="H34" s="4" t="n">
        <v>2018</v>
      </c>
      <c r="I34" s="4" t="inlineStr">
        <is>
          <t>old.tds.npc5</t>
        </is>
      </c>
      <c r="J34" t="inlineStr">
        <is>
          <t>NPC5</t>
        </is>
      </c>
      <c r="N34" t="n">
        <v>0.685587185185184</v>
      </c>
      <c r="O34" t="n">
        <v>0.13812762962963</v>
      </c>
      <c r="P34" t="n">
        <v>0.39205625925926</v>
      </c>
      <c r="Q34" t="n">
        <v>1.00931551851852</v>
      </c>
      <c r="R34" t="n">
        <v>1.05371637037037</v>
      </c>
      <c r="S34" t="n">
        <v>1.03225155555556</v>
      </c>
      <c r="T34" t="n">
        <v>1.01038137037037</v>
      </c>
      <c r="U34" t="n">
        <v>1.54291663993502</v>
      </c>
      <c r="V34" t="n">
        <v>2.04000032746734</v>
      </c>
      <c r="W34" t="n">
        <v>2.35512140921909</v>
      </c>
      <c r="X34" t="n">
        <v>2.59744323713319</v>
      </c>
      <c r="Y34" t="n">
        <v>2.72071367010142</v>
      </c>
      <c r="Z34" t="n">
        <v>2.73370126883013</v>
      </c>
      <c r="AA34" t="n">
        <v>2.75596073024716</v>
      </c>
      <c r="AB34" t="n">
        <v>1.06557027781377</v>
      </c>
      <c r="AC34" t="n">
        <v>-0.338320993483325</v>
      </c>
      <c r="AD34" t="n">
        <v>-0.414131080161407</v>
      </c>
      <c r="AE34" t="n">
        <v>-0.481184360212696</v>
      </c>
      <c r="AF34" t="n">
        <v>-0.707632709324486</v>
      </c>
      <c r="AG34" t="n">
        <v>-0.60225401740615</v>
      </c>
      <c r="AH34" t="n">
        <v>-0.512924582342005</v>
      </c>
      <c r="AI34" t="n">
        <v>-0.437430459918431</v>
      </c>
      <c r="AJ34" t="n">
        <v>-2.37355781293586</v>
      </c>
      <c r="AK34" t="n">
        <v>-2.3194226043067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no_year_in_pairs</t>
        </is>
      </c>
      <c r="B35" s="2" t="n"/>
      <c r="C35" s="3" t="inlineStr">
        <is>
          <t>SM.19.158, Sup. 2</t>
        </is>
      </c>
      <c r="D35" s="4" t="inlineStr">
        <is>
          <t>Dominica</t>
        </is>
      </c>
      <c r="E35" s="4" t="inlineStr">
        <is>
          <t>DMA</t>
        </is>
      </c>
      <c r="F35" s="4" t="n"/>
      <c r="G35" s="4" t="inlineStr">
        <is>
          <t>2018gn</t>
        </is>
      </c>
      <c r="H35" s="4" t="n">
        <v>2018</v>
      </c>
      <c r="I35" s="4" t="inlineStr">
        <is>
          <t>old.tds.prvt</t>
        </is>
      </c>
      <c r="J35" t="inlineStr">
        <is>
          <t>Commercial</t>
        </is>
      </c>
      <c r="N35" t="n">
        <v>7.71390543078761</v>
      </c>
      <c r="O35" t="n">
        <v>5.25752476493611</v>
      </c>
      <c r="P35" t="n">
        <v>14.571249869455</v>
      </c>
      <c r="Q35" t="n">
        <v>7.1871426295294</v>
      </c>
      <c r="R35" t="n">
        <v>6.002336093307529</v>
      </c>
      <c r="S35" t="n">
        <v>6.994934853381951</v>
      </c>
      <c r="T35" t="n">
        <v>5.76531139123415</v>
      </c>
      <c r="U35" t="n">
        <v>7.32730891384382</v>
      </c>
      <c r="V35" t="n">
        <v>5.87147186471566</v>
      </c>
      <c r="W35" t="n">
        <v>4.9923080581062</v>
      </c>
      <c r="X35" t="n">
        <v>4.84165976537494</v>
      </c>
      <c r="Y35" t="n">
        <v>4.78705678169756</v>
      </c>
      <c r="Z35" t="n">
        <v>4.750976922743289</v>
      </c>
      <c r="AA35" t="n">
        <v>4.492842197633091</v>
      </c>
      <c r="AB35" t="n">
        <v>3.14367753793412</v>
      </c>
      <c r="AC35" t="n">
        <v>2.30987005566272</v>
      </c>
      <c r="AD35" t="n">
        <v>4.79072976975413</v>
      </c>
      <c r="AE35" t="n">
        <v>4.74950061703114</v>
      </c>
      <c r="AF35" t="n">
        <v>4.66072925762911</v>
      </c>
      <c r="AG35" t="n">
        <v>8.49418565698427</v>
      </c>
      <c r="AH35" t="n">
        <v>3.87512614798554</v>
      </c>
      <c r="AI35" t="n">
        <v>2.6504875402378</v>
      </c>
      <c r="AJ35" t="n">
        <v>2.65048754022377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no_year_in_pairs</t>
        </is>
      </c>
      <c r="B36" s="2" t="n"/>
      <c r="C36" s="3" t="inlineStr">
        <is>
          <t>SM.19.158, Sup. 2</t>
        </is>
      </c>
      <c r="D36" s="4" t="inlineStr">
        <is>
          <t>Dominica</t>
        </is>
      </c>
      <c r="E36" s="4" t="inlineStr">
        <is>
          <t>DMA</t>
        </is>
      </c>
      <c r="F36" s="4" t="n"/>
      <c r="G36" s="4" t="inlineStr">
        <is>
          <t>2018gn</t>
        </is>
      </c>
      <c r="H36" s="4" t="n">
        <v>2018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no_year_in_pairs</t>
        </is>
      </c>
      <c r="B37" s="2" t="n"/>
      <c r="C37" s="3" t="inlineStr">
        <is>
          <t>SM.19.158, Sup. 2</t>
        </is>
      </c>
      <c r="D37" s="4" t="inlineStr">
        <is>
          <t>Dominica</t>
        </is>
      </c>
      <c r="E37" s="4" t="inlineStr">
        <is>
          <t>DMA</t>
        </is>
      </c>
      <c r="F37" s="4" t="n"/>
      <c r="G37" s="4" t="inlineStr">
        <is>
          <t>2018gn</t>
        </is>
      </c>
      <c r="H37" s="4" t="n">
        <v>2018</v>
      </c>
      <c r="I37" s="4" t="inlineStr">
        <is>
          <t>old.tds.prvt.cmbk</t>
        </is>
      </c>
      <c r="J37" t="inlineStr">
        <is>
          <t>Commecial Bank</t>
        </is>
      </c>
      <c r="N37" t="n">
        <v>7.71390543078761</v>
      </c>
      <c r="O37" t="n">
        <v>5.25752476493611</v>
      </c>
      <c r="P37" t="n">
        <v>14.571249869455</v>
      </c>
      <c r="Q37" t="n">
        <v>7.1871426295294</v>
      </c>
      <c r="R37" t="n">
        <v>6.002336093307529</v>
      </c>
      <c r="S37" t="n">
        <v>6.994934853381951</v>
      </c>
      <c r="T37" t="n">
        <v>5.76531139123415</v>
      </c>
      <c r="U37" t="n">
        <v>7.32730891384382</v>
      </c>
      <c r="V37" t="n">
        <v>5.87147186471566</v>
      </c>
      <c r="W37" t="n">
        <v>4.9923080581062</v>
      </c>
      <c r="X37" t="n">
        <v>4.84165976537494</v>
      </c>
      <c r="Y37" t="n">
        <v>4.78705678169756</v>
      </c>
      <c r="Z37" t="n">
        <v>4.750976922743289</v>
      </c>
      <c r="AA37" t="n">
        <v>4.492842197633091</v>
      </c>
      <c r="AB37" t="n">
        <v>3.14367753793412</v>
      </c>
      <c r="AC37" t="n">
        <v>2.30987005566272</v>
      </c>
      <c r="AD37" t="n">
        <v>4.79072976975413</v>
      </c>
      <c r="AE37" t="n">
        <v>4.74950061703114</v>
      </c>
      <c r="AF37" t="n">
        <v>4.66072925762911</v>
      </c>
      <c r="AG37" t="n">
        <v>8.49418565698427</v>
      </c>
      <c r="AH37" t="n">
        <v>3.87512614798554</v>
      </c>
      <c r="AI37" t="n">
        <v>2.6504875402378</v>
      </c>
      <c r="AJ37" t="n">
        <v>2.65048754022377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no_year_in_pairs</t>
        </is>
      </c>
      <c r="B38" s="2" t="n"/>
      <c r="C38" s="3" t="inlineStr">
        <is>
          <t>SM.19.158, Sup. 2</t>
        </is>
      </c>
      <c r="D38" s="4" t="inlineStr">
        <is>
          <t>Dominica</t>
        </is>
      </c>
      <c r="E38" s="4" t="inlineStr">
        <is>
          <t>DMA</t>
        </is>
      </c>
      <c r="F38" s="4" t="n"/>
      <c r="G38" s="4" t="inlineStr">
        <is>
          <t>2018gn</t>
        </is>
      </c>
      <c r="H38" s="4" t="n">
        <v>2018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no_year_in_pairs</t>
        </is>
      </c>
      <c r="B39" s="2" t="n"/>
      <c r="C39" s="3" t="inlineStr">
        <is>
          <t>SM.19.158, Sup. 2</t>
        </is>
      </c>
      <c r="D39" s="4" t="inlineStr">
        <is>
          <t>Dominica</t>
        </is>
      </c>
      <c r="E39" s="4" t="inlineStr">
        <is>
          <t>DMA</t>
        </is>
      </c>
      <c r="F39" s="4" t="n"/>
      <c r="G39" s="4" t="inlineStr">
        <is>
          <t>2018gn</t>
        </is>
      </c>
      <c r="H39" s="4" t="n">
        <v>2018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no_year_in_pairs</t>
        </is>
      </c>
      <c r="B40" s="2" t="n"/>
      <c r="C40" s="3" t="inlineStr">
        <is>
          <t>SM.19.158, Sup. 2</t>
        </is>
      </c>
      <c r="D40" s="4" t="inlineStr">
        <is>
          <t>Dominica</t>
        </is>
      </c>
      <c r="E40" s="4" t="inlineStr">
        <is>
          <t>DMA</t>
        </is>
      </c>
      <c r="F40" s="4" t="n"/>
      <c r="G40" s="4" t="inlineStr">
        <is>
          <t>2018gn</t>
        </is>
      </c>
      <c r="H40" s="4" t="n">
        <v>2018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no_year_in_pairs</t>
        </is>
      </c>
      <c r="B41" s="2" t="n"/>
      <c r="C41" s="3" t="inlineStr">
        <is>
          <t>SM.19.158, Sup. 2</t>
        </is>
      </c>
      <c r="D41" s="4" t="inlineStr">
        <is>
          <t>Dominica</t>
        </is>
      </c>
      <c r="E41" s="4" t="inlineStr">
        <is>
          <t>DMA</t>
        </is>
      </c>
      <c r="F41" s="4" t="n"/>
      <c r="G41" s="4" t="inlineStr">
        <is>
          <t>2018gn</t>
        </is>
      </c>
      <c r="H41" s="4" t="n">
        <v>2018</v>
      </c>
      <c r="I41" s="5" t="n"/>
    </row>
    <row r="42">
      <c r="A42" t="inlineStr">
        <is>
          <t>no_year_in_pairs</t>
        </is>
      </c>
      <c r="B42" s="2" t="n"/>
      <c r="C42" s="3" t="inlineStr">
        <is>
          <t>SM.19.158, Sup. 2</t>
        </is>
      </c>
      <c r="D42" s="4" t="inlineStr">
        <is>
          <t>Dominica</t>
        </is>
      </c>
      <c r="E42" s="4" t="inlineStr">
        <is>
          <t>DMA</t>
        </is>
      </c>
      <c r="F42" s="4" t="n"/>
      <c r="G42" s="4" t="inlineStr">
        <is>
          <t>2018gn</t>
        </is>
      </c>
      <c r="H42" s="4" t="n">
        <v>2018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32.39914738420706</v>
      </c>
      <c r="O42" t="n">
        <v>11.45658152942483</v>
      </c>
      <c r="P42" t="n">
        <v>34.07662496309301</v>
      </c>
      <c r="Q42" t="n">
        <v>30.67252094676606</v>
      </c>
      <c r="R42" t="n">
        <v>28.63352683582538</v>
      </c>
      <c r="S42" t="n">
        <v>29.0724488812497</v>
      </c>
      <c r="T42" t="n">
        <v>27.91053103732727</v>
      </c>
      <c r="U42" t="n">
        <v>26.54614904453297</v>
      </c>
      <c r="V42" t="n">
        <v>24.81558475073916</v>
      </c>
      <c r="W42" t="n">
        <v>23.08076877951667</v>
      </c>
      <c r="X42" t="n">
        <v>22.13616978686952</v>
      </c>
      <c r="Y42" t="n">
        <v>21.25389701658951</v>
      </c>
      <c r="Z42" t="n">
        <v>20.22597445503597</v>
      </c>
      <c r="AA42" t="n">
        <v>18.45984241349847</v>
      </c>
      <c r="AB42" t="n">
        <v>12.60084646034946</v>
      </c>
      <c r="AC42" t="n">
        <v>9.81273243608166</v>
      </c>
      <c r="AD42" t="n">
        <v>11.71020624465386</v>
      </c>
      <c r="AE42" t="n">
        <v>11.1404339239662</v>
      </c>
      <c r="AF42" t="n">
        <v>10.42240073399333</v>
      </c>
      <c r="AG42" t="n">
        <v>13.98365261228948</v>
      </c>
      <c r="AH42" t="n">
        <v>9.102986367554731</v>
      </c>
      <c r="AI42" t="n">
        <v>7.628221962249612</v>
      </c>
      <c r="AJ42" t="n">
        <v>5.3936763935912</v>
      </c>
      <c r="AK42" t="n">
        <v>2.516927869994218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no_year_in_pairs</t>
        </is>
      </c>
      <c r="B43" s="2" t="n"/>
      <c r="C43" s="3" t="inlineStr">
        <is>
          <t>SM.19.158, Sup. 2</t>
        </is>
      </c>
      <c r="D43" s="4" t="inlineStr">
        <is>
          <t>Dominica</t>
        </is>
      </c>
      <c r="E43" s="4" t="inlineStr">
        <is>
          <t>DMA</t>
        </is>
      </c>
      <c r="F43" s="4" t="n"/>
      <c r="G43" s="4" t="inlineStr">
        <is>
          <t>2018gn</t>
        </is>
      </c>
      <c r="H43" s="4" t="n">
        <v>2018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22.810625</v>
      </c>
      <c r="O43" t="n">
        <v>6.840511996296295</v>
      </c>
      <c r="P43" t="n">
        <v>25.62454184867725</v>
      </c>
      <c r="Q43" t="n">
        <v>21.38241914537037</v>
      </c>
      <c r="R43" t="n">
        <v>19.68211902222222</v>
      </c>
      <c r="S43" t="n">
        <v>22.14615489407407</v>
      </c>
      <c r="T43" t="n">
        <v>19.35471596814815</v>
      </c>
      <c r="U43" t="n">
        <v>18.5841842400534</v>
      </c>
      <c r="V43" t="n">
        <v>16.04512747743652</v>
      </c>
      <c r="W43" t="n">
        <v>14.31825106267867</v>
      </c>
      <c r="X43" t="n">
        <v>13.48922206360155</v>
      </c>
      <c r="Y43" t="n">
        <v>12.81966292397637</v>
      </c>
      <c r="Z43" t="n">
        <v>12.20136955206048</v>
      </c>
      <c r="AA43" t="n">
        <v>11.481216853184</v>
      </c>
      <c r="AB43" t="n">
        <v>8.039538920639297</v>
      </c>
      <c r="AC43" t="n">
        <v>5.378662174338666</v>
      </c>
      <c r="AD43" t="n">
        <v>4.848320839014741</v>
      </c>
      <c r="AE43" t="n">
        <v>4.376655116804703</v>
      </c>
      <c r="AF43" t="n">
        <v>3.787135651724259</v>
      </c>
      <c r="AG43" t="n">
        <v>3.017627604869574</v>
      </c>
      <c r="AH43" t="n">
        <v>3.318274650936581</v>
      </c>
      <c r="AI43" t="n">
        <v>3.297689642873692</v>
      </c>
      <c r="AJ43" t="n">
        <v>3.280618760760241</v>
      </c>
      <c r="AK43" t="n">
        <v>3.266493014622593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no_year_in_pairs</t>
        </is>
      </c>
      <c r="B44" s="2" t="n"/>
      <c r="C44" s="3" t="inlineStr">
        <is>
          <t>SM.19.158, Sup. 2</t>
        </is>
      </c>
      <c r="D44" s="4" t="inlineStr">
        <is>
          <t>Dominica</t>
        </is>
      </c>
      <c r="E44" s="4" t="inlineStr">
        <is>
          <t>DMA</t>
        </is>
      </c>
      <c r="F44" s="4" t="n"/>
      <c r="G44" s="4" t="inlineStr">
        <is>
          <t>2018gn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9.588522384207064</v>
      </c>
      <c r="O44" t="n">
        <v>4.616069533128536</v>
      </c>
      <c r="P44" t="n">
        <v>8.452083114415757</v>
      </c>
      <c r="Q44" t="n">
        <v>9.290101801395689</v>
      </c>
      <c r="R44" t="n">
        <v>8.951407813603161</v>
      </c>
      <c r="S44" t="n">
        <v>6.926293987175626</v>
      </c>
      <c r="T44" t="n">
        <v>8.555815069179122</v>
      </c>
      <c r="U44" t="n">
        <v>7.961964804479567</v>
      </c>
      <c r="V44" t="n">
        <v>8.770457273302647</v>
      </c>
      <c r="W44" t="n">
        <v>8.762517716838003</v>
      </c>
      <c r="X44" t="n">
        <v>8.646947723267969</v>
      </c>
      <c r="Y44" t="n">
        <v>8.434234092613144</v>
      </c>
      <c r="Z44" t="n">
        <v>8.024604902975494</v>
      </c>
      <c r="AA44" t="n">
        <v>6.978625560314475</v>
      </c>
      <c r="AB44" t="n">
        <v>4.561307539710162</v>
      </c>
      <c r="AC44" t="n">
        <v>4.434070261742994</v>
      </c>
      <c r="AD44" t="n">
        <v>6.861885405639117</v>
      </c>
      <c r="AE44" t="n">
        <v>6.7637788071615</v>
      </c>
      <c r="AF44" t="n">
        <v>6.635265082269068</v>
      </c>
      <c r="AG44" t="n">
        <v>10.96602500741991</v>
      </c>
      <c r="AH44" t="n">
        <v>5.784711716618149</v>
      </c>
      <c r="AI44" t="n">
        <v>4.33053231937592</v>
      </c>
      <c r="AJ44" t="n">
        <v>2.113057632830959</v>
      </c>
      <c r="AK44" t="n">
        <v>-0.7495651446283746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no_year_in_pairs</t>
        </is>
      </c>
      <c r="B45" s="2" t="n"/>
      <c r="C45" s="3" t="inlineStr">
        <is>
          <t>SM.19.158, Sup. 2</t>
        </is>
      </c>
      <c r="D45" s="4" t="inlineStr">
        <is>
          <t>Dominica</t>
        </is>
      </c>
      <c r="E45" s="4" t="inlineStr">
        <is>
          <t>DMA</t>
        </is>
      </c>
      <c r="F45" s="4" t="n"/>
      <c r="G45" s="4" t="inlineStr">
        <is>
          <t>2018gn</t>
        </is>
      </c>
      <c r="H45" s="4" t="n">
        <v>2018</v>
      </c>
      <c r="I45" s="5" t="n"/>
      <c r="J45" t="inlineStr">
        <is>
          <t>(hide) Evolution of debt (excluding locally-issued debt)</t>
        </is>
      </c>
      <c r="N45" t="n">
        <v>309.851196319483</v>
      </c>
      <c r="O45" t="n">
        <v>303.0106843231867</v>
      </c>
      <c r="P45" t="n">
        <v>277.3861424745094</v>
      </c>
      <c r="Q45" t="n">
        <v>256.0037233291391</v>
      </c>
      <c r="R45" t="n">
        <v>236.3216043069168</v>
      </c>
      <c r="S45" t="n">
        <v>214.1754494128428</v>
      </c>
      <c r="T45" t="n">
        <v>194.8207334446946</v>
      </c>
      <c r="U45" t="n">
        <v>176.2365492046412</v>
      </c>
      <c r="V45" t="n">
        <v>160.1914217272047</v>
      </c>
      <c r="W45" t="n">
        <v>145.873170664526</v>
      </c>
      <c r="X45" t="n">
        <v>132.3839486009245</v>
      </c>
      <c r="Y45" t="n">
        <v>119.5642856769481</v>
      </c>
      <c r="Z45" t="n">
        <v>107.3629161248876</v>
      </c>
      <c r="AA45" t="n">
        <v>95.88169927170365</v>
      </c>
      <c r="AB45" t="n">
        <v>87.84216035106435</v>
      </c>
      <c r="AC45" t="n">
        <v>82.46349817672568</v>
      </c>
      <c r="AD45" t="n">
        <v>77.61517733771093</v>
      </c>
      <c r="AE45" t="n">
        <v>73.23852222090623</v>
      </c>
      <c r="AF45" t="n">
        <v>69.45138656918198</v>
      </c>
      <c r="AG45" t="n">
        <v>66.4337589643124</v>
      </c>
      <c r="AH45" t="n">
        <v>63.11548431337582</v>
      </c>
      <c r="AI45" t="n">
        <v>59.81779467050213</v>
      </c>
      <c r="AJ45" t="n">
        <v>56.53717590974189</v>
      </c>
      <c r="AK45" t="n">
        <v>53.2706828951193</v>
      </c>
      <c r="AL45" t="n">
        <v>53.2706828951193</v>
      </c>
      <c r="AM45" t="n">
        <v>53.2706828951193</v>
      </c>
      <c r="AN45" t="n">
        <v>53.2706828951193</v>
      </c>
      <c r="AO45" t="n">
        <v>53.2706828951193</v>
      </c>
      <c r="AP45" t="n">
        <v>53.2706828951193</v>
      </c>
      <c r="AQ45" t="n">
        <v>53.2706828951193</v>
      </c>
      <c r="AR45" t="n">
        <v>53.2706828951193</v>
      </c>
      <c r="AS45" t="n">
        <v>53.2706828951193</v>
      </c>
      <c r="AT45" t="n">
        <v>53.2706828951193</v>
      </c>
      <c r="AU45" t="n">
        <v>53.2706828951193</v>
      </c>
      <c r="AV45" t="n">
        <v>53.2706828951193</v>
      </c>
      <c r="AW45" t="n">
        <v>53.2706828951193</v>
      </c>
      <c r="AX45" t="n">
        <v>53.2706828951193</v>
      </c>
      <c r="AY45" t="n">
        <v>53.2706828951193</v>
      </c>
      <c r="AZ45" t="n">
        <v>53.2706828951193</v>
      </c>
      <c r="BA45" t="n">
        <v>53.2706828951193</v>
      </c>
      <c r="BB45" t="n">
        <v>53.2706828951193</v>
      </c>
      <c r="BC45" t="n">
        <v>53.2706828951193</v>
      </c>
      <c r="BD45" t="n">
        <v>53.2706828951193</v>
      </c>
      <c r="BE45" t="n">
        <v>53.2706828951193</v>
      </c>
      <c r="BF45" t="n">
        <v>53.2706828951193</v>
      </c>
      <c r="BG45" t="n">
        <v>53.2706828951193</v>
      </c>
    </row>
    <row r="46">
      <c r="A46" t="inlineStr">
        <is>
          <t>no_year_in_pairs</t>
        </is>
      </c>
      <c r="B46" s="2" t="n"/>
      <c r="C46" s="3" t="inlineStr">
        <is>
          <t>SM.19.158, Sup. 2</t>
        </is>
      </c>
      <c r="D46" s="4" t="inlineStr">
        <is>
          <t>Dominica</t>
        </is>
      </c>
      <c r="E46" s="4" t="inlineStr">
        <is>
          <t>DMA</t>
        </is>
      </c>
      <c r="F46" s="4" t="n"/>
      <c r="G46" s="4" t="inlineStr">
        <is>
          <t>2018gn</t>
        </is>
      </c>
      <c r="H46" s="4" t="n">
        <v>2018</v>
      </c>
      <c r="I46" s="5" t="n"/>
      <c r="J46" t="inlineStr">
        <is>
          <t>check (outstanding as of end-2017 - total debt services)</t>
        </is>
      </c>
      <c r="N46" t="n">
        <v>53.27068289511931</v>
      </c>
    </row>
    <row r="47">
      <c r="A47" t="inlineStr">
        <is>
          <t>no_year_in_pairs</t>
        </is>
      </c>
      <c r="B47" s="2" t="n"/>
      <c r="C47" s="3" t="inlineStr">
        <is>
          <t>SM.19.158, Sup. 2</t>
        </is>
      </c>
      <c r="D47" s="4" t="inlineStr">
        <is>
          <t>Dominica</t>
        </is>
      </c>
      <c r="E47" s="4" t="inlineStr">
        <is>
          <t>DMA</t>
        </is>
      </c>
      <c r="F47" s="4" t="n"/>
      <c r="G47" s="4" t="inlineStr">
        <is>
          <t>2018gn</t>
        </is>
      </c>
      <c r="H47" s="4" t="n">
        <v>2018</v>
      </c>
      <c r="I47" s="5" t="n"/>
    </row>
    <row r="48">
      <c r="A48" t="inlineStr">
        <is>
          <t>no_year_in_pairs</t>
        </is>
      </c>
      <c r="B48" s="2" t="n"/>
      <c r="C48" s="3" t="inlineStr">
        <is>
          <t>SM.19.158, Sup. 2</t>
        </is>
      </c>
      <c r="D48" s="4" t="inlineStr">
        <is>
          <t>Dominica</t>
        </is>
      </c>
      <c r="E48" s="4" t="inlineStr">
        <is>
          <t>DMA</t>
        </is>
      </c>
      <c r="F48" s="4" t="n"/>
      <c r="G48" s="4" t="inlineStr">
        <is>
          <t>2018gn</t>
        </is>
      </c>
      <c r="H48" s="4" t="n">
        <v>2018</v>
      </c>
      <c r="I48" s="5" t="n"/>
      <c r="J48" t="inlineStr">
        <is>
          <t>Locally-issued debt</t>
        </is>
      </c>
    </row>
    <row r="49">
      <c r="A49" t="inlineStr">
        <is>
          <t>no_year_in_pairs</t>
        </is>
      </c>
      <c r="B49" s="2" t="n"/>
      <c r="C49" s="3" t="inlineStr">
        <is>
          <t>SM.19.158, Sup. 2</t>
        </is>
      </c>
      <c r="D49" s="4" t="inlineStr">
        <is>
          <t>Dominica</t>
        </is>
      </c>
      <c r="E49" s="4" t="inlineStr">
        <is>
          <t>DMA</t>
        </is>
      </c>
      <c r="F49" s="4" t="n"/>
      <c r="G49" s="4" t="inlineStr">
        <is>
          <t>2018gn</t>
        </is>
      </c>
      <c r="H49" s="4" t="n">
        <v>2018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no_year_in_pairs</t>
        </is>
      </c>
      <c r="B50" s="2" t="n"/>
      <c r="C50" s="3" t="inlineStr">
        <is>
          <t>SM.19.158, Sup. 2</t>
        </is>
      </c>
      <c r="D50" s="4" t="inlineStr">
        <is>
          <t>Dominica</t>
        </is>
      </c>
      <c r="E50" s="4" t="inlineStr">
        <is>
          <t>DMA</t>
        </is>
      </c>
      <c r="F50" s="4" t="n"/>
      <c r="G50" s="4" t="inlineStr">
        <is>
          <t>2018gn</t>
        </is>
      </c>
      <c r="H50" s="4" t="n">
        <v>2018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no_year_in_pairs</t>
        </is>
      </c>
      <c r="B51" s="2" t="n"/>
      <c r="C51" s="3" t="inlineStr">
        <is>
          <t>SM.19.158, Sup. 2</t>
        </is>
      </c>
      <c r="D51" s="4" t="inlineStr">
        <is>
          <t>Dominica</t>
        </is>
      </c>
      <c r="E51" s="4" t="inlineStr">
        <is>
          <t>DMA</t>
        </is>
      </c>
      <c r="F51" s="4" t="n"/>
      <c r="G51" s="4" t="inlineStr">
        <is>
          <t>2018gn</t>
        </is>
      </c>
      <c r="H51" s="4" t="n">
        <v>2018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no_year_in_pairs</t>
        </is>
      </c>
      <c r="B52" s="2" t="n"/>
      <c r="C52" s="3" t="inlineStr">
        <is>
          <t>SM.19.158, Sup. 2</t>
        </is>
      </c>
      <c r="D52" s="4" t="inlineStr">
        <is>
          <t>Dominica</t>
        </is>
      </c>
      <c r="E52" s="4" t="inlineStr">
        <is>
          <t>DMA</t>
        </is>
      </c>
      <c r="F52" s="4" t="n"/>
      <c r="G52" s="4" t="inlineStr">
        <is>
          <t>2018gn</t>
        </is>
      </c>
      <c r="H52" s="4" t="n">
        <v>2018</v>
      </c>
      <c r="I52" s="5" t="n"/>
      <c r="J52" t="inlineStr">
        <is>
          <t>Locally-issued debt held by residents</t>
        </is>
      </c>
    </row>
    <row r="53">
      <c r="A53" t="inlineStr">
        <is>
          <t>no_year_in_pairs</t>
        </is>
      </c>
      <c r="B53" s="2" t="n"/>
      <c r="C53" s="3" t="inlineStr">
        <is>
          <t>SM.19.158, Sup. 2</t>
        </is>
      </c>
      <c r="D53" s="4" t="inlineStr">
        <is>
          <t>Dominica</t>
        </is>
      </c>
      <c r="E53" s="4" t="inlineStr">
        <is>
          <t>DMA</t>
        </is>
      </c>
      <c r="F53" s="4" t="n"/>
      <c r="G53" s="4" t="inlineStr">
        <is>
          <t>2018gn</t>
        </is>
      </c>
      <c r="H53" s="4" t="n">
        <v>2018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no_year_in_pairs</t>
        </is>
      </c>
      <c r="B54" s="2" t="n"/>
      <c r="C54" s="3" t="inlineStr">
        <is>
          <t>SM.19.158, Sup. 2</t>
        </is>
      </c>
      <c r="D54" s="4" t="inlineStr">
        <is>
          <t>Dominica</t>
        </is>
      </c>
      <c r="E54" s="4" t="inlineStr">
        <is>
          <t>DMA</t>
        </is>
      </c>
      <c r="F54" s="4" t="n"/>
      <c r="G54" s="4" t="inlineStr">
        <is>
          <t>2018gn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no_year_in_pairs</t>
        </is>
      </c>
      <c r="B55" s="2" t="n"/>
      <c r="C55" s="3" t="inlineStr">
        <is>
          <t>SM.19.158, Sup. 2</t>
        </is>
      </c>
      <c r="D55" s="4" t="inlineStr">
        <is>
          <t>Dominica</t>
        </is>
      </c>
      <c r="E55" s="4" t="inlineStr">
        <is>
          <t>DMA</t>
        </is>
      </c>
      <c r="F55" s="4" t="n"/>
      <c r="G55" s="4" t="inlineStr">
        <is>
          <t>2018gn</t>
        </is>
      </c>
      <c r="H55" s="4" t="n">
        <v>2018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no_year_in_pairs</t>
        </is>
      </c>
      <c r="B56" s="2" t="n"/>
      <c r="C56" s="3" t="inlineStr">
        <is>
          <t>SM.19.158, Sup. 2</t>
        </is>
      </c>
      <c r="D56" s="4" t="inlineStr">
        <is>
          <t>Dominica</t>
        </is>
      </c>
      <c r="E56" s="4" t="inlineStr">
        <is>
          <t>DMA</t>
        </is>
      </c>
      <c r="F56" s="4" t="n"/>
      <c r="G56" s="4" t="inlineStr">
        <is>
          <t>2018gn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no_year_in_pairs</t>
        </is>
      </c>
      <c r="B57" s="2" t="n"/>
      <c r="C57" s="3" t="inlineStr">
        <is>
          <t>SM.19.158, Sup. 2</t>
        </is>
      </c>
      <c r="D57" s="4" t="inlineStr">
        <is>
          <t>Dominica</t>
        </is>
      </c>
      <c r="E57" s="4" t="inlineStr">
        <is>
          <t>DMA</t>
        </is>
      </c>
      <c r="F57" s="4" t="n"/>
      <c r="G57" s="4" t="inlineStr">
        <is>
          <t>2018gn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no_year_in_pairs</t>
        </is>
      </c>
      <c r="B58" s="2" t="n"/>
      <c r="C58" s="3" t="inlineStr">
        <is>
          <t>SM.19.158, Sup. 2</t>
        </is>
      </c>
      <c r="D58" s="4" t="inlineStr">
        <is>
          <t>Dominica</t>
        </is>
      </c>
      <c r="E58" s="4" t="inlineStr">
        <is>
          <t>DMA</t>
        </is>
      </c>
      <c r="F58" s="4" t="n"/>
      <c r="G58" s="4" t="inlineStr">
        <is>
          <t>2018gn</t>
        </is>
      </c>
      <c r="H58" s="4" t="n">
        <v>2018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no_year_in_pairs</t>
        </is>
      </c>
      <c r="B59" s="2" t="n"/>
      <c r="C59" s="3" t="inlineStr">
        <is>
          <t>SM.19.158, Sup. 2</t>
        </is>
      </c>
      <c r="D59" s="4" t="inlineStr">
        <is>
          <t>Dominica</t>
        </is>
      </c>
      <c r="E59" s="4" t="inlineStr">
        <is>
          <t>DMA</t>
        </is>
      </c>
      <c r="F59" s="4" t="n"/>
      <c r="G59" s="4" t="inlineStr">
        <is>
          <t>2018gn</t>
        </is>
      </c>
      <c r="H59" s="4" t="n">
        <v>2018</v>
      </c>
      <c r="I59" s="5" t="n"/>
      <c r="J59" t="inlineStr">
        <is>
          <t>Please check line 168 for domestic debt consistency</t>
        </is>
      </c>
    </row>
    <row r="60">
      <c r="A60" t="inlineStr">
        <is>
          <t>no_year_in_pairs</t>
        </is>
      </c>
      <c r="B60" s="2" t="n"/>
      <c r="C60" s="3" t="inlineStr">
        <is>
          <t>SM.19.158, Sup. 2</t>
        </is>
      </c>
      <c r="D60" s="4" t="inlineStr">
        <is>
          <t>Dominica</t>
        </is>
      </c>
      <c r="E60" s="4" t="inlineStr">
        <is>
          <t>DMA</t>
        </is>
      </c>
      <c r="F60" s="4" t="n"/>
      <c r="G60" s="4" t="inlineStr">
        <is>
          <t>2018gn</t>
        </is>
      </c>
      <c r="H60" s="4" t="n">
        <v>2018</v>
      </c>
      <c r="I60" s="5" t="n"/>
    </row>
    <row r="61">
      <c r="A61" t="inlineStr">
        <is>
          <t>no_year_in_pairs</t>
        </is>
      </c>
      <c r="B61" s="2" t="n"/>
      <c r="C61" s="3" t="inlineStr">
        <is>
          <t>SM.19.158, Sup. 2</t>
        </is>
      </c>
      <c r="D61" s="4" t="inlineStr">
        <is>
          <t>Dominica</t>
        </is>
      </c>
      <c r="E61" s="4" t="inlineStr">
        <is>
          <t>DMA</t>
        </is>
      </c>
      <c r="F61" s="4" t="n"/>
      <c r="G61" s="4" t="inlineStr">
        <is>
          <t>2018gn</t>
        </is>
      </c>
      <c r="H61" s="4" t="n">
        <v>2018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32.39914738420706</v>
      </c>
      <c r="O61" t="n">
        <v>11.45658152942483</v>
      </c>
      <c r="P61" t="n">
        <v>34.07662496309301</v>
      </c>
      <c r="Q61" t="n">
        <v>30.67252094676606</v>
      </c>
      <c r="R61" t="n">
        <v>28.63352683582538</v>
      </c>
      <c r="S61" t="n">
        <v>29.0724488812497</v>
      </c>
      <c r="T61" t="n">
        <v>27.91053103732727</v>
      </c>
      <c r="U61" t="n">
        <v>26.54614904453297</v>
      </c>
      <c r="V61" t="n">
        <v>24.81558475073916</v>
      </c>
      <c r="W61" t="n">
        <v>23.08076877951667</v>
      </c>
      <c r="X61" t="n">
        <v>22.13616978686952</v>
      </c>
      <c r="Y61" t="n">
        <v>21.25389701658951</v>
      </c>
      <c r="Z61" t="n">
        <v>20.22597445503597</v>
      </c>
      <c r="AA61" t="n">
        <v>18.45984241349847</v>
      </c>
      <c r="AB61" t="n">
        <v>12.60084646034946</v>
      </c>
      <c r="AC61" t="n">
        <v>9.81273243608166</v>
      </c>
      <c r="AD61" t="n">
        <v>11.71020624465386</v>
      </c>
      <c r="AE61" t="n">
        <v>11.1404339239662</v>
      </c>
      <c r="AF61" t="n">
        <v>10.42240073399333</v>
      </c>
      <c r="AG61" t="n">
        <v>13.98365261228948</v>
      </c>
      <c r="AH61" t="n">
        <v>9.102986367554731</v>
      </c>
      <c r="AI61" t="n">
        <v>7.628221962249612</v>
      </c>
      <c r="AJ61" t="n">
        <v>5.3936763935912</v>
      </c>
      <c r="AK61" t="n">
        <v>2.516927869994218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no_year_in_pairs</t>
        </is>
      </c>
      <c r="B62" s="2" t="n"/>
      <c r="C62" s="3" t="inlineStr">
        <is>
          <t>SM.19.158, Sup. 2</t>
        </is>
      </c>
      <c r="D62" s="4" t="inlineStr">
        <is>
          <t>Dominica</t>
        </is>
      </c>
      <c r="E62" s="4" t="inlineStr">
        <is>
          <t>DMA</t>
        </is>
      </c>
      <c r="F62" s="4" t="n"/>
      <c r="G62" s="4" t="inlineStr">
        <is>
          <t>2018gn</t>
        </is>
      </c>
      <c r="H62" s="4" t="n">
        <v>2018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22.810625</v>
      </c>
      <c r="O62" t="n">
        <v>6.840511996296295</v>
      </c>
      <c r="P62" t="n">
        <v>25.62454184867725</v>
      </c>
      <c r="Q62" t="n">
        <v>21.38241914537037</v>
      </c>
      <c r="R62" t="n">
        <v>19.68211902222222</v>
      </c>
      <c r="S62" t="n">
        <v>22.14615489407407</v>
      </c>
      <c r="T62" t="n">
        <v>19.35471596814815</v>
      </c>
      <c r="U62" t="n">
        <v>18.5841842400534</v>
      </c>
      <c r="V62" t="n">
        <v>16.04512747743652</v>
      </c>
      <c r="W62" t="n">
        <v>14.31825106267867</v>
      </c>
      <c r="X62" t="n">
        <v>13.48922206360155</v>
      </c>
      <c r="Y62" t="n">
        <v>12.81966292397637</v>
      </c>
      <c r="Z62" t="n">
        <v>12.20136955206048</v>
      </c>
      <c r="AA62" t="n">
        <v>11.481216853184</v>
      </c>
      <c r="AB62" t="n">
        <v>8.039538920639297</v>
      </c>
      <c r="AC62" t="n">
        <v>5.378662174338666</v>
      </c>
      <c r="AD62" t="n">
        <v>4.848320839014741</v>
      </c>
      <c r="AE62" t="n">
        <v>4.376655116804703</v>
      </c>
      <c r="AF62" t="n">
        <v>3.787135651724259</v>
      </c>
      <c r="AG62" t="n">
        <v>3.017627604869574</v>
      </c>
      <c r="AH62" t="n">
        <v>3.318274650936581</v>
      </c>
      <c r="AI62" t="n">
        <v>3.297689642873692</v>
      </c>
      <c r="AJ62" t="n">
        <v>3.280618760760241</v>
      </c>
      <c r="AK62" t="n">
        <v>3.266493014622593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no_year_in_pairs</t>
        </is>
      </c>
      <c r="B63" s="2" t="n"/>
      <c r="C63" s="3" t="inlineStr">
        <is>
          <t>SM.19.158, Sup. 2</t>
        </is>
      </c>
      <c r="D63" s="4" t="inlineStr">
        <is>
          <t>Dominica</t>
        </is>
      </c>
      <c r="E63" s="4" t="inlineStr">
        <is>
          <t>DMA</t>
        </is>
      </c>
      <c r="F63" s="4" t="n"/>
      <c r="G63" s="4" t="inlineStr">
        <is>
          <t>2018gn</t>
        </is>
      </c>
      <c r="H63" s="4" t="n">
        <v>2018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9.588522384207064</v>
      </c>
      <c r="O63" t="n">
        <v>4.616069533128536</v>
      </c>
      <c r="P63" t="n">
        <v>8.452083114415757</v>
      </c>
      <c r="Q63" t="n">
        <v>9.290101801395689</v>
      </c>
      <c r="R63" t="n">
        <v>8.951407813603161</v>
      </c>
      <c r="S63" t="n">
        <v>6.926293987175626</v>
      </c>
      <c r="T63" t="n">
        <v>8.555815069179122</v>
      </c>
      <c r="U63" t="n">
        <v>7.961964804479567</v>
      </c>
      <c r="V63" t="n">
        <v>8.770457273302647</v>
      </c>
      <c r="W63" t="n">
        <v>8.762517716838003</v>
      </c>
      <c r="X63" t="n">
        <v>8.646947723267969</v>
      </c>
      <c r="Y63" t="n">
        <v>8.434234092613144</v>
      </c>
      <c r="Z63" t="n">
        <v>8.024604902975494</v>
      </c>
      <c r="AA63" t="n">
        <v>6.978625560314475</v>
      </c>
      <c r="AB63" t="n">
        <v>4.561307539710162</v>
      </c>
      <c r="AC63" t="n">
        <v>4.434070261742994</v>
      </c>
      <c r="AD63" t="n">
        <v>6.861885405639117</v>
      </c>
      <c r="AE63" t="n">
        <v>6.7637788071615</v>
      </c>
      <c r="AF63" t="n">
        <v>6.635265082269068</v>
      </c>
      <c r="AG63" t="n">
        <v>10.96602500741991</v>
      </c>
      <c r="AH63" t="n">
        <v>5.784711716618149</v>
      </c>
      <c r="AI63" t="n">
        <v>4.33053231937592</v>
      </c>
      <c r="AJ63" t="n">
        <v>2.113057632830959</v>
      </c>
      <c r="AK63" t="n">
        <v>-0.7495651446283746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no_year_in_pairs</t>
        </is>
      </c>
      <c r="B64" s="2" t="n"/>
      <c r="C64" s="3" t="inlineStr">
        <is>
          <t>SM.19.158, Sup. 2</t>
        </is>
      </c>
      <c r="D64" s="4" t="inlineStr">
        <is>
          <t>Dominica</t>
        </is>
      </c>
      <c r="E64" s="4" t="inlineStr">
        <is>
          <t>DMA</t>
        </is>
      </c>
      <c r="F64" s="4" t="n"/>
      <c r="G64" s="4" t="inlineStr">
        <is>
          <t>2018gn</t>
        </is>
      </c>
      <c r="H64" s="4" t="n">
        <v>2018</v>
      </c>
      <c r="I64" s="5" t="n"/>
    </row>
    <row r="65">
      <c r="A65" t="inlineStr">
        <is>
          <t>no_year_in_pairs</t>
        </is>
      </c>
      <c r="B65" s="2" t="n"/>
      <c r="C65" s="3" t="inlineStr">
        <is>
          <t>SM.19.158, Sup. 2</t>
        </is>
      </c>
      <c r="D65" s="4" t="inlineStr">
        <is>
          <t>Dominica</t>
        </is>
      </c>
      <c r="E65" s="4" t="inlineStr">
        <is>
          <t>DMA</t>
        </is>
      </c>
      <c r="F65" s="4" t="n"/>
      <c r="G65" s="4" t="inlineStr">
        <is>
          <t>2018gn</t>
        </is>
      </c>
      <c r="H65" s="4" t="n">
        <v>2018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no_year_in_pairs</t>
        </is>
      </c>
      <c r="B66" s="2" t="n"/>
      <c r="C66" s="3" t="inlineStr">
        <is>
          <t>SM.19.158, Sup. 2</t>
        </is>
      </c>
      <c r="D66" s="4" t="inlineStr">
        <is>
          <t>Dominica</t>
        </is>
      </c>
      <c r="E66" s="4" t="inlineStr">
        <is>
          <t>DMA</t>
        </is>
      </c>
      <c r="F66" s="4" t="n"/>
      <c r="G66" s="4" t="inlineStr">
        <is>
          <t>2018gn</t>
        </is>
      </c>
      <c r="H66" s="4" t="n">
        <v>2018</v>
      </c>
      <c r="I66" s="5" t="n"/>
    </row>
    <row r="67">
      <c r="A67" t="inlineStr">
        <is>
          <t>no_year_in_pairs</t>
        </is>
      </c>
      <c r="B67" s="2" t="n"/>
      <c r="C67" s="3" t="inlineStr">
        <is>
          <t>SM.19.158, Sup. 2</t>
        </is>
      </c>
      <c r="D67" s="4" t="inlineStr">
        <is>
          <t>Dominica</t>
        </is>
      </c>
      <c r="E67" s="4" t="inlineStr">
        <is>
          <t>DMA</t>
        </is>
      </c>
      <c r="F67" s="4" t="n"/>
      <c r="G67" s="4" t="inlineStr">
        <is>
          <t>2018gn</t>
        </is>
      </c>
      <c r="H67" s="4" t="n">
        <v>2018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309.851196319483</v>
      </c>
      <c r="O67" t="n">
        <v>303.0106843231867</v>
      </c>
      <c r="P67" t="n">
        <v>277.3861424745094</v>
      </c>
      <c r="Q67" t="n">
        <v>256.0037233291391</v>
      </c>
      <c r="R67" t="n">
        <v>236.3216043069168</v>
      </c>
      <c r="S67" t="n">
        <v>214.1754494128428</v>
      </c>
      <c r="T67" t="n">
        <v>194.8207334446946</v>
      </c>
      <c r="U67" t="n">
        <v>176.2365492046412</v>
      </c>
      <c r="V67" t="n">
        <v>160.1914217272047</v>
      </c>
      <c r="W67" t="n">
        <v>145.873170664526</v>
      </c>
      <c r="X67" t="n">
        <v>132.3839486009245</v>
      </c>
      <c r="Y67" t="n">
        <v>119.5642856769481</v>
      </c>
      <c r="Z67" t="n">
        <v>107.3629161248876</v>
      </c>
      <c r="AA67" t="n">
        <v>95.88169927170365</v>
      </c>
      <c r="AB67" t="n">
        <v>87.84216035106435</v>
      </c>
      <c r="AC67" t="n">
        <v>82.46349817672568</v>
      </c>
      <c r="AD67" t="n">
        <v>77.61517733771093</v>
      </c>
      <c r="AE67" t="n">
        <v>73.23852222090623</v>
      </c>
      <c r="AF67" t="n">
        <v>69.45138656918198</v>
      </c>
      <c r="AG67" t="n">
        <v>66.4337589643124</v>
      </c>
      <c r="AH67" t="n">
        <v>63.11548431337582</v>
      </c>
      <c r="AI67" t="n">
        <v>59.81779467050213</v>
      </c>
      <c r="AJ67" t="n">
        <v>56.53717590974189</v>
      </c>
      <c r="AK67" t="n">
        <v>53.2706828951193</v>
      </c>
      <c r="AL67" t="n">
        <v>53.2706828951193</v>
      </c>
      <c r="AM67" t="n">
        <v>53.2706828951193</v>
      </c>
      <c r="AN67" t="n">
        <v>53.2706828951193</v>
      </c>
      <c r="AO67" t="n">
        <v>53.2706828951193</v>
      </c>
      <c r="AP67" t="n">
        <v>53.2706828951193</v>
      </c>
      <c r="AQ67" t="n">
        <v>53.2706828951193</v>
      </c>
      <c r="AR67" t="n">
        <v>53.2706828951193</v>
      </c>
      <c r="AS67" t="n">
        <v>53.2706828951193</v>
      </c>
      <c r="AT67" t="n">
        <v>53.2706828951193</v>
      </c>
      <c r="AU67" t="n">
        <v>53.2706828951193</v>
      </c>
      <c r="AV67" t="n">
        <v>53.2706828951193</v>
      </c>
      <c r="AW67" t="n">
        <v>53.2706828951193</v>
      </c>
      <c r="AX67" t="n">
        <v>53.2706828951193</v>
      </c>
      <c r="AY67" t="n">
        <v>53.2706828951193</v>
      </c>
      <c r="AZ67" t="n">
        <v>53.2706828951193</v>
      </c>
      <c r="BA67" t="n">
        <v>53.2706828951193</v>
      </c>
      <c r="BB67" t="n">
        <v>53.2706828951193</v>
      </c>
      <c r="BC67" t="n">
        <v>53.2706828951193</v>
      </c>
      <c r="BD67" t="n">
        <v>53.2706828951193</v>
      </c>
      <c r="BE67" t="n">
        <v>53.2706828951193</v>
      </c>
      <c r="BF67" t="n">
        <v>53.2706828951193</v>
      </c>
      <c r="BG67" t="n">
        <v>53.2706828951193</v>
      </c>
      <c r="BI67" t="inlineStr">
        <is>
          <t>OLD_MLT_CHG</t>
        </is>
      </c>
    </row>
    <row r="68">
      <c r="A68" t="inlineStr">
        <is>
          <t>no_year_in_pairs</t>
        </is>
      </c>
      <c r="B68" s="2" t="n"/>
      <c r="C68" s="3" t="inlineStr">
        <is>
          <t>SM.19.158, Sup. 2</t>
        </is>
      </c>
      <c r="D68" s="4" t="inlineStr">
        <is>
          <t>Dominica</t>
        </is>
      </c>
      <c r="E68" s="4" t="inlineStr">
        <is>
          <t>DMA</t>
        </is>
      </c>
      <c r="F68" s="4" t="n"/>
      <c r="G68" s="4" t="inlineStr">
        <is>
          <t>2018gn</t>
        </is>
      </c>
      <c r="H68" s="4" t="n">
        <v>2018</v>
      </c>
      <c r="I68" s="5" t="n"/>
    </row>
    <row r="69">
      <c r="A69" t="inlineStr">
        <is>
          <t>no_year_in_pairs</t>
        </is>
      </c>
      <c r="B69" s="2" t="n"/>
      <c r="C69" s="3" t="inlineStr">
        <is>
          <t>SM.19.158, Sup. 2</t>
        </is>
      </c>
      <c r="D69" s="4" t="inlineStr">
        <is>
          <t>Dominica</t>
        </is>
      </c>
      <c r="E69" s="4" t="inlineStr">
        <is>
          <t>DMA</t>
        </is>
      </c>
      <c r="F69" s="4" t="n"/>
      <c r="G69" s="4" t="inlineStr">
        <is>
          <t>2018gn</t>
        </is>
      </c>
      <c r="H69" s="4" t="n">
        <v>2018</v>
      </c>
      <c r="I69" s="5" t="n"/>
    </row>
    <row r="70">
      <c r="A70" t="inlineStr">
        <is>
          <t>no_year_in_pairs</t>
        </is>
      </c>
      <c r="B70" s="2" t="n"/>
      <c r="C70" s="3" t="inlineStr">
        <is>
          <t>SM.19.158, Sup. 2</t>
        </is>
      </c>
      <c r="D70" s="4" t="inlineStr">
        <is>
          <t>Dominica</t>
        </is>
      </c>
      <c r="E70" s="4" t="inlineStr">
        <is>
          <t>DMA</t>
        </is>
      </c>
      <c r="F70" s="4" t="n"/>
      <c r="G70" s="4" t="inlineStr">
        <is>
          <t>2018gn</t>
        </is>
      </c>
      <c r="H70" s="4" t="n">
        <v>2018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no_year_in_pairs</t>
        </is>
      </c>
      <c r="B71" s="2" t="n"/>
      <c r="C71" s="3" t="inlineStr">
        <is>
          <t>SM.19.158, Sup. 2</t>
        </is>
      </c>
      <c r="D71" s="4" t="inlineStr">
        <is>
          <t>Dominica</t>
        </is>
      </c>
      <c r="E71" s="4" t="inlineStr">
        <is>
          <t>DMA</t>
        </is>
      </c>
      <c r="F71" s="4" t="n"/>
      <c r="G71" s="4" t="inlineStr">
        <is>
          <t>2018gn</t>
        </is>
      </c>
      <c r="H71" s="4" t="n">
        <v>2018</v>
      </c>
      <c r="I71" s="4" t="inlineStr">
        <is>
          <t>new.dis.mlt</t>
        </is>
      </c>
      <c r="J71" t="inlineStr">
        <is>
          <t>Multilaterals</t>
        </is>
      </c>
      <c r="O71" t="n">
        <v>15</v>
      </c>
      <c r="P71" t="n">
        <v>33</v>
      </c>
      <c r="Q71" t="n">
        <v>32</v>
      </c>
      <c r="R71" t="n">
        <v>33</v>
      </c>
      <c r="S71" t="n">
        <v>19</v>
      </c>
      <c r="T71" t="n">
        <v>21.52</v>
      </c>
      <c r="U71" t="n">
        <v>21.9256796871657</v>
      </c>
      <c r="V71" t="n">
        <v>22.6996542264938</v>
      </c>
      <c r="W71" t="n">
        <v>23.5009504039322</v>
      </c>
      <c r="X71" t="n">
        <v>24.3305317527934</v>
      </c>
      <c r="Y71" t="n">
        <v>25.1893972227495</v>
      </c>
      <c r="Z71" t="n">
        <v>26.078581179832</v>
      </c>
      <c r="AA71" t="n">
        <v>26.9991523647746</v>
      </c>
      <c r="AB71" t="n">
        <v>27.9522201429585</v>
      </c>
      <c r="AC71" t="n">
        <v>28.9389303377825</v>
      </c>
      <c r="AD71" t="n">
        <v>29.9604725222658</v>
      </c>
      <c r="AE71" t="n">
        <v>31.018075073269</v>
      </c>
      <c r="AF71" t="n">
        <v>32.113010919168</v>
      </c>
      <c r="AG71" t="n">
        <v>33.2465979226196</v>
      </c>
      <c r="AH71" t="n">
        <v>33.6794597259981</v>
      </c>
      <c r="AI71" t="n">
        <v>34.8944903565267</v>
      </c>
      <c r="BI71" t="inlineStr">
        <is>
          <t>NEW_ML</t>
        </is>
      </c>
    </row>
    <row r="72">
      <c r="A72" t="inlineStr">
        <is>
          <t>no_year_in_pairs</t>
        </is>
      </c>
      <c r="B72" s="2" t="n"/>
      <c r="C72" s="3" t="inlineStr">
        <is>
          <t>SM.19.158, Sup. 2</t>
        </is>
      </c>
      <c r="D72" s="4" t="inlineStr">
        <is>
          <t>Dominica</t>
        </is>
      </c>
      <c r="E72" s="4" t="inlineStr">
        <is>
          <t>DMA</t>
        </is>
      </c>
      <c r="F72" s="4" t="n"/>
      <c r="G72" s="4" t="inlineStr">
        <is>
          <t>2018gn</t>
        </is>
      </c>
      <c r="H72" s="4" t="n">
        <v>2018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no_year_in_pairs</t>
        </is>
      </c>
      <c r="B73" s="2" t="n"/>
      <c r="C73" s="3" t="inlineStr">
        <is>
          <t>SM.19.158, Sup. 2</t>
        </is>
      </c>
      <c r="D73" s="4" t="inlineStr">
        <is>
          <t>Dominica</t>
        </is>
      </c>
      <c r="E73" s="4" t="inlineStr">
        <is>
          <t>DMA</t>
        </is>
      </c>
      <c r="F73" s="4" t="n"/>
      <c r="G73" s="4" t="inlineStr">
        <is>
          <t>2018gn</t>
        </is>
      </c>
      <c r="H73" s="4" t="n">
        <v>2018</v>
      </c>
      <c r="I73" s="4" t="inlineStr">
        <is>
          <t>new.dis.mlt.ida.reg</t>
        </is>
      </c>
      <c r="J73" t="inlineStr">
        <is>
          <t>IDA - small economy</t>
        </is>
      </c>
      <c r="O73" t="n">
        <v>5</v>
      </c>
      <c r="P73" t="n">
        <v>16</v>
      </c>
      <c r="Q73" t="n">
        <v>16</v>
      </c>
      <c r="R73" t="n">
        <v>16</v>
      </c>
      <c r="S73" t="n">
        <v>11</v>
      </c>
      <c r="T73" t="n">
        <v>11.52</v>
      </c>
      <c r="U73" t="n">
        <v>11.9256796871657</v>
      </c>
      <c r="V73" t="n">
        <v>12.346655117517</v>
      </c>
      <c r="W73" t="n">
        <v>12.782491163789</v>
      </c>
      <c r="X73" t="n">
        <v>13.2337119050441</v>
      </c>
      <c r="Y73" t="n">
        <v>13.7008606837914</v>
      </c>
      <c r="Z73" t="n">
        <v>14.1845001059863</v>
      </c>
      <c r="AA73" t="n">
        <v>14.6852114744593</v>
      </c>
      <c r="AB73" t="n">
        <v>15.2035981883468</v>
      </c>
      <c r="AC73" t="n">
        <v>15.7402834768042</v>
      </c>
      <c r="AD73" t="n">
        <v>16.2959143650091</v>
      </c>
      <c r="AE73" t="n">
        <v>16.8711589840836</v>
      </c>
      <c r="AF73" t="n">
        <v>17.4667096973338</v>
      </c>
      <c r="AG73" t="n">
        <v>18.0832833084411</v>
      </c>
      <c r="AH73" t="n">
        <v>18.3512515538356</v>
      </c>
      <c r="AI73" t="n">
        <v>19.0121234773756</v>
      </c>
      <c r="BI73" t="inlineStr">
        <is>
          <t>NEW_IDA</t>
        </is>
      </c>
    </row>
    <row r="74">
      <c r="A74" t="inlineStr">
        <is>
          <t>no_year_in_pairs</t>
        </is>
      </c>
      <c r="B74" s="2" t="n"/>
      <c r="C74" s="3" t="inlineStr">
        <is>
          <t>SM.19.158, Sup. 2</t>
        </is>
      </c>
      <c r="D74" s="4" t="inlineStr">
        <is>
          <t>Dominica</t>
        </is>
      </c>
      <c r="E74" s="4" t="inlineStr">
        <is>
          <t>DMA</t>
        </is>
      </c>
      <c r="F74" s="4" t="n"/>
      <c r="G74" s="4" t="inlineStr">
        <is>
          <t>2018gn</t>
        </is>
      </c>
      <c r="H74" s="4" t="n">
        <v>2018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no_year_in_pairs</t>
        </is>
      </c>
      <c r="B75" s="2" t="n"/>
      <c r="C75" s="3" t="inlineStr">
        <is>
          <t>SM.19.158, Sup. 2</t>
        </is>
      </c>
      <c r="D75" s="4" t="inlineStr">
        <is>
          <t>Dominica</t>
        </is>
      </c>
      <c r="E75" s="4" t="inlineStr">
        <is>
          <t>DMA</t>
        </is>
      </c>
      <c r="F75" s="4" t="n"/>
      <c r="G75" s="4" t="inlineStr">
        <is>
          <t>2018gn</t>
        </is>
      </c>
      <c r="H75" s="4" t="n">
        <v>2018</v>
      </c>
      <c r="I75" s="4" t="inlineStr">
        <is>
          <t>new.dis.mlt.afdb</t>
        </is>
      </c>
      <c r="J75" t="inlineStr">
        <is>
          <t>CDB</t>
        </is>
      </c>
      <c r="O75" t="n">
        <v>10</v>
      </c>
      <c r="P75" t="n">
        <v>17</v>
      </c>
      <c r="Q75" t="n">
        <v>16</v>
      </c>
      <c r="R75" t="n">
        <v>17</v>
      </c>
      <c r="S75" t="n">
        <v>8</v>
      </c>
      <c r="T75" t="n">
        <v>10</v>
      </c>
      <c r="U75" t="n">
        <v>10</v>
      </c>
      <c r="V75" t="n">
        <v>10.3529991089768</v>
      </c>
      <c r="W75" t="n">
        <v>10.7184592401432</v>
      </c>
      <c r="X75" t="n">
        <v>11.0968198477493</v>
      </c>
      <c r="Y75" t="n">
        <v>11.4885365389581</v>
      </c>
      <c r="Z75" t="n">
        <v>11.8940810738457</v>
      </c>
      <c r="AA75" t="n">
        <v>12.3139408903153</v>
      </c>
      <c r="AB75" t="n">
        <v>12.7486219546117</v>
      </c>
      <c r="AC75" t="n">
        <v>13.1986468609783</v>
      </c>
      <c r="AD75" t="n">
        <v>13.6645581572567</v>
      </c>
      <c r="AE75" t="n">
        <v>14.1469160891854</v>
      </c>
      <c r="AF75" t="n">
        <v>14.6463012218342</v>
      </c>
      <c r="AG75" t="n">
        <v>15.1633146141785</v>
      </c>
      <c r="AH75" t="n">
        <v>15.3282081721625</v>
      </c>
      <c r="AI75" t="n">
        <v>15.8823668791511</v>
      </c>
      <c r="BI75" t="inlineStr">
        <is>
          <t>NEW_OTHERS1</t>
        </is>
      </c>
    </row>
    <row r="76">
      <c r="A76" t="inlineStr">
        <is>
          <t>no_year_in_pairs</t>
        </is>
      </c>
      <c r="B76" s="2" t="n"/>
      <c r="C76" s="3" t="inlineStr">
        <is>
          <t>SM.19.158, Sup. 2</t>
        </is>
      </c>
      <c r="D76" s="4" t="inlineStr">
        <is>
          <t>Dominica</t>
        </is>
      </c>
      <c r="E76" s="4" t="inlineStr">
        <is>
          <t>DMA</t>
        </is>
      </c>
      <c r="F76" s="4" t="n"/>
      <c r="G76" s="4" t="inlineStr">
        <is>
          <t>2018gn</t>
        </is>
      </c>
      <c r="H76" s="4" t="n">
        <v>2018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no_year_in_pairs</t>
        </is>
      </c>
      <c r="B77" s="2" t="n"/>
      <c r="C77" s="3" t="inlineStr">
        <is>
          <t>SM.19.158, Sup. 2</t>
        </is>
      </c>
      <c r="D77" s="4" t="inlineStr">
        <is>
          <t>Dominica</t>
        </is>
      </c>
      <c r="E77" s="4" t="inlineStr">
        <is>
          <t>DMA</t>
        </is>
      </c>
      <c r="F77" s="4" t="n"/>
      <c r="G77" s="4" t="inlineStr">
        <is>
          <t>2018gn</t>
        </is>
      </c>
      <c r="H77" s="4" t="n">
        <v>2018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no_year_in_pairs</t>
        </is>
      </c>
      <c r="B78" s="2" t="n"/>
      <c r="C78" s="3" t="inlineStr">
        <is>
          <t>SM.19.158, Sup. 2</t>
        </is>
      </c>
      <c r="D78" s="4" t="inlineStr">
        <is>
          <t>Dominica</t>
        </is>
      </c>
      <c r="E78" s="4" t="inlineStr">
        <is>
          <t>DMA</t>
        </is>
      </c>
      <c r="F78" s="4" t="n"/>
      <c r="G78" s="4" t="inlineStr">
        <is>
          <t>2018gn</t>
        </is>
      </c>
      <c r="H78" s="4" t="n">
        <v>2018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-0.37037037037037</v>
      </c>
      <c r="AI78" t="n">
        <v>-0.37037037037037</v>
      </c>
    </row>
    <row r="79">
      <c r="A79" t="inlineStr">
        <is>
          <t>no_year_in_pairs</t>
        </is>
      </c>
      <c r="B79" s="2" t="n"/>
      <c r="C79" s="3" t="inlineStr">
        <is>
          <t>SM.19.158, Sup. 2</t>
        </is>
      </c>
      <c r="D79" s="4" t="inlineStr">
        <is>
          <t>Dominica</t>
        </is>
      </c>
      <c r="E79" s="4" t="inlineStr">
        <is>
          <t>DMA</t>
        </is>
      </c>
      <c r="F79" s="4" t="n"/>
      <c r="G79" s="4" t="inlineStr">
        <is>
          <t>2018gn</t>
        </is>
      </c>
      <c r="H79" s="4" t="n">
        <v>2018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-0.37037037037037</v>
      </c>
      <c r="AI79" t="n">
        <v>-0.37037037037037</v>
      </c>
    </row>
    <row r="80">
      <c r="A80" t="inlineStr">
        <is>
          <t>no_year_in_pairs</t>
        </is>
      </c>
      <c r="B80" s="2" t="n"/>
      <c r="C80" s="3" t="inlineStr">
        <is>
          <t>SM.19.158, Sup. 2</t>
        </is>
      </c>
      <c r="D80" s="4" t="inlineStr">
        <is>
          <t>Dominica</t>
        </is>
      </c>
      <c r="E80" s="4" t="inlineStr">
        <is>
          <t>DMA</t>
        </is>
      </c>
      <c r="F80" s="4" t="n"/>
      <c r="G80" s="4" t="inlineStr">
        <is>
          <t>2018gn</t>
        </is>
      </c>
      <c r="H80" s="4" t="n">
        <v>2018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no_year_in_pairs</t>
        </is>
      </c>
      <c r="B81" s="2" t="n"/>
      <c r="C81" s="3" t="inlineStr">
        <is>
          <t>SM.19.158, Sup. 2</t>
        </is>
      </c>
      <c r="D81" s="4" t="inlineStr">
        <is>
          <t>Dominica</t>
        </is>
      </c>
      <c r="E81" s="4" t="inlineStr">
        <is>
          <t>DMA</t>
        </is>
      </c>
      <c r="F81" s="4" t="n"/>
      <c r="G81" s="4" t="inlineStr">
        <is>
          <t>2018gn</t>
        </is>
      </c>
      <c r="H81" s="4" t="n">
        <v>2018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no_year_in_pairs</t>
        </is>
      </c>
      <c r="B82" s="2" t="n"/>
      <c r="C82" s="3" t="inlineStr">
        <is>
          <t>SM.19.158, Sup. 2</t>
        </is>
      </c>
      <c r="D82" s="4" t="inlineStr">
        <is>
          <t>Dominica</t>
        </is>
      </c>
      <c r="E82" s="4" t="inlineStr">
        <is>
          <t>DMA</t>
        </is>
      </c>
      <c r="F82" s="4" t="n"/>
      <c r="G82" s="4" t="inlineStr">
        <is>
          <t>2018gn</t>
        </is>
      </c>
      <c r="H82" s="4" t="n">
        <v>2018</v>
      </c>
      <c r="I82" s="4" t="inlineStr">
        <is>
          <t>new.dis.blt</t>
        </is>
      </c>
      <c r="J82" t="inlineStr">
        <is>
          <t>Official Bilaterals</t>
        </is>
      </c>
      <c r="O82" t="n">
        <v>16.888436352472</v>
      </c>
      <c r="P82" t="n">
        <v>6.54367111289659</v>
      </c>
      <c r="Q82" t="n">
        <v>15.3836352734786</v>
      </c>
      <c r="R82" t="n">
        <v>12.3125010557359</v>
      </c>
      <c r="S82" t="n">
        <v>11.7814451781633</v>
      </c>
      <c r="T82" t="n">
        <v>10.9572801910043</v>
      </c>
      <c r="U82" t="n">
        <v>10.5174295104096</v>
      </c>
      <c r="V82" t="n">
        <v>9.99409507464199</v>
      </c>
      <c r="W82" t="n">
        <v>10.3026717036499</v>
      </c>
      <c r="X82" t="n">
        <v>10.5538531646315</v>
      </c>
      <c r="Y82" t="n">
        <v>10.8391463923996</v>
      </c>
      <c r="Z82" t="n">
        <v>11.0688040706301</v>
      </c>
      <c r="AA82" t="n">
        <v>11.2543848747557</v>
      </c>
      <c r="AB82" t="n">
        <v>11.4748673871659</v>
      </c>
      <c r="AC82" t="n">
        <v>9.9930323647867</v>
      </c>
      <c r="AD82" t="n">
        <v>8.873360287326259</v>
      </c>
      <c r="AE82" t="n">
        <v>9.122691536922259</v>
      </c>
      <c r="AF82" t="n">
        <v>9.53640925790498</v>
      </c>
      <c r="AG82" t="n">
        <v>9.981533681324391</v>
      </c>
      <c r="AH82" t="n">
        <v>10.4377061752794</v>
      </c>
      <c r="AI82" t="n">
        <v>10.8556456581865</v>
      </c>
      <c r="BI82" t="inlineStr">
        <is>
          <t>NEW_OB</t>
        </is>
      </c>
    </row>
    <row r="83">
      <c r="A83" t="inlineStr">
        <is>
          <t>no_year_in_pairs</t>
        </is>
      </c>
      <c r="B83" s="2" t="n"/>
      <c r="C83" s="3" t="inlineStr">
        <is>
          <t>SM.19.158, Sup. 2</t>
        </is>
      </c>
      <c r="D83" s="4" t="inlineStr">
        <is>
          <t>Dominica</t>
        </is>
      </c>
      <c r="E83" s="4" t="inlineStr">
        <is>
          <t>DMA</t>
        </is>
      </c>
      <c r="F83" s="4" t="n"/>
      <c r="G83" s="4" t="inlineStr">
        <is>
          <t>2018gn</t>
        </is>
      </c>
      <c r="H83" s="4" t="n">
        <v>2018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no_year_in_pairs</t>
        </is>
      </c>
      <c r="B84" s="2" t="n"/>
      <c r="C84" s="3" t="inlineStr">
        <is>
          <t>SM.19.158, Sup. 2</t>
        </is>
      </c>
      <c r="D84" s="4" t="inlineStr">
        <is>
          <t>Dominica</t>
        </is>
      </c>
      <c r="E84" s="4" t="inlineStr">
        <is>
          <t>DMA</t>
        </is>
      </c>
      <c r="F84" s="4" t="n"/>
      <c r="G84" s="4" t="inlineStr">
        <is>
          <t>2018gn</t>
        </is>
      </c>
      <c r="H84" s="4" t="n">
        <v>2018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no_year_in_pairs</t>
        </is>
      </c>
      <c r="B85" s="2" t="n"/>
      <c r="C85" s="3" t="inlineStr">
        <is>
          <t>SM.19.158, Sup. 2</t>
        </is>
      </c>
      <c r="D85" s="4" t="inlineStr">
        <is>
          <t>Dominica</t>
        </is>
      </c>
      <c r="E85" s="4" t="inlineStr">
        <is>
          <t>DMA</t>
        </is>
      </c>
      <c r="F85" s="4" t="n"/>
      <c r="G85" s="4" t="inlineStr">
        <is>
          <t>2018gn</t>
        </is>
      </c>
      <c r="H85" s="4" t="n">
        <v>2018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no_year_in_pairs</t>
        </is>
      </c>
      <c r="B86" s="2" t="n"/>
      <c r="C86" s="3" t="inlineStr">
        <is>
          <t>SM.19.158, Sup. 2</t>
        </is>
      </c>
      <c r="D86" s="4" t="inlineStr">
        <is>
          <t>Dominica</t>
        </is>
      </c>
      <c r="E86" s="4" t="inlineStr">
        <is>
          <t>DMA</t>
        </is>
      </c>
      <c r="F86" s="4" t="n"/>
      <c r="G86" s="4" t="inlineStr">
        <is>
          <t>2018gn</t>
        </is>
      </c>
      <c r="H86" s="4" t="n">
        <v>2018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no_year_in_pairs</t>
        </is>
      </c>
      <c r="B87" s="2" t="n"/>
      <c r="C87" s="3" t="inlineStr">
        <is>
          <t>SM.19.158, Sup. 2</t>
        </is>
      </c>
      <c r="D87" s="4" t="inlineStr">
        <is>
          <t>Dominica</t>
        </is>
      </c>
      <c r="E87" s="4" t="inlineStr">
        <is>
          <t>DMA</t>
        </is>
      </c>
      <c r="F87" s="4" t="n"/>
      <c r="G87" s="4" t="inlineStr">
        <is>
          <t>2018gn</t>
        </is>
      </c>
      <c r="H87" s="4" t="n">
        <v>2018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no_year_in_pairs</t>
        </is>
      </c>
      <c r="B88" s="2" t="n"/>
      <c r="C88" s="3" t="inlineStr">
        <is>
          <t>SM.19.158, Sup. 2</t>
        </is>
      </c>
      <c r="D88" s="4" t="inlineStr">
        <is>
          <t>Dominica</t>
        </is>
      </c>
      <c r="E88" s="4" t="inlineStr">
        <is>
          <t>DMA</t>
        </is>
      </c>
      <c r="F88" s="4" t="n"/>
      <c r="G88" s="4" t="inlineStr">
        <is>
          <t>2018gn</t>
        </is>
      </c>
      <c r="H88" s="4" t="n">
        <v>2018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no_year_in_pairs</t>
        </is>
      </c>
      <c r="B89" s="2" t="n"/>
      <c r="C89" s="3" t="inlineStr">
        <is>
          <t>SM.19.158, Sup. 2</t>
        </is>
      </c>
      <c r="D89" s="4" t="inlineStr">
        <is>
          <t>Dominica</t>
        </is>
      </c>
      <c r="E89" s="4" t="inlineStr">
        <is>
          <t>DMA</t>
        </is>
      </c>
      <c r="F89" s="4" t="n"/>
      <c r="G89" s="4" t="inlineStr">
        <is>
          <t>2018gn</t>
        </is>
      </c>
      <c r="H89" s="4" t="n">
        <v>2018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16.888436352472</v>
      </c>
      <c r="P89" t="n">
        <v>6.54367111289659</v>
      </c>
      <c r="Q89" t="n">
        <v>15.3836352734786</v>
      </c>
      <c r="R89" t="n">
        <v>12.3125010557359</v>
      </c>
      <c r="S89" t="n">
        <v>11.7814451781633</v>
      </c>
      <c r="T89" t="n">
        <v>10.9572801910043</v>
      </c>
      <c r="U89" t="n">
        <v>10.5174295104096</v>
      </c>
      <c r="V89" t="n">
        <v>9.99409507464199</v>
      </c>
      <c r="W89" t="n">
        <v>10.3026717036499</v>
      </c>
      <c r="X89" t="n">
        <v>10.5538531646315</v>
      </c>
      <c r="Y89" t="n">
        <v>10.8391463923996</v>
      </c>
      <c r="Z89" t="n">
        <v>11.0688040706301</v>
      </c>
      <c r="AA89" t="n">
        <v>11.2543848747557</v>
      </c>
      <c r="AB89" t="n">
        <v>11.4748673871659</v>
      </c>
      <c r="AC89" t="n">
        <v>9.9930323647867</v>
      </c>
      <c r="AD89" t="n">
        <v>8.873360287326259</v>
      </c>
      <c r="AE89" t="n">
        <v>9.122691536922259</v>
      </c>
      <c r="AF89" t="n">
        <v>9.53640925790498</v>
      </c>
      <c r="AG89" t="n">
        <v>9.981533681324391</v>
      </c>
      <c r="AH89" t="n">
        <v>10.4377061752794</v>
      </c>
      <c r="AI89" t="n">
        <v>10.8556456581865</v>
      </c>
      <c r="BI89" t="inlineStr">
        <is>
          <t>NEW_NPC_ALL</t>
        </is>
      </c>
    </row>
    <row r="90">
      <c r="A90" t="inlineStr">
        <is>
          <t>no_year_in_pairs</t>
        </is>
      </c>
      <c r="B90" s="2" t="n"/>
      <c r="C90" s="3" t="inlineStr">
        <is>
          <t>SM.19.158, Sup. 2</t>
        </is>
      </c>
      <c r="D90" s="4" t="inlineStr">
        <is>
          <t>Dominica</t>
        </is>
      </c>
      <c r="E90" s="4" t="inlineStr">
        <is>
          <t>DMA</t>
        </is>
      </c>
      <c r="F90" s="4" t="n"/>
      <c r="G90" s="4" t="inlineStr">
        <is>
          <t>2018gn</t>
        </is>
      </c>
      <c r="H90" s="4" t="n">
        <v>2018</v>
      </c>
      <c r="I90" s="4" t="inlineStr">
        <is>
          <t>new.dis.npc.eximbk</t>
        </is>
      </c>
      <c r="J90" t="inlineStr">
        <is>
          <t>Export Import Bank of NPC</t>
        </is>
      </c>
      <c r="O90" t="n">
        <v>16.888436352472</v>
      </c>
      <c r="P90" t="n">
        <v>6.54367111289659</v>
      </c>
      <c r="Q90" t="n">
        <v>15.3836352734786</v>
      </c>
      <c r="R90" t="n">
        <v>12.3125010557359</v>
      </c>
      <c r="S90" t="n">
        <v>11.7814451781633</v>
      </c>
      <c r="T90" t="n">
        <v>10.9572801910043</v>
      </c>
      <c r="U90" t="n">
        <v>10.5174295104096</v>
      </c>
      <c r="V90" t="n">
        <v>9.99409507464199</v>
      </c>
      <c r="W90" t="n">
        <v>10.3026717036499</v>
      </c>
      <c r="X90" t="n">
        <v>10.5538531646315</v>
      </c>
      <c r="Y90" t="n">
        <v>10.8391463923996</v>
      </c>
      <c r="Z90" t="n">
        <v>11.0688040706301</v>
      </c>
      <c r="AA90" t="n">
        <v>11.2543848747557</v>
      </c>
      <c r="AB90" t="n">
        <v>11.4748673871659</v>
      </c>
      <c r="AC90" t="n">
        <v>9.9930323647867</v>
      </c>
      <c r="AD90" t="n">
        <v>8.873360287326259</v>
      </c>
      <c r="AE90" t="n">
        <v>9.122691536922259</v>
      </c>
      <c r="AF90" t="n">
        <v>9.53640925790498</v>
      </c>
      <c r="AG90" t="n">
        <v>9.981533681324391</v>
      </c>
      <c r="AH90" t="n">
        <v>10.4377061752794</v>
      </c>
      <c r="AI90" t="n">
        <v>10.8556456581865</v>
      </c>
      <c r="BI90" t="inlineStr">
        <is>
          <t>NEW_NPC1</t>
        </is>
      </c>
    </row>
    <row r="91">
      <c r="A91" t="inlineStr">
        <is>
          <t>no_year_in_pairs</t>
        </is>
      </c>
      <c r="B91" s="2" t="n"/>
      <c r="C91" s="3" t="inlineStr">
        <is>
          <t>SM.19.158, Sup. 2</t>
        </is>
      </c>
      <c r="D91" s="4" t="inlineStr">
        <is>
          <t>Dominica</t>
        </is>
      </c>
      <c r="E91" s="4" t="inlineStr">
        <is>
          <t>DMA</t>
        </is>
      </c>
      <c r="F91" s="4" t="n"/>
      <c r="G91" s="4" t="inlineStr">
        <is>
          <t>2018gn</t>
        </is>
      </c>
      <c r="H91" s="4" t="n">
        <v>2018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no_year_in_pairs</t>
        </is>
      </c>
      <c r="B92" s="2" t="n"/>
      <c r="C92" s="3" t="inlineStr">
        <is>
          <t>SM.19.158, Sup. 2</t>
        </is>
      </c>
      <c r="D92" s="4" t="inlineStr">
        <is>
          <t>Dominica</t>
        </is>
      </c>
      <c r="E92" s="4" t="inlineStr">
        <is>
          <t>DMA</t>
        </is>
      </c>
      <c r="F92" s="4" t="n"/>
      <c r="G92" s="4" t="inlineStr">
        <is>
          <t>2018gn</t>
        </is>
      </c>
      <c r="H92" s="4" t="n">
        <v>2018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no_year_in_pairs</t>
        </is>
      </c>
      <c r="B93" s="2" t="n"/>
      <c r="C93" s="3" t="inlineStr">
        <is>
          <t>SM.19.158, Sup. 2</t>
        </is>
      </c>
      <c r="D93" s="4" t="inlineStr">
        <is>
          <t>Dominica</t>
        </is>
      </c>
      <c r="E93" s="4" t="inlineStr">
        <is>
          <t>DMA</t>
        </is>
      </c>
      <c r="F93" s="4" t="n"/>
      <c r="G93" s="4" t="inlineStr">
        <is>
          <t>2018gn</t>
        </is>
      </c>
      <c r="H93" s="4" t="n">
        <v>2018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no_year_in_pairs</t>
        </is>
      </c>
      <c r="B94" s="2" t="n"/>
      <c r="C94" s="3" t="inlineStr">
        <is>
          <t>SM.19.158, Sup. 2</t>
        </is>
      </c>
      <c r="D94" s="4" t="inlineStr">
        <is>
          <t>Dominica</t>
        </is>
      </c>
      <c r="E94" s="4" t="inlineStr">
        <is>
          <t>DMA</t>
        </is>
      </c>
      <c r="F94" s="4" t="n"/>
      <c r="G94" s="4" t="inlineStr">
        <is>
          <t>2018gn</t>
        </is>
      </c>
      <c r="H94" s="4" t="n">
        <v>2018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no_year_in_pairs</t>
        </is>
      </c>
      <c r="B95" s="2" t="n"/>
      <c r="C95" s="3" t="inlineStr">
        <is>
          <t>SM.19.158, Sup. 2</t>
        </is>
      </c>
      <c r="D95" s="4" t="inlineStr">
        <is>
          <t>Dominica</t>
        </is>
      </c>
      <c r="E95" s="4" t="inlineStr">
        <is>
          <t>DMA</t>
        </is>
      </c>
      <c r="F95" s="4" t="n"/>
      <c r="G95" s="4" t="inlineStr">
        <is>
          <t>2018gn</t>
        </is>
      </c>
      <c r="H95" s="4" t="n">
        <v>2018</v>
      </c>
      <c r="I95" s="4" t="inlineStr">
        <is>
          <t>new.dis.prvt</t>
        </is>
      </c>
      <c r="J95" t="inlineStr">
        <is>
          <t>Commercial</t>
        </is>
      </c>
      <c r="O95" t="n">
        <v>19.36898183242197</v>
      </c>
      <c r="P95" t="n">
        <v>30.45197954732266</v>
      </c>
      <c r="Q95" t="n">
        <v>52.32624976874712</v>
      </c>
      <c r="R95" t="n">
        <v>64.72967121421313</v>
      </c>
      <c r="S95" t="n">
        <v>76.7726597450669</v>
      </c>
      <c r="T95" t="n">
        <v>88.96077342377859</v>
      </c>
      <c r="U95" t="n">
        <v>99.71022471065375</v>
      </c>
      <c r="V95" t="n">
        <v>111.9347102789289</v>
      </c>
      <c r="W95" t="n">
        <v>124.7548383551074</v>
      </c>
      <c r="X95" t="n">
        <v>139.1626072519894</v>
      </c>
      <c r="Y95" t="n">
        <v>155.410664205389</v>
      </c>
      <c r="Z95" t="n">
        <v>170.3039461733494</v>
      </c>
      <c r="AA95" t="n">
        <v>186.2659168731759</v>
      </c>
      <c r="AB95" t="n">
        <v>201.244847148364</v>
      </c>
      <c r="AC95" t="n">
        <v>214.847191618412</v>
      </c>
      <c r="AD95" t="n">
        <v>186.0337810229608</v>
      </c>
      <c r="AE95" t="n">
        <v>199.7282593654527</v>
      </c>
      <c r="AF95" t="n">
        <v>213.6972249301147</v>
      </c>
      <c r="AG95" t="n">
        <v>227.957546134621</v>
      </c>
      <c r="AH95" t="n">
        <v>244.2332199842297</v>
      </c>
      <c r="AI95" t="n">
        <v>259.607164293198</v>
      </c>
      <c r="BI95" t="inlineStr">
        <is>
          <t>NEW_COM_ALL</t>
        </is>
      </c>
    </row>
    <row r="96">
      <c r="A96" t="inlineStr">
        <is>
          <t>no_year_in_pairs</t>
        </is>
      </c>
      <c r="B96" s="2" t="n"/>
      <c r="C96" s="3" t="inlineStr">
        <is>
          <t>SM.19.158, Sup. 2</t>
        </is>
      </c>
      <c r="D96" s="4" t="inlineStr">
        <is>
          <t>Dominica</t>
        </is>
      </c>
      <c r="E96" s="4" t="inlineStr">
        <is>
          <t>DMA</t>
        </is>
      </c>
      <c r="F96" s="4" t="n"/>
      <c r="G96" s="4" t="inlineStr">
        <is>
          <t>2018gn</t>
        </is>
      </c>
      <c r="H96" s="4" t="n">
        <v>2018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no_year_in_pairs</t>
        </is>
      </c>
      <c r="B97" s="2" t="n"/>
      <c r="C97" s="3" t="inlineStr">
        <is>
          <t>SM.19.158, Sup. 2</t>
        </is>
      </c>
      <c r="D97" s="4" t="inlineStr">
        <is>
          <t>Dominica</t>
        </is>
      </c>
      <c r="E97" s="4" t="inlineStr">
        <is>
          <t>DMA</t>
        </is>
      </c>
      <c r="F97" s="4" t="n"/>
      <c r="G97" s="4" t="inlineStr">
        <is>
          <t>2018gn</t>
        </is>
      </c>
      <c r="H97" s="4" t="n">
        <v>2018</v>
      </c>
      <c r="I97" s="4" t="inlineStr">
        <is>
          <t>new.dis.prvt.cmbk</t>
        </is>
      </c>
      <c r="J97" t="inlineStr">
        <is>
          <t>Commecial Bank</t>
        </is>
      </c>
      <c r="O97" t="n">
        <v>4.92129497174923</v>
      </c>
      <c r="P97" t="n">
        <v>5.39369832036962</v>
      </c>
      <c r="Q97" t="n">
        <v>16.1768801934768</v>
      </c>
      <c r="R97" t="n">
        <v>7.68734814750119</v>
      </c>
      <c r="S97" t="n">
        <v>8.77125323101512</v>
      </c>
      <c r="T97" t="n">
        <v>10.0629527040211</v>
      </c>
      <c r="U97" t="n">
        <v>9.074081048882899</v>
      </c>
      <c r="V97" t="n">
        <v>10.5267497907349</v>
      </c>
      <c r="W97" t="n">
        <v>9.48076887977547</v>
      </c>
      <c r="X97" t="n">
        <v>9.39963574749846</v>
      </c>
      <c r="Y97" t="n">
        <v>9.922005973394411</v>
      </c>
      <c r="Z97" t="n">
        <v>10.494739561919</v>
      </c>
      <c r="AA97" t="n">
        <v>11.110768672381</v>
      </c>
      <c r="AB97" t="n">
        <v>11.5204136600554</v>
      </c>
      <c r="AC97" t="n">
        <v>10.8233344798904</v>
      </c>
      <c r="AD97" t="n">
        <v>10.6391334068963</v>
      </c>
      <c r="AE97" t="n">
        <v>11.1214189840094</v>
      </c>
      <c r="AF97" t="n">
        <v>11.5297050114848</v>
      </c>
      <c r="AG97" t="n">
        <v>11.9647303692724</v>
      </c>
      <c r="AH97" t="n">
        <v>12.4134480063634</v>
      </c>
      <c r="AI97" t="n">
        <v>12.8782317370096</v>
      </c>
      <c r="BI97" t="inlineStr">
        <is>
          <t>NEW_COM2</t>
        </is>
      </c>
    </row>
    <row r="98">
      <c r="A98" t="inlineStr">
        <is>
          <t>no_year_in_pairs</t>
        </is>
      </c>
      <c r="B98" s="2" t="n"/>
      <c r="C98" s="3" t="inlineStr">
        <is>
          <t>SM.19.158, Sup. 2</t>
        </is>
      </c>
      <c r="D98" s="4" t="inlineStr">
        <is>
          <t>Dominica</t>
        </is>
      </c>
      <c r="E98" s="4" t="inlineStr">
        <is>
          <t>DMA</t>
        </is>
      </c>
      <c r="F98" s="4" t="n"/>
      <c r="G98" s="4" t="inlineStr">
        <is>
          <t>2018gn</t>
        </is>
      </c>
      <c r="H98" s="4" t="n">
        <v>2018</v>
      </c>
      <c r="I98" s="4" t="inlineStr">
        <is>
          <t>new.dis.prvt.com3</t>
        </is>
      </c>
      <c r="J98" t="inlineStr">
        <is>
          <t>COM3</t>
        </is>
      </c>
      <c r="O98" t="n">
        <v>14.44768686067273</v>
      </c>
      <c r="P98" t="n">
        <v>25.05828122695304</v>
      </c>
      <c r="Q98" t="n">
        <v>36.14936957527031</v>
      </c>
      <c r="R98" t="n">
        <v>57.04232306671194</v>
      </c>
      <c r="S98" t="n">
        <v>68.00140651405178</v>
      </c>
      <c r="T98" t="n">
        <v>78.89782071975749</v>
      </c>
      <c r="U98" t="n">
        <v>90.63614366177084</v>
      </c>
      <c r="V98" t="n">
        <v>101.407960488194</v>
      </c>
      <c r="W98" t="n">
        <v>115.2740694753319</v>
      </c>
      <c r="X98" t="n">
        <v>129.7629715044909</v>
      </c>
      <c r="Y98" t="n">
        <v>145.4886582319946</v>
      </c>
      <c r="Z98" t="n">
        <v>159.8092066114304</v>
      </c>
      <c r="AA98" t="n">
        <v>175.1551482007949</v>
      </c>
      <c r="AB98" t="n">
        <v>189.7244334883086</v>
      </c>
      <c r="AC98" t="n">
        <v>204.0238571385216</v>
      </c>
      <c r="AD98" t="n">
        <v>175.3946476160645</v>
      </c>
      <c r="AE98" t="n">
        <v>188.6068403814432</v>
      </c>
      <c r="AF98" t="n">
        <v>202.1675199186299</v>
      </c>
      <c r="AG98" t="n">
        <v>215.9928157653486</v>
      </c>
      <c r="AH98" t="n">
        <v>231.8197719778663</v>
      </c>
      <c r="AI98" t="n">
        <v>246.7289325561885</v>
      </c>
      <c r="BI98" t="inlineStr">
        <is>
          <t>NEW_COM3</t>
        </is>
      </c>
    </row>
    <row r="99">
      <c r="A99" t="inlineStr">
        <is>
          <t>no_year_in_pairs</t>
        </is>
      </c>
      <c r="B99" s="2" t="n"/>
      <c r="C99" s="3" t="inlineStr">
        <is>
          <t>SM.19.158, Sup. 2</t>
        </is>
      </c>
      <c r="D99" s="4" t="inlineStr">
        <is>
          <t>Dominica</t>
        </is>
      </c>
      <c r="E99" s="4" t="inlineStr">
        <is>
          <t>DMA</t>
        </is>
      </c>
      <c r="F99" s="4" t="n"/>
      <c r="G99" s="4" t="inlineStr">
        <is>
          <t>2018gn</t>
        </is>
      </c>
      <c r="H99" s="4" t="n">
        <v>2018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no_year_in_pairs</t>
        </is>
      </c>
      <c r="B100" s="2" t="n"/>
      <c r="C100" s="3" t="inlineStr">
        <is>
          <t>SM.19.158, Sup. 2</t>
        </is>
      </c>
      <c r="D100" s="4" t="inlineStr">
        <is>
          <t>Dominica</t>
        </is>
      </c>
      <c r="E100" s="4" t="inlineStr">
        <is>
          <t>DMA</t>
        </is>
      </c>
      <c r="F100" s="4" t="n"/>
      <c r="G100" s="4" t="inlineStr">
        <is>
          <t>2018gn</t>
        </is>
      </c>
      <c r="H100" s="4" t="n">
        <v>2018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no_year_in_pairs</t>
        </is>
      </c>
      <c r="B101" s="2" t="n"/>
      <c r="C101" s="3" t="inlineStr">
        <is>
          <t>SM.19.158, Sup. 2</t>
        </is>
      </c>
      <c r="D101" s="4" t="inlineStr">
        <is>
          <t>Dominica</t>
        </is>
      </c>
      <c r="E101" s="4" t="inlineStr">
        <is>
          <t>DMA</t>
        </is>
      </c>
      <c r="F101" s="4" t="n"/>
      <c r="G101" s="4" t="inlineStr">
        <is>
          <t>2018gn</t>
        </is>
      </c>
      <c r="H101" s="4" t="n">
        <v>2018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no_year_in_pairs</t>
        </is>
      </c>
      <c r="B102" s="2" t="n"/>
      <c r="C102" s="3" t="inlineStr">
        <is>
          <t>SM.19.158, Sup. 2</t>
        </is>
      </c>
      <c r="D102" s="4" t="inlineStr">
        <is>
          <t>Dominica</t>
        </is>
      </c>
      <c r="E102" s="4" t="inlineStr">
        <is>
          <t>DMA</t>
        </is>
      </c>
      <c r="F102" s="4" t="n"/>
      <c r="G102" s="4" t="inlineStr">
        <is>
          <t>2018gn</t>
        </is>
      </c>
      <c r="H102" s="4" t="n">
        <v>2018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no_year_in_pairs</t>
        </is>
      </c>
      <c r="B103" s="2" t="n"/>
      <c r="C103" s="3" t="inlineStr">
        <is>
          <t>SM.19.158, Sup. 2</t>
        </is>
      </c>
      <c r="D103" s="4" t="inlineStr">
        <is>
          <t>Dominica</t>
        </is>
      </c>
      <c r="E103" s="4" t="inlineStr">
        <is>
          <t>DMA</t>
        </is>
      </c>
      <c r="F103" s="4" t="n"/>
      <c r="G103" s="4" t="inlineStr">
        <is>
          <t>2018gn</t>
        </is>
      </c>
      <c r="H103" s="4" t="n">
        <v>2018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no_year_in_pairs</t>
        </is>
      </c>
      <c r="B104" s="2" t="n"/>
      <c r="C104" s="3" t="inlineStr">
        <is>
          <t>SM.19.158, Sup. 2</t>
        </is>
      </c>
      <c r="D104" s="4" t="inlineStr">
        <is>
          <t>Dominica</t>
        </is>
      </c>
      <c r="E104" s="4" t="inlineStr">
        <is>
          <t>DMA</t>
        </is>
      </c>
      <c r="F104" s="4" t="n"/>
      <c r="G104" s="4" t="inlineStr">
        <is>
          <t>2018gn</t>
        </is>
      </c>
      <c r="H104" s="4" t="n">
        <v>2018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no_year_in_pairs</t>
        </is>
      </c>
      <c r="B105" s="2" t="n"/>
      <c r="C105" s="3" t="inlineStr">
        <is>
          <t>SM.19.158, Sup. 2</t>
        </is>
      </c>
      <c r="D105" s="4" t="inlineStr">
        <is>
          <t>Dominica</t>
        </is>
      </c>
      <c r="E105" s="4" t="inlineStr">
        <is>
          <t>DMA</t>
        </is>
      </c>
      <c r="F105" s="4" t="n"/>
      <c r="G105" s="4" t="inlineStr">
        <is>
          <t>2018gn</t>
        </is>
      </c>
      <c r="H105" s="4" t="n">
        <v>2018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no_year_in_pairs</t>
        </is>
      </c>
      <c r="B106" s="2" t="n"/>
      <c r="C106" s="3" t="inlineStr">
        <is>
          <t>SM.19.158, Sup. 2</t>
        </is>
      </c>
      <c r="D106" s="4" t="inlineStr">
        <is>
          <t>Dominica</t>
        </is>
      </c>
      <c r="E106" s="4" t="inlineStr">
        <is>
          <t>DMA</t>
        </is>
      </c>
      <c r="F106" s="4" t="n"/>
      <c r="G106" s="4" t="inlineStr">
        <is>
          <t>2018gn</t>
        </is>
      </c>
      <c r="H106" s="4" t="n">
        <v>2018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no_year_in_pairs</t>
        </is>
      </c>
      <c r="B107" s="2" t="n"/>
      <c r="C107" s="3" t="inlineStr">
        <is>
          <t>SM.19.158, Sup. 2</t>
        </is>
      </c>
      <c r="D107" s="4" t="inlineStr">
        <is>
          <t>Dominica</t>
        </is>
      </c>
      <c r="E107" s="4" t="inlineStr">
        <is>
          <t>DMA</t>
        </is>
      </c>
      <c r="F107" s="4" t="n"/>
      <c r="G107" s="4" t="inlineStr">
        <is>
          <t>2018gn</t>
        </is>
      </c>
      <c r="H107" s="4" t="n">
        <v>2018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no_year_in_pairs</t>
        </is>
      </c>
      <c r="B108" s="2" t="n"/>
      <c r="C108" s="3" t="inlineStr">
        <is>
          <t>SM.19.158, Sup. 2</t>
        </is>
      </c>
      <c r="D108" s="4" t="inlineStr">
        <is>
          <t>Dominica</t>
        </is>
      </c>
      <c r="E108" s="4" t="inlineStr">
        <is>
          <t>DMA</t>
        </is>
      </c>
      <c r="F108" s="4" t="n"/>
      <c r="G108" s="4" t="inlineStr">
        <is>
          <t>2018gn</t>
        </is>
      </c>
      <c r="H108" s="4" t="n">
        <v>2018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no_year_in_pairs</t>
        </is>
      </c>
      <c r="B109" s="2" t="n"/>
      <c r="C109" s="3" t="inlineStr">
        <is>
          <t>SM.19.158, Sup. 2</t>
        </is>
      </c>
      <c r="D109" s="4" t="inlineStr">
        <is>
          <t>Dominica</t>
        </is>
      </c>
      <c r="E109" s="4" t="inlineStr">
        <is>
          <t>DMA</t>
        </is>
      </c>
      <c r="F109" s="4" t="n"/>
      <c r="G109" s="4" t="inlineStr">
        <is>
          <t>2018gn</t>
        </is>
      </c>
      <c r="H109" s="4" t="n">
        <v>2018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no_year_in_pairs</t>
        </is>
      </c>
      <c r="B110" s="2" t="n"/>
      <c r="C110" s="3" t="inlineStr">
        <is>
          <t>SM.19.158, Sup. 2</t>
        </is>
      </c>
      <c r="D110" s="4" t="inlineStr">
        <is>
          <t>Dominica</t>
        </is>
      </c>
      <c r="E110" s="4" t="inlineStr">
        <is>
          <t>DMA</t>
        </is>
      </c>
      <c r="F110" s="4" t="n"/>
      <c r="G110" s="4" t="inlineStr">
        <is>
          <t>2018gn</t>
        </is>
      </c>
      <c r="H110" s="4" t="n">
        <v>2018</v>
      </c>
      <c r="I110" s="5" t="n"/>
      <c r="J110" t="inlineStr">
        <is>
          <t>Locally-issued debt held by residents</t>
        </is>
      </c>
    </row>
    <row r="111">
      <c r="A111" t="inlineStr">
        <is>
          <t>no_year_in_pairs</t>
        </is>
      </c>
      <c r="B111" s="2" t="n"/>
      <c r="C111" s="3" t="inlineStr">
        <is>
          <t>SM.19.158, Sup. 2</t>
        </is>
      </c>
      <c r="D111" s="4" t="inlineStr">
        <is>
          <t>Dominica</t>
        </is>
      </c>
      <c r="E111" s="4" t="inlineStr">
        <is>
          <t>DMA</t>
        </is>
      </c>
      <c r="F111" s="4" t="n"/>
      <c r="G111" s="4" t="inlineStr">
        <is>
          <t>2018gn</t>
        </is>
      </c>
      <c r="H111" s="4" t="n">
        <v>2018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no_year_in_pairs</t>
        </is>
      </c>
      <c r="B112" s="2" t="n"/>
      <c r="C112" s="3" t="inlineStr">
        <is>
          <t>SM.19.158, Sup. 2</t>
        </is>
      </c>
      <c r="D112" s="4" t="inlineStr">
        <is>
          <t>Dominica</t>
        </is>
      </c>
      <c r="E112" s="4" t="inlineStr">
        <is>
          <t>DMA</t>
        </is>
      </c>
      <c r="F112" s="4" t="n"/>
      <c r="G112" s="4" t="inlineStr">
        <is>
          <t>2018gn</t>
        </is>
      </c>
      <c r="H112" s="4" t="n">
        <v>2018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no_year_in_pairs</t>
        </is>
      </c>
      <c r="B113" s="2" t="n"/>
      <c r="C113" s="3" t="inlineStr">
        <is>
          <t>SM.19.158, Sup. 2</t>
        </is>
      </c>
      <c r="D113" s="4" t="inlineStr">
        <is>
          <t>Dominica</t>
        </is>
      </c>
      <c r="E113" s="4" t="inlineStr">
        <is>
          <t>DMA</t>
        </is>
      </c>
      <c r="F113" s="4" t="n"/>
      <c r="G113" s="4" t="inlineStr">
        <is>
          <t>2018gn</t>
        </is>
      </c>
      <c r="H113" s="4" t="n">
        <v>2018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no_year_in_pairs</t>
        </is>
      </c>
      <c r="B114" s="2" t="n"/>
      <c r="C114" s="3" t="inlineStr">
        <is>
          <t>SM.19.158, Sup. 2</t>
        </is>
      </c>
      <c r="D114" s="4" t="inlineStr">
        <is>
          <t>Dominica</t>
        </is>
      </c>
      <c r="E114" s="4" t="inlineStr">
        <is>
          <t>DMA</t>
        </is>
      </c>
      <c r="F114" s="4" t="n"/>
      <c r="G114" s="4" t="inlineStr">
        <is>
          <t>2018gn</t>
        </is>
      </c>
      <c r="H114" s="4" t="n">
        <v>2018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no_year_in_pairs</t>
        </is>
      </c>
      <c r="B115" s="2" t="n"/>
      <c r="C115" s="3" t="inlineStr">
        <is>
          <t>SM.19.158, Sup. 2</t>
        </is>
      </c>
      <c r="D115" s="4" t="inlineStr">
        <is>
          <t>Dominica</t>
        </is>
      </c>
      <c r="E115" s="4" t="inlineStr">
        <is>
          <t>DMA</t>
        </is>
      </c>
      <c r="F115" s="4" t="n"/>
      <c r="G115" s="4" t="inlineStr">
        <is>
          <t>2018gn</t>
        </is>
      </c>
      <c r="H115" s="4" t="n">
        <v>2018</v>
      </c>
      <c r="I115" s="5" t="n"/>
    </row>
    <row r="116">
      <c r="A116" t="inlineStr">
        <is>
          <t>no_year_in_pairs</t>
        </is>
      </c>
      <c r="B116" s="2" t="n"/>
      <c r="C116" s="3" t="inlineStr">
        <is>
          <t>SM.19.158, Sup. 2</t>
        </is>
      </c>
      <c r="D116" s="4" t="inlineStr">
        <is>
          <t>Dominica</t>
        </is>
      </c>
      <c r="E116" s="4" t="inlineStr">
        <is>
          <t>DMA</t>
        </is>
      </c>
      <c r="F116" s="4" t="n"/>
      <c r="G116" s="4" t="inlineStr">
        <is>
          <t>2018gn</t>
        </is>
      </c>
      <c r="H116" s="4" t="n">
        <v>2018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no_year_in_pairs</t>
        </is>
      </c>
      <c r="B117" s="2" t="n"/>
      <c r="C117" s="3" t="inlineStr">
        <is>
          <t>SM.19.158, Sup. 2</t>
        </is>
      </c>
      <c r="D117" s="4" t="inlineStr">
        <is>
          <t>Dominica</t>
        </is>
      </c>
      <c r="E117" s="4" t="inlineStr">
        <is>
          <t>DMA</t>
        </is>
      </c>
      <c r="F117" s="4" t="n"/>
      <c r="G117" s="4" t="inlineStr">
        <is>
          <t>2018gn</t>
        </is>
      </c>
      <c r="H117" s="4" t="n">
        <v>2018</v>
      </c>
      <c r="I117" s="5" t="n"/>
    </row>
    <row r="118">
      <c r="A118" t="inlineStr">
        <is>
          <t>no_year_in_pairs</t>
        </is>
      </c>
      <c r="B118" s="2" t="n"/>
      <c r="C118" s="3" t="inlineStr">
        <is>
          <t>SM.19.158, Sup. 2</t>
        </is>
      </c>
      <c r="D118" s="4" t="inlineStr">
        <is>
          <t>Dominica</t>
        </is>
      </c>
      <c r="E118" s="4" t="inlineStr">
        <is>
          <t>DMA</t>
        </is>
      </c>
      <c r="F118" s="4" t="n"/>
      <c r="G118" s="4" t="inlineStr">
        <is>
          <t>2018gn</t>
        </is>
      </c>
      <c r="H118" s="4" t="n">
        <v>2018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51.25741818489396</v>
      </c>
      <c r="P118" t="n">
        <v>69.99565066021925</v>
      </c>
      <c r="Q118" t="n">
        <v>99.70988504222572</v>
      </c>
      <c r="R118" t="n">
        <v>110.042172269949</v>
      </c>
      <c r="S118" t="n">
        <v>107.5541049232302</v>
      </c>
      <c r="T118" t="n">
        <v>121.4380536147829</v>
      </c>
      <c r="U118" t="n">
        <v>132.1533339082291</v>
      </c>
      <c r="V118" t="n">
        <v>144.6284595800647</v>
      </c>
      <c r="W118" t="n">
        <v>158.5584604626895</v>
      </c>
      <c r="X118" t="n">
        <v>174.0469921694143</v>
      </c>
      <c r="Y118" t="n">
        <v>191.4392078205381</v>
      </c>
      <c r="Z118" t="n">
        <v>207.4513314238115</v>
      </c>
      <c r="AA118" t="n">
        <v>224.5194541127062</v>
      </c>
      <c r="AB118" t="n">
        <v>240.6719346784884</v>
      </c>
      <c r="AC118" t="n">
        <v>253.7791543209812</v>
      </c>
      <c r="AD118" t="n">
        <v>224.8676138325528</v>
      </c>
      <c r="AE118" t="n">
        <v>239.8690259756439</v>
      </c>
      <c r="AF118" t="n">
        <v>255.3466451071877</v>
      </c>
      <c r="AG118" t="n">
        <v>271.1856777385649</v>
      </c>
      <c r="AH118" t="n">
        <v>287.9800155151369</v>
      </c>
      <c r="AI118" t="n">
        <v>304.9869299375409</v>
      </c>
      <c r="BI118" t="inlineStr">
        <is>
          <t>NEW_MLT_ALL</t>
        </is>
      </c>
    </row>
    <row r="119">
      <c r="A119" t="inlineStr">
        <is>
          <t>no_year_in_pairs</t>
        </is>
      </c>
      <c r="B119" s="2" t="n"/>
      <c r="C119" s="3" t="inlineStr">
        <is>
          <t>SM.19.158, Sup. 2</t>
        </is>
      </c>
      <c r="D119" s="4" t="inlineStr">
        <is>
          <t>Dominica</t>
        </is>
      </c>
      <c r="E119" s="4" t="inlineStr">
        <is>
          <t>DMA</t>
        </is>
      </c>
      <c r="F119" s="4" t="n"/>
      <c r="G119" s="4" t="inlineStr">
        <is>
          <t>2018gn</t>
        </is>
      </c>
      <c r="H119" s="4" t="n">
        <v>2018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15.98462207347376</v>
      </c>
      <c r="P119" t="n">
        <v>98.15606293890231</v>
      </c>
      <c r="Q119" t="n">
        <v>116.2521165422725</v>
      </c>
      <c r="R119" t="n">
        <v>102.5115159517344</v>
      </c>
      <c r="S119" t="n">
        <v>133.8580147864948</v>
      </c>
      <c r="T119" t="n">
        <v>119.9619742164529</v>
      </c>
      <c r="U119" t="n">
        <v>135.5092890859195</v>
      </c>
      <c r="V119" t="n">
        <v>148.9058763518291</v>
      </c>
      <c r="W119" t="n">
        <v>169.5074175951868</v>
      </c>
      <c r="X119" t="n">
        <v>182.9008471669175</v>
      </c>
      <c r="Y119" t="n">
        <v>198.8399674646862</v>
      </c>
      <c r="Z119" t="n">
        <v>216.6517219844078</v>
      </c>
      <c r="AA119" t="n">
        <v>230.8045182578155</v>
      </c>
      <c r="AB119" t="n">
        <v>241.7051098204385</v>
      </c>
      <c r="AC119" t="n">
        <v>255.1099434453111</v>
      </c>
      <c r="AD119" t="n">
        <v>269.5429519592657</v>
      </c>
      <c r="AE119" t="n">
        <v>246.9118519421494</v>
      </c>
      <c r="AF119" t="n">
        <v>261.8231405215702</v>
      </c>
      <c r="AG119" t="n">
        <v>277.6071991190075</v>
      </c>
      <c r="AH119" t="n">
        <v>313.9646593557408</v>
      </c>
      <c r="AI119" t="n">
        <v>337.1754656367648</v>
      </c>
    </row>
    <row r="120">
      <c r="A120" t="inlineStr">
        <is>
          <t>no_year_in_pairs</t>
        </is>
      </c>
      <c r="B120" s="2" t="n"/>
      <c r="C120" s="3" t="inlineStr">
        <is>
          <t>SM.19.158, Sup. 2</t>
        </is>
      </c>
      <c r="D120" s="4" t="inlineStr">
        <is>
          <t>Dominica</t>
        </is>
      </c>
      <c r="E120" s="4" t="inlineStr">
        <is>
          <t>DMA</t>
        </is>
      </c>
      <c r="F120" s="4" t="n"/>
      <c r="G120" s="4" t="inlineStr">
        <is>
          <t>2018gn</t>
        </is>
      </c>
      <c r="H120" s="4" t="n">
        <v>2018</v>
      </c>
      <c r="I120" s="5" t="n"/>
    </row>
    <row r="121">
      <c r="A121" t="inlineStr">
        <is>
          <t>no_year_in_pairs</t>
        </is>
      </c>
      <c r="B121" s="2" t="n"/>
      <c r="C121" s="3" t="inlineStr">
        <is>
          <t>SM.19.158, Sup. 2</t>
        </is>
      </c>
      <c r="D121" s="4" t="inlineStr">
        <is>
          <t>Dominica</t>
        </is>
      </c>
      <c r="E121" s="4" t="inlineStr">
        <is>
          <t>DMA</t>
        </is>
      </c>
      <c r="F121" s="4" t="n"/>
      <c r="G121" s="4" t="inlineStr">
        <is>
          <t>2018gn</t>
        </is>
      </c>
      <c r="H121" s="4" t="n">
        <v>2018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no_year_in_pairs</t>
        </is>
      </c>
      <c r="B122" s="2" t="n"/>
      <c r="C122" s="3" t="inlineStr">
        <is>
          <t>SM.19.158, Sup. 2</t>
        </is>
      </c>
      <c r="D122" s="4" t="inlineStr">
        <is>
          <t>Dominica</t>
        </is>
      </c>
      <c r="E122" s="4" t="inlineStr">
        <is>
          <t>DMA</t>
        </is>
      </c>
      <c r="F122" s="4" t="n"/>
      <c r="G122" s="4" t="inlineStr">
        <is>
          <t>2018gn</t>
        </is>
      </c>
      <c r="H122" s="4" t="n">
        <v>2018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0.9378402587005585</v>
      </c>
      <c r="M122" t="n">
        <v>0.9378402587005585</v>
      </c>
      <c r="O122" t="n">
        <v>3.206670633142768</v>
      </c>
      <c r="P122" t="n">
        <v>0.7131057273944287</v>
      </c>
      <c r="Q122" t="n">
        <v>0.8577038251683656</v>
      </c>
      <c r="R122" t="n">
        <v>1.073461564276937</v>
      </c>
      <c r="S122" t="n">
        <v>0.8034939491279645</v>
      </c>
      <c r="T122" t="n">
        <v>1.012304560740778</v>
      </c>
      <c r="U122" t="n">
        <v>0.9752345008941593</v>
      </c>
      <c r="V122" t="n">
        <v>0.9712743588328385</v>
      </c>
      <c r="W122" t="n">
        <v>0.9354072093845162</v>
      </c>
      <c r="X122" t="n">
        <v>0.9515920503669232</v>
      </c>
      <c r="Y122" t="n">
        <v>0.9627803215897105</v>
      </c>
      <c r="Z122" t="n">
        <v>0.9575337298207193</v>
      </c>
      <c r="AA122" t="n">
        <v>0.9727688860142298</v>
      </c>
      <c r="AB122" t="n">
        <v>0.9957254724870415</v>
      </c>
      <c r="AC122" t="n">
        <v>0.9947834682319422</v>
      </c>
      <c r="AD122" t="n">
        <v>0.834255216832884</v>
      </c>
      <c r="AE122" t="n">
        <v>0.9714763551805702</v>
      </c>
      <c r="AF122" t="n">
        <v>0.9752638540601076</v>
      </c>
      <c r="AG122" t="n">
        <v>0.9768683182539163</v>
      </c>
      <c r="AH122" t="n">
        <v>0.917237042239325</v>
      </c>
      <c r="AI122" t="n">
        <v>0.9045347631138138</v>
      </c>
    </row>
    <row r="123">
      <c r="A123" t="inlineStr">
        <is>
          <t>no_year_in_pairs</t>
        </is>
      </c>
      <c r="B123" s="2" t="n"/>
      <c r="C123" s="3" t="inlineStr">
        <is>
          <t>SM.19.158, Sup. 2</t>
        </is>
      </c>
      <c r="D123" s="4" t="inlineStr">
        <is>
          <t>Dominica</t>
        </is>
      </c>
      <c r="E123" s="4" t="inlineStr">
        <is>
          <t>DMA</t>
        </is>
      </c>
      <c r="F123" s="4" t="n"/>
      <c r="G123" s="4" t="inlineStr">
        <is>
          <t>2018gn</t>
        </is>
      </c>
      <c r="H123" s="4" t="n">
        <v>2018</v>
      </c>
      <c r="I123" s="4" t="inlineStr">
        <is>
          <t>shr.dom.mlt</t>
        </is>
      </c>
      <c r="J123" t="inlineStr">
        <is>
          <t>Domestic medium and long-term</t>
        </is>
      </c>
      <c r="L123" t="n">
        <v>0.06215974129944148</v>
      </c>
      <c r="M123" t="n">
        <v>0.06215974129944148</v>
      </c>
      <c r="O123" t="n">
        <v>-2.206670633142768</v>
      </c>
      <c r="P123" t="n">
        <v>0.2868942726055714</v>
      </c>
      <c r="Q123" t="n">
        <v>0.1422961748316344</v>
      </c>
      <c r="R123" t="n">
        <v>-0.07346156427693691</v>
      </c>
      <c r="S123" t="n">
        <v>0.1965060508720356</v>
      </c>
      <c r="T123" t="n">
        <v>-0.01230456074077762</v>
      </c>
      <c r="U123" t="n">
        <v>0.02476549910584068</v>
      </c>
      <c r="V123" t="n">
        <v>0.02872564116716155</v>
      </c>
      <c r="W123" t="n">
        <v>0.06459279061548376</v>
      </c>
      <c r="X123" t="n">
        <v>0.04840794963307687</v>
      </c>
      <c r="Y123" t="n">
        <v>0.03721967841028954</v>
      </c>
      <c r="Z123" t="n">
        <v>0.04246627017928073</v>
      </c>
      <c r="AA123" t="n">
        <v>0.02723111398577013</v>
      </c>
      <c r="AB123" t="n">
        <v>0.00427452751295854</v>
      </c>
      <c r="AC123" t="n">
        <v>0.005216531768057819</v>
      </c>
      <c r="AD123" t="n">
        <v>0.1657447831671161</v>
      </c>
      <c r="AE123" t="n">
        <v>0.02852364481942981</v>
      </c>
      <c r="AF123" t="n">
        <v>0.02473614593989243</v>
      </c>
      <c r="AG123" t="n">
        <v>0.0231316817460837</v>
      </c>
      <c r="AH123" t="n">
        <v>0.08276295776067499</v>
      </c>
      <c r="AI123" t="n">
        <v>0.0954652368861863</v>
      </c>
    </row>
    <row r="124">
      <c r="A124" t="inlineStr">
        <is>
          <t>no_year_in_pairs</t>
        </is>
      </c>
      <c r="B124" s="2" t="n"/>
      <c r="C124" s="3" t="inlineStr">
        <is>
          <t>SM.19.158, Sup. 2</t>
        </is>
      </c>
      <c r="D124" s="4" t="inlineStr">
        <is>
          <t>Dominica</t>
        </is>
      </c>
      <c r="E124" s="4" t="inlineStr">
        <is>
          <t>DMA</t>
        </is>
      </c>
      <c r="F124" s="4" t="n"/>
      <c r="G124" s="4" t="inlineStr">
        <is>
          <t>2018gn</t>
        </is>
      </c>
      <c r="H124" s="4" t="n">
        <v>2018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no_year_in_pairs</t>
        </is>
      </c>
      <c r="B125" s="2" t="n"/>
      <c r="C125" s="3" t="inlineStr">
        <is>
          <t>SM.19.158, Sup. 2</t>
        </is>
      </c>
      <c r="D125" s="4" t="inlineStr">
        <is>
          <t>Dominica</t>
        </is>
      </c>
      <c r="E125" s="4" t="inlineStr">
        <is>
          <t>DMA</t>
        </is>
      </c>
      <c r="F125" s="4" t="n"/>
      <c r="G125" s="4" t="inlineStr">
        <is>
          <t>2018gn</t>
        </is>
      </c>
      <c r="H125" s="4" t="n">
        <v>2018</v>
      </c>
      <c r="I125" s="5" t="n"/>
    </row>
    <row r="126">
      <c r="A126" t="inlineStr">
        <is>
          <t>no_year_in_pairs</t>
        </is>
      </c>
      <c r="B126" s="2" t="n"/>
      <c r="C126" s="3" t="inlineStr">
        <is>
          <t>SM.19.158, Sup. 2</t>
        </is>
      </c>
      <c r="D126" s="4" t="inlineStr">
        <is>
          <t>Dominica</t>
        </is>
      </c>
      <c r="E126" s="4" t="inlineStr">
        <is>
          <t>DMA</t>
        </is>
      </c>
      <c r="F126" s="4" t="n"/>
      <c r="G126" s="4" t="inlineStr">
        <is>
          <t>2018gn</t>
        </is>
      </c>
      <c r="H126" s="4" t="n">
        <v>2018</v>
      </c>
      <c r="I126" s="5" t="n"/>
      <c r="J126" t="inlineStr">
        <is>
          <t>Terms of residual financing under stress tests</t>
        </is>
      </c>
    </row>
    <row r="127">
      <c r="A127" t="inlineStr">
        <is>
          <t>no_year_in_pairs</t>
        </is>
      </c>
      <c r="B127" s="2" t="n"/>
      <c r="C127" s="3" t="inlineStr">
        <is>
          <t>SM.19.158, Sup. 2</t>
        </is>
      </c>
      <c r="D127" s="4" t="inlineStr">
        <is>
          <t>Dominica</t>
        </is>
      </c>
      <c r="E127" s="4" t="inlineStr">
        <is>
          <t>DMA</t>
        </is>
      </c>
      <c r="F127" s="4" t="n"/>
      <c r="G127" s="4" t="inlineStr">
        <is>
          <t>2018gn</t>
        </is>
      </c>
      <c r="H127" s="4" t="n">
        <v>2018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3.903371741178455</v>
      </c>
      <c r="M127" t="n">
        <v>3.903371741178455</v>
      </c>
      <c r="O127" t="n">
        <v>3.310826850147035</v>
      </c>
      <c r="P127" t="n">
        <v>2.916791896439696</v>
      </c>
      <c r="Q127" t="n">
        <v>3.444733409886636</v>
      </c>
      <c r="R127" t="n">
        <v>3.596276787369573</v>
      </c>
      <c r="S127" t="n">
        <v>4.103500811651317</v>
      </c>
      <c r="T127" t="n">
        <v>4.132101370622789</v>
      </c>
      <c r="U127" t="n">
        <v>4.194418485045579</v>
      </c>
      <c r="V127" t="n">
        <v>4.247199177717546</v>
      </c>
      <c r="W127" t="n">
        <v>4.289514847499044</v>
      </c>
      <c r="X127" t="n">
        <v>4.330862698155562</v>
      </c>
      <c r="Y127" t="n">
        <v>4.370862818428231</v>
      </c>
      <c r="Z127" t="n">
        <v>4.400034432184494</v>
      </c>
      <c r="AA127" t="n">
        <v>4.427446097498009</v>
      </c>
      <c r="AB127" t="n">
        <v>4.44811977608812</v>
      </c>
      <c r="AC127" t="n">
        <v>4.46930101044798</v>
      </c>
      <c r="AD127" t="n">
        <v>4.389748008739535</v>
      </c>
      <c r="AE127" t="n">
        <v>4.408118131271787</v>
      </c>
      <c r="AF127" t="n">
        <v>4.423828987742899</v>
      </c>
      <c r="AG127" t="n">
        <v>4.437730213811025</v>
      </c>
      <c r="AH127" t="n">
        <v>4.46454878885753</v>
      </c>
      <c r="AI127" t="n">
        <v>4.475874268276008</v>
      </c>
      <c r="BI127" t="inlineStr">
        <is>
          <t>NEW_IR_AVG</t>
        </is>
      </c>
    </row>
    <row r="128">
      <c r="A128" t="inlineStr">
        <is>
          <t>no_year_in_pairs</t>
        </is>
      </c>
      <c r="B128" s="2" t="n"/>
      <c r="C128" s="3" t="inlineStr">
        <is>
          <t>SM.19.158, Sup. 2</t>
        </is>
      </c>
      <c r="D128" s="4" t="inlineStr">
        <is>
          <t>Dominica</t>
        </is>
      </c>
      <c r="E128" s="4" t="inlineStr">
        <is>
          <t>DMA</t>
        </is>
      </c>
      <c r="F128" s="4" t="n"/>
      <c r="G128" s="4" t="inlineStr">
        <is>
          <t>2018gn</t>
        </is>
      </c>
      <c r="H128" s="4" t="n">
        <v>2018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2</v>
      </c>
      <c r="M128" t="n">
        <v>2.242739228697412</v>
      </c>
      <c r="O128" t="n">
        <v>3.59835099569484</v>
      </c>
      <c r="P128" t="n">
        <v>3.967651603277675</v>
      </c>
      <c r="Q128" t="n">
        <v>3.178402785573192</v>
      </c>
      <c r="R128" t="n">
        <v>2.785863809800467</v>
      </c>
      <c r="S128" t="n">
        <v>1.942345445949552</v>
      </c>
      <c r="T128" t="n">
        <v>1.811511255383314</v>
      </c>
      <c r="U128" t="n">
        <v>1.678685946566884</v>
      </c>
      <c r="V128" t="n">
        <v>1.557107243948724</v>
      </c>
      <c r="W128" t="n">
        <v>1.46905163986293</v>
      </c>
      <c r="X128" t="n">
        <v>1.38233060573755</v>
      </c>
      <c r="Y128" t="n">
        <v>1.298830183876403</v>
      </c>
      <c r="Z128" t="n">
        <v>1.237203082866222</v>
      </c>
      <c r="AA128" t="n">
        <v>1.178934558771352</v>
      </c>
      <c r="AB128" t="n">
        <v>1.134961701941938</v>
      </c>
      <c r="AC128" t="n">
        <v>1.077161879699222</v>
      </c>
      <c r="AD128" t="n">
        <v>1.225826748347439</v>
      </c>
      <c r="AE128" t="n">
        <v>1.188396987947577</v>
      </c>
      <c r="AF128" t="n">
        <v>1.157566214539286</v>
      </c>
      <c r="AG128" t="n">
        <v>1.130432392736685</v>
      </c>
      <c r="AH128" t="n">
        <v>1.078165909770894</v>
      </c>
      <c r="AI128" t="n">
        <v>1.055649977113862</v>
      </c>
      <c r="BI128" t="inlineStr">
        <is>
          <t>NEW_GP_AVG</t>
        </is>
      </c>
    </row>
    <row r="129">
      <c r="A129" t="inlineStr">
        <is>
          <t>no_year_in_pairs</t>
        </is>
      </c>
      <c r="B129" s="2" t="n"/>
      <c r="C129" s="3" t="inlineStr">
        <is>
          <t>SM.19.158, Sup. 2</t>
        </is>
      </c>
      <c r="D129" s="4" t="inlineStr">
        <is>
          <t>Dominica</t>
        </is>
      </c>
      <c r="E129" s="4" t="inlineStr">
        <is>
          <t>DMA</t>
        </is>
      </c>
      <c r="F129" s="4" t="n"/>
      <c r="G129" s="4" t="inlineStr">
        <is>
          <t>2018gn</t>
        </is>
      </c>
      <c r="H129" s="4" t="n">
        <v>2018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9</v>
      </c>
      <c r="M129" t="n">
        <v>9.092951776949382</v>
      </c>
      <c r="O129" t="n">
        <v>12.45192145758994</v>
      </c>
      <c r="P129" t="n">
        <v>16.58515464498794</v>
      </c>
      <c r="Q129" t="n">
        <v>12.49788425666925</v>
      </c>
      <c r="R129" t="n">
        <v>11.3852231006322</v>
      </c>
      <c r="S129" t="n">
        <v>7.759695570172893</v>
      </c>
      <c r="T129" t="n">
        <v>7.488044713054646</v>
      </c>
      <c r="U129" t="n">
        <v>7.051745724012707</v>
      </c>
      <c r="V129" t="n">
        <v>6.669274126621499</v>
      </c>
      <c r="W129" t="n">
        <v>6.351239032014407</v>
      </c>
      <c r="X129" t="n">
        <v>6.041300100551686</v>
      </c>
      <c r="Y129" t="n">
        <v>5.740986820136039</v>
      </c>
      <c r="Z129" t="n">
        <v>5.522856903842158</v>
      </c>
      <c r="AA129" t="n">
        <v>5.318321976043909</v>
      </c>
      <c r="AB129" t="n">
        <v>5.164096092381958</v>
      </c>
      <c r="AC129" t="n">
        <v>5.021511830916946</v>
      </c>
      <c r="AD129" t="n">
        <v>5.639842442462081</v>
      </c>
      <c r="AE129" t="n">
        <v>5.500812082597244</v>
      </c>
      <c r="AF129" t="n">
        <v>5.380478899073259</v>
      </c>
      <c r="AG129" t="n">
        <v>5.27382969693088</v>
      </c>
      <c r="AH129" t="n">
        <v>5.064442191164625</v>
      </c>
      <c r="AI129" t="n">
        <v>4.978247182108407</v>
      </c>
      <c r="BI129" t="inlineStr">
        <is>
          <t>NEW_M_AVG</t>
        </is>
      </c>
    </row>
    <row r="130">
      <c r="A130" t="inlineStr">
        <is>
          <t>no_year_in_pairs</t>
        </is>
      </c>
      <c r="B130" s="2" t="n"/>
      <c r="C130" s="3" t="inlineStr">
        <is>
          <t>SM.19.158, Sup. 2</t>
        </is>
      </c>
      <c r="D130" s="4" t="inlineStr">
        <is>
          <t>Dominica</t>
        </is>
      </c>
      <c r="E130" s="4" t="inlineStr">
        <is>
          <t>DMA</t>
        </is>
      </c>
      <c r="F130" s="4" t="n"/>
      <c r="G130" s="4" t="inlineStr">
        <is>
          <t>2018gn</t>
        </is>
      </c>
      <c r="H130" s="4" t="n">
        <v>2018</v>
      </c>
      <c r="I130" s="5" t="n"/>
    </row>
    <row r="131">
      <c r="A131" t="inlineStr">
        <is>
          <t>no_year_in_pairs</t>
        </is>
      </c>
      <c r="B131" s="2" t="n"/>
      <c r="C131" s="3" t="inlineStr">
        <is>
          <t>SM.19.158, Sup. 2</t>
        </is>
      </c>
      <c r="D131" s="4" t="inlineStr">
        <is>
          <t>Dominica</t>
        </is>
      </c>
      <c r="E131" s="4" t="inlineStr">
        <is>
          <t>DMA</t>
        </is>
      </c>
      <c r="F131" s="4" t="n"/>
      <c r="G131" s="4" t="inlineStr">
        <is>
          <t>2018gn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2</v>
      </c>
      <c r="O131" t="n">
        <v>3</v>
      </c>
      <c r="P131" t="n">
        <v>3</v>
      </c>
      <c r="Q131" t="n">
        <v>3</v>
      </c>
      <c r="R131" t="n">
        <v>2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BI131" t="inlineStr">
        <is>
          <t>NEW_GP_AVG_R</t>
        </is>
      </c>
    </row>
    <row r="132">
      <c r="A132" t="inlineStr">
        <is>
          <t>no_year_in_pairs</t>
        </is>
      </c>
      <c r="B132" s="2" t="n"/>
      <c r="C132" s="3" t="inlineStr">
        <is>
          <t>SM.19.158, Sup. 2</t>
        </is>
      </c>
      <c r="D132" s="4" t="inlineStr">
        <is>
          <t>Dominica</t>
        </is>
      </c>
      <c r="E132" s="4" t="inlineStr">
        <is>
          <t>DMA</t>
        </is>
      </c>
      <c r="F132" s="4" t="n"/>
      <c r="G132" s="4" t="inlineStr">
        <is>
          <t>2018gn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9</v>
      </c>
      <c r="O132" t="n">
        <v>12</v>
      </c>
      <c r="P132" t="n">
        <v>16</v>
      </c>
      <c r="Q132" t="n">
        <v>12</v>
      </c>
      <c r="R132" t="n">
        <v>11</v>
      </c>
      <c r="S132" t="n">
        <v>7</v>
      </c>
      <c r="T132" t="n">
        <v>7</v>
      </c>
      <c r="U132" t="n">
        <v>7</v>
      </c>
      <c r="V132" t="n">
        <v>6</v>
      </c>
      <c r="W132" t="n">
        <v>6</v>
      </c>
      <c r="X132" t="n">
        <v>6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AI132" t="n">
        <v>4</v>
      </c>
      <c r="BI132" t="inlineStr">
        <is>
          <t>NEW_M_AVG_R</t>
        </is>
      </c>
    </row>
    <row r="133">
      <c r="A133" t="inlineStr">
        <is>
          <t>no_year_in_pairs</t>
        </is>
      </c>
      <c r="B133" s="2" t="n"/>
      <c r="C133" s="3" t="inlineStr">
        <is>
          <t>SM.19.158, Sup. 2</t>
        </is>
      </c>
      <c r="D133" s="4" t="inlineStr">
        <is>
          <t>Dominica</t>
        </is>
      </c>
      <c r="E133" s="4" t="inlineStr">
        <is>
          <t>DMA</t>
        </is>
      </c>
      <c r="F133" s="4" t="n"/>
      <c r="G133" s="4" t="inlineStr">
        <is>
          <t>2018gn</t>
        </is>
      </c>
      <c r="H133" s="4" t="n">
        <v>2018</v>
      </c>
      <c r="I133" s="5" t="n"/>
    </row>
    <row r="134">
      <c r="A134" t="inlineStr">
        <is>
          <t>no_year_in_pairs</t>
        </is>
      </c>
      <c r="B134" s="2" t="n"/>
      <c r="C134" s="3" t="inlineStr">
        <is>
          <t>SM.19.158, Sup. 2</t>
        </is>
      </c>
      <c r="D134" s="4" t="inlineStr">
        <is>
          <t>Dominica</t>
        </is>
      </c>
      <c r="E134" s="4" t="inlineStr">
        <is>
          <t>DMA</t>
        </is>
      </c>
      <c r="F134" s="4" t="n"/>
      <c r="G134" s="4" t="inlineStr">
        <is>
          <t>2018gn</t>
        </is>
      </c>
      <c r="H134" s="4" t="n">
        <v>2018</v>
      </c>
      <c r="I134" s="5" t="n"/>
      <c r="J134" t="inlineStr">
        <is>
          <t>New debt: Debt service</t>
        </is>
      </c>
    </row>
    <row r="135">
      <c r="A135" t="inlineStr">
        <is>
          <t>no_year_in_pairs</t>
        </is>
      </c>
      <c r="B135" s="2" t="n"/>
      <c r="C135" s="3" t="inlineStr">
        <is>
          <t>SM.19.158, Sup. 2</t>
        </is>
      </c>
      <c r="D135" s="4" t="inlineStr">
        <is>
          <t>Dominica</t>
        </is>
      </c>
      <c r="E135" s="4" t="inlineStr">
        <is>
          <t>DMA</t>
        </is>
      </c>
      <c r="F135" s="4" t="n"/>
      <c r="G135" s="4" t="inlineStr">
        <is>
          <t>2018gn</t>
        </is>
      </c>
      <c r="H135" s="4" t="n">
        <v>2018</v>
      </c>
      <c r="I135" s="5" t="n"/>
    </row>
    <row r="136">
      <c r="A136" t="inlineStr">
        <is>
          <t>no_year_in_pairs</t>
        </is>
      </c>
      <c r="B136" s="2" t="n"/>
      <c r="C136" s="3" t="inlineStr">
        <is>
          <t>SM.19.158, Sup. 2</t>
        </is>
      </c>
      <c r="D136" s="4" t="inlineStr">
        <is>
          <t>Dominica</t>
        </is>
      </c>
      <c r="E136" s="4" t="inlineStr">
        <is>
          <t>DMA</t>
        </is>
      </c>
      <c r="F136" s="4" t="n"/>
      <c r="G136" s="4" t="inlineStr">
        <is>
          <t>2018gn</t>
        </is>
      </c>
      <c r="H136" s="4" t="n">
        <v>2018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21.06602619637959</v>
      </c>
      <c r="Q136" t="n">
        <v>33.22220228597669</v>
      </c>
      <c r="R136" t="n">
        <v>57.00861325304412</v>
      </c>
      <c r="S136" t="n">
        <v>70.75314330773421</v>
      </c>
      <c r="T136" t="n">
        <v>83.97313184636637</v>
      </c>
      <c r="U136" t="n">
        <v>101.2182432861932</v>
      </c>
      <c r="V136" t="n">
        <v>115.0982349360422</v>
      </c>
      <c r="W136" t="n">
        <v>132.1790703172529</v>
      </c>
      <c r="X136" t="n">
        <v>149.2231415949731</v>
      </c>
      <c r="Y136" t="n">
        <v>167.2992961642972</v>
      </c>
      <c r="Z136" t="n">
        <v>183.9628355211827</v>
      </c>
      <c r="AA136" t="n">
        <v>201.6024995747035</v>
      </c>
      <c r="AB136" t="n">
        <v>218.4869099856527</v>
      </c>
      <c r="AC136" t="n">
        <v>235.0778450074087</v>
      </c>
      <c r="AD136" t="n">
        <v>250.1934345039808</v>
      </c>
      <c r="AE136" t="n">
        <v>221.0012245487417</v>
      </c>
      <c r="AF136" t="n">
        <v>236.62006670911</v>
      </c>
      <c r="AG136" t="n">
        <v>252.7150815254342</v>
      </c>
      <c r="AH136" t="n">
        <v>269.1419709897005</v>
      </c>
      <c r="AI136" t="n">
        <v>287.3668799136127</v>
      </c>
      <c r="BI136" t="inlineStr">
        <is>
          <t>NEW_DS_TOT</t>
        </is>
      </c>
    </row>
    <row r="137">
      <c r="A137" t="inlineStr">
        <is>
          <t>no_year_in_pairs</t>
        </is>
      </c>
      <c r="B137" s="2" t="n"/>
      <c r="C137" s="3" t="inlineStr">
        <is>
          <t>SM.19.158, Sup. 2</t>
        </is>
      </c>
      <c r="D137" s="4" t="inlineStr">
        <is>
          <t>Dominica</t>
        </is>
      </c>
      <c r="E137" s="4" t="inlineStr">
        <is>
          <t>DMA</t>
        </is>
      </c>
      <c r="F137" s="4" t="n"/>
      <c r="G137" s="4" t="inlineStr">
        <is>
          <t>2018gn</t>
        </is>
      </c>
      <c r="H137" s="4" t="n">
        <v>2018</v>
      </c>
      <c r="I137" s="5" t="n"/>
    </row>
    <row r="138">
      <c r="A138" t="inlineStr">
        <is>
          <t>no_year_in_pairs</t>
        </is>
      </c>
      <c r="B138" s="2" t="n"/>
      <c r="C138" s="3" t="inlineStr">
        <is>
          <t>SM.19.158, Sup. 2</t>
        </is>
      </c>
      <c r="D138" s="4" t="inlineStr">
        <is>
          <t>Dominica</t>
        </is>
      </c>
      <c r="E138" s="4" t="inlineStr">
        <is>
          <t>DMA</t>
        </is>
      </c>
      <c r="F138" s="4" t="n"/>
      <c r="G138" s="4" t="inlineStr">
        <is>
          <t>2018gn</t>
        </is>
      </c>
      <c r="H138" s="4" t="n">
        <v>2018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1.697044363957618</v>
      </c>
      <c r="Q138" t="n">
        <v>2.770222738654034</v>
      </c>
      <c r="R138" t="n">
        <v>4.682363484297008</v>
      </c>
      <c r="S138" t="n">
        <v>6.023472093521065</v>
      </c>
      <c r="T138" t="n">
        <v>7.20047210129947</v>
      </c>
      <c r="U138" t="n">
        <v>8.379782591920204</v>
      </c>
      <c r="V138" t="n">
        <v>9.351588732314735</v>
      </c>
      <c r="W138" t="n">
        <v>10.33121149055453</v>
      </c>
      <c r="X138" t="n">
        <v>11.24265448094912</v>
      </c>
      <c r="Y138" t="n">
        <v>12.15475111775856</v>
      </c>
      <c r="Z138" t="n">
        <v>13.08979808687132</v>
      </c>
      <c r="AA138" t="n">
        <v>14.0080951595958</v>
      </c>
      <c r="AB138" t="n">
        <v>14.95745962170363</v>
      </c>
      <c r="AC138" t="n">
        <v>15.90217394334839</v>
      </c>
      <c r="AD138" t="n">
        <v>16.73942971352449</v>
      </c>
      <c r="AE138" t="n">
        <v>15.42583028650969</v>
      </c>
      <c r="AF138" t="n">
        <v>16.247692482411</v>
      </c>
      <c r="AG138" t="n">
        <v>17.09443155895083</v>
      </c>
      <c r="AH138" t="n">
        <v>17.96304654548397</v>
      </c>
      <c r="AI138" t="n">
        <v>18.9233897065392</v>
      </c>
      <c r="BI138" t="inlineStr">
        <is>
          <t>NEW_DS_I</t>
        </is>
      </c>
    </row>
    <row r="139">
      <c r="A139" t="inlineStr">
        <is>
          <t>no_year_in_pairs</t>
        </is>
      </c>
      <c r="B139" s="2" t="n"/>
      <c r="C139" s="3" t="inlineStr">
        <is>
          <t>SM.19.158, Sup. 2</t>
        </is>
      </c>
      <c r="D139" s="4" t="inlineStr">
        <is>
          <t>Dominica</t>
        </is>
      </c>
      <c r="E139" s="4" t="inlineStr">
        <is>
          <t>DMA</t>
        </is>
      </c>
      <c r="F139" s="4" t="n"/>
      <c r="G139" s="4" t="inlineStr">
        <is>
          <t>2018gn</t>
        </is>
      </c>
      <c r="H139" s="4" t="n">
        <v>2018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0.1375</v>
      </c>
      <c r="Q139" t="n">
        <v>0.4275</v>
      </c>
      <c r="R139" t="n">
        <v>0.7075</v>
      </c>
      <c r="S139" t="n">
        <v>0.9974999999999999</v>
      </c>
      <c r="T139" t="n">
        <v>1.16</v>
      </c>
      <c r="U139" t="n">
        <v>1.3464</v>
      </c>
      <c r="V139" t="n">
        <v>1.530842597653743</v>
      </c>
      <c r="W139" t="n">
        <v>1.713472502124888</v>
      </c>
      <c r="X139" t="n">
        <v>1.895025778254738</v>
      </c>
      <c r="Y139" t="n">
        <v>2.075246816020062</v>
      </c>
      <c r="Z139" t="n">
        <v>2.258888636538078</v>
      </c>
      <c r="AA139" t="n">
        <v>2.443963198071432</v>
      </c>
      <c r="AB139" t="n">
        <v>2.62799169303303</v>
      </c>
      <c r="AC139" t="n">
        <v>2.81107839943726</v>
      </c>
      <c r="AD139" t="n">
        <v>2.993331264948514</v>
      </c>
      <c r="AE139" t="n">
        <v>3.176112065160215</v>
      </c>
      <c r="AF139" t="n">
        <v>3.359406511064782</v>
      </c>
      <c r="AG139" t="n">
        <v>3.5432329781865</v>
      </c>
      <c r="AH139" t="n">
        <v>3.727610247090428</v>
      </c>
      <c r="AI139" t="n">
        <v>3.906076279646402</v>
      </c>
      <c r="BI139" t="inlineStr">
        <is>
          <t>NEW_DS_ML</t>
        </is>
      </c>
    </row>
    <row r="140">
      <c r="A140" t="inlineStr">
        <is>
          <t>no_year_in_pairs</t>
        </is>
      </c>
      <c r="B140" s="2" t="n"/>
      <c r="C140" s="3" t="inlineStr">
        <is>
          <t>SM.19.158, Sup. 2</t>
        </is>
      </c>
      <c r="D140" s="4" t="inlineStr">
        <is>
          <t>Dominica</t>
        </is>
      </c>
      <c r="E140" s="4" t="inlineStr">
        <is>
          <t>DMA</t>
        </is>
      </c>
      <c r="F140" s="4" t="n"/>
      <c r="G140" s="4" t="inlineStr">
        <is>
          <t>2018gn</t>
        </is>
      </c>
      <c r="H140" s="4" t="n">
        <v>2018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no_year_in_pairs</t>
        </is>
      </c>
      <c r="B141" s="2" t="n"/>
      <c r="C141" s="3" t="inlineStr">
        <is>
          <t>SM.19.158, Sup. 2</t>
        </is>
      </c>
      <c r="D141" s="4" t="inlineStr">
        <is>
          <t>Dominica</t>
        </is>
      </c>
      <c r="E141" s="4" t="inlineStr">
        <is>
          <t>DMA</t>
        </is>
      </c>
      <c r="F141" s="4" t="n"/>
      <c r="G141" s="4" t="inlineStr">
        <is>
          <t>2018gn</t>
        </is>
      </c>
      <c r="H141" s="4" t="n">
        <v>2018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0.0375</v>
      </c>
      <c r="Q141" t="n">
        <v>0.1575</v>
      </c>
      <c r="R141" t="n">
        <v>0.2775</v>
      </c>
      <c r="S141" t="n">
        <v>0.3975</v>
      </c>
      <c r="T141" t="n">
        <v>0.48</v>
      </c>
      <c r="U141" t="n">
        <v>0.5663999999999999</v>
      </c>
      <c r="V141" t="n">
        <v>0.6558425976537426</v>
      </c>
      <c r="W141" t="n">
        <v>0.7484425110351202</v>
      </c>
      <c r="X141" t="n">
        <v>0.8443111947635377</v>
      </c>
      <c r="Y141" t="n">
        <v>0.9435640340513685</v>
      </c>
      <c r="Z141" t="n">
        <v>1.046320489179804</v>
      </c>
      <c r="AA141" t="n">
        <v>1.151454239974701</v>
      </c>
      <c r="AB141" t="n">
        <v>1.256343326033146</v>
      </c>
      <c r="AC141" t="n">
        <v>1.361120312445747</v>
      </c>
      <c r="AD141" t="n">
        <v>1.465922438521779</v>
      </c>
      <c r="AE141" t="n">
        <v>1.572141796259347</v>
      </c>
      <c r="AF141" t="n">
        <v>1.679795488639974</v>
      </c>
      <c r="AG141" t="n">
        <v>1.788934391448186</v>
      </c>
      <c r="AH141" t="n">
        <v>1.899610932560323</v>
      </c>
      <c r="AI141" t="n">
        <v>2.009101612721973</v>
      </c>
    </row>
    <row r="142">
      <c r="A142" t="inlineStr">
        <is>
          <t>no_year_in_pairs</t>
        </is>
      </c>
      <c r="B142" s="2" t="n"/>
      <c r="C142" s="3" t="inlineStr">
        <is>
          <t>SM.19.158, Sup. 2</t>
        </is>
      </c>
      <c r="D142" s="4" t="inlineStr">
        <is>
          <t>Dominica</t>
        </is>
      </c>
      <c r="E142" s="4" t="inlineStr">
        <is>
          <t>DMA</t>
        </is>
      </c>
      <c r="F142" s="4" t="n"/>
      <c r="G142" s="4" t="inlineStr">
        <is>
          <t>2018gn</t>
        </is>
      </c>
      <c r="H142" s="4" t="n">
        <v>2018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no_year_in_pairs</t>
        </is>
      </c>
      <c r="B143" s="2" t="n"/>
      <c r="C143" s="3" t="inlineStr">
        <is>
          <t>SM.19.158, Sup. 2</t>
        </is>
      </c>
      <c r="D143" s="4" t="inlineStr">
        <is>
          <t>Dominica</t>
        </is>
      </c>
      <c r="E143" s="4" t="inlineStr">
        <is>
          <t>DMA</t>
        </is>
      </c>
      <c r="F143" s="4" t="n"/>
      <c r="G143" s="4" t="inlineStr">
        <is>
          <t>2018gn</t>
        </is>
      </c>
      <c r="H143" s="4" t="n">
        <v>2018</v>
      </c>
      <c r="I143" s="4" t="inlineStr">
        <is>
          <t>new.int.mlt.afdb</t>
        </is>
      </c>
      <c r="J143" t="inlineStr">
        <is>
          <t>CDB</t>
        </is>
      </c>
      <c r="M143" t="n">
        <v>111</v>
      </c>
      <c r="O143" t="n">
        <v>0</v>
      </c>
      <c r="P143" t="n">
        <v>0.1</v>
      </c>
      <c r="Q143" t="n">
        <v>0.27</v>
      </c>
      <c r="R143" t="n">
        <v>0.43</v>
      </c>
      <c r="S143" t="n">
        <v>0.6</v>
      </c>
      <c r="T143" t="n">
        <v>0.68</v>
      </c>
      <c r="U143" t="n">
        <v>0.78</v>
      </c>
      <c r="V143" t="n">
        <v>0.875</v>
      </c>
      <c r="W143" t="n">
        <v>0.9650299910897681</v>
      </c>
      <c r="X143" t="n">
        <v>1.0507145834912</v>
      </c>
      <c r="Y143" t="n">
        <v>1.131682781968693</v>
      </c>
      <c r="Z143" t="n">
        <v>1.212568147358274</v>
      </c>
      <c r="AA143" t="n">
        <v>1.292508958096731</v>
      </c>
      <c r="AB143" t="n">
        <v>1.371648366999884</v>
      </c>
      <c r="AC143" t="n">
        <v>1.449958086991513</v>
      </c>
      <c r="AD143" t="n">
        <v>1.527408826426736</v>
      </c>
      <c r="AE143" t="n">
        <v>1.603970268900868</v>
      </c>
      <c r="AF143" t="n">
        <v>1.679611022424808</v>
      </c>
      <c r="AG143" t="n">
        <v>1.754298586738313</v>
      </c>
      <c r="AH143" t="n">
        <v>1.827999314530104</v>
      </c>
      <c r="AI143" t="n">
        <v>1.896974666924429</v>
      </c>
    </row>
    <row r="144">
      <c r="A144" t="inlineStr">
        <is>
          <t>no_year_in_pairs</t>
        </is>
      </c>
      <c r="B144" s="2" t="n"/>
      <c r="C144" s="3" t="inlineStr">
        <is>
          <t>SM.19.158, Sup. 2</t>
        </is>
      </c>
      <c r="D144" s="4" t="inlineStr">
        <is>
          <t>Dominica</t>
        </is>
      </c>
      <c r="E144" s="4" t="inlineStr">
        <is>
          <t>DMA</t>
        </is>
      </c>
      <c r="F144" s="4" t="n"/>
      <c r="G144" s="4" t="inlineStr">
        <is>
          <t>2018gn</t>
        </is>
      </c>
      <c r="H144" s="4" t="n">
        <v>2018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no_year_in_pairs</t>
        </is>
      </c>
      <c r="B145" s="2" t="n"/>
      <c r="C145" s="3" t="inlineStr">
        <is>
          <t>SM.19.158, Sup. 2</t>
        </is>
      </c>
      <c r="D145" s="4" t="inlineStr">
        <is>
          <t>Dominica</t>
        </is>
      </c>
      <c r="E145" s="4" t="inlineStr">
        <is>
          <t>DMA</t>
        </is>
      </c>
      <c r="F145" s="4" t="n"/>
      <c r="G145" s="4" t="inlineStr">
        <is>
          <t>2018gn</t>
        </is>
      </c>
      <c r="H145" s="4" t="n">
        <v>2018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no_year_in_pairs</t>
        </is>
      </c>
      <c r="B146" s="2" t="n"/>
      <c r="C146" s="3" t="inlineStr">
        <is>
          <t>SM.19.158, Sup. 2</t>
        </is>
      </c>
      <c r="D146" s="4" t="inlineStr">
        <is>
          <t>Dominica</t>
        </is>
      </c>
      <c r="E146" s="4" t="inlineStr">
        <is>
          <t>DMA</t>
        </is>
      </c>
      <c r="F146" s="4" t="n"/>
      <c r="G146" s="4" t="inlineStr">
        <is>
          <t>2018gn</t>
        </is>
      </c>
      <c r="H146" s="4" t="n">
        <v>2018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-0.01088888888888888</v>
      </c>
    </row>
    <row r="147">
      <c r="A147" t="inlineStr">
        <is>
          <t>no_year_in_pairs</t>
        </is>
      </c>
      <c r="B147" s="2" t="n"/>
      <c r="C147" s="3" t="inlineStr">
        <is>
          <t>SM.19.158, Sup. 2</t>
        </is>
      </c>
      <c r="D147" s="4" t="inlineStr">
        <is>
          <t>Dominica</t>
        </is>
      </c>
      <c r="E147" s="4" t="inlineStr">
        <is>
          <t>DMA</t>
        </is>
      </c>
      <c r="F147" s="4" t="n"/>
      <c r="G147" s="4" t="inlineStr">
        <is>
          <t>2018gn</t>
        </is>
      </c>
      <c r="H147" s="4" t="n">
        <v>2018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-0.01088888888888888</v>
      </c>
    </row>
    <row r="148">
      <c r="A148" t="inlineStr">
        <is>
          <t>no_year_in_pairs</t>
        </is>
      </c>
      <c r="B148" s="2" t="n"/>
      <c r="C148" s="3" t="inlineStr">
        <is>
          <t>SM.19.158, Sup. 2</t>
        </is>
      </c>
      <c r="D148" s="4" t="inlineStr">
        <is>
          <t>Dominica</t>
        </is>
      </c>
      <c r="E148" s="4" t="inlineStr">
        <is>
          <t>DMA</t>
        </is>
      </c>
      <c r="F148" s="4" t="n"/>
      <c r="G148" s="4" t="inlineStr">
        <is>
          <t>2018gn</t>
        </is>
      </c>
      <c r="H148" s="4" t="n">
        <v>2018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no_year_in_pairs</t>
        </is>
      </c>
      <c r="B149" s="2" t="n"/>
      <c r="C149" s="3" t="inlineStr">
        <is>
          <t>SM.19.158, Sup. 2</t>
        </is>
      </c>
      <c r="D149" s="4" t="inlineStr">
        <is>
          <t>Dominica</t>
        </is>
      </c>
      <c r="E149" s="4" t="inlineStr">
        <is>
          <t>DMA</t>
        </is>
      </c>
      <c r="F149" s="4" t="n"/>
      <c r="G149" s="4" t="inlineStr">
        <is>
          <t>2018gn</t>
        </is>
      </c>
      <c r="H149" s="4" t="n">
        <v>2018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no_year_in_pairs</t>
        </is>
      </c>
      <c r="B150" s="2" t="n"/>
      <c r="C150" s="3" t="inlineStr">
        <is>
          <t>SM.19.158, Sup. 2</t>
        </is>
      </c>
      <c r="D150" s="4" t="inlineStr">
        <is>
          <t>Dominica</t>
        </is>
      </c>
      <c r="E150" s="4" t="inlineStr">
        <is>
          <t>DMA</t>
        </is>
      </c>
      <c r="F150" s="4" t="n"/>
      <c r="G150" s="4" t="inlineStr">
        <is>
          <t>2018gn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0.59109527233652</v>
      </c>
      <c r="Q150" t="n">
        <v>0.8201237612879007</v>
      </c>
      <c r="R150" t="n">
        <v>1.358550995859652</v>
      </c>
      <c r="S150" t="n">
        <v>1.789488532810408</v>
      </c>
      <c r="T150" t="n">
        <v>2.201839114046124</v>
      </c>
      <c r="U150" t="n">
        <v>2.585343920731275</v>
      </c>
      <c r="V150" t="n">
        <v>2.835234899128306</v>
      </c>
      <c r="W150" t="n">
        <v>3.021003474483196</v>
      </c>
      <c r="X150" t="n">
        <v>3.109886784939012</v>
      </c>
      <c r="Y150" t="n">
        <v>3.121373939139033</v>
      </c>
      <c r="Z150" t="n">
        <v>3.060376240063794</v>
      </c>
      <c r="AA150" t="n">
        <v>3.048934652856897</v>
      </c>
      <c r="AB150" t="n">
        <v>3.016172085011805</v>
      </c>
      <c r="AC150" t="n">
        <v>3.028853186492926</v>
      </c>
      <c r="AD150" t="n">
        <v>3.003738867655377</v>
      </c>
      <c r="AE150" t="n">
        <v>2.948029170201435</v>
      </c>
      <c r="AF150" t="n">
        <v>2.901873003073586</v>
      </c>
      <c r="AG150" t="n">
        <v>2.866337334258588</v>
      </c>
      <c r="AH150" t="n">
        <v>2.837558991662474</v>
      </c>
      <c r="AI150" t="n">
        <v>2.816541316570174</v>
      </c>
      <c r="BI150" t="inlineStr">
        <is>
          <t>NEW_DS_I_OB</t>
        </is>
      </c>
    </row>
    <row r="151">
      <c r="A151" t="inlineStr">
        <is>
          <t>no_year_in_pairs</t>
        </is>
      </c>
      <c r="B151" s="2" t="n"/>
      <c r="C151" s="3" t="inlineStr">
        <is>
          <t>SM.19.158, Sup. 2</t>
        </is>
      </c>
      <c r="D151" s="4" t="inlineStr">
        <is>
          <t>Dominica</t>
        </is>
      </c>
      <c r="E151" s="4" t="inlineStr">
        <is>
          <t>DMA</t>
        </is>
      </c>
      <c r="F151" s="4" t="n"/>
      <c r="G151" s="4" t="inlineStr">
        <is>
          <t>2018gn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no_year_in_pairs</t>
        </is>
      </c>
      <c r="B152" s="2" t="n"/>
      <c r="C152" s="3" t="inlineStr">
        <is>
          <t>SM.19.158, Sup. 2</t>
        </is>
      </c>
      <c r="D152" s="4" t="inlineStr">
        <is>
          <t>Dominica</t>
        </is>
      </c>
      <c r="E152" s="4" t="inlineStr">
        <is>
          <t>DMA</t>
        </is>
      </c>
      <c r="F152" s="4" t="n"/>
      <c r="G152" s="4" t="inlineStr">
        <is>
          <t>2018gn</t>
        </is>
      </c>
      <c r="H152" s="4" t="n">
        <v>2018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no_year_in_pairs</t>
        </is>
      </c>
      <c r="B153" s="2" t="n"/>
      <c r="C153" s="3" t="inlineStr">
        <is>
          <t>SM.19.158, Sup. 2</t>
        </is>
      </c>
      <c r="D153" s="4" t="inlineStr">
        <is>
          <t>Dominica</t>
        </is>
      </c>
      <c r="E153" s="4" t="inlineStr">
        <is>
          <t>DMA</t>
        </is>
      </c>
      <c r="F153" s="4" t="n"/>
      <c r="G153" s="4" t="inlineStr">
        <is>
          <t>2018gn</t>
        </is>
      </c>
      <c r="H153" s="4" t="n">
        <v>2018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no_year_in_pairs</t>
        </is>
      </c>
      <c r="B154" s="2" t="n"/>
      <c r="C154" s="3" t="inlineStr">
        <is>
          <t>SM.19.158, Sup. 2</t>
        </is>
      </c>
      <c r="D154" s="4" t="inlineStr">
        <is>
          <t>Dominica</t>
        </is>
      </c>
      <c r="E154" s="4" t="inlineStr">
        <is>
          <t>DMA</t>
        </is>
      </c>
      <c r="F154" s="4" t="n"/>
      <c r="G154" s="4" t="inlineStr">
        <is>
          <t>2018gn</t>
        </is>
      </c>
      <c r="H154" s="4" t="n">
        <v>2018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no_year_in_pairs</t>
        </is>
      </c>
      <c r="B155" s="2" t="n"/>
      <c r="C155" s="3" t="inlineStr">
        <is>
          <t>SM.19.158, Sup. 2</t>
        </is>
      </c>
      <c r="D155" s="4" t="inlineStr">
        <is>
          <t>Dominica</t>
        </is>
      </c>
      <c r="E155" s="4" t="inlineStr">
        <is>
          <t>DMA</t>
        </is>
      </c>
      <c r="F155" s="4" t="n"/>
      <c r="G155" s="4" t="inlineStr">
        <is>
          <t>2018gn</t>
        </is>
      </c>
      <c r="H155" s="4" t="n">
        <v>2018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no_year_in_pairs</t>
        </is>
      </c>
      <c r="B156" s="2" t="n"/>
      <c r="C156" s="3" t="inlineStr">
        <is>
          <t>SM.19.158, Sup. 2</t>
        </is>
      </c>
      <c r="D156" s="4" t="inlineStr">
        <is>
          <t>Dominica</t>
        </is>
      </c>
      <c r="E156" s="4" t="inlineStr">
        <is>
          <t>DMA</t>
        </is>
      </c>
      <c r="F156" s="4" t="n"/>
      <c r="G156" s="4" t="inlineStr">
        <is>
          <t>2018gn</t>
        </is>
      </c>
      <c r="H156" s="4" t="n">
        <v>2018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no_year_in_pairs</t>
        </is>
      </c>
      <c r="B157" s="2" t="n"/>
      <c r="C157" s="3" t="inlineStr">
        <is>
          <t>SM.19.158, Sup. 2</t>
        </is>
      </c>
      <c r="D157" s="4" t="inlineStr">
        <is>
          <t>Dominica</t>
        </is>
      </c>
      <c r="E157" s="4" t="inlineStr">
        <is>
          <t>DMA</t>
        </is>
      </c>
      <c r="F157" s="4" t="n"/>
      <c r="G157" s="4" t="inlineStr">
        <is>
          <t>2018gn</t>
        </is>
      </c>
      <c r="H157" s="4" t="n">
        <v>2018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0.59109527233652</v>
      </c>
      <c r="Q157" t="n">
        <v>0.8201237612879007</v>
      </c>
      <c r="R157" t="n">
        <v>1.358550995859652</v>
      </c>
      <c r="S157" t="n">
        <v>1.789488532810408</v>
      </c>
      <c r="T157" t="n">
        <v>2.201839114046124</v>
      </c>
      <c r="U157" t="n">
        <v>2.585343920731275</v>
      </c>
      <c r="V157" t="n">
        <v>2.835234899128306</v>
      </c>
      <c r="W157" t="n">
        <v>3.021003474483196</v>
      </c>
      <c r="X157" t="n">
        <v>3.109886784939012</v>
      </c>
      <c r="Y157" t="n">
        <v>3.121373939139033</v>
      </c>
      <c r="Z157" t="n">
        <v>3.060376240063794</v>
      </c>
      <c r="AA157" t="n">
        <v>3.048934652856897</v>
      </c>
      <c r="AB157" t="n">
        <v>3.016172085011805</v>
      </c>
      <c r="AC157" t="n">
        <v>3.028853186492926</v>
      </c>
      <c r="AD157" t="n">
        <v>3.003738867655377</v>
      </c>
      <c r="AE157" t="n">
        <v>2.948029170201435</v>
      </c>
      <c r="AF157" t="n">
        <v>2.901873003073586</v>
      </c>
      <c r="AG157" t="n">
        <v>2.866337334258588</v>
      </c>
      <c r="AH157" t="n">
        <v>2.837558991662474</v>
      </c>
      <c r="AI157" t="n">
        <v>2.816541316570174</v>
      </c>
    </row>
    <row r="158">
      <c r="A158" t="inlineStr">
        <is>
          <t>no_year_in_pairs</t>
        </is>
      </c>
      <c r="B158" s="2" t="n"/>
      <c r="C158" s="3" t="inlineStr">
        <is>
          <t>SM.19.158, Sup. 2</t>
        </is>
      </c>
      <c r="D158" s="4" t="inlineStr">
        <is>
          <t>Dominica</t>
        </is>
      </c>
      <c r="E158" s="4" t="inlineStr">
        <is>
          <t>DMA</t>
        </is>
      </c>
      <c r="F158" s="4" t="n"/>
      <c r="G158" s="4" t="inlineStr">
        <is>
          <t>2018gn</t>
        </is>
      </c>
      <c r="H158" s="4" t="n">
        <v>2018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0.59109527233652</v>
      </c>
      <c r="Q158" t="n">
        <v>0.8201237612879007</v>
      </c>
      <c r="R158" t="n">
        <v>1.358550995859652</v>
      </c>
      <c r="S158" t="n">
        <v>1.789488532810408</v>
      </c>
      <c r="T158" t="n">
        <v>2.201839114046124</v>
      </c>
      <c r="U158" t="n">
        <v>2.585343920731275</v>
      </c>
      <c r="V158" t="n">
        <v>2.835234899128306</v>
      </c>
      <c r="W158" t="n">
        <v>3.021003474483196</v>
      </c>
      <c r="X158" t="n">
        <v>3.109886784939012</v>
      </c>
      <c r="Y158" t="n">
        <v>3.121373939139033</v>
      </c>
      <c r="Z158" t="n">
        <v>3.060376240063794</v>
      </c>
      <c r="AA158" t="n">
        <v>3.048934652856897</v>
      </c>
      <c r="AB158" t="n">
        <v>3.016172085011805</v>
      </c>
      <c r="AC158" t="n">
        <v>3.028853186492926</v>
      </c>
      <c r="AD158" t="n">
        <v>3.003738867655377</v>
      </c>
      <c r="AE158" t="n">
        <v>2.948029170201435</v>
      </c>
      <c r="AF158" t="n">
        <v>2.901873003073586</v>
      </c>
      <c r="AG158" t="n">
        <v>2.866337334258588</v>
      </c>
      <c r="AH158" t="n">
        <v>2.837558991662474</v>
      </c>
      <c r="AI158" t="n">
        <v>2.816541316570174</v>
      </c>
    </row>
    <row r="159">
      <c r="A159" t="inlineStr">
        <is>
          <t>no_year_in_pairs</t>
        </is>
      </c>
      <c r="B159" s="2" t="n"/>
      <c r="C159" s="3" t="inlineStr">
        <is>
          <t>SM.19.158, Sup. 2</t>
        </is>
      </c>
      <c r="D159" s="4" t="inlineStr">
        <is>
          <t>Dominica</t>
        </is>
      </c>
      <c r="E159" s="4" t="inlineStr">
        <is>
          <t>DMA</t>
        </is>
      </c>
      <c r="F159" s="4" t="n"/>
      <c r="G159" s="4" t="inlineStr">
        <is>
          <t>2018gn</t>
        </is>
      </c>
      <c r="H159" s="4" t="n">
        <v>2018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no_year_in_pairs</t>
        </is>
      </c>
      <c r="B160" s="2" t="n"/>
      <c r="C160" s="3" t="inlineStr">
        <is>
          <t>SM.19.158, Sup. 2</t>
        </is>
      </c>
      <c r="D160" s="4" t="inlineStr">
        <is>
          <t>Dominica</t>
        </is>
      </c>
      <c r="E160" s="4" t="inlineStr">
        <is>
          <t>DMA</t>
        </is>
      </c>
      <c r="F160" s="4" t="n"/>
      <c r="G160" s="4" t="inlineStr">
        <is>
          <t>2018gn</t>
        </is>
      </c>
      <c r="H160" s="4" t="n">
        <v>2018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no_year_in_pairs</t>
        </is>
      </c>
      <c r="B161" s="2" t="n"/>
      <c r="C161" s="3" t="inlineStr">
        <is>
          <t>SM.19.158, Sup. 2</t>
        </is>
      </c>
      <c r="D161" s="4" t="inlineStr">
        <is>
          <t>Dominica</t>
        </is>
      </c>
      <c r="E161" s="4" t="inlineStr">
        <is>
          <t>DMA</t>
        </is>
      </c>
      <c r="F161" s="4" t="n"/>
      <c r="G161" s="4" t="inlineStr">
        <is>
          <t>2018gn</t>
        </is>
      </c>
      <c r="H161" s="4" t="n">
        <v>2018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no_year_in_pairs</t>
        </is>
      </c>
      <c r="B162" s="2" t="n"/>
      <c r="C162" s="3" t="inlineStr">
        <is>
          <t>SM.19.158, Sup. 2</t>
        </is>
      </c>
      <c r="D162" s="4" t="inlineStr">
        <is>
          <t>Dominica</t>
        </is>
      </c>
      <c r="E162" s="4" t="inlineStr">
        <is>
          <t>DMA</t>
        </is>
      </c>
      <c r="F162" s="4" t="n"/>
      <c r="G162" s="4" t="inlineStr">
        <is>
          <t>2018gn</t>
        </is>
      </c>
      <c r="H162" s="4" t="n">
        <v>2018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no_year_in_pairs</t>
        </is>
      </c>
      <c r="B163" s="2" t="n"/>
      <c r="C163" s="3" t="inlineStr">
        <is>
          <t>SM.19.158, Sup. 2</t>
        </is>
      </c>
      <c r="D163" s="4" t="inlineStr">
        <is>
          <t>Dominica</t>
        </is>
      </c>
      <c r="E163" s="4" t="inlineStr">
        <is>
          <t>DMA</t>
        </is>
      </c>
      <c r="F163" s="4" t="n"/>
      <c r="G163" s="4" t="inlineStr">
        <is>
          <t>2018gn</t>
        </is>
      </c>
      <c r="H163" s="4" t="n">
        <v>2018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0.9684490916210983</v>
      </c>
      <c r="Q163" t="n">
        <v>1.522598977366133</v>
      </c>
      <c r="R163" t="n">
        <v>2.616312488437356</v>
      </c>
      <c r="S163" t="n">
        <v>3.236483560710657</v>
      </c>
      <c r="T163" t="n">
        <v>3.838632987253345</v>
      </c>
      <c r="U163" t="n">
        <v>4.448038671188929</v>
      </c>
      <c r="V163" t="n">
        <v>4.985511235532686</v>
      </c>
      <c r="W163" t="n">
        <v>5.596735513946444</v>
      </c>
      <c r="X163" t="n">
        <v>6.237741917755367</v>
      </c>
      <c r="Y163" t="n">
        <v>6.958130362599467</v>
      </c>
      <c r="Z163" t="n">
        <v>7.770533210269449</v>
      </c>
      <c r="AA163" t="n">
        <v>8.515197308667469</v>
      </c>
      <c r="AB163" t="n">
        <v>9.313295843658796</v>
      </c>
      <c r="AC163" t="n">
        <v>10.0622423574182</v>
      </c>
      <c r="AD163" t="n">
        <v>10.7423595809206</v>
      </c>
      <c r="AE163" t="n">
        <v>9.301689051148038</v>
      </c>
      <c r="AF163" t="n">
        <v>9.986412968272631</v>
      </c>
      <c r="AG163" t="n">
        <v>10.68486124650574</v>
      </c>
      <c r="AH163" t="n">
        <v>11.39787730673107</v>
      </c>
      <c r="AI163" t="n">
        <v>12.21166099921151</v>
      </c>
      <c r="BI163" t="inlineStr">
        <is>
          <t>NEW_DS_I_COM</t>
        </is>
      </c>
    </row>
    <row r="164">
      <c r="A164" t="inlineStr">
        <is>
          <t>no_year_in_pairs</t>
        </is>
      </c>
      <c r="B164" s="2" t="n"/>
      <c r="C164" s="3" t="inlineStr">
        <is>
          <t>SM.19.158, Sup. 2</t>
        </is>
      </c>
      <c r="D164" s="4" t="inlineStr">
        <is>
          <t>Dominica</t>
        </is>
      </c>
      <c r="E164" s="4" t="inlineStr">
        <is>
          <t>DMA</t>
        </is>
      </c>
      <c r="F164" s="4" t="n"/>
      <c r="G164" s="4" t="inlineStr">
        <is>
          <t>2018gn</t>
        </is>
      </c>
      <c r="H164" s="4" t="n">
        <v>2018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no_year_in_pairs</t>
        </is>
      </c>
      <c r="B165" s="2" t="n"/>
      <c r="C165" s="3" t="inlineStr">
        <is>
          <t>SM.19.158, Sup. 2</t>
        </is>
      </c>
      <c r="D165" s="4" t="inlineStr">
        <is>
          <t>Dominica</t>
        </is>
      </c>
      <c r="E165" s="4" t="inlineStr">
        <is>
          <t>DMA</t>
        </is>
      </c>
      <c r="F165" s="4" t="n"/>
      <c r="G165" s="4" t="inlineStr">
        <is>
          <t>2018gn</t>
        </is>
      </c>
      <c r="H165" s="4" t="n">
        <v>2018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0.2460647485874615</v>
      </c>
      <c r="Q165" t="n">
        <v>0.269684916018481</v>
      </c>
      <c r="R165" t="n">
        <v>0.8088440096738401</v>
      </c>
      <c r="S165" t="n">
        <v>0.3843674073750595</v>
      </c>
      <c r="T165" t="n">
        <v>0.4385626615507559</v>
      </c>
      <c r="U165" t="n">
        <v>0.5031476352010547</v>
      </c>
      <c r="V165" t="n">
        <v>0.4537040524441446</v>
      </c>
      <c r="W165" t="n">
        <v>0.5263374895367445</v>
      </c>
      <c r="X165" t="n">
        <v>0.474038443988773</v>
      </c>
      <c r="Y165" t="n">
        <v>0.4699817873749226</v>
      </c>
      <c r="Z165" t="n">
        <v>0.4961002986697199</v>
      </c>
      <c r="AA165" t="n">
        <v>0.5247369780959495</v>
      </c>
      <c r="AB165" t="n">
        <v>0.5555384336190493</v>
      </c>
      <c r="AC165" t="n">
        <v>0.5760206830027693</v>
      </c>
      <c r="AD165" t="n">
        <v>0.5411667239945196</v>
      </c>
      <c r="AE165" t="n">
        <v>0.5319566703448143</v>
      </c>
      <c r="AF165" t="n">
        <v>0.5560709492004697</v>
      </c>
      <c r="AG165" t="n">
        <v>0.5764852505742394</v>
      </c>
      <c r="AH165" t="n">
        <v>0.5982365184636198</v>
      </c>
      <c r="AI165" t="n">
        <v>0.6206724003181704</v>
      </c>
    </row>
    <row r="166">
      <c r="A166" t="inlineStr">
        <is>
          <t>no_year_in_pairs</t>
        </is>
      </c>
      <c r="B166" s="2" t="n"/>
      <c r="C166" s="3" t="inlineStr">
        <is>
          <t>SM.19.158, Sup. 2</t>
        </is>
      </c>
      <c r="D166" s="4" t="inlineStr">
        <is>
          <t>Dominica</t>
        </is>
      </c>
      <c r="E166" s="4" t="inlineStr">
        <is>
          <t>DMA</t>
        </is>
      </c>
      <c r="F166" s="4" t="n"/>
      <c r="G166" s="4" t="inlineStr">
        <is>
          <t>2018gn</t>
        </is>
      </c>
      <c r="H166" s="4" t="n">
        <v>2018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0.7223843430336367</v>
      </c>
      <c r="Q166" t="n">
        <v>1.252914061347652</v>
      </c>
      <c r="R166" t="n">
        <v>1.807468478763516</v>
      </c>
      <c r="S166" t="n">
        <v>2.852116153335597</v>
      </c>
      <c r="T166" t="n">
        <v>3.400070325702589</v>
      </c>
      <c r="U166" t="n">
        <v>3.944891035987874</v>
      </c>
      <c r="V166" t="n">
        <v>4.531807183088541</v>
      </c>
      <c r="W166" t="n">
        <v>5.0703980244097</v>
      </c>
      <c r="X166" t="n">
        <v>5.763703473766594</v>
      </c>
      <c r="Y166" t="n">
        <v>6.488148575224544</v>
      </c>
      <c r="Z166" t="n">
        <v>7.274432911599729</v>
      </c>
      <c r="AA166" t="n">
        <v>7.99046033057152</v>
      </c>
      <c r="AB166" t="n">
        <v>8.757757410039748</v>
      </c>
      <c r="AC166" t="n">
        <v>9.486221674415431</v>
      </c>
      <c r="AD166" t="n">
        <v>10.20119285692608</v>
      </c>
      <c r="AE166" t="n">
        <v>8.769732380803225</v>
      </c>
      <c r="AF166" t="n">
        <v>9.430342019072162</v>
      </c>
      <c r="AG166" t="n">
        <v>10.1083759959315</v>
      </c>
      <c r="AH166" t="n">
        <v>10.79964078826745</v>
      </c>
      <c r="AI166" t="n">
        <v>11.59098859889334</v>
      </c>
    </row>
    <row r="167">
      <c r="A167" t="inlineStr">
        <is>
          <t>no_year_in_pairs</t>
        </is>
      </c>
      <c r="B167" s="2" t="n"/>
      <c r="C167" s="3" t="inlineStr">
        <is>
          <t>SM.19.158, Sup. 2</t>
        </is>
      </c>
      <c r="D167" s="4" t="inlineStr">
        <is>
          <t>Dominica</t>
        </is>
      </c>
      <c r="E167" s="4" t="inlineStr">
        <is>
          <t>DMA</t>
        </is>
      </c>
      <c r="F167" s="4" t="n"/>
      <c r="G167" s="4" t="inlineStr">
        <is>
          <t>2018gn</t>
        </is>
      </c>
      <c r="H167" s="4" t="n">
        <v>2018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no_year_in_pairs</t>
        </is>
      </c>
      <c r="B168" s="2" t="n"/>
      <c r="C168" s="3" t="inlineStr">
        <is>
          <t>SM.19.158, Sup. 2</t>
        </is>
      </c>
      <c r="D168" s="4" t="inlineStr">
        <is>
          <t>Dominica</t>
        </is>
      </c>
      <c r="E168" s="4" t="inlineStr">
        <is>
          <t>DMA</t>
        </is>
      </c>
      <c r="F168" s="4" t="n"/>
      <c r="G168" s="4" t="inlineStr">
        <is>
          <t>2018gn</t>
        </is>
      </c>
      <c r="H168" s="4" t="n">
        <v>2018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no_year_in_pairs</t>
        </is>
      </c>
      <c r="B169" s="2" t="n"/>
      <c r="C169" s="3" t="inlineStr">
        <is>
          <t>SM.19.158, Sup. 2</t>
        </is>
      </c>
      <c r="D169" s="4" t="inlineStr">
        <is>
          <t>Dominica</t>
        </is>
      </c>
      <c r="E169" s="4" t="inlineStr">
        <is>
          <t>DMA</t>
        </is>
      </c>
      <c r="F169" s="4" t="n"/>
      <c r="G169" s="4" t="inlineStr">
        <is>
          <t>2018gn</t>
        </is>
      </c>
      <c r="H169" s="4" t="n">
        <v>2018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no_year_in_pairs</t>
        </is>
      </c>
      <c r="B170" s="2" t="n"/>
      <c r="C170" s="3" t="inlineStr">
        <is>
          <t>SM.19.158, Sup. 2</t>
        </is>
      </c>
      <c r="D170" s="4" t="inlineStr">
        <is>
          <t>Dominica</t>
        </is>
      </c>
      <c r="E170" s="4" t="inlineStr">
        <is>
          <t>DMA</t>
        </is>
      </c>
      <c r="F170" s="4" t="n"/>
      <c r="G170" s="4" t="inlineStr">
        <is>
          <t>2018gn</t>
        </is>
      </c>
      <c r="H170" s="4" t="n">
        <v>2018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no_year_in_pairs</t>
        </is>
      </c>
      <c r="B171" s="2" t="n"/>
      <c r="C171" s="3" t="inlineStr">
        <is>
          <t>SM.19.158, Sup. 2</t>
        </is>
      </c>
      <c r="D171" s="4" t="inlineStr">
        <is>
          <t>Dominica</t>
        </is>
      </c>
      <c r="E171" s="4" t="inlineStr">
        <is>
          <t>DMA</t>
        </is>
      </c>
      <c r="F171" s="4" t="n"/>
      <c r="G171" s="4" t="inlineStr">
        <is>
          <t>2018gn</t>
        </is>
      </c>
      <c r="H171" s="4" t="n">
        <v>2018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no_year_in_pairs</t>
        </is>
      </c>
      <c r="B172" s="2" t="n"/>
      <c r="C172" s="3" t="inlineStr">
        <is>
          <t>SM.19.158, Sup. 2</t>
        </is>
      </c>
      <c r="D172" s="4" t="inlineStr">
        <is>
          <t>Dominica</t>
        </is>
      </c>
      <c r="E172" s="4" t="inlineStr">
        <is>
          <t>DMA</t>
        </is>
      </c>
      <c r="F172" s="4" t="n"/>
      <c r="G172" s="4" t="inlineStr">
        <is>
          <t>2018gn</t>
        </is>
      </c>
      <c r="H172" s="4" t="n">
        <v>2018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no_year_in_pairs</t>
        </is>
      </c>
      <c r="B173" s="2" t="n"/>
      <c r="C173" s="3" t="inlineStr">
        <is>
          <t>SM.19.158, Sup. 2</t>
        </is>
      </c>
      <c r="D173" s="4" t="inlineStr">
        <is>
          <t>Dominica</t>
        </is>
      </c>
      <c r="E173" s="4" t="inlineStr">
        <is>
          <t>DMA</t>
        </is>
      </c>
      <c r="F173" s="4" t="n"/>
      <c r="G173" s="4" t="inlineStr">
        <is>
          <t>2018gn</t>
        </is>
      </c>
      <c r="H173" s="4" t="n">
        <v>2018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no_year_in_pairs</t>
        </is>
      </c>
      <c r="B174" s="2" t="n"/>
      <c r="C174" s="3" t="inlineStr">
        <is>
          <t>SM.19.158, Sup. 2</t>
        </is>
      </c>
      <c r="D174" s="4" t="inlineStr">
        <is>
          <t>Dominica</t>
        </is>
      </c>
      <c r="E174" s="4" t="inlineStr">
        <is>
          <t>DMA</t>
        </is>
      </c>
      <c r="F174" s="4" t="n"/>
      <c r="G174" s="4" t="inlineStr">
        <is>
          <t>2018gn</t>
        </is>
      </c>
      <c r="H174" s="4" t="n">
        <v>2018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no_year_in_pairs</t>
        </is>
      </c>
      <c r="B175" s="2" t="n"/>
      <c r="C175" s="3" t="inlineStr">
        <is>
          <t>SM.19.158, Sup. 2</t>
        </is>
      </c>
      <c r="D175" s="4" t="inlineStr">
        <is>
          <t>Dominica</t>
        </is>
      </c>
      <c r="E175" s="4" t="inlineStr">
        <is>
          <t>DMA</t>
        </is>
      </c>
      <c r="F175" s="4" t="n"/>
      <c r="G175" s="4" t="inlineStr">
        <is>
          <t>2018gn</t>
        </is>
      </c>
      <c r="H175" s="4" t="n">
        <v>2018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no_year_in_pairs</t>
        </is>
      </c>
      <c r="B176" s="2" t="n"/>
      <c r="C176" s="3" t="inlineStr">
        <is>
          <t>SM.19.158, Sup. 2</t>
        </is>
      </c>
      <c r="D176" s="4" t="inlineStr">
        <is>
          <t>Dominica</t>
        </is>
      </c>
      <c r="E176" s="4" t="inlineStr">
        <is>
          <t>DMA</t>
        </is>
      </c>
      <c r="F176" s="4" t="n"/>
      <c r="G176" s="4" t="inlineStr">
        <is>
          <t>2018gn</t>
        </is>
      </c>
      <c r="H176" s="4" t="n">
        <v>2018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no_year_in_pairs</t>
        </is>
      </c>
      <c r="B177" s="2" t="n"/>
      <c r="C177" s="3" t="inlineStr">
        <is>
          <t>SM.19.158, Sup. 2</t>
        </is>
      </c>
      <c r="D177" s="4" t="inlineStr">
        <is>
          <t>Dominica</t>
        </is>
      </c>
      <c r="E177" s="4" t="inlineStr">
        <is>
          <t>DMA</t>
        </is>
      </c>
      <c r="F177" s="4" t="n"/>
      <c r="G177" s="4" t="inlineStr">
        <is>
          <t>2018gn</t>
        </is>
      </c>
      <c r="H177" s="4" t="n">
        <v>2018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no_year_in_pairs</t>
        </is>
      </c>
      <c r="B178" s="2" t="n"/>
      <c r="C178" s="3" t="inlineStr">
        <is>
          <t>SM.19.158, Sup. 2</t>
        </is>
      </c>
      <c r="D178" s="4" t="inlineStr">
        <is>
          <t>Dominica</t>
        </is>
      </c>
      <c r="E178" s="4" t="inlineStr">
        <is>
          <t>DMA</t>
        </is>
      </c>
      <c r="F178" s="4" t="n"/>
      <c r="G178" s="4" t="inlineStr">
        <is>
          <t>2018gn</t>
        </is>
      </c>
      <c r="H178" s="4" t="n">
        <v>2018</v>
      </c>
      <c r="I178" s="5" t="n"/>
      <c r="J178" t="inlineStr">
        <is>
          <t>Locally-issued debt held by residents</t>
        </is>
      </c>
    </row>
    <row r="179">
      <c r="A179" t="inlineStr">
        <is>
          <t>no_year_in_pairs</t>
        </is>
      </c>
      <c r="B179" s="2" t="n"/>
      <c r="C179" s="3" t="inlineStr">
        <is>
          <t>SM.19.158, Sup. 2</t>
        </is>
      </c>
      <c r="D179" s="4" t="inlineStr">
        <is>
          <t>Dominica</t>
        </is>
      </c>
      <c r="E179" s="4" t="inlineStr">
        <is>
          <t>DMA</t>
        </is>
      </c>
      <c r="F179" s="4" t="n"/>
      <c r="G179" s="4" t="inlineStr">
        <is>
          <t>2018gn</t>
        </is>
      </c>
      <c r="H179" s="4" t="n">
        <v>2018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no_year_in_pairs</t>
        </is>
      </c>
      <c r="B180" s="2" t="n"/>
      <c r="C180" s="3" t="inlineStr">
        <is>
          <t>SM.19.158, Sup. 2</t>
        </is>
      </c>
      <c r="D180" s="4" t="inlineStr">
        <is>
          <t>Dominica</t>
        </is>
      </c>
      <c r="E180" s="4" t="inlineStr">
        <is>
          <t>DMA</t>
        </is>
      </c>
      <c r="F180" s="4" t="n"/>
      <c r="G180" s="4" t="inlineStr">
        <is>
          <t>2018gn</t>
        </is>
      </c>
      <c r="H180" s="4" t="n">
        <v>2018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no_year_in_pairs</t>
        </is>
      </c>
      <c r="B181" s="2" t="n"/>
      <c r="C181" s="3" t="inlineStr">
        <is>
          <t>SM.19.158, Sup. 2</t>
        </is>
      </c>
      <c r="D181" s="4" t="inlineStr">
        <is>
          <t>Dominica</t>
        </is>
      </c>
      <c r="E181" s="4" t="inlineStr">
        <is>
          <t>DMA</t>
        </is>
      </c>
      <c r="F181" s="4" t="n"/>
      <c r="G181" s="4" t="inlineStr">
        <is>
          <t>2018gn</t>
        </is>
      </c>
      <c r="H181" s="4" t="n">
        <v>2018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no_year_in_pairs</t>
        </is>
      </c>
      <c r="B182" s="2" t="n"/>
      <c r="C182" s="3" t="inlineStr">
        <is>
          <t>SM.19.158, Sup. 2</t>
        </is>
      </c>
      <c r="D182" s="4" t="inlineStr">
        <is>
          <t>Dominica</t>
        </is>
      </c>
      <c r="E182" s="4" t="inlineStr">
        <is>
          <t>DMA</t>
        </is>
      </c>
      <c r="F182" s="4" t="n"/>
      <c r="G182" s="4" t="inlineStr">
        <is>
          <t>2018gn</t>
        </is>
      </c>
      <c r="H182" s="4" t="n">
        <v>2018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no_year_in_pairs</t>
        </is>
      </c>
      <c r="B183" s="2" t="n"/>
      <c r="C183" s="3" t="inlineStr">
        <is>
          <t>SM.19.158, Sup. 2</t>
        </is>
      </c>
      <c r="D183" s="4" t="inlineStr">
        <is>
          <t>Dominica</t>
        </is>
      </c>
      <c r="E183" s="4" t="inlineStr">
        <is>
          <t>DMA</t>
        </is>
      </c>
      <c r="F183" s="4" t="n"/>
      <c r="G183" s="4" t="inlineStr">
        <is>
          <t>2018gn</t>
        </is>
      </c>
      <c r="H183" s="4" t="n">
        <v>2018</v>
      </c>
      <c r="I183" s="5" t="n"/>
    </row>
    <row r="184">
      <c r="A184" t="inlineStr">
        <is>
          <t>no_year_in_pairs</t>
        </is>
      </c>
      <c r="B184" s="2" t="n"/>
      <c r="C184" s="3" t="inlineStr">
        <is>
          <t>SM.19.158, Sup. 2</t>
        </is>
      </c>
      <c r="D184" s="4" t="inlineStr">
        <is>
          <t>Dominica</t>
        </is>
      </c>
      <c r="E184" s="4" t="inlineStr">
        <is>
          <t>DMA</t>
        </is>
      </c>
      <c r="F184" s="4" t="n"/>
      <c r="G184" s="4" t="inlineStr">
        <is>
          <t>2018gn</t>
        </is>
      </c>
      <c r="H184" s="4" t="n">
        <v>2018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19.36898183242197</v>
      </c>
      <c r="Q184" t="n">
        <v>30.45197954732266</v>
      </c>
      <c r="R184" t="n">
        <v>52.32624976874712</v>
      </c>
      <c r="S184" t="n">
        <v>64.72967121421314</v>
      </c>
      <c r="T184" t="n">
        <v>76.7726597450669</v>
      </c>
      <c r="U184" t="n">
        <v>92.83846069427301</v>
      </c>
      <c r="V184" t="n">
        <v>105.7466462037275</v>
      </c>
      <c r="W184" t="n">
        <v>121.8478588266984</v>
      </c>
      <c r="X184" t="n">
        <v>137.980487114024</v>
      </c>
      <c r="Y184" t="n">
        <v>155.1445450465386</v>
      </c>
      <c r="Z184" t="n">
        <v>170.8730374343114</v>
      </c>
      <c r="AA184" t="n">
        <v>187.5944044151077</v>
      </c>
      <c r="AB184" t="n">
        <v>203.5294503639491</v>
      </c>
      <c r="AC184" t="n">
        <v>219.1756710640604</v>
      </c>
      <c r="AD184" t="n">
        <v>233.4540047904563</v>
      </c>
      <c r="AE184" t="n">
        <v>205.575394262232</v>
      </c>
      <c r="AF184" t="n">
        <v>220.372374226699</v>
      </c>
      <c r="AG184" t="n">
        <v>235.6206499664834</v>
      </c>
      <c r="AH184" t="n">
        <v>251.1789244442165</v>
      </c>
      <c r="AI184" t="n">
        <v>268.4434902070735</v>
      </c>
      <c r="BI184" t="inlineStr">
        <is>
          <t>NEW_DP_TOT</t>
        </is>
      </c>
    </row>
    <row r="185">
      <c r="A185" t="inlineStr">
        <is>
          <t>no_year_in_pairs</t>
        </is>
      </c>
      <c r="B185" s="2" t="n"/>
      <c r="C185" s="3" t="inlineStr">
        <is>
          <t>SM.19.158, Sup. 2</t>
        </is>
      </c>
      <c r="D185" s="4" t="inlineStr">
        <is>
          <t>Dominica</t>
        </is>
      </c>
      <c r="E185" s="4" t="inlineStr">
        <is>
          <t>DMA</t>
        </is>
      </c>
      <c r="F185" s="4" t="n"/>
      <c r="G185" s="4" t="inlineStr">
        <is>
          <t>2018gn</t>
        </is>
      </c>
      <c r="H185" s="4" t="n">
        <v>2018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0.5</v>
      </c>
      <c r="V185" t="n">
        <v>1.35</v>
      </c>
      <c r="W185" t="n">
        <v>2.15</v>
      </c>
      <c r="X185" t="n">
        <v>3</v>
      </c>
      <c r="Y185" t="n">
        <v>3.4</v>
      </c>
      <c r="Z185" t="n">
        <v>4.066666666666666</v>
      </c>
      <c r="AA185" t="n">
        <v>5.100000000000001</v>
      </c>
      <c r="AB185" t="n">
        <v>6.150983288782173</v>
      </c>
      <c r="AC185" t="n">
        <v>7.220239584122667</v>
      </c>
      <c r="AD185" t="n">
        <v>8.141747243176798</v>
      </c>
      <c r="AE185" t="n">
        <v>9.100174070124705</v>
      </c>
      <c r="AF185" t="n">
        <v>10.09240078005585</v>
      </c>
      <c r="AG185" t="n">
        <v>11.11965299515551</v>
      </c>
      <c r="AH185" t="n">
        <v>12.18316713167907</v>
      </c>
      <c r="AI185" t="n">
        <v>13.28422320489612</v>
      </c>
      <c r="BI185" t="inlineStr">
        <is>
          <t>NEW_DP_ML</t>
        </is>
      </c>
    </row>
    <row r="186">
      <c r="A186" t="inlineStr">
        <is>
          <t>no_year_in_pairs</t>
        </is>
      </c>
      <c r="B186" s="2" t="n"/>
      <c r="C186" s="3" t="inlineStr">
        <is>
          <t>SM.19.158, Sup. 2</t>
        </is>
      </c>
      <c r="D186" s="4" t="inlineStr">
        <is>
          <t>Dominica</t>
        </is>
      </c>
      <c r="E186" s="4" t="inlineStr">
        <is>
          <t>DMA</t>
        </is>
      </c>
      <c r="F186" s="4" t="n"/>
      <c r="G186" s="4" t="inlineStr">
        <is>
          <t>2018gn</t>
        </is>
      </c>
      <c r="H186" s="4" t="n">
        <v>2018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no_year_in_pairs</t>
        </is>
      </c>
      <c r="B187" s="2" t="n"/>
      <c r="C187" s="3" t="inlineStr">
        <is>
          <t>SM.19.158, Sup. 2</t>
        </is>
      </c>
      <c r="D187" s="4" t="inlineStr">
        <is>
          <t>Dominica</t>
        </is>
      </c>
      <c r="E187" s="4" t="inlineStr">
        <is>
          <t>DMA</t>
        </is>
      </c>
      <c r="F187" s="4" t="n"/>
      <c r="G187" s="4" t="inlineStr">
        <is>
          <t>2018gn</t>
        </is>
      </c>
      <c r="H187" s="4" t="n">
        <v>2018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0.1666666666666667</v>
      </c>
      <c r="AA187" t="n">
        <v>0.7</v>
      </c>
      <c r="AB187" t="n">
        <v>1.233333333333333</v>
      </c>
      <c r="AC187" t="n">
        <v>1.766666666666667</v>
      </c>
      <c r="AD187" t="n">
        <v>2.133333333333333</v>
      </c>
      <c r="AE187" t="n">
        <v>2.517333333333333</v>
      </c>
      <c r="AF187" t="n">
        <v>2.91485598957219</v>
      </c>
      <c r="AG187" t="n">
        <v>3.32641116015609</v>
      </c>
      <c r="AH187" t="n">
        <v>3.752494198949057</v>
      </c>
      <c r="AI187" t="n">
        <v>4.193617929117194</v>
      </c>
    </row>
    <row r="188">
      <c r="A188" t="inlineStr">
        <is>
          <t>no_year_in_pairs</t>
        </is>
      </c>
      <c r="B188" s="2" t="n"/>
      <c r="C188" s="3" t="inlineStr">
        <is>
          <t>SM.19.158, Sup. 2</t>
        </is>
      </c>
      <c r="D188" s="4" t="inlineStr">
        <is>
          <t>Dominica</t>
        </is>
      </c>
      <c r="E188" s="4" t="inlineStr">
        <is>
          <t>DMA</t>
        </is>
      </c>
      <c r="F188" s="4" t="n"/>
      <c r="G188" s="4" t="inlineStr">
        <is>
          <t>2018gn</t>
        </is>
      </c>
      <c r="H188" s="4" t="n">
        <v>2018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no_year_in_pairs</t>
        </is>
      </c>
      <c r="B189" s="2" t="n"/>
      <c r="C189" s="3" t="inlineStr">
        <is>
          <t>SM.19.158, Sup. 2</t>
        </is>
      </c>
      <c r="D189" s="4" t="inlineStr">
        <is>
          <t>Dominica</t>
        </is>
      </c>
      <c r="E189" s="4" t="inlineStr">
        <is>
          <t>DMA</t>
        </is>
      </c>
      <c r="F189" s="4" t="n"/>
      <c r="G189" s="4" t="inlineStr">
        <is>
          <t>2018gn</t>
        </is>
      </c>
      <c r="H189" s="4" t="n">
        <v>2018</v>
      </c>
      <c r="I189" s="4" t="inlineStr">
        <is>
          <t>new.amt.mlt.afdb</t>
        </is>
      </c>
      <c r="J189" t="inlineStr">
        <is>
          <t>CDB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0.5</v>
      </c>
      <c r="V189" t="n">
        <v>1.35</v>
      </c>
      <c r="W189" t="n">
        <v>2.15</v>
      </c>
      <c r="X189" t="n">
        <v>3</v>
      </c>
      <c r="Y189" t="n">
        <v>3.4</v>
      </c>
      <c r="Z189" t="n">
        <v>3.9</v>
      </c>
      <c r="AA189" t="n">
        <v>4.4</v>
      </c>
      <c r="AB189" t="n">
        <v>4.91764995544884</v>
      </c>
      <c r="AC189" t="n">
        <v>5.453572917456</v>
      </c>
      <c r="AD189" t="n">
        <v>6.008413909843465</v>
      </c>
      <c r="AE189" t="n">
        <v>6.582840736791371</v>
      </c>
      <c r="AF189" t="n">
        <v>7.177544790483656</v>
      </c>
      <c r="AG189" t="n">
        <v>7.793241834999423</v>
      </c>
      <c r="AH189" t="n">
        <v>8.430672932730008</v>
      </c>
      <c r="AI189" t="n">
        <v>9.090605275778923</v>
      </c>
    </row>
    <row r="190">
      <c r="A190" t="inlineStr">
        <is>
          <t>no_year_in_pairs</t>
        </is>
      </c>
      <c r="B190" s="2" t="n"/>
      <c r="C190" s="3" t="inlineStr">
        <is>
          <t>SM.19.158, Sup. 2</t>
        </is>
      </c>
      <c r="D190" s="4" t="inlineStr">
        <is>
          <t>Dominica</t>
        </is>
      </c>
      <c r="E190" s="4" t="inlineStr">
        <is>
          <t>DMA</t>
        </is>
      </c>
      <c r="F190" s="4" t="n"/>
      <c r="G190" s="4" t="inlineStr">
        <is>
          <t>2018gn</t>
        </is>
      </c>
      <c r="H190" s="4" t="n">
        <v>2018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no_year_in_pairs</t>
        </is>
      </c>
      <c r="B191" s="2" t="n"/>
      <c r="C191" s="3" t="inlineStr">
        <is>
          <t>SM.19.158, Sup. 2</t>
        </is>
      </c>
      <c r="D191" s="4" t="inlineStr">
        <is>
          <t>Dominica</t>
        </is>
      </c>
      <c r="E191" s="4" t="inlineStr">
        <is>
          <t>DMA</t>
        </is>
      </c>
      <c r="F191" s="4" t="n"/>
      <c r="G191" s="4" t="inlineStr">
        <is>
          <t>2018gn</t>
        </is>
      </c>
      <c r="H191" s="4" t="n">
        <v>2018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no_year_in_pairs</t>
        </is>
      </c>
      <c r="B192" s="2" t="n"/>
      <c r="C192" s="3" t="inlineStr">
        <is>
          <t>SM.19.158, Sup. 2</t>
        </is>
      </c>
      <c r="D192" s="4" t="inlineStr">
        <is>
          <t>Dominica</t>
        </is>
      </c>
      <c r="E192" s="4" t="inlineStr">
        <is>
          <t>DMA</t>
        </is>
      </c>
      <c r="F192" s="4" t="n"/>
      <c r="G192" s="4" t="inlineStr">
        <is>
          <t>2018gn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no_year_in_pairs</t>
        </is>
      </c>
      <c r="B193" s="2" t="n"/>
      <c r="C193" s="3" t="inlineStr">
        <is>
          <t>SM.19.158, Sup. 2</t>
        </is>
      </c>
      <c r="D193" s="4" t="inlineStr">
        <is>
          <t>Dominica</t>
        </is>
      </c>
      <c r="E193" s="4" t="inlineStr">
        <is>
          <t>DMA</t>
        </is>
      </c>
      <c r="F193" s="4" t="n"/>
      <c r="G193" s="4" t="inlineStr">
        <is>
          <t>2018gn</t>
        </is>
      </c>
      <c r="H193" s="4" t="n">
        <v>2018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no_year_in_pairs</t>
        </is>
      </c>
      <c r="B194" s="2" t="n"/>
      <c r="C194" s="3" t="inlineStr">
        <is>
          <t>SM.19.158, Sup. 2</t>
        </is>
      </c>
      <c r="D194" s="4" t="inlineStr">
        <is>
          <t>Dominica</t>
        </is>
      </c>
      <c r="E194" s="4" t="inlineStr">
        <is>
          <t>DMA</t>
        </is>
      </c>
      <c r="F194" s="4" t="n"/>
      <c r="G194" s="4" t="inlineStr">
        <is>
          <t>2018gn</t>
        </is>
      </c>
      <c r="H194" s="4" t="n">
        <v>2018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no_year_in_pairs</t>
        </is>
      </c>
      <c r="B195" s="2" t="n"/>
      <c r="C195" s="3" t="inlineStr">
        <is>
          <t>SM.19.158, Sup. 2</t>
        </is>
      </c>
      <c r="D195" s="4" t="inlineStr">
        <is>
          <t>Dominica</t>
        </is>
      </c>
      <c r="E195" s="4" t="inlineStr">
        <is>
          <t>DMA</t>
        </is>
      </c>
      <c r="F195" s="4" t="n"/>
      <c r="G195" s="4" t="inlineStr">
        <is>
          <t>2018gn</t>
        </is>
      </c>
      <c r="H195" s="4" t="n">
        <v>2018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no_year_in_pairs</t>
        </is>
      </c>
      <c r="B196" s="2" t="n"/>
      <c r="C196" s="3" t="inlineStr">
        <is>
          <t>SM.19.158, Sup. 2</t>
        </is>
      </c>
      <c r="D196" s="4" t="inlineStr">
        <is>
          <t>Dominica</t>
        </is>
      </c>
      <c r="E196" s="4" t="inlineStr">
        <is>
          <t>DMA</t>
        </is>
      </c>
      <c r="F196" s="4" t="n"/>
      <c r="G196" s="4" t="inlineStr">
        <is>
          <t>2018gn</t>
        </is>
      </c>
      <c r="H196" s="4" t="n">
        <v>2018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3.3776872704944</v>
      </c>
      <c r="V196" t="n">
        <v>4.686421493073718</v>
      </c>
      <c r="W196" t="n">
        <v>7.763148547769438</v>
      </c>
      <c r="X196" t="n">
        <v>10.22564875891662</v>
      </c>
      <c r="Y196" t="n">
        <v>12.58193779454928</v>
      </c>
      <c r="Z196" t="n">
        <v>11.39570656225574</v>
      </c>
      <c r="AA196" t="n">
        <v>12.19045824175834</v>
      </c>
      <c r="AB196" t="n">
        <v>11.11255020199102</v>
      </c>
      <c r="AC196" t="n">
        <v>10.71058433157382</v>
      </c>
      <c r="AD196" t="n">
        <v>10.46506592886746</v>
      </c>
      <c r="AE196" t="n">
        <v>10.44143916914652</v>
      </c>
      <c r="AF196" t="n">
        <v>10.55171408119062</v>
      </c>
      <c r="AG196" t="n">
        <v>10.80377204121336</v>
      </c>
      <c r="AH196" t="n">
        <v>11.03821117791656</v>
      </c>
      <c r="AI196" t="n">
        <v>10.9260470179476</v>
      </c>
      <c r="BI196" t="inlineStr">
        <is>
          <t>NEW_DP_OB</t>
        </is>
      </c>
    </row>
    <row r="197">
      <c r="A197" t="inlineStr">
        <is>
          <t>no_year_in_pairs</t>
        </is>
      </c>
      <c r="B197" s="2" t="n"/>
      <c r="C197" s="3" t="inlineStr">
        <is>
          <t>SM.19.158, Sup. 2</t>
        </is>
      </c>
      <c r="D197" s="4" t="inlineStr">
        <is>
          <t>Dominica</t>
        </is>
      </c>
      <c r="E197" s="4" t="inlineStr">
        <is>
          <t>DMA</t>
        </is>
      </c>
      <c r="F197" s="4" t="n"/>
      <c r="G197" s="4" t="inlineStr">
        <is>
          <t>2018gn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no_year_in_pairs</t>
        </is>
      </c>
      <c r="B198" s="2" t="n"/>
      <c r="C198" s="3" t="inlineStr">
        <is>
          <t>SM.19.158, Sup. 2</t>
        </is>
      </c>
      <c r="D198" s="4" t="inlineStr">
        <is>
          <t>Dominica</t>
        </is>
      </c>
      <c r="E198" s="4" t="inlineStr">
        <is>
          <t>DMA</t>
        </is>
      </c>
      <c r="F198" s="4" t="n"/>
      <c r="G198" s="4" t="inlineStr">
        <is>
          <t>2018gn</t>
        </is>
      </c>
      <c r="H198" s="4" t="n">
        <v>2018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no_year_in_pairs</t>
        </is>
      </c>
      <c r="B199" s="2" t="n"/>
      <c r="C199" s="3" t="inlineStr">
        <is>
          <t>SM.19.158, Sup. 2</t>
        </is>
      </c>
      <c r="D199" s="4" t="inlineStr">
        <is>
          <t>Dominica</t>
        </is>
      </c>
      <c r="E199" s="4" t="inlineStr">
        <is>
          <t>DMA</t>
        </is>
      </c>
      <c r="F199" s="4" t="n"/>
      <c r="G199" s="4" t="inlineStr">
        <is>
          <t>2018gn</t>
        </is>
      </c>
      <c r="H199" s="4" t="n">
        <v>2018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no_year_in_pairs</t>
        </is>
      </c>
      <c r="B200" s="2" t="n"/>
      <c r="C200" s="3" t="inlineStr">
        <is>
          <t>SM.19.158, Sup. 2</t>
        </is>
      </c>
      <c r="D200" s="4" t="inlineStr">
        <is>
          <t>Dominica</t>
        </is>
      </c>
      <c r="E200" s="4" t="inlineStr">
        <is>
          <t>DMA</t>
        </is>
      </c>
      <c r="F200" s="4" t="n"/>
      <c r="G200" s="4" t="inlineStr">
        <is>
          <t>2018gn</t>
        </is>
      </c>
      <c r="H200" s="4" t="n">
        <v>2018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no_year_in_pairs</t>
        </is>
      </c>
      <c r="B201" s="2" t="n"/>
      <c r="C201" s="3" t="inlineStr">
        <is>
          <t>SM.19.158, Sup. 2</t>
        </is>
      </c>
      <c r="D201" s="4" t="inlineStr">
        <is>
          <t>Dominica</t>
        </is>
      </c>
      <c r="E201" s="4" t="inlineStr">
        <is>
          <t>DMA</t>
        </is>
      </c>
      <c r="F201" s="4" t="n"/>
      <c r="G201" s="4" t="inlineStr">
        <is>
          <t>2018gn</t>
        </is>
      </c>
      <c r="H201" s="4" t="n">
        <v>2018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no_year_in_pairs</t>
        </is>
      </c>
      <c r="B202" s="2" t="n"/>
      <c r="C202" s="3" t="inlineStr">
        <is>
          <t>SM.19.158, Sup. 2</t>
        </is>
      </c>
      <c r="D202" s="4" t="inlineStr">
        <is>
          <t>Dominica</t>
        </is>
      </c>
      <c r="E202" s="4" t="inlineStr">
        <is>
          <t>DMA</t>
        </is>
      </c>
      <c r="F202" s="4" t="n"/>
      <c r="G202" s="4" t="inlineStr">
        <is>
          <t>2018gn</t>
        </is>
      </c>
      <c r="H202" s="4" t="n">
        <v>2018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no_year_in_pairs</t>
        </is>
      </c>
      <c r="B203" s="2" t="n"/>
      <c r="C203" s="3" t="inlineStr">
        <is>
          <t>SM.19.158, Sup. 2</t>
        </is>
      </c>
      <c r="D203" s="4" t="inlineStr">
        <is>
          <t>Dominica</t>
        </is>
      </c>
      <c r="E203" s="4" t="inlineStr">
        <is>
          <t>DMA</t>
        </is>
      </c>
      <c r="F203" s="4" t="n"/>
      <c r="G203" s="4" t="inlineStr">
        <is>
          <t>2018gn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3.3776872704944</v>
      </c>
      <c r="V203" t="n">
        <v>4.686421493073718</v>
      </c>
      <c r="W203" t="n">
        <v>7.763148547769438</v>
      </c>
      <c r="X203" t="n">
        <v>10.22564875891662</v>
      </c>
      <c r="Y203" t="n">
        <v>12.58193779454928</v>
      </c>
      <c r="Z203" t="n">
        <v>11.39570656225574</v>
      </c>
      <c r="AA203" t="n">
        <v>12.19045824175834</v>
      </c>
      <c r="AB203" t="n">
        <v>11.11255020199102</v>
      </c>
      <c r="AC203" t="n">
        <v>10.71058433157382</v>
      </c>
      <c r="AD203" t="n">
        <v>10.46506592886746</v>
      </c>
      <c r="AE203" t="n">
        <v>10.44143916914652</v>
      </c>
      <c r="AF203" t="n">
        <v>10.55171408119062</v>
      </c>
      <c r="AG203" t="n">
        <v>10.80377204121336</v>
      </c>
      <c r="AH203" t="n">
        <v>11.03821117791656</v>
      </c>
      <c r="AI203" t="n">
        <v>10.9260470179476</v>
      </c>
    </row>
    <row r="204">
      <c r="A204" t="inlineStr">
        <is>
          <t>no_year_in_pairs</t>
        </is>
      </c>
      <c r="B204" s="2" t="n"/>
      <c r="C204" s="3" t="inlineStr">
        <is>
          <t>SM.19.158, Sup. 2</t>
        </is>
      </c>
      <c r="D204" s="4" t="inlineStr">
        <is>
          <t>Dominica</t>
        </is>
      </c>
      <c r="E204" s="4" t="inlineStr">
        <is>
          <t>DMA</t>
        </is>
      </c>
      <c r="F204" s="4" t="n"/>
      <c r="G204" s="4" t="inlineStr">
        <is>
          <t>2018gn</t>
        </is>
      </c>
      <c r="H204" s="4" t="n">
        <v>2018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3.3776872704944</v>
      </c>
      <c r="V204" t="n">
        <v>4.686421493073718</v>
      </c>
      <c r="W204" t="n">
        <v>7.763148547769438</v>
      </c>
      <c r="X204" t="n">
        <v>10.22564875891662</v>
      </c>
      <c r="Y204" t="n">
        <v>12.58193779454928</v>
      </c>
      <c r="Z204" t="n">
        <v>11.39570656225574</v>
      </c>
      <c r="AA204" t="n">
        <v>12.19045824175834</v>
      </c>
      <c r="AB204" t="n">
        <v>11.11255020199102</v>
      </c>
      <c r="AC204" t="n">
        <v>10.71058433157382</v>
      </c>
      <c r="AD204" t="n">
        <v>10.46506592886746</v>
      </c>
      <c r="AE204" t="n">
        <v>10.44143916914652</v>
      </c>
      <c r="AF204" t="n">
        <v>10.55171408119062</v>
      </c>
      <c r="AG204" t="n">
        <v>10.80377204121336</v>
      </c>
      <c r="AH204" t="n">
        <v>11.03821117791656</v>
      </c>
      <c r="AI204" t="n">
        <v>10.9260470179476</v>
      </c>
    </row>
    <row r="205">
      <c r="A205" t="inlineStr">
        <is>
          <t>no_year_in_pairs</t>
        </is>
      </c>
      <c r="B205" s="2" t="n"/>
      <c r="C205" s="3" t="inlineStr">
        <is>
          <t>SM.19.158, Sup. 2</t>
        </is>
      </c>
      <c r="D205" s="4" t="inlineStr">
        <is>
          <t>Dominica</t>
        </is>
      </c>
      <c r="E205" s="4" t="inlineStr">
        <is>
          <t>DMA</t>
        </is>
      </c>
      <c r="F205" s="4" t="n"/>
      <c r="G205" s="4" t="inlineStr">
        <is>
          <t>2018gn</t>
        </is>
      </c>
      <c r="H205" s="4" t="n">
        <v>2018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no_year_in_pairs</t>
        </is>
      </c>
      <c r="B206" s="2" t="n"/>
      <c r="C206" s="3" t="inlineStr">
        <is>
          <t>SM.19.158, Sup. 2</t>
        </is>
      </c>
      <c r="D206" s="4" t="inlineStr">
        <is>
          <t>Dominica</t>
        </is>
      </c>
      <c r="E206" s="4" t="inlineStr">
        <is>
          <t>DMA</t>
        </is>
      </c>
      <c r="F206" s="4" t="n"/>
      <c r="G206" s="4" t="inlineStr">
        <is>
          <t>2018gn</t>
        </is>
      </c>
      <c r="H206" s="4" t="n">
        <v>2018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no_year_in_pairs</t>
        </is>
      </c>
      <c r="B207" s="2" t="n"/>
      <c r="C207" s="3" t="inlineStr">
        <is>
          <t>SM.19.158, Sup. 2</t>
        </is>
      </c>
      <c r="D207" s="4" t="inlineStr">
        <is>
          <t>Dominica</t>
        </is>
      </c>
      <c r="E207" s="4" t="inlineStr">
        <is>
          <t>DMA</t>
        </is>
      </c>
      <c r="F207" s="4" t="n"/>
      <c r="G207" s="4" t="inlineStr">
        <is>
          <t>2018gn</t>
        </is>
      </c>
      <c r="H207" s="4" t="n">
        <v>2018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no_year_in_pairs</t>
        </is>
      </c>
      <c r="B208" s="2" t="n"/>
      <c r="C208" s="3" t="inlineStr">
        <is>
          <t>SM.19.158, Sup. 2</t>
        </is>
      </c>
      <c r="D208" s="4" t="inlineStr">
        <is>
          <t>Dominica</t>
        </is>
      </c>
      <c r="E208" s="4" t="inlineStr">
        <is>
          <t>DMA</t>
        </is>
      </c>
      <c r="F208" s="4" t="n"/>
      <c r="G208" s="4" t="inlineStr">
        <is>
          <t>2018gn</t>
        </is>
      </c>
      <c r="H208" s="4" t="n">
        <v>2018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no_year_in_pairs</t>
        </is>
      </c>
      <c r="B209" s="2" t="n"/>
      <c r="C209" s="3" t="inlineStr">
        <is>
          <t>SM.19.158, Sup. 2</t>
        </is>
      </c>
      <c r="D209" s="4" t="inlineStr">
        <is>
          <t>Dominica</t>
        </is>
      </c>
      <c r="E209" s="4" t="inlineStr">
        <is>
          <t>DMA</t>
        </is>
      </c>
      <c r="F209" s="4" t="n"/>
      <c r="G209" s="4" t="inlineStr">
        <is>
          <t>2018gn</t>
        </is>
      </c>
      <c r="H209" s="4" t="n">
        <v>2018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19.36898183242197</v>
      </c>
      <c r="Q209" t="n">
        <v>30.45197954732266</v>
      </c>
      <c r="R209" t="n">
        <v>52.32624976874712</v>
      </c>
      <c r="S209" t="n">
        <v>64.72967121421314</v>
      </c>
      <c r="T209" t="n">
        <v>76.7726597450669</v>
      </c>
      <c r="U209" t="n">
        <v>88.9607734237786</v>
      </c>
      <c r="V209" t="n">
        <v>99.71022471065376</v>
      </c>
      <c r="W209" t="n">
        <v>111.9347102789289</v>
      </c>
      <c r="X209" t="n">
        <v>124.7548383551074</v>
      </c>
      <c r="Y209" t="n">
        <v>139.1626072519894</v>
      </c>
      <c r="Z209" t="n">
        <v>155.410664205389</v>
      </c>
      <c r="AA209" t="n">
        <v>170.3039461733493</v>
      </c>
      <c r="AB209" t="n">
        <v>186.2659168731759</v>
      </c>
      <c r="AC209" t="n">
        <v>201.2448471483639</v>
      </c>
      <c r="AD209" t="n">
        <v>214.847191618412</v>
      </c>
      <c r="AE209" t="n">
        <v>186.0337810229608</v>
      </c>
      <c r="AF209" t="n">
        <v>199.7282593654525</v>
      </c>
      <c r="AG209" t="n">
        <v>213.6972249301145</v>
      </c>
      <c r="AH209" t="n">
        <v>227.9575461346209</v>
      </c>
      <c r="AI209" t="n">
        <v>244.2332199842298</v>
      </c>
      <c r="BI209" t="inlineStr">
        <is>
          <t>NEW_DP_COM</t>
        </is>
      </c>
    </row>
    <row r="210">
      <c r="A210" t="inlineStr">
        <is>
          <t>no_year_in_pairs</t>
        </is>
      </c>
      <c r="B210" s="2" t="n"/>
      <c r="C210" s="3" t="inlineStr">
        <is>
          <t>SM.19.158, Sup. 2</t>
        </is>
      </c>
      <c r="D210" s="4" t="inlineStr">
        <is>
          <t>Dominica</t>
        </is>
      </c>
      <c r="E210" s="4" t="inlineStr">
        <is>
          <t>DMA</t>
        </is>
      </c>
      <c r="F210" s="4" t="n"/>
      <c r="G210" s="4" t="inlineStr">
        <is>
          <t>2018gn</t>
        </is>
      </c>
      <c r="H210" s="4" t="n">
        <v>2018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no_year_in_pairs</t>
        </is>
      </c>
      <c r="B211" s="2" t="n"/>
      <c r="C211" s="3" t="inlineStr">
        <is>
          <t>SM.19.158, Sup. 2</t>
        </is>
      </c>
      <c r="D211" s="4" t="inlineStr">
        <is>
          <t>Dominica</t>
        </is>
      </c>
      <c r="E211" s="4" t="inlineStr">
        <is>
          <t>DMA</t>
        </is>
      </c>
      <c r="F211" s="4" t="n"/>
      <c r="G211" s="4" t="inlineStr">
        <is>
          <t>2018gn</t>
        </is>
      </c>
      <c r="H211" s="4" t="n">
        <v>2018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4.92129497174923</v>
      </c>
      <c r="Q211" t="n">
        <v>5.393698320369619</v>
      </c>
      <c r="R211" t="n">
        <v>16.1768801934768</v>
      </c>
      <c r="S211" t="n">
        <v>7.687348147501194</v>
      </c>
      <c r="T211" t="n">
        <v>8.771253231015123</v>
      </c>
      <c r="U211" t="n">
        <v>10.0629527040211</v>
      </c>
      <c r="V211" t="n">
        <v>9.074081048882903</v>
      </c>
      <c r="W211" t="n">
        <v>10.5267497907349</v>
      </c>
      <c r="X211" t="n">
        <v>9.480768879775468</v>
      </c>
      <c r="Y211" t="n">
        <v>9.399635747498465</v>
      </c>
      <c r="Z211" t="n">
        <v>9.922005973394405</v>
      </c>
      <c r="AA211" t="n">
        <v>10.494739561919</v>
      </c>
      <c r="AB211" t="n">
        <v>11.110768672381</v>
      </c>
      <c r="AC211" t="n">
        <v>11.5204136600554</v>
      </c>
      <c r="AD211" t="n">
        <v>10.82333447989041</v>
      </c>
      <c r="AE211" t="n">
        <v>10.63913340689629</v>
      </c>
      <c r="AF211" t="n">
        <v>11.12141898400941</v>
      </c>
      <c r="AG211" t="n">
        <v>11.52970501148479</v>
      </c>
      <c r="AH211" t="n">
        <v>11.96473036927239</v>
      </c>
      <c r="AI211" t="n">
        <v>12.41344800636341</v>
      </c>
    </row>
    <row r="212">
      <c r="A212" t="inlineStr">
        <is>
          <t>no_year_in_pairs</t>
        </is>
      </c>
      <c r="B212" s="2" t="n"/>
      <c r="C212" s="3" t="inlineStr">
        <is>
          <t>SM.19.158, Sup. 2</t>
        </is>
      </c>
      <c r="D212" s="4" t="inlineStr">
        <is>
          <t>Dominica</t>
        </is>
      </c>
      <c r="E212" s="4" t="inlineStr">
        <is>
          <t>DMA</t>
        </is>
      </c>
      <c r="F212" s="4" t="n"/>
      <c r="G212" s="4" t="inlineStr">
        <is>
          <t>2018gn</t>
        </is>
      </c>
      <c r="H212" s="4" t="n">
        <v>2018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14.44768686067273</v>
      </c>
      <c r="Q212" t="n">
        <v>25.05828122695304</v>
      </c>
      <c r="R212" t="n">
        <v>36.14936957527031</v>
      </c>
      <c r="S212" t="n">
        <v>57.04232306671194</v>
      </c>
      <c r="T212" t="n">
        <v>68.00140651405178</v>
      </c>
      <c r="U212" t="n">
        <v>78.8978207197575</v>
      </c>
      <c r="V212" t="n">
        <v>90.63614366177086</v>
      </c>
      <c r="W212" t="n">
        <v>101.407960488194</v>
      </c>
      <c r="X212" t="n">
        <v>115.2740694753319</v>
      </c>
      <c r="Y212" t="n">
        <v>129.7629715044909</v>
      </c>
      <c r="Z212" t="n">
        <v>145.4886582319946</v>
      </c>
      <c r="AA212" t="n">
        <v>159.8092066114303</v>
      </c>
      <c r="AB212" t="n">
        <v>175.1551482007949</v>
      </c>
      <c r="AC212" t="n">
        <v>189.7244334883085</v>
      </c>
      <c r="AD212" t="n">
        <v>204.0238571385216</v>
      </c>
      <c r="AE212" t="n">
        <v>175.3946476160645</v>
      </c>
      <c r="AF212" t="n">
        <v>188.6068403814431</v>
      </c>
      <c r="AG212" t="n">
        <v>202.1675199186298</v>
      </c>
      <c r="AH212" t="n">
        <v>215.9928157653485</v>
      </c>
      <c r="AI212" t="n">
        <v>231.8197719778664</v>
      </c>
    </row>
    <row r="213">
      <c r="A213" t="inlineStr">
        <is>
          <t>no_year_in_pairs</t>
        </is>
      </c>
      <c r="B213" s="2" t="n"/>
      <c r="C213" s="3" t="inlineStr">
        <is>
          <t>SM.19.158, Sup. 2</t>
        </is>
      </c>
      <c r="D213" s="4" t="inlineStr">
        <is>
          <t>Dominica</t>
        </is>
      </c>
      <c r="E213" s="4" t="inlineStr">
        <is>
          <t>DMA</t>
        </is>
      </c>
      <c r="F213" s="4" t="n"/>
      <c r="G213" s="4" t="inlineStr">
        <is>
          <t>2018gn</t>
        </is>
      </c>
      <c r="H213" s="4" t="n">
        <v>2018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no_year_in_pairs</t>
        </is>
      </c>
      <c r="B214" s="2" t="n"/>
      <c r="C214" s="3" t="inlineStr">
        <is>
          <t>SM.19.158, Sup. 2</t>
        </is>
      </c>
      <c r="D214" s="4" t="inlineStr">
        <is>
          <t>Dominica</t>
        </is>
      </c>
      <c r="E214" s="4" t="inlineStr">
        <is>
          <t>DMA</t>
        </is>
      </c>
      <c r="F214" s="4" t="n"/>
      <c r="G214" s="4" t="inlineStr">
        <is>
          <t>2018gn</t>
        </is>
      </c>
      <c r="H214" s="4" t="n">
        <v>2018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no_year_in_pairs</t>
        </is>
      </c>
      <c r="B215" s="2" t="n"/>
      <c r="C215" s="3" t="inlineStr">
        <is>
          <t>SM.19.158, Sup. 2</t>
        </is>
      </c>
      <c r="D215" s="4" t="inlineStr">
        <is>
          <t>Dominica</t>
        </is>
      </c>
      <c r="E215" s="4" t="inlineStr">
        <is>
          <t>DMA</t>
        </is>
      </c>
      <c r="F215" s="4" t="n"/>
      <c r="G215" s="4" t="inlineStr">
        <is>
          <t>2018gn</t>
        </is>
      </c>
      <c r="H215" s="4" t="n">
        <v>2018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no_year_in_pairs</t>
        </is>
      </c>
      <c r="B216" s="2" t="n"/>
      <c r="C216" s="3" t="inlineStr">
        <is>
          <t>SM.19.158, Sup. 2</t>
        </is>
      </c>
      <c r="D216" s="4" t="inlineStr">
        <is>
          <t>Dominica</t>
        </is>
      </c>
      <c r="E216" s="4" t="inlineStr">
        <is>
          <t>DMA</t>
        </is>
      </c>
      <c r="F216" s="4" t="n"/>
      <c r="G216" s="4" t="inlineStr">
        <is>
          <t>2018gn</t>
        </is>
      </c>
      <c r="H216" s="4" t="n">
        <v>2018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no_year_in_pairs</t>
        </is>
      </c>
      <c r="B217" s="2" t="n"/>
      <c r="C217" s="3" t="inlineStr">
        <is>
          <t>SM.19.158, Sup. 2</t>
        </is>
      </c>
      <c r="D217" s="4" t="inlineStr">
        <is>
          <t>Dominica</t>
        </is>
      </c>
      <c r="E217" s="4" t="inlineStr">
        <is>
          <t>DMA</t>
        </is>
      </c>
      <c r="F217" s="4" t="n"/>
      <c r="G217" s="4" t="inlineStr">
        <is>
          <t>2018gn</t>
        </is>
      </c>
      <c r="H217" s="4" t="n">
        <v>2018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no_year_in_pairs</t>
        </is>
      </c>
      <c r="B218" s="2" t="n"/>
      <c r="C218" s="3" t="inlineStr">
        <is>
          <t>SM.19.158, Sup. 2</t>
        </is>
      </c>
      <c r="D218" s="4" t="inlineStr">
        <is>
          <t>Dominica</t>
        </is>
      </c>
      <c r="E218" s="4" t="inlineStr">
        <is>
          <t>DMA</t>
        </is>
      </c>
      <c r="F218" s="4" t="n"/>
      <c r="G218" s="4" t="inlineStr">
        <is>
          <t>2018gn</t>
        </is>
      </c>
      <c r="H218" s="4" t="n">
        <v>2018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no_year_in_pairs</t>
        </is>
      </c>
      <c r="B219" s="2" t="n"/>
      <c r="C219" s="3" t="inlineStr">
        <is>
          <t>SM.19.158, Sup. 2</t>
        </is>
      </c>
      <c r="D219" s="4" t="inlineStr">
        <is>
          <t>Dominica</t>
        </is>
      </c>
      <c r="E219" s="4" t="inlineStr">
        <is>
          <t>DMA</t>
        </is>
      </c>
      <c r="F219" s="4" t="n"/>
      <c r="G219" s="4" t="inlineStr">
        <is>
          <t>2018gn</t>
        </is>
      </c>
      <c r="H219" s="4" t="n">
        <v>2018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no_year_in_pairs</t>
        </is>
      </c>
      <c r="B220" s="2" t="n"/>
      <c r="C220" s="3" t="inlineStr">
        <is>
          <t>SM.19.158, Sup. 2</t>
        </is>
      </c>
      <c r="D220" s="4" t="inlineStr">
        <is>
          <t>Dominica</t>
        </is>
      </c>
      <c r="E220" s="4" t="inlineStr">
        <is>
          <t>DMA</t>
        </is>
      </c>
      <c r="F220" s="4" t="n"/>
      <c r="G220" s="4" t="inlineStr">
        <is>
          <t>2018gn</t>
        </is>
      </c>
      <c r="H220" s="4" t="n">
        <v>2018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no_year_in_pairs</t>
        </is>
      </c>
      <c r="B221" s="2" t="n"/>
      <c r="C221" s="3" t="inlineStr">
        <is>
          <t>SM.19.158, Sup. 2</t>
        </is>
      </c>
      <c r="D221" s="4" t="inlineStr">
        <is>
          <t>Dominica</t>
        </is>
      </c>
      <c r="E221" s="4" t="inlineStr">
        <is>
          <t>DMA</t>
        </is>
      </c>
      <c r="F221" s="4" t="n"/>
      <c r="G221" s="4" t="inlineStr">
        <is>
          <t>2018gn</t>
        </is>
      </c>
      <c r="H221" s="4" t="n">
        <v>2018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no_year_in_pairs</t>
        </is>
      </c>
      <c r="B222" s="2" t="n"/>
      <c r="C222" s="3" t="inlineStr">
        <is>
          <t>SM.19.158, Sup. 2</t>
        </is>
      </c>
      <c r="D222" s="4" t="inlineStr">
        <is>
          <t>Dominica</t>
        </is>
      </c>
      <c r="E222" s="4" t="inlineStr">
        <is>
          <t>DMA</t>
        </is>
      </c>
      <c r="F222" s="4" t="n"/>
      <c r="G222" s="4" t="inlineStr">
        <is>
          <t>2018gn</t>
        </is>
      </c>
      <c r="H222" s="4" t="n">
        <v>2018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no_year_in_pairs</t>
        </is>
      </c>
      <c r="B223" s="2" t="n"/>
      <c r="C223" s="3" t="inlineStr">
        <is>
          <t>SM.19.158, Sup. 2</t>
        </is>
      </c>
      <c r="D223" s="4" t="inlineStr">
        <is>
          <t>Dominica</t>
        </is>
      </c>
      <c r="E223" s="4" t="inlineStr">
        <is>
          <t>DMA</t>
        </is>
      </c>
      <c r="F223" s="4" t="n"/>
      <c r="G223" s="4" t="inlineStr">
        <is>
          <t>2018gn</t>
        </is>
      </c>
      <c r="H223" s="4" t="n">
        <v>2018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no_year_in_pairs</t>
        </is>
      </c>
      <c r="B224" s="2" t="n"/>
      <c r="C224" s="3" t="inlineStr">
        <is>
          <t>SM.19.158, Sup. 2</t>
        </is>
      </c>
      <c r="D224" s="4" t="inlineStr">
        <is>
          <t>Dominica</t>
        </is>
      </c>
      <c r="E224" s="4" t="inlineStr">
        <is>
          <t>DMA</t>
        </is>
      </c>
      <c r="F224" s="4" t="n"/>
      <c r="G224" s="4" t="inlineStr">
        <is>
          <t>2018gn</t>
        </is>
      </c>
      <c r="H224" s="4" t="n">
        <v>2018</v>
      </c>
      <c r="I224" s="5" t="n"/>
      <c r="J224" t="inlineStr">
        <is>
          <t>Locally-issued debt held by non-residents</t>
        </is>
      </c>
    </row>
    <row r="225">
      <c r="A225" t="inlineStr">
        <is>
          <t>no_year_in_pairs</t>
        </is>
      </c>
      <c r="B225" s="2" t="n"/>
      <c r="C225" s="3" t="inlineStr">
        <is>
          <t>SM.19.158, Sup. 2</t>
        </is>
      </c>
      <c r="D225" s="4" t="inlineStr">
        <is>
          <t>Dominica</t>
        </is>
      </c>
      <c r="E225" s="4" t="inlineStr">
        <is>
          <t>DMA</t>
        </is>
      </c>
      <c r="F225" s="4" t="n"/>
      <c r="G225" s="4" t="inlineStr">
        <is>
          <t>2018gn</t>
        </is>
      </c>
      <c r="H225" s="4" t="n">
        <v>2018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no_year_in_pairs</t>
        </is>
      </c>
      <c r="B226" s="2" t="n"/>
      <c r="C226" s="3" t="inlineStr">
        <is>
          <t>SM.19.158, Sup. 2</t>
        </is>
      </c>
      <c r="D226" s="4" t="inlineStr">
        <is>
          <t>Dominica</t>
        </is>
      </c>
      <c r="E226" s="4" t="inlineStr">
        <is>
          <t>DMA</t>
        </is>
      </c>
      <c r="F226" s="4" t="n"/>
      <c r="G226" s="4" t="inlineStr">
        <is>
          <t>2018gn</t>
        </is>
      </c>
      <c r="H226" s="4" t="n">
        <v>2018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no_year_in_pairs</t>
        </is>
      </c>
      <c r="B227" s="2" t="n"/>
      <c r="C227" s="3" t="inlineStr">
        <is>
          <t>SM.19.158, Sup. 2</t>
        </is>
      </c>
      <c r="D227" s="4" t="inlineStr">
        <is>
          <t>Dominica</t>
        </is>
      </c>
      <c r="E227" s="4" t="inlineStr">
        <is>
          <t>DMA</t>
        </is>
      </c>
      <c r="F227" s="4" t="n"/>
      <c r="G227" s="4" t="inlineStr">
        <is>
          <t>2018gn</t>
        </is>
      </c>
      <c r="H227" s="4" t="n">
        <v>2018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no_year_in_pairs</t>
        </is>
      </c>
      <c r="B228" s="2" t="n"/>
      <c r="C228" s="3" t="inlineStr">
        <is>
          <t>SM.19.158, Sup. 2</t>
        </is>
      </c>
      <c r="D228" s="4" t="inlineStr">
        <is>
          <t>Dominica</t>
        </is>
      </c>
      <c r="E228" s="4" t="inlineStr">
        <is>
          <t>DMA</t>
        </is>
      </c>
      <c r="F228" s="4" t="n"/>
      <c r="G228" s="4" t="inlineStr">
        <is>
          <t>2018gn</t>
        </is>
      </c>
      <c r="H228" s="4" t="n">
        <v>2018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no_year_in_pairs</t>
        </is>
      </c>
      <c r="B229" s="2" t="n"/>
      <c r="C229" s="3" t="inlineStr">
        <is>
          <t>SM.19.158, Sup. 2</t>
        </is>
      </c>
      <c r="D229" s="4" t="inlineStr">
        <is>
          <t>Dominica</t>
        </is>
      </c>
      <c r="E229" s="4" t="inlineStr">
        <is>
          <t>DMA</t>
        </is>
      </c>
      <c r="F229" s="4" t="n"/>
      <c r="G229" s="4" t="inlineStr">
        <is>
          <t>2018gn</t>
        </is>
      </c>
      <c r="H229" s="4" t="n">
        <v>2018</v>
      </c>
      <c r="I229" s="5" t="n"/>
    </row>
    <row r="230">
      <c r="A230" t="inlineStr">
        <is>
          <t>no_year_in_pairs</t>
        </is>
      </c>
      <c r="B230" s="2" t="n"/>
      <c r="C230" s="3" t="inlineStr">
        <is>
          <t>SM.19.158, Sup. 2</t>
        </is>
      </c>
      <c r="D230" s="4" t="inlineStr">
        <is>
          <t>Dominica</t>
        </is>
      </c>
      <c r="E230" s="4" t="inlineStr">
        <is>
          <t>DMA</t>
        </is>
      </c>
      <c r="F230" s="4" t="n"/>
      <c r="G230" s="4" t="inlineStr">
        <is>
          <t>2018gn</t>
        </is>
      </c>
      <c r="H230" s="4" t="n">
        <v>2018</v>
      </c>
      <c r="I230" s="4" t="inlineStr">
        <is>
          <t>pv.old.dbt.mlg.trm</t>
        </is>
      </c>
      <c r="J230" t="inlineStr">
        <is>
          <t>PV of old MLT debt</t>
        </is>
      </c>
      <c r="N230" t="n">
        <v>273.0936903341975</v>
      </c>
      <c r="O230" t="n">
        <v>275.2917933214826</v>
      </c>
      <c r="P230" t="n">
        <v>254.9797580244638</v>
      </c>
      <c r="Q230" t="n">
        <v>237.0562249789209</v>
      </c>
      <c r="R230" t="n">
        <v>220.2755093920415</v>
      </c>
      <c r="S230" t="n">
        <v>202.2168359803939</v>
      </c>
      <c r="T230" t="n">
        <v>184.4171467420863</v>
      </c>
      <c r="U230" t="n">
        <v>167.0918550346577</v>
      </c>
      <c r="V230" t="n">
        <v>150.6308630356515</v>
      </c>
      <c r="W230" t="n">
        <v>135.0816374079174</v>
      </c>
      <c r="X230" t="n">
        <v>119.6995494914437</v>
      </c>
      <c r="Y230" t="n">
        <v>104.4306299494264</v>
      </c>
      <c r="Z230" t="n">
        <v>89.42618699186177</v>
      </c>
      <c r="AA230" t="n">
        <v>75.43765392795636</v>
      </c>
      <c r="AB230" t="n">
        <v>66.60869016400474</v>
      </c>
      <c r="AC230" t="n">
        <v>60.12639223612332</v>
      </c>
      <c r="AD230" t="n">
        <v>51.42250560327564</v>
      </c>
      <c r="AE230" t="n">
        <v>42.85319695947322</v>
      </c>
      <c r="AF230" t="n">
        <v>34.57345607345355</v>
      </c>
      <c r="AG230" t="n">
        <v>22.31847626483674</v>
      </c>
      <c r="AH230" t="n">
        <v>14.33141371052385</v>
      </c>
      <c r="AI230" t="n">
        <v>7.419762433800432</v>
      </c>
      <c r="BI230" t="inlineStr">
        <is>
          <t>PV_OLD_MLT</t>
        </is>
      </c>
    </row>
    <row r="231">
      <c r="A231" t="inlineStr">
        <is>
          <t>no_year_in_pairs</t>
        </is>
      </c>
      <c r="B231" s="2" t="n"/>
      <c r="C231" s="3" t="inlineStr">
        <is>
          <t>SM.19.158, Sup. 2</t>
        </is>
      </c>
      <c r="D231" s="4" t="inlineStr">
        <is>
          <t>Dominica</t>
        </is>
      </c>
      <c r="E231" s="4" t="inlineStr">
        <is>
          <t>DMA</t>
        </is>
      </c>
      <c r="F231" s="4" t="n"/>
      <c r="G231" s="4" t="inlineStr">
        <is>
          <t>2018gn</t>
        </is>
      </c>
      <c r="H231" s="4" t="n">
        <v>2018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no_year_in_pairs</t>
        </is>
      </c>
      <c r="B232" s="2" t="n"/>
      <c r="C232" s="3" t="inlineStr">
        <is>
          <t>SM.19.158, Sup. 2</t>
        </is>
      </c>
      <c r="D232" s="4" t="inlineStr">
        <is>
          <t>Dominica</t>
        </is>
      </c>
      <c r="E232" s="4" t="inlineStr">
        <is>
          <t>DMA</t>
        </is>
      </c>
      <c r="F232" s="4" t="n"/>
      <c r="G232" s="4" t="inlineStr">
        <is>
          <t>2018gn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  <c r="N232" t="n">
        <v>108.5206320806513</v>
      </c>
      <c r="O232" t="n">
        <v>110.5815260920913</v>
      </c>
      <c r="P232" t="n">
        <v>107.349342507807</v>
      </c>
      <c r="Q232" t="n">
        <v>101.2513929294936</v>
      </c>
      <c r="R232" t="n">
        <v>94.48894039078313</v>
      </c>
      <c r="S232" t="n">
        <v>87.64563633624823</v>
      </c>
      <c r="T232" t="n">
        <v>80.57460181972732</v>
      </c>
      <c r="U232" t="n">
        <v>73.93869851597864</v>
      </c>
      <c r="V232" t="n">
        <v>67.6937323091403</v>
      </c>
      <c r="W232" t="n">
        <v>61.79945571149636</v>
      </c>
      <c r="X232" t="n">
        <v>56.21913893649396</v>
      </c>
      <c r="Y232" t="n">
        <v>50.91918771961465</v>
      </c>
      <c r="Z232" t="n">
        <v>45.86880241081266</v>
      </c>
      <c r="AA232" t="n">
        <v>41.03967351520691</v>
      </c>
      <c r="AB232" t="n">
        <v>36.40570943399981</v>
      </c>
      <c r="AC232" t="n">
        <v>31.94279266208723</v>
      </c>
      <c r="AD232" t="n">
        <v>27.62856114138071</v>
      </c>
      <c r="AE232" t="n">
        <v>23.44221185721118</v>
      </c>
      <c r="AF232" t="n">
        <v>19.36432410607701</v>
      </c>
      <c r="AG232" t="n">
        <v>15.37670016233155</v>
      </c>
      <c r="AH232" t="n">
        <v>11.46222133432797</v>
      </c>
      <c r="AI232" t="n">
        <v>7.604717631551178</v>
      </c>
      <c r="BI232" t="inlineStr">
        <is>
          <t>PV_OLD_ML</t>
        </is>
      </c>
    </row>
    <row r="233">
      <c r="A233" t="inlineStr">
        <is>
          <t>no_year_in_pairs</t>
        </is>
      </c>
      <c r="B233" s="2" t="n"/>
      <c r="C233" s="3" t="inlineStr">
        <is>
          <t>SM.19.158, Sup. 2</t>
        </is>
      </c>
      <c r="D233" s="4" t="inlineStr">
        <is>
          <t>Dominica</t>
        </is>
      </c>
      <c r="E233" s="4" t="inlineStr">
        <is>
          <t>DMA</t>
        </is>
      </c>
      <c r="F233" s="4" t="n"/>
      <c r="G233" s="4" t="inlineStr">
        <is>
          <t>2018gn</t>
        </is>
      </c>
      <c r="H233" s="4" t="n">
        <v>2018</v>
      </c>
      <c r="I233" s="4" t="inlineStr">
        <is>
          <t>pv.old.dbt.mlt.imf</t>
        </is>
      </c>
      <c r="J233" t="inlineStr">
        <is>
          <t>IMF</t>
        </is>
      </c>
      <c r="N233" t="n">
        <v>7.162863679773371</v>
      </c>
      <c r="O233" t="n">
        <v>7.52100686376204</v>
      </c>
      <c r="P233" t="n">
        <v>6.872521873616812</v>
      </c>
      <c r="Q233" t="n">
        <v>6.220071930260616</v>
      </c>
      <c r="R233" t="n">
        <v>5.108109786032908</v>
      </c>
      <c r="S233" t="n">
        <v>4.509735830890111</v>
      </c>
      <c r="T233" t="n">
        <v>3.88144317799017</v>
      </c>
      <c r="U233" t="n">
        <v>3.335573151375276</v>
      </c>
      <c r="V233" t="n">
        <v>2.861068581212901</v>
      </c>
      <c r="W233" t="n">
        <v>2.44834321265928</v>
      </c>
      <c r="X233" t="n">
        <v>2.089085415145572</v>
      </c>
      <c r="Y233" t="n">
        <v>1.776088055323333</v>
      </c>
      <c r="Z233" t="n">
        <v>1.503101044759614</v>
      </c>
      <c r="AA233" t="n">
        <v>1.264703538638854</v>
      </c>
      <c r="AB233" t="n">
        <v>1.056193164872316</v>
      </c>
      <c r="AC233" t="n">
        <v>0.8734900124057959</v>
      </c>
      <c r="AD233" t="n">
        <v>0.7130534103198207</v>
      </c>
      <c r="AE233" t="n">
        <v>0.57180979174501</v>
      </c>
      <c r="AF233" t="n">
        <v>0.4470901640520205</v>
      </c>
      <c r="AG233" t="n">
        <v>0.3365759038859645</v>
      </c>
      <c r="AH233" t="n">
        <v>0.2382517664428587</v>
      </c>
      <c r="AI233" t="n">
        <v>0.1503651464348484</v>
      </c>
    </row>
    <row r="234">
      <c r="A234" t="inlineStr">
        <is>
          <t>no_year_in_pairs</t>
        </is>
      </c>
      <c r="B234" s="2" t="n"/>
      <c r="C234" s="3" t="inlineStr">
        <is>
          <t>SM.19.158, Sup. 2</t>
        </is>
      </c>
      <c r="D234" s="4" t="inlineStr">
        <is>
          <t>Dominica</t>
        </is>
      </c>
      <c r="E234" s="4" t="inlineStr">
        <is>
          <t>DMA</t>
        </is>
      </c>
      <c r="F234" s="4" t="n"/>
      <c r="G234" s="4" t="inlineStr">
        <is>
          <t>2018gn</t>
        </is>
      </c>
      <c r="H234" s="4" t="n">
        <v>2018</v>
      </c>
      <c r="I234" s="4" t="inlineStr">
        <is>
          <t>pv.old.dbt.mlt.ida.reg</t>
        </is>
      </c>
      <c r="J234" t="inlineStr">
        <is>
          <t>IDA - small economy</t>
        </is>
      </c>
      <c r="N234" t="n">
        <v>18.8624346196526</v>
      </c>
      <c r="O234" t="n">
        <v>19.62762294322783</v>
      </c>
      <c r="P234" t="n">
        <v>19.29380109038922</v>
      </c>
      <c r="Q234" t="n">
        <v>18.86368740416794</v>
      </c>
      <c r="R234" t="n">
        <v>18.32007895956153</v>
      </c>
      <c r="S234" t="n">
        <v>17.66206020383591</v>
      </c>
      <c r="T234" t="n">
        <v>16.89667488069437</v>
      </c>
      <c r="U234" t="n">
        <v>16.11328682599992</v>
      </c>
      <c r="V234" t="n">
        <v>15.31074674616448</v>
      </c>
      <c r="W234" t="n">
        <v>14.48785094605973</v>
      </c>
      <c r="X234" t="n">
        <v>13.64333857128184</v>
      </c>
      <c r="Y234" t="n">
        <v>12.77588871299237</v>
      </c>
      <c r="Z234" t="n">
        <v>11.88411736845855</v>
      </c>
      <c r="AA234" t="n">
        <v>10.9665742500722</v>
      </c>
      <c r="AB234" t="n">
        <v>10.02173943526567</v>
      </c>
      <c r="AC234" t="n">
        <v>9.048019849364286</v>
      </c>
      <c r="AD234" t="n">
        <v>8.043745573016508</v>
      </c>
      <c r="AE234" t="n">
        <v>7.007165965425576</v>
      </c>
      <c r="AF234" t="n">
        <v>5.936445594167174</v>
      </c>
      <c r="AG234" t="n">
        <v>4.829659961917444</v>
      </c>
      <c r="AH234" t="n">
        <v>3.684791019931506</v>
      </c>
      <c r="AI234" t="n">
        <v>2.499722457605061</v>
      </c>
    </row>
    <row r="235">
      <c r="A235" t="inlineStr">
        <is>
          <t>no_year_in_pairs</t>
        </is>
      </c>
      <c r="B235" s="2" t="n"/>
      <c r="C235" s="3" t="inlineStr">
        <is>
          <t>SM.19.158, Sup. 2</t>
        </is>
      </c>
      <c r="D235" s="4" t="inlineStr">
        <is>
          <t>Dominica</t>
        </is>
      </c>
      <c r="E235" s="4" t="inlineStr">
        <is>
          <t>DMA</t>
        </is>
      </c>
      <c r="F235" s="4" t="n"/>
      <c r="G235" s="4" t="inlineStr">
        <is>
          <t>2018gn</t>
        </is>
      </c>
      <c r="H235" s="4" t="n">
        <v>2018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no_year_in_pairs</t>
        </is>
      </c>
      <c r="B236" s="2" t="n"/>
      <c r="C236" s="3" t="inlineStr">
        <is>
          <t>SM.19.158, Sup. 2</t>
        </is>
      </c>
      <c r="D236" s="4" t="inlineStr">
        <is>
          <t>Dominica</t>
        </is>
      </c>
      <c r="E236" s="4" t="inlineStr">
        <is>
          <t>DMA</t>
        </is>
      </c>
      <c r="F236" s="4" t="n"/>
      <c r="G236" s="4" t="inlineStr">
        <is>
          <t>2018gn</t>
        </is>
      </c>
      <c r="H236" s="4" t="n">
        <v>2018</v>
      </c>
      <c r="I236" s="4" t="inlineStr">
        <is>
          <t>pv.old.dbt.mlt.afdb</t>
        </is>
      </c>
      <c r="J236" t="inlineStr">
        <is>
          <t>CDB</t>
        </is>
      </c>
      <c r="N236" t="n">
        <v>82.49533378122531</v>
      </c>
      <c r="O236" t="n">
        <v>83.43289628510144</v>
      </c>
      <c r="P236" t="n">
        <v>81.18301954380097</v>
      </c>
      <c r="Q236" t="n">
        <v>76.16763359506507</v>
      </c>
      <c r="R236" t="n">
        <v>71.06075164518869</v>
      </c>
      <c r="S236" t="n">
        <v>65.47384030152222</v>
      </c>
      <c r="T236" t="n">
        <v>59.79648376104277</v>
      </c>
      <c r="U236" t="n">
        <v>54.48983853860344</v>
      </c>
      <c r="V236" t="n">
        <v>49.52191698176293</v>
      </c>
      <c r="W236" t="n">
        <v>44.86326155277735</v>
      </c>
      <c r="X236" t="n">
        <v>40.48671495006655</v>
      </c>
      <c r="Y236" t="n">
        <v>36.36721095129895</v>
      </c>
      <c r="Z236" t="n">
        <v>32.48158399759449</v>
      </c>
      <c r="AA236" t="n">
        <v>28.80839572649586</v>
      </c>
      <c r="AB236" t="n">
        <v>25.32777683386183</v>
      </c>
      <c r="AC236" t="n">
        <v>22.02128280031715</v>
      </c>
      <c r="AD236" t="n">
        <v>18.87176215804438</v>
      </c>
      <c r="AE236" t="n">
        <v>15.8632361000406</v>
      </c>
      <c r="AF236" t="n">
        <v>12.98078834785781</v>
      </c>
      <c r="AG236" t="n">
        <v>10.21046429652814</v>
      </c>
      <c r="AH236" t="n">
        <v>7.539178547953609</v>
      </c>
      <c r="AI236" t="n">
        <v>4.95463002751127</v>
      </c>
    </row>
    <row r="237">
      <c r="A237" t="inlineStr">
        <is>
          <t>no_year_in_pairs</t>
        </is>
      </c>
      <c r="B237" s="2" t="n"/>
      <c r="C237" s="3" t="inlineStr">
        <is>
          <t>SM.19.158, Sup. 2</t>
        </is>
      </c>
      <c r="D237" s="4" t="inlineStr">
        <is>
          <t>Dominica</t>
        </is>
      </c>
      <c r="E237" s="4" t="inlineStr">
        <is>
          <t>DMA</t>
        </is>
      </c>
      <c r="F237" s="4" t="n"/>
      <c r="G237" s="4" t="inlineStr">
        <is>
          <t>2018gn</t>
        </is>
      </c>
      <c r="H237" s="4" t="n">
        <v>2018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no_year_in_pairs</t>
        </is>
      </c>
      <c r="B238" s="2" t="n"/>
      <c r="C238" s="3" t="inlineStr">
        <is>
          <t>SM.19.158, Sup. 2</t>
        </is>
      </c>
      <c r="D238" s="4" t="inlineStr">
        <is>
          <t>Dominica</t>
        </is>
      </c>
      <c r="E238" s="4" t="inlineStr">
        <is>
          <t>DMA</t>
        </is>
      </c>
      <c r="F238" s="4" t="n"/>
      <c r="G238" s="4" t="inlineStr">
        <is>
          <t>2018gn</t>
        </is>
      </c>
      <c r="H238" s="4" t="n">
        <v>2018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no_year_in_pairs</t>
        </is>
      </c>
      <c r="B239" s="2" t="n"/>
      <c r="C239" s="3" t="inlineStr">
        <is>
          <t>SM.19.158, Sup. 2</t>
        </is>
      </c>
      <c r="D239" s="4" t="inlineStr">
        <is>
          <t>Dominica</t>
        </is>
      </c>
      <c r="E239" s="4" t="inlineStr">
        <is>
          <t>DMA</t>
        </is>
      </c>
      <c r="F239" s="4" t="n"/>
      <c r="G239" s="4" t="inlineStr">
        <is>
          <t>2018gn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Multilaterals</t>
        </is>
      </c>
      <c r="N239" t="n">
        <v>29.10303940699455</v>
      </c>
      <c r="O239" t="n">
        <v>29.31166093289985</v>
      </c>
      <c r="P239" t="n">
        <v>28.25971301658187</v>
      </c>
      <c r="Q239" t="n">
        <v>25.74102792667023</v>
      </c>
      <c r="R239" t="n">
        <v>23.74675150818893</v>
      </c>
      <c r="S239" t="n">
        <v>21.76120467619096</v>
      </c>
      <c r="T239" t="n">
        <v>19.34073157666717</v>
      </c>
      <c r="U239" t="n">
        <v>18.15092802204524</v>
      </c>
      <c r="V239" t="n">
        <v>16.12311793840493</v>
      </c>
      <c r="W239" t="n">
        <v>13.82438932827813</v>
      </c>
      <c r="X239" t="n">
        <v>11.28238663411212</v>
      </c>
      <c r="Y239" t="n">
        <v>8.547293144321516</v>
      </c>
      <c r="Z239" t="n">
        <v>5.788091010200341</v>
      </c>
      <c r="AA239" t="n">
        <v>3.634897366942937</v>
      </c>
      <c r="AB239" t="n">
        <v>3.497532665347276</v>
      </c>
      <c r="AC239" t="n">
        <v>3.285197053109265</v>
      </c>
      <c r="AD239" t="n">
        <v>3.017628564889302</v>
      </c>
      <c r="AE239" t="n">
        <v>2.703853599921831</v>
      </c>
      <c r="AF239" t="n">
        <v>2.332988986962468</v>
      </c>
      <c r="AG239" t="n">
        <v>1.920457351059978</v>
      </c>
      <c r="AH239" t="n">
        <v>1.476219028362188</v>
      </c>
      <c r="AI239" t="n">
        <v>1.005926110495037</v>
      </c>
    </row>
    <row r="240">
      <c r="A240" t="inlineStr">
        <is>
          <t>no_year_in_pairs</t>
        </is>
      </c>
      <c r="B240" s="2" t="n"/>
      <c r="C240" s="3" t="inlineStr">
        <is>
          <t>SM.19.158, Sup. 2</t>
        </is>
      </c>
      <c r="D240" s="4" t="inlineStr">
        <is>
          <t>Dominica</t>
        </is>
      </c>
      <c r="E240" s="4" t="inlineStr">
        <is>
          <t>DMA</t>
        </is>
      </c>
      <c r="F240" s="4" t="n"/>
      <c r="G240" s="4" t="inlineStr">
        <is>
          <t>2018gn</t>
        </is>
      </c>
      <c r="H240" s="4" t="n">
        <v>2018</v>
      </c>
      <c r="I240" s="4" t="inlineStr">
        <is>
          <t>pv.old.dbt.mlt.oth1</t>
        </is>
      </c>
      <c r="J240" t="inlineStr">
        <is>
          <t>OTH_MULTI1</t>
        </is>
      </c>
      <c r="N240" t="n">
        <v>29.10303940699455</v>
      </c>
      <c r="O240" t="n">
        <v>29.31166093289985</v>
      </c>
      <c r="P240" t="n">
        <v>28.25971301658187</v>
      </c>
      <c r="Q240" t="n">
        <v>25.74102792667023</v>
      </c>
      <c r="R240" t="n">
        <v>23.74675150818893</v>
      </c>
      <c r="S240" t="n">
        <v>21.76120467619096</v>
      </c>
      <c r="T240" t="n">
        <v>19.34073157666717</v>
      </c>
      <c r="U240" t="n">
        <v>18.15092802204524</v>
      </c>
      <c r="V240" t="n">
        <v>16.12311793840493</v>
      </c>
      <c r="W240" t="n">
        <v>13.82438932827813</v>
      </c>
      <c r="X240" t="n">
        <v>11.28238663411212</v>
      </c>
      <c r="Y240" t="n">
        <v>8.547293144321516</v>
      </c>
      <c r="Z240" t="n">
        <v>5.788091010200341</v>
      </c>
      <c r="AA240" t="n">
        <v>3.634897366942937</v>
      </c>
      <c r="AB240" t="n">
        <v>3.497532665347276</v>
      </c>
      <c r="AC240" t="n">
        <v>3.285197053109265</v>
      </c>
      <c r="AD240" t="n">
        <v>3.017628564889302</v>
      </c>
      <c r="AE240" t="n">
        <v>2.703853599921831</v>
      </c>
      <c r="AF240" t="n">
        <v>2.332988986962468</v>
      </c>
      <c r="AG240" t="n">
        <v>1.920457351059978</v>
      </c>
      <c r="AH240" t="n">
        <v>1.476219028362188</v>
      </c>
      <c r="AI240" t="n">
        <v>1.005926110495037</v>
      </c>
    </row>
    <row r="241">
      <c r="A241" t="inlineStr">
        <is>
          <t>no_year_in_pairs</t>
        </is>
      </c>
      <c r="B241" s="2" t="n"/>
      <c r="C241" s="3" t="inlineStr">
        <is>
          <t>SM.19.158, Sup. 2</t>
        </is>
      </c>
      <c r="D241" s="4" t="inlineStr">
        <is>
          <t>Dominica</t>
        </is>
      </c>
      <c r="E241" s="4" t="inlineStr">
        <is>
          <t>DMA</t>
        </is>
      </c>
      <c r="F241" s="4" t="n"/>
      <c r="G241" s="4" t="inlineStr">
        <is>
          <t>2018gn</t>
        </is>
      </c>
      <c r="H241" s="4" t="n">
        <v>2018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no_year_in_pairs</t>
        </is>
      </c>
      <c r="B242" s="2" t="n"/>
      <c r="C242" s="3" t="inlineStr">
        <is>
          <t>SM.19.158, Sup. 2</t>
        </is>
      </c>
      <c r="D242" s="4" t="inlineStr">
        <is>
          <t>Dominica</t>
        </is>
      </c>
      <c r="E242" s="4" t="inlineStr">
        <is>
          <t>DMA</t>
        </is>
      </c>
      <c r="F242" s="4" t="n"/>
      <c r="G242" s="4" t="inlineStr">
        <is>
          <t>2018gn</t>
        </is>
      </c>
      <c r="H242" s="4" t="n">
        <v>2018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no_year_in_pairs</t>
        </is>
      </c>
      <c r="B243" s="2" t="n"/>
      <c r="C243" s="3" t="inlineStr">
        <is>
          <t>SM.19.158, Sup. 2</t>
        </is>
      </c>
      <c r="D243" s="4" t="inlineStr">
        <is>
          <t>Dominica</t>
        </is>
      </c>
      <c r="E243" s="4" t="inlineStr">
        <is>
          <t>DMA</t>
        </is>
      </c>
      <c r="F243" s="4" t="n"/>
      <c r="G243" s="4" t="inlineStr">
        <is>
          <t>2018gn</t>
        </is>
      </c>
      <c r="H243" s="4" t="n">
        <v>2018</v>
      </c>
      <c r="I243" s="4" t="inlineStr">
        <is>
          <t>pv.old.dbt.blt</t>
        </is>
      </c>
      <c r="J243" t="inlineStr">
        <is>
          <t>Official Bilaterals</t>
        </is>
      </c>
      <c r="N243" t="n">
        <v>57.53608468794107</v>
      </c>
      <c r="O243" t="n">
        <v>58.82550019488644</v>
      </c>
      <c r="P243" t="n">
        <v>53.5401909628446</v>
      </c>
      <c r="Q243" t="n">
        <v>48.12890963819463</v>
      </c>
      <c r="R243" t="n">
        <v>43.01051437758649</v>
      </c>
      <c r="S243" t="n">
        <v>37.82416155007955</v>
      </c>
      <c r="T243" t="n">
        <v>32.53199964815707</v>
      </c>
      <c r="U243" t="n">
        <v>27.76123302806612</v>
      </c>
      <c r="V243" t="n">
        <v>23.08243941082577</v>
      </c>
      <c r="W243" t="n">
        <v>18.53194838010458</v>
      </c>
      <c r="X243" t="n">
        <v>14.06754749877239</v>
      </c>
      <c r="Y243" t="n">
        <v>9.714205624019275</v>
      </c>
      <c r="Z243" t="n">
        <v>5.507829859047546</v>
      </c>
      <c r="AA243" t="n">
        <v>1.381388346048322</v>
      </c>
      <c r="AB243" t="n">
        <v>-1.001653832154341</v>
      </c>
      <c r="AC243" t="n">
        <v>-1.884184415063048</v>
      </c>
      <c r="AD243" t="n">
        <v>-2.554670616029616</v>
      </c>
      <c r="AE243" t="n">
        <v>-3.040903719315661</v>
      </c>
      <c r="AF243" t="n">
        <v>-3.198564744695467</v>
      </c>
      <c r="AG243" t="n">
        <v>-3.362938702935532</v>
      </c>
      <c r="AH243" t="n">
        <v>-3.535370831280558</v>
      </c>
      <c r="AI243" t="n">
        <v>-3.715155156077945</v>
      </c>
      <c r="BI243" t="inlineStr">
        <is>
          <t>PV_OLD_OB</t>
        </is>
      </c>
    </row>
    <row r="244">
      <c r="A244" t="inlineStr">
        <is>
          <t>no_year_in_pairs</t>
        </is>
      </c>
      <c r="B244" s="2" t="n"/>
      <c r="C244" s="3" t="inlineStr">
        <is>
          <t>SM.19.158, Sup. 2</t>
        </is>
      </c>
      <c r="D244" s="4" t="inlineStr">
        <is>
          <t>Dominica</t>
        </is>
      </c>
      <c r="E244" s="4" t="inlineStr">
        <is>
          <t>DMA</t>
        </is>
      </c>
      <c r="F244" s="4" t="n"/>
      <c r="G244" s="4" t="inlineStr">
        <is>
          <t>2018gn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18.6154508298901</v>
      </c>
      <c r="O244" t="n">
        <v>18.28808066768091</v>
      </c>
      <c r="P244" t="n">
        <v>15.74922596032422</v>
      </c>
      <c r="Q244" t="n">
        <v>13.75280944352562</v>
      </c>
      <c r="R244" t="n">
        <v>11.72097995273894</v>
      </c>
      <c r="S244" t="n">
        <v>9.639755024449963</v>
      </c>
      <c r="T244" t="n">
        <v>7.503803220116897</v>
      </c>
      <c r="U244" t="n">
        <v>5.837779133160012</v>
      </c>
      <c r="V244" t="n">
        <v>4.538128027331653</v>
      </c>
      <c r="W244" t="n">
        <v>3.524106499144934</v>
      </c>
      <c r="X244" t="n">
        <v>2.732757087252051</v>
      </c>
      <c r="Y244" t="n">
        <v>2.114989994714858</v>
      </c>
      <c r="Z244" t="n">
        <v>1.632527993611203</v>
      </c>
      <c r="AA244" t="n">
        <v>1.255524354952828</v>
      </c>
      <c r="AB244" t="n">
        <v>0.9607055379780798</v>
      </c>
      <c r="AC244" t="n">
        <v>0.7299230354719497</v>
      </c>
      <c r="AD244" t="n">
        <v>0.5490242388713202</v>
      </c>
      <c r="AE244" t="n">
        <v>0.4069720436810883</v>
      </c>
      <c r="AF244" t="n">
        <v>0.2951583980998108</v>
      </c>
      <c r="AG244" t="n">
        <v>0.2068690693993653</v>
      </c>
      <c r="AH244" t="n">
        <v>0.1368663148961972</v>
      </c>
      <c r="AI244" t="n">
        <v>0.08106348314045217</v>
      </c>
    </row>
    <row r="245">
      <c r="A245" t="inlineStr">
        <is>
          <t>no_year_in_pairs</t>
        </is>
      </c>
      <c r="B245" s="2" t="n"/>
      <c r="C245" s="3" t="inlineStr">
        <is>
          <t>SM.19.158, Sup. 2</t>
        </is>
      </c>
      <c r="D245" s="4" t="inlineStr">
        <is>
          <t>Dominica</t>
        </is>
      </c>
      <c r="E245" s="4" t="inlineStr">
        <is>
          <t>DMA</t>
        </is>
      </c>
      <c r="F245" s="4" t="n"/>
      <c r="G245" s="4" t="inlineStr">
        <is>
          <t>2018gn</t>
        </is>
      </c>
      <c r="H245" s="4" t="n">
        <v>2018</v>
      </c>
      <c r="I245" s="4" t="inlineStr">
        <is>
          <t>pv.old.dbt.pc1</t>
        </is>
      </c>
      <c r="J245" t="inlineStr">
        <is>
          <t>Export Credit Agencies</t>
        </is>
      </c>
      <c r="N245" t="n">
        <v>18.6154508298901</v>
      </c>
      <c r="O245" t="n">
        <v>18.28808066768091</v>
      </c>
      <c r="P245" t="n">
        <v>15.74922596032422</v>
      </c>
      <c r="Q245" t="n">
        <v>13.75280944352562</v>
      </c>
      <c r="R245" t="n">
        <v>11.72097995273894</v>
      </c>
      <c r="S245" t="n">
        <v>9.639755024449963</v>
      </c>
      <c r="T245" t="n">
        <v>7.503803220116897</v>
      </c>
      <c r="U245" t="n">
        <v>5.837779133160012</v>
      </c>
      <c r="V245" t="n">
        <v>4.538128027331653</v>
      </c>
      <c r="W245" t="n">
        <v>3.524106499144934</v>
      </c>
      <c r="X245" t="n">
        <v>2.732757087252051</v>
      </c>
      <c r="Y245" t="n">
        <v>2.114989994714858</v>
      </c>
      <c r="Z245" t="n">
        <v>1.632527993611203</v>
      </c>
      <c r="AA245" t="n">
        <v>1.255524354952828</v>
      </c>
      <c r="AB245" t="n">
        <v>0.9607055379780798</v>
      </c>
      <c r="AC245" t="n">
        <v>0.7299230354719497</v>
      </c>
      <c r="AD245" t="n">
        <v>0.5490242388713202</v>
      </c>
      <c r="AE245" t="n">
        <v>0.4069720436810883</v>
      </c>
      <c r="AF245" t="n">
        <v>0.2951583980998108</v>
      </c>
      <c r="AG245" t="n">
        <v>0.2068690693993653</v>
      </c>
      <c r="AH245" t="n">
        <v>0.1368663148961972</v>
      </c>
      <c r="AI245" t="n">
        <v>0.08106348314045217</v>
      </c>
    </row>
    <row r="246">
      <c r="A246" t="inlineStr">
        <is>
          <t>no_year_in_pairs</t>
        </is>
      </c>
      <c r="B246" s="2" t="n"/>
      <c r="C246" s="3" t="inlineStr">
        <is>
          <t>SM.19.158, Sup. 2</t>
        </is>
      </c>
      <c r="D246" s="4" t="inlineStr">
        <is>
          <t>Dominica</t>
        </is>
      </c>
      <c r="E246" s="4" t="inlineStr">
        <is>
          <t>DMA</t>
        </is>
      </c>
      <c r="F246" s="4" t="n"/>
      <c r="G246" s="4" t="inlineStr">
        <is>
          <t>2018gn</t>
        </is>
      </c>
      <c r="H246" s="4" t="n">
        <v>2018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no_year_in_pairs</t>
        </is>
      </c>
      <c r="B247" s="2" t="n"/>
      <c r="C247" s="3" t="inlineStr">
        <is>
          <t>SM.19.158, Sup. 2</t>
        </is>
      </c>
      <c r="D247" s="4" t="inlineStr">
        <is>
          <t>Dominica</t>
        </is>
      </c>
      <c r="E247" s="4" t="inlineStr">
        <is>
          <t>DMA</t>
        </is>
      </c>
      <c r="F247" s="4" t="n"/>
      <c r="G247" s="4" t="inlineStr">
        <is>
          <t>2018gn</t>
        </is>
      </c>
      <c r="H247" s="4" t="n">
        <v>2018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no_year_in_pairs</t>
        </is>
      </c>
      <c r="B248" s="2" t="n"/>
      <c r="C248" s="3" t="inlineStr">
        <is>
          <t>SM.19.158, Sup. 2</t>
        </is>
      </c>
      <c r="D248" s="4" t="inlineStr">
        <is>
          <t>Dominica</t>
        </is>
      </c>
      <c r="E248" s="4" t="inlineStr">
        <is>
          <t>DMA</t>
        </is>
      </c>
      <c r="F248" s="4" t="n"/>
      <c r="G248" s="4" t="inlineStr">
        <is>
          <t>2018gn</t>
        </is>
      </c>
      <c r="H248" s="4" t="n">
        <v>2018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no_year_in_pairs</t>
        </is>
      </c>
      <c r="B249" s="2" t="n"/>
      <c r="C249" s="3" t="inlineStr">
        <is>
          <t>SM.19.158, Sup. 2</t>
        </is>
      </c>
      <c r="D249" s="4" t="inlineStr">
        <is>
          <t>Dominica</t>
        </is>
      </c>
      <c r="E249" s="4" t="inlineStr">
        <is>
          <t>DMA</t>
        </is>
      </c>
      <c r="F249" s="4" t="n"/>
      <c r="G249" s="4" t="inlineStr">
        <is>
          <t>2018gn</t>
        </is>
      </c>
      <c r="H249" s="4" t="n">
        <v>2018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no_year_in_pairs</t>
        </is>
      </c>
      <c r="B250" s="2" t="n"/>
      <c r="C250" s="3" t="inlineStr">
        <is>
          <t>SM.19.158, Sup. 2</t>
        </is>
      </c>
      <c r="D250" s="4" t="inlineStr">
        <is>
          <t>Dominica</t>
        </is>
      </c>
      <c r="E250" s="4" t="inlineStr">
        <is>
          <t>DMA</t>
        </is>
      </c>
      <c r="F250" s="4" t="n"/>
      <c r="G250" s="4" t="inlineStr">
        <is>
          <t>2018gn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38.92063385805097</v>
      </c>
      <c r="O250" t="n">
        <v>40.53741952720553</v>
      </c>
      <c r="P250" t="n">
        <v>37.79096500252039</v>
      </c>
      <c r="Q250" t="n">
        <v>34.37610019466901</v>
      </c>
      <c r="R250" t="n">
        <v>31.28953442484755</v>
      </c>
      <c r="S250" t="n">
        <v>28.18440652562959</v>
      </c>
      <c r="T250" t="n">
        <v>25.02819642804018</v>
      </c>
      <c r="U250" t="n">
        <v>21.9234538949061</v>
      </c>
      <c r="V250" t="n">
        <v>18.54431138349412</v>
      </c>
      <c r="W250" t="n">
        <v>15.00784188095965</v>
      </c>
      <c r="X250" t="n">
        <v>11.33479041152034</v>
      </c>
      <c r="Y250" t="n">
        <v>7.599215629304418</v>
      </c>
      <c r="Z250" t="n">
        <v>3.875301865436343</v>
      </c>
      <c r="AA250" t="n">
        <v>0.1258639910954935</v>
      </c>
      <c r="AB250" t="n">
        <v>-1.962359370132421</v>
      </c>
      <c r="AC250" t="n">
        <v>-2.614107450534998</v>
      </c>
      <c r="AD250" t="n">
        <v>-3.103694854900936</v>
      </c>
      <c r="AE250" t="n">
        <v>-3.447875762996749</v>
      </c>
      <c r="AF250" t="n">
        <v>-3.493723142795278</v>
      </c>
      <c r="AG250" t="n">
        <v>-3.569807772334897</v>
      </c>
      <c r="AH250" t="n">
        <v>-3.672237146176755</v>
      </c>
      <c r="AI250" t="n">
        <v>-3.796218639218397</v>
      </c>
    </row>
    <row r="251">
      <c r="A251" t="inlineStr">
        <is>
          <t>no_year_in_pairs</t>
        </is>
      </c>
      <c r="B251" s="2" t="n"/>
      <c r="C251" s="3" t="inlineStr">
        <is>
          <t>SM.19.158, Sup. 2</t>
        </is>
      </c>
      <c r="D251" s="4" t="inlineStr">
        <is>
          <t>Dominica</t>
        </is>
      </c>
      <c r="E251" s="4" t="inlineStr">
        <is>
          <t>DMA</t>
        </is>
      </c>
      <c r="F251" s="4" t="n"/>
      <c r="G251" s="4" t="inlineStr">
        <is>
          <t>2018gn</t>
        </is>
      </c>
      <c r="H251" s="4" t="n">
        <v>2018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1.292299891650819</v>
      </c>
      <c r="O251" t="n">
        <v>1.35691488623336</v>
      </c>
      <c r="P251" t="n">
        <v>0.836710000915398</v>
      </c>
      <c r="Q251" t="n">
        <v>0.3063415009611679</v>
      </c>
      <c r="R251" t="n">
        <v>0.2242403537870041</v>
      </c>
      <c r="S251" t="n">
        <v>0.1836720011059839</v>
      </c>
      <c r="T251" t="n">
        <v>0.1426243048649868</v>
      </c>
      <c r="U251" t="n">
        <v>0.1106882117652103</v>
      </c>
      <c r="V251" t="n">
        <v>0.08583808733836308</v>
      </c>
      <c r="W251" t="n">
        <v>0.06649846941103763</v>
      </c>
      <c r="X251" t="n">
        <v>0.05144401515980903</v>
      </c>
      <c r="Y251" t="n">
        <v>0.03972168502665299</v>
      </c>
      <c r="Z251" t="n">
        <v>0.03059022131248534</v>
      </c>
      <c r="AA251" t="n">
        <v>0.02347307767454375</v>
      </c>
      <c r="AB251" t="n">
        <v>0.01792181003828244</v>
      </c>
      <c r="AC251" t="n">
        <v>0.01358760385316057</v>
      </c>
      <c r="AD251" t="n">
        <v>0.01019912937225708</v>
      </c>
      <c r="AE251" t="n">
        <v>0.007545318537529122</v>
      </c>
      <c r="AF251" t="n">
        <v>0.005461969631052917</v>
      </c>
      <c r="AG251" t="n">
        <v>0.003821328960006794</v>
      </c>
      <c r="AH251" t="n">
        <v>0.002523987919542424</v>
      </c>
      <c r="AI251" t="n">
        <v>0.001492580831527465</v>
      </c>
    </row>
    <row r="252">
      <c r="A252" t="inlineStr">
        <is>
          <t>no_year_in_pairs</t>
        </is>
      </c>
      <c r="B252" s="2" t="n"/>
      <c r="C252" s="3" t="inlineStr">
        <is>
          <t>SM.19.158, Sup. 2</t>
        </is>
      </c>
      <c r="D252" s="4" t="inlineStr">
        <is>
          <t>Dominica</t>
        </is>
      </c>
      <c r="E252" s="4" t="inlineStr">
        <is>
          <t>DMA</t>
        </is>
      </c>
      <c r="F252" s="4" t="n"/>
      <c r="G252" s="4" t="inlineStr">
        <is>
          <t>2018gn</t>
        </is>
      </c>
      <c r="H252" s="4" t="n">
        <v>2018</v>
      </c>
      <c r="I252" s="4" t="inlineStr">
        <is>
          <t>pv.old.dbt.npc2</t>
        </is>
      </c>
      <c r="J252" t="inlineStr">
        <is>
          <t>NPC2</t>
        </is>
      </c>
      <c r="N252" t="n">
        <v>1.586535730441006</v>
      </c>
      <c r="O252" t="n">
        <v>1.477631924370463</v>
      </c>
      <c r="P252" t="n">
        <v>1.184322520588987</v>
      </c>
      <c r="Q252" t="n">
        <v>0.8887078688406582</v>
      </c>
      <c r="R252" t="n">
        <v>0.5906727437641721</v>
      </c>
      <c r="S252" t="n">
        <v>0.2900960846560847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no_year_in_pairs</t>
        </is>
      </c>
      <c r="B253" s="2" t="n"/>
      <c r="C253" s="3" t="inlineStr">
        <is>
          <t>SM.19.158, Sup. 2</t>
        </is>
      </c>
      <c r="D253" s="4" t="inlineStr">
        <is>
          <t>Dominica</t>
        </is>
      </c>
      <c r="E253" s="4" t="inlineStr">
        <is>
          <t>DMA</t>
        </is>
      </c>
      <c r="F253" s="4" t="n"/>
      <c r="G253" s="4" t="inlineStr">
        <is>
          <t>2018gn</t>
        </is>
      </c>
      <c r="H253" s="4" t="n">
        <v>2018</v>
      </c>
      <c r="I253" s="4" t="inlineStr">
        <is>
          <t>pv.old.dbt.npc3</t>
        </is>
      </c>
      <c r="J253" t="inlineStr">
        <is>
          <t>NPC3</t>
        </is>
      </c>
      <c r="N253" t="n">
        <v>24.50970564215738</v>
      </c>
      <c r="O253" t="n">
        <v>25.73519092426525</v>
      </c>
      <c r="P253" t="n">
        <v>23.59898958158963</v>
      </c>
      <c r="Q253" t="n">
        <v>21.41416757918763</v>
      </c>
      <c r="R253" t="n">
        <v>19.17659151370257</v>
      </c>
      <c r="S253" t="n">
        <v>16.88362371901733</v>
      </c>
      <c r="T253" t="n">
        <v>14.53141127533857</v>
      </c>
      <c r="U253" t="n">
        <v>12.48777402562654</v>
      </c>
      <c r="V253" t="n">
        <v>10.71131595424392</v>
      </c>
      <c r="W253" t="n">
        <v>9.166147881462821</v>
      </c>
      <c r="X253" t="n">
        <v>7.821152587037383</v>
      </c>
      <c r="Y253" t="n">
        <v>6.649347885717793</v>
      </c>
      <c r="Z253" t="n">
        <v>5.627334592867633</v>
      </c>
      <c r="AA253" t="n">
        <v>4.734818059846213</v>
      </c>
      <c r="AB253" t="n">
        <v>3.954193468112835</v>
      </c>
      <c r="AC253" t="n">
        <v>3.270186379062169</v>
      </c>
      <c r="AD253" t="n">
        <v>2.669541170240531</v>
      </c>
      <c r="AE253" t="n">
        <v>2.140750971076848</v>
      </c>
      <c r="AF253" t="n">
        <v>1.673823562743602</v>
      </c>
      <c r="AG253" t="n">
        <v>1.260078444708475</v>
      </c>
      <c r="AH253" t="n">
        <v>0.8919709100848655</v>
      </c>
      <c r="AI253" t="n">
        <v>0.5629395261584299</v>
      </c>
    </row>
    <row r="254">
      <c r="A254" t="inlineStr">
        <is>
          <t>no_year_in_pairs</t>
        </is>
      </c>
      <c r="B254" s="2" t="n"/>
      <c r="C254" s="3" t="inlineStr">
        <is>
          <t>SM.19.158, Sup. 2</t>
        </is>
      </c>
      <c r="D254" s="4" t="inlineStr">
        <is>
          <t>Dominica</t>
        </is>
      </c>
      <c r="E254" s="4" t="inlineStr">
        <is>
          <t>DMA</t>
        </is>
      </c>
      <c r="F254" s="4" t="n"/>
      <c r="G254" s="4" t="inlineStr">
        <is>
          <t>2018gn</t>
        </is>
      </c>
      <c r="H254" s="4" t="n">
        <v>2018</v>
      </c>
      <c r="I254" s="4" t="inlineStr">
        <is>
          <t>pv.old.dbt.npc4</t>
        </is>
      </c>
      <c r="J254" t="inlineStr">
        <is>
          <t>NPC4</t>
        </is>
      </c>
      <c r="N254" t="n">
        <v>0.05231392200887158</v>
      </c>
      <c r="O254" t="n">
        <v>0.0520418165835428</v>
      </c>
      <c r="P254" t="n">
        <v>0.05157718414508133</v>
      </c>
      <c r="Q254" t="n">
        <v>0.0508647631527093</v>
      </c>
      <c r="R254" t="n">
        <v>0.04992677731099768</v>
      </c>
      <c r="S254" t="n">
        <v>0.04875808830879794</v>
      </c>
      <c r="T254" t="n">
        <v>0.04737275403853095</v>
      </c>
      <c r="U254" t="n">
        <v>0.04578079896138548</v>
      </c>
      <c r="V254" t="n">
        <v>0.04398626789854822</v>
      </c>
      <c r="W254" t="n">
        <v>0.04198731159093397</v>
      </c>
      <c r="X254" t="n">
        <v>0.03976841703673374</v>
      </c>
      <c r="Y254" t="n">
        <v>0.0373130667606601</v>
      </c>
      <c r="Z254" t="n">
        <v>0.03460367869707895</v>
      </c>
      <c r="AA254" t="n">
        <v>0.03162154263479319</v>
      </c>
      <c r="AB254" t="n">
        <v>0.02834675304329089</v>
      </c>
      <c r="AC254" t="n">
        <v>0.02476004445951935</v>
      </c>
      <c r="AD254" t="n">
        <v>0.02120731713020682</v>
      </c>
      <c r="AE254" t="n">
        <v>0.01751818240230587</v>
      </c>
      <c r="AF254" t="n">
        <v>0.01373336226968503</v>
      </c>
      <c r="AG254" t="n">
        <v>0.01011757590207079</v>
      </c>
      <c r="AH254" t="n">
        <v>0.006359751477554593</v>
      </c>
      <c r="AI254" t="n">
        <v>0.003665179314868962</v>
      </c>
    </row>
    <row r="255">
      <c r="A255" t="inlineStr">
        <is>
          <t>no_year_in_pairs</t>
        </is>
      </c>
      <c r="B255" s="2" t="n"/>
      <c r="C255" s="3" t="inlineStr">
        <is>
          <t>SM.19.158, Sup. 2</t>
        </is>
      </c>
      <c r="D255" s="4" t="inlineStr">
        <is>
          <t>Dominica</t>
        </is>
      </c>
      <c r="E255" s="4" t="inlineStr">
        <is>
          <t>DMA</t>
        </is>
      </c>
      <c r="F255" s="4" t="n"/>
      <c r="G255" s="4" t="inlineStr">
        <is>
          <t>2018gn</t>
        </is>
      </c>
      <c r="H255" s="4" t="n">
        <v>2018</v>
      </c>
      <c r="I255" s="4" t="inlineStr">
        <is>
          <t>pv.old.dbt.npc5</t>
        </is>
      </c>
      <c r="J255" t="inlineStr">
        <is>
          <t>NPC5</t>
        </is>
      </c>
      <c r="N255" t="n">
        <v>11.47977867179289</v>
      </c>
      <c r="O255" t="n">
        <v>11.91563997575291</v>
      </c>
      <c r="P255" t="n">
        <v>12.11936571528129</v>
      </c>
      <c r="Q255" t="n">
        <v>11.71601848252684</v>
      </c>
      <c r="R255" t="n">
        <v>11.24810303628281</v>
      </c>
      <c r="S255" t="n">
        <v>10.77825663254139</v>
      </c>
      <c r="T255" t="n">
        <v>10.30678809379809</v>
      </c>
      <c r="U255" t="n">
        <v>9.279210858552972</v>
      </c>
      <c r="V255" t="n">
        <v>7.703171074013282</v>
      </c>
      <c r="W255" t="n">
        <v>5.733208218494855</v>
      </c>
      <c r="X255" t="n">
        <v>3.422425392286411</v>
      </c>
      <c r="Y255" t="n">
        <v>0.8728329917993112</v>
      </c>
      <c r="Z255" t="n">
        <v>-1.817226627440853</v>
      </c>
      <c r="AA255" t="n">
        <v>-4.664048689060056</v>
      </c>
      <c r="AB255" t="n">
        <v>-5.962821401326829</v>
      </c>
      <c r="AC255" t="n">
        <v>-5.922641477909846</v>
      </c>
      <c r="AD255" t="n">
        <v>-5.804642471643931</v>
      </c>
      <c r="AE255" t="n">
        <v>-5.613690235013433</v>
      </c>
      <c r="AF255" t="n">
        <v>-5.186742037439618</v>
      </c>
      <c r="AG255" t="n">
        <v>-4.84382512190545</v>
      </c>
      <c r="AH255" t="n">
        <v>-4.573091795658717</v>
      </c>
      <c r="AI255" t="n">
        <v>-4.364315925523223</v>
      </c>
    </row>
    <row r="256">
      <c r="A256" t="inlineStr">
        <is>
          <t>no_year_in_pairs</t>
        </is>
      </c>
      <c r="B256" s="2" t="n"/>
      <c r="C256" s="3" t="inlineStr">
        <is>
          <t>SM.19.158, Sup. 2</t>
        </is>
      </c>
      <c r="D256" s="4" t="inlineStr">
        <is>
          <t>Dominica</t>
        </is>
      </c>
      <c r="E256" s="4" t="inlineStr">
        <is>
          <t>DMA</t>
        </is>
      </c>
      <c r="F256" s="4" t="n"/>
      <c r="G256" s="4" t="inlineStr">
        <is>
          <t>2018gn</t>
        </is>
      </c>
      <c r="H256" s="4" t="n">
        <v>2018</v>
      </c>
      <c r="I256" s="4" t="inlineStr">
        <is>
          <t>pv.old.dbt.prvt</t>
        </is>
      </c>
      <c r="J256" t="inlineStr">
        <is>
          <t>Commercial</t>
        </is>
      </c>
      <c r="N256" t="n">
        <v>77.93393415861061</v>
      </c>
      <c r="O256" t="n">
        <v>76.57310610160502</v>
      </c>
      <c r="P256" t="n">
        <v>65.83051153723029</v>
      </c>
      <c r="Q256" t="n">
        <v>61.93489448456241</v>
      </c>
      <c r="R256" t="n">
        <v>59.02930311548297</v>
      </c>
      <c r="S256" t="n">
        <v>54.9858334178752</v>
      </c>
      <c r="T256" t="n">
        <v>51.9698136975348</v>
      </c>
      <c r="U256" t="n">
        <v>47.24099546856772</v>
      </c>
      <c r="V256" t="n">
        <v>43.73157337728047</v>
      </c>
      <c r="W256" t="n">
        <v>40.92584398803829</v>
      </c>
      <c r="X256" t="n">
        <v>38.13047642206526</v>
      </c>
      <c r="Y256" t="n">
        <v>35.24994346147096</v>
      </c>
      <c r="Z256" t="n">
        <v>32.26146371180123</v>
      </c>
      <c r="AA256" t="n">
        <v>29.3816946997582</v>
      </c>
      <c r="AB256" t="n">
        <v>27.70710189681199</v>
      </c>
      <c r="AC256" t="n">
        <v>26.78258693598987</v>
      </c>
      <c r="AD256" t="n">
        <v>23.33098651303524</v>
      </c>
      <c r="AE256" t="n">
        <v>19.74803522165586</v>
      </c>
      <c r="AF256" t="n">
        <v>16.07470772510954</v>
      </c>
      <c r="AG256" t="n">
        <v>8.38425745438075</v>
      </c>
      <c r="AH256" t="n">
        <v>4.92834417911425</v>
      </c>
      <c r="AI256" t="n">
        <v>2.524273847832161</v>
      </c>
      <c r="BI256" t="inlineStr">
        <is>
          <t>PV_OLD_COM</t>
        </is>
      </c>
    </row>
    <row r="257">
      <c r="A257" t="inlineStr">
        <is>
          <t>no_year_in_pairs</t>
        </is>
      </c>
      <c r="B257" s="2" t="n"/>
      <c r="C257" s="3" t="inlineStr">
        <is>
          <t>SM.19.158, Sup. 2</t>
        </is>
      </c>
      <c r="D257" s="4" t="inlineStr">
        <is>
          <t>Dominica</t>
        </is>
      </c>
      <c r="E257" s="4" t="inlineStr">
        <is>
          <t>DMA</t>
        </is>
      </c>
      <c r="F257" s="4" t="n"/>
      <c r="G257" s="4" t="inlineStr">
        <is>
          <t>2018gn</t>
        </is>
      </c>
      <c r="H257" s="4" t="n">
        <v>2018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no_year_in_pairs</t>
        </is>
      </c>
      <c r="B258" s="2" t="n"/>
      <c r="C258" s="3" t="inlineStr">
        <is>
          <t>SM.19.158, Sup. 2</t>
        </is>
      </c>
      <c r="D258" s="4" t="inlineStr">
        <is>
          <t>Dominica</t>
        </is>
      </c>
      <c r="E258" s="4" t="inlineStr">
        <is>
          <t>DMA</t>
        </is>
      </c>
      <c r="F258" s="4" t="n"/>
      <c r="G258" s="4" t="inlineStr">
        <is>
          <t>2018gn</t>
        </is>
      </c>
      <c r="H258" s="4" t="n">
        <v>2018</v>
      </c>
      <c r="I258" s="4" t="inlineStr">
        <is>
          <t>pv.old.dbt.prvt.cmbk</t>
        </is>
      </c>
      <c r="J258" t="inlineStr">
        <is>
          <t>Commecial Bank</t>
        </is>
      </c>
      <c r="N258" t="n">
        <v>77.93393415861061</v>
      </c>
      <c r="O258" t="n">
        <v>76.57310610160502</v>
      </c>
      <c r="P258" t="n">
        <v>65.83051153723029</v>
      </c>
      <c r="Q258" t="n">
        <v>61.93489448456241</v>
      </c>
      <c r="R258" t="n">
        <v>59.02930311548297</v>
      </c>
      <c r="S258" t="n">
        <v>54.9858334178752</v>
      </c>
      <c r="T258" t="n">
        <v>51.9698136975348</v>
      </c>
      <c r="U258" t="n">
        <v>47.24099546856772</v>
      </c>
      <c r="V258" t="n">
        <v>43.73157337728047</v>
      </c>
      <c r="W258" t="n">
        <v>40.92584398803829</v>
      </c>
      <c r="X258" t="n">
        <v>38.13047642206526</v>
      </c>
      <c r="Y258" t="n">
        <v>35.24994346147096</v>
      </c>
      <c r="Z258" t="n">
        <v>32.26146371180123</v>
      </c>
      <c r="AA258" t="n">
        <v>29.3816946997582</v>
      </c>
      <c r="AB258" t="n">
        <v>27.70710189681199</v>
      </c>
      <c r="AC258" t="n">
        <v>26.78258693598987</v>
      </c>
      <c r="AD258" t="n">
        <v>23.33098651303524</v>
      </c>
      <c r="AE258" t="n">
        <v>19.74803522165586</v>
      </c>
      <c r="AF258" t="n">
        <v>16.07470772510954</v>
      </c>
      <c r="AG258" t="n">
        <v>8.38425745438075</v>
      </c>
      <c r="AH258" t="n">
        <v>4.92834417911425</v>
      </c>
      <c r="AI258" t="n">
        <v>2.524273847832161</v>
      </c>
    </row>
    <row r="259">
      <c r="A259" t="inlineStr">
        <is>
          <t>no_year_in_pairs</t>
        </is>
      </c>
      <c r="B259" s="2" t="n"/>
      <c r="C259" s="3" t="inlineStr">
        <is>
          <t>SM.19.158, Sup. 2</t>
        </is>
      </c>
      <c r="D259" s="4" t="inlineStr">
        <is>
          <t>Dominica</t>
        </is>
      </c>
      <c r="E259" s="4" t="inlineStr">
        <is>
          <t>DMA</t>
        </is>
      </c>
      <c r="F259" s="4" t="n"/>
      <c r="G259" s="4" t="inlineStr">
        <is>
          <t>2018gn</t>
        </is>
      </c>
      <c r="H259" s="4" t="n">
        <v>2018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no_year_in_pairs</t>
        </is>
      </c>
      <c r="B260" s="2" t="n"/>
      <c r="C260" s="3" t="inlineStr">
        <is>
          <t>SM.19.158, Sup. 2</t>
        </is>
      </c>
      <c r="D260" s="4" t="inlineStr">
        <is>
          <t>Dominica</t>
        </is>
      </c>
      <c r="E260" s="4" t="inlineStr">
        <is>
          <t>DMA</t>
        </is>
      </c>
      <c r="F260" s="4" t="n"/>
      <c r="G260" s="4" t="inlineStr">
        <is>
          <t>2018gn</t>
        </is>
      </c>
      <c r="H260" s="4" t="n">
        <v>2018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no_year_in_pairs</t>
        </is>
      </c>
      <c r="B261" s="2" t="n"/>
      <c r="C261" s="3" t="inlineStr">
        <is>
          <t>SM.19.158, Sup. 2</t>
        </is>
      </c>
      <c r="D261" s="4" t="inlineStr">
        <is>
          <t>Dominica</t>
        </is>
      </c>
      <c r="E261" s="4" t="inlineStr">
        <is>
          <t>DMA</t>
        </is>
      </c>
      <c r="F261" s="4" t="n"/>
      <c r="G261" s="4" t="inlineStr">
        <is>
          <t>2018gn</t>
        </is>
      </c>
      <c r="H261" s="4" t="n">
        <v>2018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no_year_in_pairs</t>
        </is>
      </c>
      <c r="B262" s="2" t="n"/>
      <c r="C262" s="3" t="inlineStr">
        <is>
          <t>SM.19.158, Sup. 2</t>
        </is>
      </c>
      <c r="D262" s="4" t="inlineStr">
        <is>
          <t>Dominica</t>
        </is>
      </c>
      <c r="E262" s="4" t="inlineStr">
        <is>
          <t>DMA</t>
        </is>
      </c>
      <c r="F262" s="4" t="n"/>
      <c r="G262" s="4" t="inlineStr">
        <is>
          <t>2018gn</t>
        </is>
      </c>
      <c r="H262" s="4" t="n">
        <v>2018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no_year_in_pairs</t>
        </is>
      </c>
      <c r="B263" s="2" t="n"/>
      <c r="C263" s="3" t="inlineStr">
        <is>
          <t>SM.19.158, Sup. 2</t>
        </is>
      </c>
      <c r="D263" s="4" t="inlineStr">
        <is>
          <t>Dominica</t>
        </is>
      </c>
      <c r="E263" s="4" t="inlineStr">
        <is>
          <t>DMA</t>
        </is>
      </c>
      <c r="F263" s="4" t="n"/>
      <c r="G263" s="4" t="inlineStr">
        <is>
          <t>2018gn</t>
        </is>
      </c>
      <c r="H263" s="4" t="n">
        <v>2018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no_year_in_pairs</t>
        </is>
      </c>
      <c r="B264" s="2" t="n"/>
      <c r="C264" s="3" t="inlineStr">
        <is>
          <t>SM.19.158, Sup. 2</t>
        </is>
      </c>
      <c r="D264" s="4" t="inlineStr">
        <is>
          <t>Dominica</t>
        </is>
      </c>
      <c r="E264" s="4" t="inlineStr">
        <is>
          <t>DMA</t>
        </is>
      </c>
      <c r="F264" s="4" t="n"/>
      <c r="G264" s="4" t="inlineStr">
        <is>
          <t>2018gn</t>
        </is>
      </c>
      <c r="H264" s="4" t="n">
        <v>2018</v>
      </c>
      <c r="I264" s="5" t="n"/>
    </row>
    <row r="265">
      <c r="A265" t="inlineStr">
        <is>
          <t>no_year_in_pairs</t>
        </is>
      </c>
      <c r="B265" s="2" t="n"/>
      <c r="C265" s="3" t="inlineStr">
        <is>
          <t>SM.19.158, Sup. 2</t>
        </is>
      </c>
      <c r="D265" s="4" t="inlineStr">
        <is>
          <t>Dominica</t>
        </is>
      </c>
      <c r="E265" s="4" t="inlineStr">
        <is>
          <t>DMA</t>
        </is>
      </c>
      <c r="F265" s="4" t="n"/>
      <c r="G265" s="4" t="inlineStr">
        <is>
          <t>2018gn</t>
        </is>
      </c>
      <c r="H265" s="4" t="n">
        <v>2018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no_year_in_pairs</t>
        </is>
      </c>
      <c r="B266" s="2" t="n"/>
      <c r="C266" s="3" t="inlineStr">
        <is>
          <t>SM.19.158, Sup. 2</t>
        </is>
      </c>
      <c r="D266" s="4" t="inlineStr">
        <is>
          <t>Dominica</t>
        </is>
      </c>
      <c r="E266" s="4" t="inlineStr">
        <is>
          <t>DMA</t>
        </is>
      </c>
      <c r="F266" s="4" t="n"/>
      <c r="G266" s="4" t="inlineStr">
        <is>
          <t>2018gn</t>
        </is>
      </c>
      <c r="H266" s="4" t="n">
        <v>2018</v>
      </c>
      <c r="I266" s="5" t="n"/>
      <c r="M266" t="n">
        <v>-2</v>
      </c>
    </row>
    <row r="267">
      <c r="A267" t="inlineStr">
        <is>
          <t>no_year_in_pairs</t>
        </is>
      </c>
      <c r="B267" s="2" t="n"/>
      <c r="C267" s="3" t="inlineStr">
        <is>
          <t>SM.19.158, Sup. 2</t>
        </is>
      </c>
      <c r="D267" s="4" t="inlineStr">
        <is>
          <t>Dominica</t>
        </is>
      </c>
      <c r="E267" s="4" t="inlineStr">
        <is>
          <t>DMA</t>
        </is>
      </c>
      <c r="F267" s="4" t="n"/>
      <c r="G267" s="4" t="inlineStr">
        <is>
          <t>2018gn</t>
        </is>
      </c>
      <c r="H267" s="4" t="n">
        <v>2018</v>
      </c>
      <c r="I267" s="4" t="inlineStr">
        <is>
          <t>pv.new.dbt.mlg.trm</t>
        </is>
      </c>
      <c r="J267" t="inlineStr">
        <is>
          <t>PV of new MLT debt</t>
        </is>
      </c>
      <c r="O267" t="n">
        <v>42.48548003084457</v>
      </c>
      <c r="P267" t="n">
        <v>76.19249453634187</v>
      </c>
      <c r="Q267" t="n">
        <v>128.6995965812756</v>
      </c>
      <c r="R267" t="n">
        <v>170.2647641454553</v>
      </c>
      <c r="S267" t="n">
        <v>204.4602029540884</v>
      </c>
      <c r="T267" t="n">
        <v>239.972980525345</v>
      </c>
      <c r="U267" t="n">
        <v>270.5266455450442</v>
      </c>
      <c r="V267" t="n">
        <v>300.8524093325509</v>
      </c>
      <c r="W267" t="n">
        <v>329.0984958223322</v>
      </c>
      <c r="X267" t="n">
        <v>356.7470906163945</v>
      </c>
      <c r="Y267" t="n">
        <v>384.6214493298752</v>
      </c>
      <c r="Z267" t="n">
        <v>412.7550341211905</v>
      </c>
      <c r="AA267" t="n">
        <v>441.2286624808478</v>
      </c>
      <c r="AB267" t="n">
        <v>469.8787362177927</v>
      </c>
      <c r="AC267" t="n">
        <v>496.1090662160076</v>
      </c>
      <c r="AD267" t="n">
        <v>479.2022591119171</v>
      </c>
      <c r="AE267" t="n">
        <v>505.0714574560845</v>
      </c>
      <c r="AF267" t="n">
        <v>531.4854066420355</v>
      </c>
      <c r="AG267" t="n">
        <v>558.333519996982</v>
      </c>
      <c r="AH267" t="n">
        <v>586.6864464458886</v>
      </c>
      <c r="AI267" t="n">
        <v>614.5688784253929</v>
      </c>
      <c r="BI267" t="inlineStr">
        <is>
          <t>PV_NEW_MLT</t>
        </is>
      </c>
    </row>
    <row r="268">
      <c r="A268" t="inlineStr">
        <is>
          <t>no_year_in_pairs</t>
        </is>
      </c>
      <c r="B268" s="2" t="n"/>
      <c r="C268" s="3" t="inlineStr">
        <is>
          <t>SM.19.158, Sup. 2</t>
        </is>
      </c>
      <c r="D268" s="4" t="inlineStr">
        <is>
          <t>Dominica</t>
        </is>
      </c>
      <c r="E268" s="4" t="inlineStr">
        <is>
          <t>DMA</t>
        </is>
      </c>
      <c r="F268" s="4" t="n"/>
      <c r="G268" s="4" t="inlineStr">
        <is>
          <t>2018gn</t>
        </is>
      </c>
      <c r="H268" s="4" t="n">
        <v>2018</v>
      </c>
      <c r="I268" s="4" t="inlineStr">
        <is>
          <t>pv.new.dbt.mlt</t>
        </is>
      </c>
      <c r="J268" t="inlineStr">
        <is>
          <t>Multilaterals</t>
        </is>
      </c>
      <c r="O268" t="n">
        <v>7.857196490248016</v>
      </c>
      <c r="P268" t="n">
        <v>24.39690434630572</v>
      </c>
      <c r="Q268" t="n">
        <v>40.88301887934974</v>
      </c>
      <c r="R268" t="n">
        <v>58.50401785486252</v>
      </c>
      <c r="S268" t="n">
        <v>69.4494490047195</v>
      </c>
      <c r="T268" t="n">
        <v>82.16375571423899</v>
      </c>
      <c r="U268" t="n">
        <v>94.98570718470876</v>
      </c>
      <c r="V268" t="n">
        <v>107.7870864681852</v>
      </c>
      <c r="W268" t="n">
        <v>120.6318366919013</v>
      </c>
      <c r="X268" t="n">
        <v>133.4868261454918</v>
      </c>
      <c r="Y268" t="n">
        <v>146.8180032717182</v>
      </c>
      <c r="Z268" t="n">
        <v>160.3936924340584</v>
      </c>
      <c r="AA268" t="n">
        <v>173.8731369983061</v>
      </c>
      <c r="AB268" t="n">
        <v>187.2505723259859</v>
      </c>
      <c r="AC268" t="n">
        <v>200.5197700856498</v>
      </c>
      <c r="AD268" t="n">
        <v>213.8406771638594</v>
      </c>
      <c r="AE268" t="n">
        <v>227.1957998404006</v>
      </c>
      <c r="AF268" t="n">
        <v>240.5705163691837</v>
      </c>
      <c r="AG268" t="n">
        <v>253.9488646472214</v>
      </c>
      <c r="AH268" t="n">
        <v>266.950204706407</v>
      </c>
      <c r="AI268" t="n">
        <v>279.9072903280922</v>
      </c>
      <c r="BI268" t="inlineStr">
        <is>
          <t>PV_NEW_ML</t>
        </is>
      </c>
    </row>
    <row r="269">
      <c r="A269" t="inlineStr">
        <is>
          <t>no_year_in_pairs</t>
        </is>
      </c>
      <c r="B269" s="2" t="n"/>
      <c r="C269" s="3" t="inlineStr">
        <is>
          <t>SM.19.158, Sup. 2</t>
        </is>
      </c>
      <c r="D269" s="4" t="inlineStr">
        <is>
          <t>Dominica</t>
        </is>
      </c>
      <c r="E269" s="4" t="inlineStr">
        <is>
          <t>DMA</t>
        </is>
      </c>
      <c r="F269" s="4" t="n"/>
      <c r="G269" s="4" t="inlineStr">
        <is>
          <t>2018gn</t>
        </is>
      </c>
      <c r="H269" s="4" t="n">
        <v>2018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no_year_in_pairs</t>
        </is>
      </c>
      <c r="B270" s="2" t="n"/>
      <c r="C270" s="3" t="inlineStr">
        <is>
          <t>SM.19.158, Sup. 2</t>
        </is>
      </c>
      <c r="D270" s="4" t="inlineStr">
        <is>
          <t>Dominica</t>
        </is>
      </c>
      <c r="E270" s="4" t="inlineStr">
        <is>
          <t>DMA</t>
        </is>
      </c>
      <c r="F270" s="4" t="n"/>
      <c r="G270" s="4" t="inlineStr">
        <is>
          <t>2018gn</t>
        </is>
      </c>
      <c r="H270" s="4" t="n">
        <v>2018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1.951409332082445</v>
      </c>
      <c r="P270" t="n">
        <v>8.255989661350393</v>
      </c>
      <c r="Q270" t="n">
        <v>14.75579900708174</v>
      </c>
      <c r="R270" t="n">
        <v>21.46059882009965</v>
      </c>
      <c r="S270" t="n">
        <v>26.42922929168601</v>
      </c>
      <c r="T270" t="n">
        <v>31.76673785738827</v>
      </c>
      <c r="U270" t="n">
        <v>37.44305127684993</v>
      </c>
      <c r="V270" t="n">
        <v>43.47803684630392</v>
      </c>
      <c r="W270" t="n">
        <v>49.89227068643984</v>
      </c>
      <c r="X270" t="n">
        <v>56.70745080791703</v>
      </c>
      <c r="Y270" t="n">
        <v>63.94645679344391</v>
      </c>
      <c r="Z270" t="n">
        <v>71.46674565281886</v>
      </c>
      <c r="AA270" t="n">
        <v>78.92000043845792</v>
      </c>
      <c r="AB270" t="n">
        <v>86.31001247820868</v>
      </c>
      <c r="AC270" t="n">
        <v>93.64087333625847</v>
      </c>
      <c r="AD270" t="n">
        <v>101.0836611045553</v>
      </c>
      <c r="AE270" t="n">
        <v>108.6328764471078</v>
      </c>
      <c r="AF270" t="n">
        <v>116.2868088520815</v>
      </c>
      <c r="AG270" t="n">
        <v>124.0433813036378</v>
      </c>
      <c r="AH270" t="n">
        <v>131.7556059448198</v>
      </c>
      <c r="AI270" t="n">
        <v>139.5607537355125</v>
      </c>
    </row>
    <row r="271">
      <c r="A271" t="inlineStr">
        <is>
          <t>no_year_in_pairs</t>
        </is>
      </c>
      <c r="B271" s="2" t="n"/>
      <c r="C271" s="3" t="inlineStr">
        <is>
          <t>SM.19.158, Sup. 2</t>
        </is>
      </c>
      <c r="D271" s="4" t="inlineStr">
        <is>
          <t>Dominica</t>
        </is>
      </c>
      <c r="E271" s="4" t="inlineStr">
        <is>
          <t>DMA</t>
        </is>
      </c>
      <c r="F271" s="4" t="n"/>
      <c r="G271" s="4" t="inlineStr">
        <is>
          <t>2018gn</t>
        </is>
      </c>
      <c r="H271" s="4" t="n">
        <v>2018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no_year_in_pairs</t>
        </is>
      </c>
      <c r="B272" s="2" t="n"/>
      <c r="C272" s="3" t="inlineStr">
        <is>
          <t>SM.19.158, Sup. 2</t>
        </is>
      </c>
      <c r="D272" s="4" t="inlineStr">
        <is>
          <t>Dominica</t>
        </is>
      </c>
      <c r="E272" s="4" t="inlineStr">
        <is>
          <t>DMA</t>
        </is>
      </c>
      <c r="F272" s="4" t="n"/>
      <c r="G272" s="4" t="inlineStr">
        <is>
          <t>2018gn</t>
        </is>
      </c>
      <c r="H272" s="4" t="n">
        <v>2018</v>
      </c>
      <c r="I272" s="4" t="inlineStr">
        <is>
          <t>pv.new.dbt.mlt.afdb</t>
        </is>
      </c>
      <c r="J272" t="inlineStr">
        <is>
          <t>CDB</t>
        </is>
      </c>
      <c r="M272" t="n">
        <v>109</v>
      </c>
      <c r="O272" t="n">
        <v>5.905787158165571</v>
      </c>
      <c r="P272" t="n">
        <v>16.14091468495532</v>
      </c>
      <c r="Q272" t="n">
        <v>26.127219872268</v>
      </c>
      <c r="R272" t="n">
        <v>37.04341903476288</v>
      </c>
      <c r="S272" t="n">
        <v>43.02021971303348</v>
      </c>
      <c r="T272" t="n">
        <v>50.39701785685072</v>
      </c>
      <c r="U272" t="n">
        <v>57.54265590785884</v>
      </c>
      <c r="V272" t="n">
        <v>64.30904962188126</v>
      </c>
      <c r="W272" t="n">
        <v>70.73956600546143</v>
      </c>
      <c r="X272" t="n">
        <v>76.77937533757476</v>
      </c>
      <c r="Y272" t="n">
        <v>82.87154647827427</v>
      </c>
      <c r="Z272" t="n">
        <v>88.92694678123952</v>
      </c>
      <c r="AA272" t="n">
        <v>94.95313655984819</v>
      </c>
      <c r="AB272" t="n">
        <v>100.9405598477772</v>
      </c>
      <c r="AC272" t="n">
        <v>106.8788967493914</v>
      </c>
      <c r="AD272" t="n">
        <v>112.7570160593041</v>
      </c>
      <c r="AE272" t="n">
        <v>118.5629233932927</v>
      </c>
      <c r="AF272" t="n">
        <v>124.2837075171022</v>
      </c>
      <c r="AG272" t="n">
        <v>129.9054833435836</v>
      </c>
      <c r="AH272" t="n">
        <v>135.1945987615872</v>
      </c>
      <c r="AI272" t="n">
        <v>140.3465365925797</v>
      </c>
    </row>
    <row r="273">
      <c r="A273" t="inlineStr">
        <is>
          <t>no_year_in_pairs</t>
        </is>
      </c>
      <c r="B273" s="2" t="n"/>
      <c r="C273" s="3" t="inlineStr">
        <is>
          <t>SM.19.158, Sup. 2</t>
        </is>
      </c>
      <c r="D273" s="4" t="inlineStr">
        <is>
          <t>Dominica</t>
        </is>
      </c>
      <c r="E273" s="4" t="inlineStr">
        <is>
          <t>DMA</t>
        </is>
      </c>
      <c r="F273" s="4" t="n"/>
      <c r="G273" s="4" t="inlineStr">
        <is>
          <t>2018gn</t>
        </is>
      </c>
      <c r="H273" s="4" t="n">
        <v>2018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no_year_in_pairs</t>
        </is>
      </c>
      <c r="B274" s="2" t="n"/>
      <c r="C274" s="3" t="inlineStr">
        <is>
          <t>SM.19.158, Sup. 2</t>
        </is>
      </c>
      <c r="D274" s="4" t="inlineStr">
        <is>
          <t>Dominica</t>
        </is>
      </c>
      <c r="E274" s="4" t="inlineStr">
        <is>
          <t>DMA</t>
        </is>
      </c>
      <c r="F274" s="4" t="n"/>
      <c r="G274" s="4" t="inlineStr">
        <is>
          <t>2018gn</t>
        </is>
      </c>
      <c r="H274" s="4" t="n">
        <v>2018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no_year_in_pairs</t>
        </is>
      </c>
      <c r="B275" s="2" t="n"/>
      <c r="C275" s="3" t="inlineStr">
        <is>
          <t>SM.19.158, Sup. 2</t>
        </is>
      </c>
      <c r="D275" s="4" t="inlineStr">
        <is>
          <t>Dominica</t>
        </is>
      </c>
      <c r="E275" s="4" t="inlineStr">
        <is>
          <t>DMA</t>
        </is>
      </c>
      <c r="F275" s="4" t="n"/>
      <c r="G275" s="4" t="inlineStr">
        <is>
          <t>2018gn</t>
        </is>
      </c>
      <c r="H275" s="4" t="n">
        <v>2018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-0.300510772168557</v>
      </c>
      <c r="AI275" t="n">
        <v>-0.6051581940566529</v>
      </c>
    </row>
    <row r="276">
      <c r="A276" t="inlineStr">
        <is>
          <t>no_year_in_pairs</t>
        </is>
      </c>
      <c r="B276" s="2" t="n"/>
      <c r="C276" s="3" t="inlineStr">
        <is>
          <t>SM.19.158, Sup. 2</t>
        </is>
      </c>
      <c r="D276" s="4" t="inlineStr">
        <is>
          <t>Dominica</t>
        </is>
      </c>
      <c r="E276" s="4" t="inlineStr">
        <is>
          <t>DMA</t>
        </is>
      </c>
      <c r="F276" s="4" t="n"/>
      <c r="G276" s="4" t="inlineStr">
        <is>
          <t>2018gn</t>
        </is>
      </c>
      <c r="H276" s="4" t="n">
        <v>2018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-0.300510772168557</v>
      </c>
      <c r="AI276" t="n">
        <v>-0.6051581940566529</v>
      </c>
    </row>
    <row r="277">
      <c r="A277" t="inlineStr">
        <is>
          <t>no_year_in_pairs</t>
        </is>
      </c>
      <c r="B277" s="2" t="n"/>
      <c r="C277" s="3" t="inlineStr">
        <is>
          <t>SM.19.158, Sup. 2</t>
        </is>
      </c>
      <c r="D277" s="4" t="inlineStr">
        <is>
          <t>Dominica</t>
        </is>
      </c>
      <c r="E277" s="4" t="inlineStr">
        <is>
          <t>DMA</t>
        </is>
      </c>
      <c r="F277" s="4" t="n"/>
      <c r="G277" s="4" t="inlineStr">
        <is>
          <t>2018gn</t>
        </is>
      </c>
      <c r="H277" s="4" t="n">
        <v>2018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no_year_in_pairs</t>
        </is>
      </c>
      <c r="B278" s="2" t="n"/>
      <c r="C278" s="3" t="inlineStr">
        <is>
          <t>SM.19.158, Sup. 2</t>
        </is>
      </c>
      <c r="D278" s="4" t="inlineStr">
        <is>
          <t>Dominica</t>
        </is>
      </c>
      <c r="E278" s="4" t="inlineStr">
        <is>
          <t>DMA</t>
        </is>
      </c>
      <c r="F278" s="4" t="n"/>
      <c r="G278" s="4" t="inlineStr">
        <is>
          <t>2018gn</t>
        </is>
      </c>
      <c r="H278" s="4" t="n">
        <v>2018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no_year_in_pairs</t>
        </is>
      </c>
      <c r="B279" s="2" t="n"/>
      <c r="C279" s="3" t="inlineStr">
        <is>
          <t>SM.19.158, Sup. 2</t>
        </is>
      </c>
      <c r="D279" s="4" t="inlineStr">
        <is>
          <t>Dominica</t>
        </is>
      </c>
      <c r="E279" s="4" t="inlineStr">
        <is>
          <t>DMA</t>
        </is>
      </c>
      <c r="F279" s="4" t="n"/>
      <c r="G279" s="4" t="inlineStr">
        <is>
          <t>2018gn</t>
        </is>
      </c>
      <c r="H279" s="4" t="n">
        <v>2018</v>
      </c>
      <c r="I279" s="4" t="inlineStr">
        <is>
          <t>pv.new.dbt.blt</t>
        </is>
      </c>
      <c r="J279" t="inlineStr">
        <is>
          <t>Official Bilaterals</t>
        </is>
      </c>
      <c r="O279" t="n">
        <v>15.25930170817459</v>
      </c>
      <c r="P279" t="n">
        <v>21.34361064271349</v>
      </c>
      <c r="Q279" t="n">
        <v>35.4903279331787</v>
      </c>
      <c r="R279" t="n">
        <v>47.03107507637961</v>
      </c>
      <c r="S279" t="n">
        <v>58.23809420430202</v>
      </c>
      <c r="T279" t="n">
        <v>68.84845138732747</v>
      </c>
      <c r="U279" t="n">
        <v>75.83071364968168</v>
      </c>
      <c r="V279" t="n">
        <v>81.13061258543682</v>
      </c>
      <c r="W279" t="n">
        <v>83.71182077532357</v>
      </c>
      <c r="X279" t="n">
        <v>84.09765721891341</v>
      </c>
      <c r="Y279" t="n">
        <v>82.39278185276808</v>
      </c>
      <c r="Z279" t="n">
        <v>82.05739551378269</v>
      </c>
      <c r="AA279" t="n">
        <v>81.0896086093657</v>
      </c>
      <c r="AB279" t="n">
        <v>81.38331674344282</v>
      </c>
      <c r="AC279" t="n">
        <v>80.74210451194561</v>
      </c>
      <c r="AD279" t="n">
        <v>79.32780092509689</v>
      </c>
      <c r="AE279" t="n">
        <v>78.14739825023128</v>
      </c>
      <c r="AF279" t="n">
        <v>77.21766534273686</v>
      </c>
      <c r="AG279" t="n">
        <v>76.42710921513928</v>
      </c>
      <c r="AH279" t="n">
        <v>75.80353252741988</v>
      </c>
      <c r="AI279" t="n">
        <v>75.65958199815879</v>
      </c>
      <c r="BI279" t="inlineStr">
        <is>
          <t>PV_NEW_OB</t>
        </is>
      </c>
    </row>
    <row r="280">
      <c r="A280" t="inlineStr">
        <is>
          <t>no_year_in_pairs</t>
        </is>
      </c>
      <c r="B280" s="2" t="n"/>
      <c r="C280" s="3" t="inlineStr">
        <is>
          <t>SM.19.158, Sup. 2</t>
        </is>
      </c>
      <c r="D280" s="4" t="inlineStr">
        <is>
          <t>Dominica</t>
        </is>
      </c>
      <c r="E280" s="4" t="inlineStr">
        <is>
          <t>DMA</t>
        </is>
      </c>
      <c r="F280" s="4" t="n"/>
      <c r="G280" s="4" t="inlineStr">
        <is>
          <t>2018gn</t>
        </is>
      </c>
      <c r="H280" s="4" t="n">
        <v>2018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no_year_in_pairs</t>
        </is>
      </c>
      <c r="B281" s="2" t="n"/>
      <c r="C281" s="3" t="inlineStr">
        <is>
          <t>SM.19.158, Sup. 2</t>
        </is>
      </c>
      <c r="D281" s="4" t="inlineStr">
        <is>
          <t>Dominica</t>
        </is>
      </c>
      <c r="E281" s="4" t="inlineStr">
        <is>
          <t>DMA</t>
        </is>
      </c>
      <c r="F281" s="4" t="n"/>
      <c r="G281" s="4" t="inlineStr">
        <is>
          <t>2018gn</t>
        </is>
      </c>
      <c r="H281" s="4" t="n">
        <v>2018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no_year_in_pairs</t>
        </is>
      </c>
      <c r="B282" s="2" t="n"/>
      <c r="C282" s="3" t="inlineStr">
        <is>
          <t>SM.19.158, Sup. 2</t>
        </is>
      </c>
      <c r="D282" s="4" t="inlineStr">
        <is>
          <t>Dominica</t>
        </is>
      </c>
      <c r="E282" s="4" t="inlineStr">
        <is>
          <t>DMA</t>
        </is>
      </c>
      <c r="F282" s="4" t="n"/>
      <c r="G282" s="4" t="inlineStr">
        <is>
          <t>2018gn</t>
        </is>
      </c>
      <c r="H282" s="4" t="n">
        <v>2018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no_year_in_pairs</t>
        </is>
      </c>
      <c r="B283" s="2" t="n"/>
      <c r="C283" s="3" t="inlineStr">
        <is>
          <t>SM.19.158, Sup. 2</t>
        </is>
      </c>
      <c r="D283" s="4" t="inlineStr">
        <is>
          <t>Dominica</t>
        </is>
      </c>
      <c r="E283" s="4" t="inlineStr">
        <is>
          <t>DMA</t>
        </is>
      </c>
      <c r="F283" s="4" t="n"/>
      <c r="G283" s="4" t="inlineStr">
        <is>
          <t>2018gn</t>
        </is>
      </c>
      <c r="H283" s="4" t="n">
        <v>2018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no_year_in_pairs</t>
        </is>
      </c>
      <c r="B284" s="2" t="n"/>
      <c r="C284" s="3" t="inlineStr">
        <is>
          <t>SM.19.158, Sup. 2</t>
        </is>
      </c>
      <c r="D284" s="4" t="inlineStr">
        <is>
          <t>Dominica</t>
        </is>
      </c>
      <c r="E284" s="4" t="inlineStr">
        <is>
          <t>DMA</t>
        </is>
      </c>
      <c r="F284" s="4" t="n"/>
      <c r="G284" s="4" t="inlineStr">
        <is>
          <t>2018gn</t>
        </is>
      </c>
      <c r="H284" s="4" t="n">
        <v>2018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no_year_in_pairs</t>
        </is>
      </c>
      <c r="B285" s="2" t="n"/>
      <c r="C285" s="3" t="inlineStr">
        <is>
          <t>SM.19.158, Sup. 2</t>
        </is>
      </c>
      <c r="D285" s="4" t="inlineStr">
        <is>
          <t>Dominica</t>
        </is>
      </c>
      <c r="E285" s="4" t="inlineStr">
        <is>
          <t>DMA</t>
        </is>
      </c>
      <c r="F285" s="4" t="n"/>
      <c r="G285" s="4" t="inlineStr">
        <is>
          <t>2018gn</t>
        </is>
      </c>
      <c r="H285" s="4" t="n">
        <v>2018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no_year_in_pairs</t>
        </is>
      </c>
      <c r="B286" s="2" t="n"/>
      <c r="C286" s="3" t="inlineStr">
        <is>
          <t>SM.19.158, Sup. 2</t>
        </is>
      </c>
      <c r="D286" s="4" t="inlineStr">
        <is>
          <t>Dominica</t>
        </is>
      </c>
      <c r="E286" s="4" t="inlineStr">
        <is>
          <t>DMA</t>
        </is>
      </c>
      <c r="F286" s="4" t="n"/>
      <c r="G286" s="4" t="inlineStr">
        <is>
          <t>2018gn</t>
        </is>
      </c>
      <c r="H286" s="4" t="n">
        <v>2018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15.25930170817459</v>
      </c>
      <c r="P286" t="n">
        <v>21.34361064271349</v>
      </c>
      <c r="Q286" t="n">
        <v>35.4903279331787</v>
      </c>
      <c r="R286" t="n">
        <v>47.03107507637961</v>
      </c>
      <c r="S286" t="n">
        <v>58.23809420430202</v>
      </c>
      <c r="T286" t="n">
        <v>68.84845138732747</v>
      </c>
      <c r="U286" t="n">
        <v>75.83071364968168</v>
      </c>
      <c r="V286" t="n">
        <v>81.13061258543682</v>
      </c>
      <c r="W286" t="n">
        <v>83.71182077532357</v>
      </c>
      <c r="X286" t="n">
        <v>84.09765721891341</v>
      </c>
      <c r="Y286" t="n">
        <v>82.39278185276808</v>
      </c>
      <c r="Z286" t="n">
        <v>82.05739551378269</v>
      </c>
      <c r="AA286" t="n">
        <v>81.0896086093657</v>
      </c>
      <c r="AB286" t="n">
        <v>81.38331674344282</v>
      </c>
      <c r="AC286" t="n">
        <v>80.74210451194561</v>
      </c>
      <c r="AD286" t="n">
        <v>79.32780092509689</v>
      </c>
      <c r="AE286" t="n">
        <v>78.14739825023128</v>
      </c>
      <c r="AF286" t="n">
        <v>77.21766534273686</v>
      </c>
      <c r="AG286" t="n">
        <v>76.42710921513928</v>
      </c>
      <c r="AH286" t="n">
        <v>75.80353252741988</v>
      </c>
      <c r="AI286" t="n">
        <v>75.65958199815879</v>
      </c>
    </row>
    <row r="287">
      <c r="A287" t="inlineStr">
        <is>
          <t>no_year_in_pairs</t>
        </is>
      </c>
      <c r="B287" s="2" t="n"/>
      <c r="C287" s="3" t="inlineStr">
        <is>
          <t>SM.19.158, Sup. 2</t>
        </is>
      </c>
      <c r="D287" s="4" t="inlineStr">
        <is>
          <t>Dominica</t>
        </is>
      </c>
      <c r="E287" s="4" t="inlineStr">
        <is>
          <t>DMA</t>
        </is>
      </c>
      <c r="F287" s="4" t="n"/>
      <c r="G287" s="4" t="inlineStr">
        <is>
          <t>2018gn</t>
        </is>
      </c>
      <c r="H287" s="4" t="n">
        <v>2018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15.25930170817459</v>
      </c>
      <c r="P287" t="n">
        <v>21.34361064271349</v>
      </c>
      <c r="Q287" t="n">
        <v>35.4903279331787</v>
      </c>
      <c r="R287" t="n">
        <v>47.03107507637961</v>
      </c>
      <c r="S287" t="n">
        <v>58.23809420430202</v>
      </c>
      <c r="T287" t="n">
        <v>68.84845138732747</v>
      </c>
      <c r="U287" t="n">
        <v>75.83071364968168</v>
      </c>
      <c r="V287" t="n">
        <v>81.13061258543682</v>
      </c>
      <c r="W287" t="n">
        <v>83.71182077532357</v>
      </c>
      <c r="X287" t="n">
        <v>84.09765721891341</v>
      </c>
      <c r="Y287" t="n">
        <v>82.39278185276808</v>
      </c>
      <c r="Z287" t="n">
        <v>82.05739551378269</v>
      </c>
      <c r="AA287" t="n">
        <v>81.0896086093657</v>
      </c>
      <c r="AB287" t="n">
        <v>81.38331674344282</v>
      </c>
      <c r="AC287" t="n">
        <v>80.74210451194561</v>
      </c>
      <c r="AD287" t="n">
        <v>79.32780092509689</v>
      </c>
      <c r="AE287" t="n">
        <v>78.14739825023128</v>
      </c>
      <c r="AF287" t="n">
        <v>77.21766534273686</v>
      </c>
      <c r="AG287" t="n">
        <v>76.42710921513928</v>
      </c>
      <c r="AH287" t="n">
        <v>75.80353252741988</v>
      </c>
      <c r="AI287" t="n">
        <v>75.65958199815879</v>
      </c>
    </row>
    <row r="288">
      <c r="A288" t="inlineStr">
        <is>
          <t>no_year_in_pairs</t>
        </is>
      </c>
      <c r="B288" s="2" t="n"/>
      <c r="C288" s="3" t="inlineStr">
        <is>
          <t>SM.19.158, Sup. 2</t>
        </is>
      </c>
      <c r="D288" s="4" t="inlineStr">
        <is>
          <t>Dominica</t>
        </is>
      </c>
      <c r="E288" s="4" t="inlineStr">
        <is>
          <t>DMA</t>
        </is>
      </c>
      <c r="F288" s="4" t="n"/>
      <c r="G288" s="4" t="inlineStr">
        <is>
          <t>2018gn</t>
        </is>
      </c>
      <c r="H288" s="4" t="n">
        <v>2018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no_year_in_pairs</t>
        </is>
      </c>
      <c r="B289" s="2" t="n"/>
      <c r="C289" s="3" t="inlineStr">
        <is>
          <t>SM.19.158, Sup. 2</t>
        </is>
      </c>
      <c r="D289" s="4" t="inlineStr">
        <is>
          <t>Dominica</t>
        </is>
      </c>
      <c r="E289" s="4" t="inlineStr">
        <is>
          <t>DMA</t>
        </is>
      </c>
      <c r="F289" s="4" t="n"/>
      <c r="G289" s="4" t="inlineStr">
        <is>
          <t>2018gn</t>
        </is>
      </c>
      <c r="H289" s="4" t="n">
        <v>2018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no_year_in_pairs</t>
        </is>
      </c>
      <c r="B290" s="2" t="n"/>
      <c r="C290" s="3" t="inlineStr">
        <is>
          <t>SM.19.158, Sup. 2</t>
        </is>
      </c>
      <c r="D290" s="4" t="inlineStr">
        <is>
          <t>Dominica</t>
        </is>
      </c>
      <c r="E290" s="4" t="inlineStr">
        <is>
          <t>DMA</t>
        </is>
      </c>
      <c r="F290" s="4" t="n"/>
      <c r="G290" s="4" t="inlineStr">
        <is>
          <t>2018gn</t>
        </is>
      </c>
      <c r="H290" s="4" t="n">
        <v>2018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no_year_in_pairs</t>
        </is>
      </c>
      <c r="B291" s="2" t="n"/>
      <c r="C291" s="3" t="inlineStr">
        <is>
          <t>SM.19.158, Sup. 2</t>
        </is>
      </c>
      <c r="D291" s="4" t="inlineStr">
        <is>
          <t>Dominica</t>
        </is>
      </c>
      <c r="E291" s="4" t="inlineStr">
        <is>
          <t>DMA</t>
        </is>
      </c>
      <c r="F291" s="4" t="n"/>
      <c r="G291" s="4" t="inlineStr">
        <is>
          <t>2018gn</t>
        </is>
      </c>
      <c r="H291" s="4" t="n">
        <v>2018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no_year_in_pairs</t>
        </is>
      </c>
      <c r="B292" s="2" t="n"/>
      <c r="C292" s="3" t="inlineStr">
        <is>
          <t>SM.19.158, Sup. 2</t>
        </is>
      </c>
      <c r="D292" s="4" t="inlineStr">
        <is>
          <t>Dominica</t>
        </is>
      </c>
      <c r="E292" s="4" t="inlineStr">
        <is>
          <t>DMA</t>
        </is>
      </c>
      <c r="F292" s="4" t="n"/>
      <c r="G292" s="4" t="inlineStr">
        <is>
          <t>2018gn</t>
        </is>
      </c>
      <c r="H292" s="4" t="n">
        <v>2018</v>
      </c>
      <c r="I292" s="4" t="inlineStr">
        <is>
          <t>pv.new.dbt.prvt</t>
        </is>
      </c>
      <c r="J292" t="inlineStr">
        <is>
          <t>Commercial</t>
        </is>
      </c>
      <c r="O292" t="n">
        <v>19.36898183242197</v>
      </c>
      <c r="P292" t="n">
        <v>30.45197954732266</v>
      </c>
      <c r="Q292" t="n">
        <v>52.32624976874712</v>
      </c>
      <c r="R292" t="n">
        <v>64.72967121421313</v>
      </c>
      <c r="S292" t="n">
        <v>76.7726597450669</v>
      </c>
      <c r="T292" t="n">
        <v>88.96077342377859</v>
      </c>
      <c r="U292" t="n">
        <v>99.71022471065372</v>
      </c>
      <c r="V292" t="n">
        <v>111.9347102789289</v>
      </c>
      <c r="W292" t="n">
        <v>124.7548383551074</v>
      </c>
      <c r="X292" t="n">
        <v>139.1626072519894</v>
      </c>
      <c r="Y292" t="n">
        <v>155.410664205389</v>
      </c>
      <c r="Z292" t="n">
        <v>170.3039461733494</v>
      </c>
      <c r="AA292" t="n">
        <v>186.2659168731759</v>
      </c>
      <c r="AB292" t="n">
        <v>201.244847148364</v>
      </c>
      <c r="AC292" t="n">
        <v>214.8471916184121</v>
      </c>
      <c r="AD292" t="n">
        <v>186.0337810229609</v>
      </c>
      <c r="AE292" t="n">
        <v>199.7282593654527</v>
      </c>
      <c r="AF292" t="n">
        <v>213.6972249301149</v>
      </c>
      <c r="AG292" t="n">
        <v>227.9575461346213</v>
      </c>
      <c r="AH292" t="n">
        <v>244.2332199842302</v>
      </c>
      <c r="AI292" t="n">
        <v>259.6071642931985</v>
      </c>
      <c r="BI292" t="inlineStr">
        <is>
          <t>PV_NEW_COM</t>
        </is>
      </c>
    </row>
    <row r="293">
      <c r="A293" t="inlineStr">
        <is>
          <t>no_year_in_pairs</t>
        </is>
      </c>
      <c r="B293" s="2" t="n"/>
      <c r="C293" s="3" t="inlineStr">
        <is>
          <t>SM.19.158, Sup. 2</t>
        </is>
      </c>
      <c r="D293" s="4" t="inlineStr">
        <is>
          <t>Dominica</t>
        </is>
      </c>
      <c r="E293" s="4" t="inlineStr">
        <is>
          <t>DMA</t>
        </is>
      </c>
      <c r="F293" s="4" t="n"/>
      <c r="G293" s="4" t="inlineStr">
        <is>
          <t>2018gn</t>
        </is>
      </c>
      <c r="H293" s="4" t="n">
        <v>2018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no_year_in_pairs</t>
        </is>
      </c>
      <c r="B294" s="2" t="n"/>
      <c r="C294" s="3" t="inlineStr">
        <is>
          <t>SM.19.158, Sup. 2</t>
        </is>
      </c>
      <c r="D294" s="4" t="inlineStr">
        <is>
          <t>Dominica</t>
        </is>
      </c>
      <c r="E294" s="4" t="inlineStr">
        <is>
          <t>DMA</t>
        </is>
      </c>
      <c r="F294" s="4" t="n"/>
      <c r="G294" s="4" t="inlineStr">
        <is>
          <t>2018gn</t>
        </is>
      </c>
      <c r="H294" s="4" t="n">
        <v>2018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4.92129497174923</v>
      </c>
      <c r="P294" t="n">
        <v>5.39369832036962</v>
      </c>
      <c r="Q294" t="n">
        <v>16.1768801934768</v>
      </c>
      <c r="R294" t="n">
        <v>7.68734814750119</v>
      </c>
      <c r="S294" t="n">
        <v>8.771253231015116</v>
      </c>
      <c r="T294" t="n">
        <v>10.06295270402109</v>
      </c>
      <c r="U294" t="n">
        <v>9.074081048882892</v>
      </c>
      <c r="V294" t="n">
        <v>10.52674979073489</v>
      </c>
      <c r="W294" t="n">
        <v>9.480768879775463</v>
      </c>
      <c r="X294" t="n">
        <v>9.399635747498454</v>
      </c>
      <c r="Y294" t="n">
        <v>9.9220059733944</v>
      </c>
      <c r="Z294" t="n">
        <v>10.49473956191899</v>
      </c>
      <c r="AA294" t="n">
        <v>11.11076867238099</v>
      </c>
      <c r="AB294" t="n">
        <v>11.52041366005539</v>
      </c>
      <c r="AC294" t="n">
        <v>10.82333447989039</v>
      </c>
      <c r="AD294" t="n">
        <v>10.63913340689629</v>
      </c>
      <c r="AE294" t="n">
        <v>11.1214189840094</v>
      </c>
      <c r="AF294" t="n">
        <v>11.52970501148479</v>
      </c>
      <c r="AG294" t="n">
        <v>11.9647303692724</v>
      </c>
      <c r="AH294" t="n">
        <v>12.41344800636341</v>
      </c>
      <c r="AI294" t="n">
        <v>12.8782317370096</v>
      </c>
    </row>
    <row r="295">
      <c r="A295" t="inlineStr">
        <is>
          <t>no_year_in_pairs</t>
        </is>
      </c>
      <c r="B295" s="2" t="n"/>
      <c r="C295" s="3" t="inlineStr">
        <is>
          <t>SM.19.158, Sup. 2</t>
        </is>
      </c>
      <c r="D295" s="4" t="inlineStr">
        <is>
          <t>Dominica</t>
        </is>
      </c>
      <c r="E295" s="4" t="inlineStr">
        <is>
          <t>DMA</t>
        </is>
      </c>
      <c r="F295" s="4" t="n"/>
      <c r="G295" s="4" t="inlineStr">
        <is>
          <t>2018gn</t>
        </is>
      </c>
      <c r="H295" s="4" t="n">
        <v>2018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14.44768686067273</v>
      </c>
      <c r="P295" t="n">
        <v>25.05828122695304</v>
      </c>
      <c r="Q295" t="n">
        <v>36.14936957527031</v>
      </c>
      <c r="R295" t="n">
        <v>57.04232306671194</v>
      </c>
      <c r="S295" t="n">
        <v>68.00140651405178</v>
      </c>
      <c r="T295" t="n">
        <v>78.89782071975749</v>
      </c>
      <c r="U295" t="n">
        <v>90.63614366177083</v>
      </c>
      <c r="V295" t="n">
        <v>101.407960488194</v>
      </c>
      <c r="W295" t="n">
        <v>115.2740694753319</v>
      </c>
      <c r="X295" t="n">
        <v>129.7629715044909</v>
      </c>
      <c r="Y295" t="n">
        <v>145.4886582319946</v>
      </c>
      <c r="Z295" t="n">
        <v>159.8092066114304</v>
      </c>
      <c r="AA295" t="n">
        <v>175.1551482007949</v>
      </c>
      <c r="AB295" t="n">
        <v>189.7244334883086</v>
      </c>
      <c r="AC295" t="n">
        <v>204.0238571385217</v>
      </c>
      <c r="AD295" t="n">
        <v>175.3946476160646</v>
      </c>
      <c r="AE295" t="n">
        <v>188.6068403814433</v>
      </c>
      <c r="AF295" t="n">
        <v>202.1675199186301</v>
      </c>
      <c r="AG295" t="n">
        <v>215.992815765349</v>
      </c>
      <c r="AH295" t="n">
        <v>231.8197719778668</v>
      </c>
      <c r="AI295" t="n">
        <v>246.7289325561889</v>
      </c>
    </row>
    <row r="296">
      <c r="A296" t="inlineStr">
        <is>
          <t>no_year_in_pairs</t>
        </is>
      </c>
      <c r="B296" s="2" t="n"/>
      <c r="C296" s="3" t="inlineStr">
        <is>
          <t>SM.19.158, Sup. 2</t>
        </is>
      </c>
      <c r="D296" s="4" t="inlineStr">
        <is>
          <t>Dominica</t>
        </is>
      </c>
      <c r="E296" s="4" t="inlineStr">
        <is>
          <t>DMA</t>
        </is>
      </c>
      <c r="F296" s="4" t="n"/>
      <c r="G296" s="4" t="inlineStr">
        <is>
          <t>2018gn</t>
        </is>
      </c>
      <c r="H296" s="4" t="n">
        <v>2018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no_year_in_pairs</t>
        </is>
      </c>
      <c r="B297" s="2" t="n"/>
      <c r="C297" s="3" t="inlineStr">
        <is>
          <t>SM.19.158, Sup. 2</t>
        </is>
      </c>
      <c r="D297" s="4" t="inlineStr">
        <is>
          <t>Dominica</t>
        </is>
      </c>
      <c r="E297" s="4" t="inlineStr">
        <is>
          <t>DMA</t>
        </is>
      </c>
      <c r="F297" s="4" t="n"/>
      <c r="G297" s="4" t="inlineStr">
        <is>
          <t>2018gn</t>
        </is>
      </c>
      <c r="H297" s="4" t="n">
        <v>2018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no_year_in_pairs</t>
        </is>
      </c>
      <c r="B298" s="2" t="n"/>
      <c r="C298" s="3" t="inlineStr">
        <is>
          <t>SM.19.158, Sup. 2</t>
        </is>
      </c>
      <c r="D298" s="4" t="inlineStr">
        <is>
          <t>Dominica</t>
        </is>
      </c>
      <c r="E298" s="4" t="inlineStr">
        <is>
          <t>DMA</t>
        </is>
      </c>
      <c r="F298" s="4" t="n"/>
      <c r="G298" s="4" t="inlineStr">
        <is>
          <t>2018gn</t>
        </is>
      </c>
      <c r="H298" s="4" t="n">
        <v>2018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no_year_in_pairs</t>
        </is>
      </c>
      <c r="B299" s="2" t="n"/>
      <c r="C299" s="3" t="inlineStr">
        <is>
          <t>SM.19.158, Sup. 2</t>
        </is>
      </c>
      <c r="D299" s="4" t="inlineStr">
        <is>
          <t>Dominica</t>
        </is>
      </c>
      <c r="E299" s="4" t="inlineStr">
        <is>
          <t>DMA</t>
        </is>
      </c>
      <c r="F299" s="4" t="n"/>
      <c r="G299" s="4" t="inlineStr">
        <is>
          <t>2018gn</t>
        </is>
      </c>
      <c r="H299" s="4" t="n">
        <v>2018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no_year_in_pairs</t>
        </is>
      </c>
      <c r="B300" s="2" t="n"/>
      <c r="C300" s="3" t="inlineStr">
        <is>
          <t>SM.19.158, Sup. 2</t>
        </is>
      </c>
      <c r="D300" s="4" t="inlineStr">
        <is>
          <t>Dominica</t>
        </is>
      </c>
      <c r="E300" s="4" t="inlineStr">
        <is>
          <t>DMA</t>
        </is>
      </c>
      <c r="F300" s="4" t="n"/>
      <c r="G300" s="4" t="inlineStr">
        <is>
          <t>2018gn</t>
        </is>
      </c>
      <c r="H300" s="4" t="n">
        <v>2018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no_year_in_pairs</t>
        </is>
      </c>
      <c r="B301" s="2" t="n"/>
      <c r="C301" s="3" t="inlineStr">
        <is>
          <t>SM.19.158, Sup. 2</t>
        </is>
      </c>
      <c r="D301" s="4" t="inlineStr">
        <is>
          <t>Dominica</t>
        </is>
      </c>
      <c r="E301" s="4" t="inlineStr">
        <is>
          <t>DMA</t>
        </is>
      </c>
      <c r="F301" s="4" t="n"/>
      <c r="G301" s="4" t="inlineStr">
        <is>
          <t>2018gn</t>
        </is>
      </c>
      <c r="H301" s="4" t="n">
        <v>2018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no_year_in_pairs</t>
        </is>
      </c>
      <c r="B302" s="2" t="n"/>
      <c r="C302" s="3" t="inlineStr">
        <is>
          <t>SM.19.158, Sup. 2</t>
        </is>
      </c>
      <c r="D302" s="4" t="inlineStr">
        <is>
          <t>Dominica</t>
        </is>
      </c>
      <c r="E302" s="4" t="inlineStr">
        <is>
          <t>DMA</t>
        </is>
      </c>
      <c r="F302" s="4" t="n"/>
      <c r="G302" s="4" t="inlineStr">
        <is>
          <t>2018gn</t>
        </is>
      </c>
      <c r="H302" s="4" t="n">
        <v>2018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no_year_in_pairs</t>
        </is>
      </c>
      <c r="B303" s="2" t="n"/>
      <c r="C303" s="3" t="inlineStr">
        <is>
          <t>SM.19.158, Sup. 2</t>
        </is>
      </c>
      <c r="D303" s="4" t="inlineStr">
        <is>
          <t>Dominica</t>
        </is>
      </c>
      <c r="E303" s="4" t="inlineStr">
        <is>
          <t>DMA</t>
        </is>
      </c>
      <c r="F303" s="4" t="n"/>
      <c r="G303" s="4" t="inlineStr">
        <is>
          <t>2018gn</t>
        </is>
      </c>
      <c r="H303" s="4" t="n">
        <v>2018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no_year_in_pairs</t>
        </is>
      </c>
      <c r="B304" s="2" t="n"/>
      <c r="C304" s="3" t="inlineStr">
        <is>
          <t>SM.19.158, Sup. 2</t>
        </is>
      </c>
      <c r="D304" s="4" t="inlineStr">
        <is>
          <t>Dominica</t>
        </is>
      </c>
      <c r="E304" s="4" t="inlineStr">
        <is>
          <t>DMA</t>
        </is>
      </c>
      <c r="F304" s="4" t="n"/>
      <c r="G304" s="4" t="inlineStr">
        <is>
          <t>2018gn</t>
        </is>
      </c>
      <c r="H304" s="4" t="n">
        <v>2018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no_year_in_pairs</t>
        </is>
      </c>
      <c r="B305" s="2" t="n"/>
      <c r="C305" s="3" t="inlineStr">
        <is>
          <t>SM.19.158, Sup. 2</t>
        </is>
      </c>
      <c r="D305" s="4" t="inlineStr">
        <is>
          <t>Dominica</t>
        </is>
      </c>
      <c r="E305" s="4" t="inlineStr">
        <is>
          <t>DMA</t>
        </is>
      </c>
      <c r="F305" s="4" t="n"/>
      <c r="G305" s="4" t="inlineStr">
        <is>
          <t>2018gn</t>
        </is>
      </c>
      <c r="H305" s="4" t="n">
        <v>2018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no_year_in_pairs</t>
        </is>
      </c>
      <c r="B306" s="2" t="n"/>
      <c r="C306" s="3" t="inlineStr">
        <is>
          <t>SM.19.158, Sup. 2</t>
        </is>
      </c>
      <c r="D306" s="4" t="inlineStr">
        <is>
          <t>Dominica</t>
        </is>
      </c>
      <c r="E306" s="4" t="inlineStr">
        <is>
          <t>DMA</t>
        </is>
      </c>
      <c r="F306" s="4" t="n"/>
      <c r="G306" s="4" t="inlineStr">
        <is>
          <t>2018gn</t>
        </is>
      </c>
      <c r="H306" s="4" t="n">
        <v>2018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no_year_in_pairs</t>
        </is>
      </c>
      <c r="B307" s="2" t="n"/>
      <c r="C307" s="3" t="inlineStr">
        <is>
          <t>SM.19.158, Sup. 2</t>
        </is>
      </c>
      <c r="D307" s="4" t="inlineStr">
        <is>
          <t>Dominica</t>
        </is>
      </c>
      <c r="E307" s="4" t="inlineStr">
        <is>
          <t>DMA</t>
        </is>
      </c>
      <c r="F307" s="4" t="n"/>
      <c r="G307" s="4" t="inlineStr">
        <is>
          <t>2018gn</t>
        </is>
      </c>
      <c r="H307" s="4" t="n">
        <v>2018</v>
      </c>
      <c r="I307" s="5" t="n"/>
      <c r="J307" t="inlineStr">
        <is>
          <t>Locally-issued debt held by residents</t>
        </is>
      </c>
    </row>
    <row r="308">
      <c r="A308" t="inlineStr">
        <is>
          <t>no_year_in_pairs</t>
        </is>
      </c>
      <c r="B308" s="2" t="n"/>
      <c r="C308" s="3" t="inlineStr">
        <is>
          <t>SM.19.158, Sup. 2</t>
        </is>
      </c>
      <c r="D308" s="4" t="inlineStr">
        <is>
          <t>Dominica</t>
        </is>
      </c>
      <c r="E308" s="4" t="inlineStr">
        <is>
          <t>DMA</t>
        </is>
      </c>
      <c r="F308" s="4" t="n"/>
      <c r="G308" s="4" t="inlineStr">
        <is>
          <t>2018gn</t>
        </is>
      </c>
      <c r="H308" s="4" t="n">
        <v>2018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no_year_in_pairs</t>
        </is>
      </c>
      <c r="B309" s="2" t="n"/>
      <c r="C309" s="3" t="inlineStr">
        <is>
          <t>SM.19.158, Sup. 2</t>
        </is>
      </c>
      <c r="D309" s="4" t="inlineStr">
        <is>
          <t>Dominica</t>
        </is>
      </c>
      <c r="E309" s="4" t="inlineStr">
        <is>
          <t>DMA</t>
        </is>
      </c>
      <c r="F309" s="4" t="n"/>
      <c r="G309" s="4" t="inlineStr">
        <is>
          <t>2018gn</t>
        </is>
      </c>
      <c r="H309" s="4" t="n">
        <v>2018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no_year_in_pairs</t>
        </is>
      </c>
      <c r="B310" s="2" t="n"/>
      <c r="C310" s="3" t="inlineStr">
        <is>
          <t>SM.19.158, Sup. 2</t>
        </is>
      </c>
      <c r="D310" s="4" t="inlineStr">
        <is>
          <t>Dominica</t>
        </is>
      </c>
      <c r="E310" s="4" t="inlineStr">
        <is>
          <t>DMA</t>
        </is>
      </c>
      <c r="F310" s="4" t="n"/>
      <c r="G310" s="4" t="inlineStr">
        <is>
          <t>2018gn</t>
        </is>
      </c>
      <c r="H310" s="4" t="n">
        <v>2018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no_year_in_pairs</t>
        </is>
      </c>
      <c r="B311" s="2" t="n"/>
      <c r="C311" s="3" t="inlineStr">
        <is>
          <t>SM.19.158, Sup. 2</t>
        </is>
      </c>
      <c r="D311" s="4" t="inlineStr">
        <is>
          <t>Dominica</t>
        </is>
      </c>
      <c r="E311" s="4" t="inlineStr">
        <is>
          <t>DMA</t>
        </is>
      </c>
      <c r="F311" s="4" t="n"/>
      <c r="G311" s="4" t="inlineStr">
        <is>
          <t>2018gn</t>
        </is>
      </c>
      <c r="H311" s="4" t="n">
        <v>2018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no_year_in_pairs</t>
        </is>
      </c>
      <c r="B312" s="2" t="n"/>
      <c r="C312" s="3" t="inlineStr">
        <is>
          <t>SM.19.158, Sup. 2</t>
        </is>
      </c>
      <c r="D312" s="4" t="inlineStr">
        <is>
          <t>Dominica</t>
        </is>
      </c>
      <c r="E312" s="4" t="inlineStr">
        <is>
          <t>DMA</t>
        </is>
      </c>
      <c r="F312" s="4" t="n"/>
      <c r="G312" s="4" t="inlineStr">
        <is>
          <t>2018gn</t>
        </is>
      </c>
      <c r="H312" s="4" t="n">
        <v>2018</v>
      </c>
      <c r="I312" s="5" t="n"/>
    </row>
    <row r="313">
      <c r="A313" t="inlineStr">
        <is>
          <t>no_year_in_pairs</t>
        </is>
      </c>
      <c r="B313" s="2" t="n"/>
      <c r="C313" s="3" t="inlineStr">
        <is>
          <t>SM.19.158, Sup. 2</t>
        </is>
      </c>
      <c r="D313" s="4" t="inlineStr">
        <is>
          <t>Dominica</t>
        </is>
      </c>
      <c r="E313" s="4" t="inlineStr">
        <is>
          <t>DMA</t>
        </is>
      </c>
      <c r="F313" s="4" t="n"/>
      <c r="G313" s="4" t="inlineStr">
        <is>
          <t>2018gn</t>
        </is>
      </c>
      <c r="H313" s="4" t="n">
        <v>2018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51.25741818489396</v>
      </c>
      <c r="P313" t="n">
        <v>101.8840870126913</v>
      </c>
      <c r="Q313" t="n">
        <v>171.1419925075943</v>
      </c>
      <c r="R313" t="n">
        <v>228.8579150087962</v>
      </c>
      <c r="S313" t="n">
        <v>271.6823487178133</v>
      </c>
      <c r="T313" t="n">
        <v>316.3477425875292</v>
      </c>
      <c r="U313" t="n">
        <v>355.6626158014853</v>
      </c>
      <c r="V313" t="n">
        <v>394.5444291778226</v>
      </c>
      <c r="W313" t="n">
        <v>431.2550308138137</v>
      </c>
      <c r="X313" t="n">
        <v>467.3215358692039</v>
      </c>
      <c r="Y313" t="n">
        <v>503.6161986432034</v>
      </c>
      <c r="Z313" t="n">
        <v>540.1944926327035</v>
      </c>
      <c r="AA313" t="n">
        <v>577.119542330302</v>
      </c>
      <c r="AB313" t="n">
        <v>614.2620266448413</v>
      </c>
      <c r="AC313" t="n">
        <v>648.8655099017622</v>
      </c>
      <c r="AD313" t="n">
        <v>640.2791189438587</v>
      </c>
      <c r="AE313" t="n">
        <v>674.5727506572705</v>
      </c>
      <c r="AF313" t="n">
        <v>709.5470215377593</v>
      </c>
      <c r="AG313" t="n">
        <v>745.1120493098408</v>
      </c>
      <c r="AH313" t="n">
        <v>781.9131403807612</v>
      </c>
      <c r="AI313" t="n">
        <v>818.4565801112285</v>
      </c>
      <c r="BI313" t="inlineStr">
        <is>
          <t>NOM_NEW_MLT</t>
        </is>
      </c>
    </row>
    <row r="314">
      <c r="A314" t="inlineStr">
        <is>
          <t>no_year_in_pairs</t>
        </is>
      </c>
      <c r="B314" s="2" t="n"/>
      <c r="C314" s="3" t="inlineStr">
        <is>
          <t>SM.19.158, Sup. 2</t>
        </is>
      </c>
      <c r="D314" s="4" t="inlineStr">
        <is>
          <t>Dominica</t>
        </is>
      </c>
      <c r="E314" s="4" t="inlineStr">
        <is>
          <t>DMA</t>
        </is>
      </c>
      <c r="F314" s="4" t="n"/>
      <c r="G314" s="4" t="inlineStr">
        <is>
          <t>2018gn</t>
        </is>
      </c>
      <c r="H314" s="4" t="n">
        <v>2018</v>
      </c>
      <c r="I314" s="4" t="inlineStr">
        <is>
          <t>nom.val.dbt.mlt</t>
        </is>
      </c>
      <c r="J314" t="inlineStr">
        <is>
          <t>Multilaterals</t>
        </is>
      </c>
      <c r="O314" t="n">
        <v>15</v>
      </c>
      <c r="P314" t="n">
        <v>48</v>
      </c>
      <c r="Q314" t="n">
        <v>80</v>
      </c>
      <c r="R314" t="n">
        <v>113</v>
      </c>
      <c r="S314" t="n">
        <v>132</v>
      </c>
      <c r="T314" t="n">
        <v>153.52</v>
      </c>
      <c r="U314" t="n">
        <v>174.9456796871657</v>
      </c>
      <c r="V314" t="n">
        <v>196.2953339136595</v>
      </c>
      <c r="W314" t="n">
        <v>217.6462843175917</v>
      </c>
      <c r="X314" t="n">
        <v>238.9768160703851</v>
      </c>
      <c r="Y314" t="n">
        <v>260.7662132931346</v>
      </c>
      <c r="Z314" t="n">
        <v>282.7781278062999</v>
      </c>
      <c r="AA314" t="n">
        <v>304.6772801710746</v>
      </c>
      <c r="AB314" t="n">
        <v>326.4785170252509</v>
      </c>
      <c r="AC314" t="n">
        <v>348.1972077789108</v>
      </c>
      <c r="AD314" t="n">
        <v>370.0159330579997</v>
      </c>
      <c r="AE314" t="n">
        <v>391.933834061144</v>
      </c>
      <c r="AF314" t="n">
        <v>413.9544442002561</v>
      </c>
      <c r="AG314" t="n">
        <v>436.0813891277202</v>
      </c>
      <c r="AH314" t="n">
        <v>457.5776817220392</v>
      </c>
      <c r="AI314" t="n">
        <v>479.1879488736698</v>
      </c>
      <c r="BI314" t="inlineStr">
        <is>
          <t>NOM_NEW_ML</t>
        </is>
      </c>
    </row>
    <row r="315">
      <c r="A315" t="inlineStr">
        <is>
          <t>no_year_in_pairs</t>
        </is>
      </c>
      <c r="B315" s="2" t="n"/>
      <c r="C315" s="3" t="inlineStr">
        <is>
          <t>SM.19.158, Sup. 2</t>
        </is>
      </c>
      <c r="D315" s="4" t="inlineStr">
        <is>
          <t>Dominica</t>
        </is>
      </c>
      <c r="E315" s="4" t="inlineStr">
        <is>
          <t>DMA</t>
        </is>
      </c>
      <c r="F315" s="4" t="n"/>
      <c r="G315" s="4" t="inlineStr">
        <is>
          <t>2018gn</t>
        </is>
      </c>
      <c r="H315" s="4" t="n">
        <v>2018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no_year_in_pairs</t>
        </is>
      </c>
      <c r="B316" s="2" t="n"/>
      <c r="C316" s="3" t="inlineStr">
        <is>
          <t>SM.19.158, Sup. 2</t>
        </is>
      </c>
      <c r="D316" s="4" t="inlineStr">
        <is>
          <t>Dominica</t>
        </is>
      </c>
      <c r="E316" s="4" t="inlineStr">
        <is>
          <t>DMA</t>
        </is>
      </c>
      <c r="F316" s="4" t="n"/>
      <c r="G316" s="4" t="inlineStr">
        <is>
          <t>2018gn</t>
        </is>
      </c>
      <c r="H316" s="4" t="n">
        <v>2018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5</v>
      </c>
      <c r="P316" t="n">
        <v>21</v>
      </c>
      <c r="Q316" t="n">
        <v>37</v>
      </c>
      <c r="R316" t="n">
        <v>53</v>
      </c>
      <c r="S316" t="n">
        <v>64</v>
      </c>
      <c r="T316" t="n">
        <v>75.52</v>
      </c>
      <c r="U316" t="n">
        <v>87.44567968716569</v>
      </c>
      <c r="V316" t="n">
        <v>99.7923348046827</v>
      </c>
      <c r="W316" t="n">
        <v>112.5748259684717</v>
      </c>
      <c r="X316" t="n">
        <v>125.8085378735158</v>
      </c>
      <c r="Y316" t="n">
        <v>139.5093985573072</v>
      </c>
      <c r="Z316" t="n">
        <v>153.5272319966269</v>
      </c>
      <c r="AA316" t="n">
        <v>167.5124434710862</v>
      </c>
      <c r="AB316" t="n">
        <v>181.4827083260996</v>
      </c>
      <c r="AC316" t="n">
        <v>195.4563251362372</v>
      </c>
      <c r="AD316" t="n">
        <v>209.6189061679129</v>
      </c>
      <c r="AE316" t="n">
        <v>223.9727318186632</v>
      </c>
      <c r="AF316" t="n">
        <v>238.5245855264248</v>
      </c>
      <c r="AG316" t="n">
        <v>253.2814576747098</v>
      </c>
      <c r="AH316" t="n">
        <v>267.8802150295963</v>
      </c>
      <c r="AI316" t="n">
        <v>282.6987205778548</v>
      </c>
    </row>
    <row r="317">
      <c r="A317" t="inlineStr">
        <is>
          <t>no_year_in_pairs</t>
        </is>
      </c>
      <c r="B317" s="2" t="n"/>
      <c r="C317" s="3" t="inlineStr">
        <is>
          <t>SM.19.158, Sup. 2</t>
        </is>
      </c>
      <c r="D317" s="4" t="inlineStr">
        <is>
          <t>Dominica</t>
        </is>
      </c>
      <c r="E317" s="4" t="inlineStr">
        <is>
          <t>DMA</t>
        </is>
      </c>
      <c r="F317" s="4" t="n"/>
      <c r="G317" s="4" t="inlineStr">
        <is>
          <t>2018gn</t>
        </is>
      </c>
      <c r="H317" s="4" t="n">
        <v>2018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no_year_in_pairs</t>
        </is>
      </c>
      <c r="B318" s="2" t="n"/>
      <c r="C318" s="3" t="inlineStr">
        <is>
          <t>SM.19.158, Sup. 2</t>
        </is>
      </c>
      <c r="D318" s="4" t="inlineStr">
        <is>
          <t>Dominica</t>
        </is>
      </c>
      <c r="E318" s="4" t="inlineStr">
        <is>
          <t>DMA</t>
        </is>
      </c>
      <c r="F318" s="4" t="n"/>
      <c r="G318" s="4" t="inlineStr">
        <is>
          <t>2018gn</t>
        </is>
      </c>
      <c r="H318" s="4" t="n">
        <v>2018</v>
      </c>
      <c r="I318" s="4" t="inlineStr">
        <is>
          <t>nom.val.dbt.mlt.afdb</t>
        </is>
      </c>
      <c r="J318" t="inlineStr">
        <is>
          <t>CDB</t>
        </is>
      </c>
      <c r="M318" t="n">
        <v>108</v>
      </c>
      <c r="O318" t="n">
        <v>10</v>
      </c>
      <c r="P318" t="n">
        <v>27</v>
      </c>
      <c r="Q318" t="n">
        <v>43</v>
      </c>
      <c r="R318" t="n">
        <v>60</v>
      </c>
      <c r="S318" t="n">
        <v>68</v>
      </c>
      <c r="T318" t="n">
        <v>78</v>
      </c>
      <c r="U318" t="n">
        <v>87.5</v>
      </c>
      <c r="V318" t="n">
        <v>96.50299910897681</v>
      </c>
      <c r="W318" t="n">
        <v>105.07145834912</v>
      </c>
      <c r="X318" t="n">
        <v>113.1682781968693</v>
      </c>
      <c r="Y318" t="n">
        <v>121.2568147358274</v>
      </c>
      <c r="Z318" t="n">
        <v>129.2508958096731</v>
      </c>
      <c r="AA318" t="n">
        <v>137.1648366999884</v>
      </c>
      <c r="AB318" t="n">
        <v>144.9958086991513</v>
      </c>
      <c r="AC318" t="n">
        <v>152.7408826426736</v>
      </c>
      <c r="AD318" t="n">
        <v>160.3970268900868</v>
      </c>
      <c r="AE318" t="n">
        <v>167.9611022424808</v>
      </c>
      <c r="AF318" t="n">
        <v>175.4298586738313</v>
      </c>
      <c r="AG318" t="n">
        <v>182.7999314530104</v>
      </c>
      <c r="AH318" t="n">
        <v>189.6974666924429</v>
      </c>
      <c r="AI318" t="n">
        <v>196.4892282958151</v>
      </c>
    </row>
    <row r="319">
      <c r="A319" t="inlineStr">
        <is>
          <t>no_year_in_pairs</t>
        </is>
      </c>
      <c r="B319" s="2" t="n"/>
      <c r="C319" s="3" t="inlineStr">
        <is>
          <t>SM.19.158, Sup. 2</t>
        </is>
      </c>
      <c r="D319" s="4" t="inlineStr">
        <is>
          <t>Dominica</t>
        </is>
      </c>
      <c r="E319" s="4" t="inlineStr">
        <is>
          <t>DMA</t>
        </is>
      </c>
      <c r="F319" s="4" t="n"/>
      <c r="G319" s="4" t="inlineStr">
        <is>
          <t>2018gn</t>
        </is>
      </c>
      <c r="H319" s="4" t="n">
        <v>2018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no_year_in_pairs</t>
        </is>
      </c>
      <c r="B320" s="2" t="n"/>
      <c r="C320" s="3" t="inlineStr">
        <is>
          <t>SM.19.158, Sup. 2</t>
        </is>
      </c>
      <c r="D320" s="4" t="inlineStr">
        <is>
          <t>Dominica</t>
        </is>
      </c>
      <c r="E320" s="4" t="inlineStr">
        <is>
          <t>DMA</t>
        </is>
      </c>
      <c r="F320" s="4" t="n"/>
      <c r="G320" s="4" t="inlineStr">
        <is>
          <t>2018gn</t>
        </is>
      </c>
      <c r="H320" s="4" t="n">
        <v>2018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no_year_in_pairs</t>
        </is>
      </c>
      <c r="B321" s="2" t="n"/>
      <c r="C321" s="3" t="inlineStr">
        <is>
          <t>SM.19.158, Sup. 2</t>
        </is>
      </c>
      <c r="D321" s="4" t="inlineStr">
        <is>
          <t>Dominica</t>
        </is>
      </c>
      <c r="E321" s="4" t="inlineStr">
        <is>
          <t>DMA</t>
        </is>
      </c>
      <c r="F321" s="4" t="n"/>
      <c r="G321" s="4" t="inlineStr">
        <is>
          <t>2018gn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-0.37037037037037</v>
      </c>
      <c r="AI321" t="n">
        <v>-0.7407407407407399</v>
      </c>
    </row>
    <row r="322">
      <c r="A322" t="inlineStr">
        <is>
          <t>no_year_in_pairs</t>
        </is>
      </c>
      <c r="B322" s="2" t="n"/>
      <c r="C322" s="3" t="inlineStr">
        <is>
          <t>SM.19.158, Sup. 2</t>
        </is>
      </c>
      <c r="D322" s="4" t="inlineStr">
        <is>
          <t>Dominica</t>
        </is>
      </c>
      <c r="E322" s="4" t="inlineStr">
        <is>
          <t>DMA</t>
        </is>
      </c>
      <c r="F322" s="4" t="n"/>
      <c r="G322" s="4" t="inlineStr">
        <is>
          <t>2018gn</t>
        </is>
      </c>
      <c r="H322" s="4" t="n">
        <v>2018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-0.37037037037037</v>
      </c>
      <c r="AI322" t="n">
        <v>-0.7407407407407399</v>
      </c>
    </row>
    <row r="323">
      <c r="A323" t="inlineStr">
        <is>
          <t>no_year_in_pairs</t>
        </is>
      </c>
      <c r="B323" s="2" t="n"/>
      <c r="C323" s="3" t="inlineStr">
        <is>
          <t>SM.19.158, Sup. 2</t>
        </is>
      </c>
      <c r="D323" s="4" t="inlineStr">
        <is>
          <t>Dominica</t>
        </is>
      </c>
      <c r="E323" s="4" t="inlineStr">
        <is>
          <t>DMA</t>
        </is>
      </c>
      <c r="F323" s="4" t="n"/>
      <c r="G323" s="4" t="inlineStr">
        <is>
          <t>2018gn</t>
        </is>
      </c>
      <c r="H323" s="4" t="n">
        <v>2018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no_year_in_pairs</t>
        </is>
      </c>
      <c r="B324" s="2" t="n"/>
      <c r="C324" s="3" t="inlineStr">
        <is>
          <t>SM.19.158, Sup. 2</t>
        </is>
      </c>
      <c r="D324" s="4" t="inlineStr">
        <is>
          <t>Dominica</t>
        </is>
      </c>
      <c r="E324" s="4" t="inlineStr">
        <is>
          <t>DMA</t>
        </is>
      </c>
      <c r="F324" s="4" t="n"/>
      <c r="G324" s="4" t="inlineStr">
        <is>
          <t>2018gn</t>
        </is>
      </c>
      <c r="H324" s="4" t="n">
        <v>2018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no_year_in_pairs</t>
        </is>
      </c>
      <c r="B325" s="2" t="n"/>
      <c r="C325" s="3" t="inlineStr">
        <is>
          <t>SM.19.158, Sup. 2</t>
        </is>
      </c>
      <c r="D325" s="4" t="inlineStr">
        <is>
          <t>Dominica</t>
        </is>
      </c>
      <c r="E325" s="4" t="inlineStr">
        <is>
          <t>DMA</t>
        </is>
      </c>
      <c r="F325" s="4" t="n"/>
      <c r="G325" s="4" t="inlineStr">
        <is>
          <t>2018gn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  <c r="O325" t="n">
        <v>16.888436352472</v>
      </c>
      <c r="P325" t="n">
        <v>23.43210746536859</v>
      </c>
      <c r="Q325" t="n">
        <v>38.81574273884719</v>
      </c>
      <c r="R325" t="n">
        <v>51.12824379458309</v>
      </c>
      <c r="S325" t="n">
        <v>62.90968897274639</v>
      </c>
      <c r="T325" t="n">
        <v>73.8669691637507</v>
      </c>
      <c r="U325" t="n">
        <v>81.00671140366589</v>
      </c>
      <c r="V325" t="n">
        <v>86.31438498523416</v>
      </c>
      <c r="W325" t="n">
        <v>88.85390814111463</v>
      </c>
      <c r="X325" t="n">
        <v>89.18211254682952</v>
      </c>
      <c r="Y325" t="n">
        <v>87.43932114467984</v>
      </c>
      <c r="Z325" t="n">
        <v>87.11241865305419</v>
      </c>
      <c r="AA325" t="n">
        <v>86.17634528605156</v>
      </c>
      <c r="AB325" t="n">
        <v>86.53866247122644</v>
      </c>
      <c r="AC325" t="n">
        <v>85.82111050443933</v>
      </c>
      <c r="AD325" t="n">
        <v>84.22940486289814</v>
      </c>
      <c r="AE325" t="n">
        <v>82.91065723067388</v>
      </c>
      <c r="AF325" t="n">
        <v>81.89535240738823</v>
      </c>
      <c r="AG325" t="n">
        <v>81.07311404749926</v>
      </c>
      <c r="AH325" t="n">
        <v>80.4726090448621</v>
      </c>
      <c r="AI325" t="n">
        <v>80.402207685101</v>
      </c>
      <c r="BI325" t="inlineStr">
        <is>
          <t>NOM_NEW_OB</t>
        </is>
      </c>
    </row>
    <row r="326">
      <c r="A326" t="inlineStr">
        <is>
          <t>no_year_in_pairs</t>
        </is>
      </c>
      <c r="B326" s="2" t="n"/>
      <c r="C326" s="3" t="inlineStr">
        <is>
          <t>SM.19.158, Sup. 2</t>
        </is>
      </c>
      <c r="D326" s="4" t="inlineStr">
        <is>
          <t>Dominica</t>
        </is>
      </c>
      <c r="E326" s="4" t="inlineStr">
        <is>
          <t>DMA</t>
        </is>
      </c>
      <c r="F326" s="4" t="n"/>
      <c r="G326" s="4" t="inlineStr">
        <is>
          <t>2018gn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no_year_in_pairs</t>
        </is>
      </c>
      <c r="B327" s="2" t="n"/>
      <c r="C327" s="3" t="inlineStr">
        <is>
          <t>SM.19.158, Sup. 2</t>
        </is>
      </c>
      <c r="D327" s="4" t="inlineStr">
        <is>
          <t>Dominica</t>
        </is>
      </c>
      <c r="E327" s="4" t="inlineStr">
        <is>
          <t>DMA</t>
        </is>
      </c>
      <c r="F327" s="4" t="n"/>
      <c r="G327" s="4" t="inlineStr">
        <is>
          <t>2018gn</t>
        </is>
      </c>
      <c r="H327" s="4" t="n">
        <v>2018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no_year_in_pairs</t>
        </is>
      </c>
      <c r="B328" s="2" t="n"/>
      <c r="C328" s="3" t="inlineStr">
        <is>
          <t>SM.19.158, Sup. 2</t>
        </is>
      </c>
      <c r="D328" s="4" t="inlineStr">
        <is>
          <t>Dominica</t>
        </is>
      </c>
      <c r="E328" s="4" t="inlineStr">
        <is>
          <t>DMA</t>
        </is>
      </c>
      <c r="F328" s="4" t="n"/>
      <c r="G328" s="4" t="inlineStr">
        <is>
          <t>2018gn</t>
        </is>
      </c>
      <c r="H328" s="4" t="n">
        <v>2018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no_year_in_pairs</t>
        </is>
      </c>
      <c r="B329" s="2" t="n"/>
      <c r="C329" s="3" t="inlineStr">
        <is>
          <t>SM.19.158, Sup. 2</t>
        </is>
      </c>
      <c r="D329" s="4" t="inlineStr">
        <is>
          <t>Dominica</t>
        </is>
      </c>
      <c r="E329" s="4" t="inlineStr">
        <is>
          <t>DMA</t>
        </is>
      </c>
      <c r="F329" s="4" t="n"/>
      <c r="G329" s="4" t="inlineStr">
        <is>
          <t>2018gn</t>
        </is>
      </c>
      <c r="H329" s="4" t="n">
        <v>2018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no_year_in_pairs</t>
        </is>
      </c>
      <c r="B330" s="2" t="n"/>
      <c r="C330" s="3" t="inlineStr">
        <is>
          <t>SM.19.158, Sup. 2</t>
        </is>
      </c>
      <c r="D330" s="4" t="inlineStr">
        <is>
          <t>Dominica</t>
        </is>
      </c>
      <c r="E330" s="4" t="inlineStr">
        <is>
          <t>DMA</t>
        </is>
      </c>
      <c r="F330" s="4" t="n"/>
      <c r="G330" s="4" t="inlineStr">
        <is>
          <t>2018gn</t>
        </is>
      </c>
      <c r="H330" s="4" t="n">
        <v>2018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no_year_in_pairs</t>
        </is>
      </c>
      <c r="B331" s="2" t="n"/>
      <c r="C331" s="3" t="inlineStr">
        <is>
          <t>SM.19.158, Sup. 2</t>
        </is>
      </c>
      <c r="D331" s="4" t="inlineStr">
        <is>
          <t>Dominica</t>
        </is>
      </c>
      <c r="E331" s="4" t="inlineStr">
        <is>
          <t>DMA</t>
        </is>
      </c>
      <c r="F331" s="4" t="n"/>
      <c r="G331" s="4" t="inlineStr">
        <is>
          <t>2018gn</t>
        </is>
      </c>
      <c r="H331" s="4" t="n">
        <v>2018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no_year_in_pairs</t>
        </is>
      </c>
      <c r="B332" s="2" t="n"/>
      <c r="C332" s="3" t="inlineStr">
        <is>
          <t>SM.19.158, Sup. 2</t>
        </is>
      </c>
      <c r="D332" s="4" t="inlineStr">
        <is>
          <t>Dominica</t>
        </is>
      </c>
      <c r="E332" s="4" t="inlineStr">
        <is>
          <t>DMA</t>
        </is>
      </c>
      <c r="F332" s="4" t="n"/>
      <c r="G332" s="4" t="inlineStr">
        <is>
          <t>2018gn</t>
        </is>
      </c>
      <c r="H332" s="4" t="n">
        <v>2018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16.888436352472</v>
      </c>
      <c r="P332" t="n">
        <v>23.43210746536859</v>
      </c>
      <c r="Q332" t="n">
        <v>38.81574273884719</v>
      </c>
      <c r="R332" t="n">
        <v>51.12824379458309</v>
      </c>
      <c r="S332" t="n">
        <v>62.90968897274639</v>
      </c>
      <c r="T332" t="n">
        <v>73.8669691637507</v>
      </c>
      <c r="U332" t="n">
        <v>81.00671140366589</v>
      </c>
      <c r="V332" t="n">
        <v>86.31438498523416</v>
      </c>
      <c r="W332" t="n">
        <v>88.85390814111463</v>
      </c>
      <c r="X332" t="n">
        <v>89.18211254682952</v>
      </c>
      <c r="Y332" t="n">
        <v>87.43932114467984</v>
      </c>
      <c r="Z332" t="n">
        <v>87.11241865305419</v>
      </c>
      <c r="AA332" t="n">
        <v>86.17634528605156</v>
      </c>
      <c r="AB332" t="n">
        <v>86.53866247122644</v>
      </c>
      <c r="AC332" t="n">
        <v>85.82111050443933</v>
      </c>
      <c r="AD332" t="n">
        <v>84.22940486289814</v>
      </c>
      <c r="AE332" t="n">
        <v>82.91065723067388</v>
      </c>
      <c r="AF332" t="n">
        <v>81.89535240738823</v>
      </c>
      <c r="AG332" t="n">
        <v>81.07311404749926</v>
      </c>
      <c r="AH332" t="n">
        <v>80.4726090448621</v>
      </c>
      <c r="AI332" t="n">
        <v>80.402207685101</v>
      </c>
    </row>
    <row r="333">
      <c r="A333" t="inlineStr">
        <is>
          <t>no_year_in_pairs</t>
        </is>
      </c>
      <c r="B333" s="2" t="n"/>
      <c r="C333" s="3" t="inlineStr">
        <is>
          <t>SM.19.158, Sup. 2</t>
        </is>
      </c>
      <c r="D333" s="4" t="inlineStr">
        <is>
          <t>Dominica</t>
        </is>
      </c>
      <c r="E333" s="4" t="inlineStr">
        <is>
          <t>DMA</t>
        </is>
      </c>
      <c r="F333" s="4" t="n"/>
      <c r="G333" s="4" t="inlineStr">
        <is>
          <t>2018gn</t>
        </is>
      </c>
      <c r="H333" s="4" t="n">
        <v>2018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16.888436352472</v>
      </c>
      <c r="P333" t="n">
        <v>23.43210746536859</v>
      </c>
      <c r="Q333" t="n">
        <v>38.81574273884719</v>
      </c>
      <c r="R333" t="n">
        <v>51.12824379458309</v>
      </c>
      <c r="S333" t="n">
        <v>62.90968897274639</v>
      </c>
      <c r="T333" t="n">
        <v>73.8669691637507</v>
      </c>
      <c r="U333" t="n">
        <v>81.00671140366589</v>
      </c>
      <c r="V333" t="n">
        <v>86.31438498523416</v>
      </c>
      <c r="W333" t="n">
        <v>88.85390814111463</v>
      </c>
      <c r="X333" t="n">
        <v>89.18211254682952</v>
      </c>
      <c r="Y333" t="n">
        <v>87.43932114467984</v>
      </c>
      <c r="Z333" t="n">
        <v>87.11241865305419</v>
      </c>
      <c r="AA333" t="n">
        <v>86.17634528605156</v>
      </c>
      <c r="AB333" t="n">
        <v>86.53866247122644</v>
      </c>
      <c r="AC333" t="n">
        <v>85.82111050443933</v>
      </c>
      <c r="AD333" t="n">
        <v>84.22940486289814</v>
      </c>
      <c r="AE333" t="n">
        <v>82.91065723067388</v>
      </c>
      <c r="AF333" t="n">
        <v>81.89535240738823</v>
      </c>
      <c r="AG333" t="n">
        <v>81.07311404749926</v>
      </c>
      <c r="AH333" t="n">
        <v>80.4726090448621</v>
      </c>
      <c r="AI333" t="n">
        <v>80.402207685101</v>
      </c>
    </row>
    <row r="334">
      <c r="A334" t="inlineStr">
        <is>
          <t>no_year_in_pairs</t>
        </is>
      </c>
      <c r="B334" s="2" t="n"/>
      <c r="C334" s="3" t="inlineStr">
        <is>
          <t>SM.19.158, Sup. 2</t>
        </is>
      </c>
      <c r="D334" s="4" t="inlineStr">
        <is>
          <t>Dominica</t>
        </is>
      </c>
      <c r="E334" s="4" t="inlineStr">
        <is>
          <t>DMA</t>
        </is>
      </c>
      <c r="F334" s="4" t="n"/>
      <c r="G334" s="4" t="inlineStr">
        <is>
          <t>2018gn</t>
        </is>
      </c>
      <c r="H334" s="4" t="n">
        <v>2018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no_year_in_pairs</t>
        </is>
      </c>
      <c r="B335" s="2" t="n"/>
      <c r="C335" s="3" t="inlineStr">
        <is>
          <t>SM.19.158, Sup. 2</t>
        </is>
      </c>
      <c r="D335" s="4" t="inlineStr">
        <is>
          <t>Dominica</t>
        </is>
      </c>
      <c r="E335" s="4" t="inlineStr">
        <is>
          <t>DMA</t>
        </is>
      </c>
      <c r="F335" s="4" t="n"/>
      <c r="G335" s="4" t="inlineStr">
        <is>
          <t>2018gn</t>
        </is>
      </c>
      <c r="H335" s="4" t="n">
        <v>2018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no_year_in_pairs</t>
        </is>
      </c>
      <c r="B336" s="2" t="n"/>
      <c r="C336" s="3" t="inlineStr">
        <is>
          <t>SM.19.158, Sup. 2</t>
        </is>
      </c>
      <c r="D336" s="4" t="inlineStr">
        <is>
          <t>Dominica</t>
        </is>
      </c>
      <c r="E336" s="4" t="inlineStr">
        <is>
          <t>DMA</t>
        </is>
      </c>
      <c r="F336" s="4" t="n"/>
      <c r="G336" s="4" t="inlineStr">
        <is>
          <t>2018gn</t>
        </is>
      </c>
      <c r="H336" s="4" t="n">
        <v>2018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no_year_in_pairs</t>
        </is>
      </c>
      <c r="B337" s="2" t="n"/>
      <c r="C337" s="3" t="inlineStr">
        <is>
          <t>SM.19.158, Sup. 2</t>
        </is>
      </c>
      <c r="D337" s="4" t="inlineStr">
        <is>
          <t>Dominica</t>
        </is>
      </c>
      <c r="E337" s="4" t="inlineStr">
        <is>
          <t>DMA</t>
        </is>
      </c>
      <c r="F337" s="4" t="n"/>
      <c r="G337" s="4" t="inlineStr">
        <is>
          <t>2018gn</t>
        </is>
      </c>
      <c r="H337" s="4" t="n">
        <v>2018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no_year_in_pairs</t>
        </is>
      </c>
      <c r="B338" s="2" t="n"/>
      <c r="C338" s="3" t="inlineStr">
        <is>
          <t>SM.19.158, Sup. 2</t>
        </is>
      </c>
      <c r="D338" s="4" t="inlineStr">
        <is>
          <t>Dominica</t>
        </is>
      </c>
      <c r="E338" s="4" t="inlineStr">
        <is>
          <t>DMA</t>
        </is>
      </c>
      <c r="F338" s="4" t="n"/>
      <c r="G338" s="4" t="inlineStr">
        <is>
          <t>2018gn</t>
        </is>
      </c>
      <c r="H338" s="4" t="n">
        <v>2018</v>
      </c>
      <c r="I338" s="4" t="inlineStr">
        <is>
          <t>nom.val.dbt.prvt</t>
        </is>
      </c>
      <c r="J338" t="inlineStr">
        <is>
          <t>Commercial</t>
        </is>
      </c>
      <c r="O338" t="n">
        <v>19.36898183242197</v>
      </c>
      <c r="P338" t="n">
        <v>30.45197954732266</v>
      </c>
      <c r="Q338" t="n">
        <v>52.32624976874712</v>
      </c>
      <c r="R338" t="n">
        <v>64.72967121421314</v>
      </c>
      <c r="S338" t="n">
        <v>76.7726597450669</v>
      </c>
      <c r="T338" t="n">
        <v>88.96077342377856</v>
      </c>
      <c r="U338" t="n">
        <v>99.71022471065372</v>
      </c>
      <c r="V338" t="n">
        <v>111.9347102789289</v>
      </c>
      <c r="W338" t="n">
        <v>124.7548383551074</v>
      </c>
      <c r="X338" t="n">
        <v>139.1626072519893</v>
      </c>
      <c r="Y338" t="n">
        <v>155.410664205389</v>
      </c>
      <c r="Z338" t="n">
        <v>170.3039461733494</v>
      </c>
      <c r="AA338" t="n">
        <v>186.2659168731759</v>
      </c>
      <c r="AB338" t="n">
        <v>201.244847148364</v>
      </c>
      <c r="AC338" t="n">
        <v>214.8471916184121</v>
      </c>
      <c r="AD338" t="n">
        <v>186.0337810229608</v>
      </c>
      <c r="AE338" t="n">
        <v>199.7282593654526</v>
      </c>
      <c r="AF338" t="n">
        <v>213.6972249301149</v>
      </c>
      <c r="AG338" t="n">
        <v>227.9575461346213</v>
      </c>
      <c r="AH338" t="n">
        <v>244.2332199842302</v>
      </c>
      <c r="AI338" t="n">
        <v>259.6071642931985</v>
      </c>
      <c r="BI338" t="inlineStr">
        <is>
          <t>NOM_NEW_COM</t>
        </is>
      </c>
    </row>
    <row r="339">
      <c r="A339" t="inlineStr">
        <is>
          <t>no_year_in_pairs</t>
        </is>
      </c>
      <c r="B339" s="2" t="n"/>
      <c r="C339" s="3" t="inlineStr">
        <is>
          <t>SM.19.158, Sup. 2</t>
        </is>
      </c>
      <c r="D339" s="4" t="inlineStr">
        <is>
          <t>Dominica</t>
        </is>
      </c>
      <c r="E339" s="4" t="inlineStr">
        <is>
          <t>DMA</t>
        </is>
      </c>
      <c r="F339" s="4" t="n"/>
      <c r="G339" s="4" t="inlineStr">
        <is>
          <t>2018gn</t>
        </is>
      </c>
      <c r="H339" s="4" t="n">
        <v>2018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no_year_in_pairs</t>
        </is>
      </c>
      <c r="B340" s="2" t="n"/>
      <c r="C340" s="3" t="inlineStr">
        <is>
          <t>SM.19.158, Sup. 2</t>
        </is>
      </c>
      <c r="D340" s="4" t="inlineStr">
        <is>
          <t>Dominica</t>
        </is>
      </c>
      <c r="E340" s="4" t="inlineStr">
        <is>
          <t>DMA</t>
        </is>
      </c>
      <c r="F340" s="4" t="n"/>
      <c r="G340" s="4" t="inlineStr">
        <is>
          <t>2018gn</t>
        </is>
      </c>
      <c r="H340" s="4" t="n">
        <v>2018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4.92129497174923</v>
      </c>
      <c r="P340" t="n">
        <v>5.393698320369619</v>
      </c>
      <c r="Q340" t="n">
        <v>16.1768801934768</v>
      </c>
      <c r="R340" t="n">
        <v>7.68734814750119</v>
      </c>
      <c r="S340" t="n">
        <v>8.771253231015116</v>
      </c>
      <c r="T340" t="n">
        <v>10.06295270402109</v>
      </c>
      <c r="U340" t="n">
        <v>9.074081048882892</v>
      </c>
      <c r="V340" t="n">
        <v>10.52674979073489</v>
      </c>
      <c r="W340" t="n">
        <v>9.480768879775461</v>
      </c>
      <c r="X340" t="n">
        <v>9.399635747498451</v>
      </c>
      <c r="Y340" t="n">
        <v>9.922005973394398</v>
      </c>
      <c r="Z340" t="n">
        <v>10.49473956191899</v>
      </c>
      <c r="AA340" t="n">
        <v>11.11076867238098</v>
      </c>
      <c r="AB340" t="n">
        <v>11.52041366005539</v>
      </c>
      <c r="AC340" t="n">
        <v>10.82333447989039</v>
      </c>
      <c r="AD340" t="n">
        <v>10.63913340689628</v>
      </c>
      <c r="AE340" t="n">
        <v>11.1214189840094</v>
      </c>
      <c r="AF340" t="n">
        <v>11.52970501148479</v>
      </c>
      <c r="AG340" t="n">
        <v>11.9647303692724</v>
      </c>
      <c r="AH340" t="n">
        <v>12.41344800636341</v>
      </c>
      <c r="AI340" t="n">
        <v>12.8782317370096</v>
      </c>
    </row>
    <row r="341">
      <c r="A341" t="inlineStr">
        <is>
          <t>no_year_in_pairs</t>
        </is>
      </c>
      <c r="B341" s="2" t="n"/>
      <c r="C341" s="3" t="inlineStr">
        <is>
          <t>SM.19.158, Sup. 2</t>
        </is>
      </c>
      <c r="D341" s="4" t="inlineStr">
        <is>
          <t>Dominica</t>
        </is>
      </c>
      <c r="E341" s="4" t="inlineStr">
        <is>
          <t>DMA</t>
        </is>
      </c>
      <c r="F341" s="4" t="n"/>
      <c r="G341" s="4" t="inlineStr">
        <is>
          <t>2018gn</t>
        </is>
      </c>
      <c r="H341" s="4" t="n">
        <v>2018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14.44768686067273</v>
      </c>
      <c r="P341" t="n">
        <v>25.05828122695304</v>
      </c>
      <c r="Q341" t="n">
        <v>36.14936957527031</v>
      </c>
      <c r="R341" t="n">
        <v>57.04232306671194</v>
      </c>
      <c r="S341" t="n">
        <v>68.00140651405178</v>
      </c>
      <c r="T341" t="n">
        <v>78.89782071975748</v>
      </c>
      <c r="U341" t="n">
        <v>90.63614366177083</v>
      </c>
      <c r="V341" t="n">
        <v>101.407960488194</v>
      </c>
      <c r="W341" t="n">
        <v>115.2740694753319</v>
      </c>
      <c r="X341" t="n">
        <v>129.7629715044909</v>
      </c>
      <c r="Y341" t="n">
        <v>145.4886582319946</v>
      </c>
      <c r="Z341" t="n">
        <v>159.8092066114304</v>
      </c>
      <c r="AA341" t="n">
        <v>175.1551482007949</v>
      </c>
      <c r="AB341" t="n">
        <v>189.7244334883086</v>
      </c>
      <c r="AC341" t="n">
        <v>204.0238571385217</v>
      </c>
      <c r="AD341" t="n">
        <v>175.3946476160645</v>
      </c>
      <c r="AE341" t="n">
        <v>188.6068403814432</v>
      </c>
      <c r="AF341" t="n">
        <v>202.1675199186301</v>
      </c>
      <c r="AG341" t="n">
        <v>215.992815765349</v>
      </c>
      <c r="AH341" t="n">
        <v>231.8197719778668</v>
      </c>
      <c r="AI341" t="n">
        <v>246.7289325561889</v>
      </c>
    </row>
    <row r="342">
      <c r="A342" t="inlineStr">
        <is>
          <t>no_year_in_pairs</t>
        </is>
      </c>
      <c r="B342" s="2" t="n"/>
      <c r="C342" s="3" t="inlineStr">
        <is>
          <t>SM.19.158, Sup. 2</t>
        </is>
      </c>
      <c r="D342" s="4" t="inlineStr">
        <is>
          <t>Dominica</t>
        </is>
      </c>
      <c r="E342" s="4" t="inlineStr">
        <is>
          <t>DMA</t>
        </is>
      </c>
      <c r="F342" s="4" t="n"/>
      <c r="G342" s="4" t="inlineStr">
        <is>
          <t>2018gn</t>
        </is>
      </c>
      <c r="H342" s="4" t="n">
        <v>2018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no_year_in_pairs</t>
        </is>
      </c>
      <c r="B343" s="2" t="n"/>
      <c r="C343" s="3" t="inlineStr">
        <is>
          <t>SM.19.158, Sup. 2</t>
        </is>
      </c>
      <c r="D343" s="4" t="inlineStr">
        <is>
          <t>Dominica</t>
        </is>
      </c>
      <c r="E343" s="4" t="inlineStr">
        <is>
          <t>DMA</t>
        </is>
      </c>
      <c r="F343" s="4" t="n"/>
      <c r="G343" s="4" t="inlineStr">
        <is>
          <t>2018gn</t>
        </is>
      </c>
      <c r="H343" s="4" t="n">
        <v>2018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no_year_in_pairs</t>
        </is>
      </c>
      <c r="B344" s="2" t="n"/>
      <c r="C344" s="3" t="inlineStr">
        <is>
          <t>SM.19.158, Sup. 2</t>
        </is>
      </c>
      <c r="D344" s="4" t="inlineStr">
        <is>
          <t>Dominica</t>
        </is>
      </c>
      <c r="E344" s="4" t="inlineStr">
        <is>
          <t>DMA</t>
        </is>
      </c>
      <c r="F344" s="4" t="n"/>
      <c r="G344" s="4" t="inlineStr">
        <is>
          <t>2018gn</t>
        </is>
      </c>
      <c r="H344" s="4" t="n">
        <v>2018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no_year_in_pairs</t>
        </is>
      </c>
      <c r="B345" s="2" t="n"/>
      <c r="C345" s="3" t="inlineStr">
        <is>
          <t>SM.19.158, Sup. 2</t>
        </is>
      </c>
      <c r="D345" s="4" t="inlineStr">
        <is>
          <t>Dominica</t>
        </is>
      </c>
      <c r="E345" s="4" t="inlineStr">
        <is>
          <t>DMA</t>
        </is>
      </c>
      <c r="F345" s="4" t="n"/>
      <c r="G345" s="4" t="inlineStr">
        <is>
          <t>2018gn</t>
        </is>
      </c>
      <c r="H345" s="4" t="n">
        <v>2018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no_year_in_pairs</t>
        </is>
      </c>
      <c r="B346" s="2" t="n"/>
      <c r="C346" s="3" t="inlineStr">
        <is>
          <t>SM.19.158, Sup. 2</t>
        </is>
      </c>
      <c r="D346" s="4" t="inlineStr">
        <is>
          <t>Dominica</t>
        </is>
      </c>
      <c r="E346" s="4" t="inlineStr">
        <is>
          <t>DMA</t>
        </is>
      </c>
      <c r="F346" s="4" t="n"/>
      <c r="G346" s="4" t="inlineStr">
        <is>
          <t>2018gn</t>
        </is>
      </c>
      <c r="H346" s="4" t="n">
        <v>2018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no_year_in_pairs</t>
        </is>
      </c>
      <c r="B347" s="2" t="n"/>
      <c r="C347" s="3" t="inlineStr">
        <is>
          <t>SM.19.158, Sup. 2</t>
        </is>
      </c>
      <c r="D347" s="4" t="inlineStr">
        <is>
          <t>Dominica</t>
        </is>
      </c>
      <c r="E347" s="4" t="inlineStr">
        <is>
          <t>DMA</t>
        </is>
      </c>
      <c r="F347" s="4" t="n"/>
      <c r="G347" s="4" t="inlineStr">
        <is>
          <t>2018gn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no_year_in_pairs</t>
        </is>
      </c>
      <c r="B348" s="2" t="n"/>
      <c r="C348" s="3" t="inlineStr">
        <is>
          <t>SM.19.158, Sup. 2</t>
        </is>
      </c>
      <c r="D348" s="4" t="inlineStr">
        <is>
          <t>Dominica</t>
        </is>
      </c>
      <c r="E348" s="4" t="inlineStr">
        <is>
          <t>DMA</t>
        </is>
      </c>
      <c r="F348" s="4" t="n"/>
      <c r="G348" s="4" t="inlineStr">
        <is>
          <t>2018gn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no_year_in_pairs</t>
        </is>
      </c>
      <c r="B349" s="2" t="n"/>
      <c r="C349" s="3" t="inlineStr">
        <is>
          <t>SM.19.158, Sup. 2</t>
        </is>
      </c>
      <c r="D349" s="4" t="inlineStr">
        <is>
          <t>Dominica</t>
        </is>
      </c>
      <c r="E349" s="4" t="inlineStr">
        <is>
          <t>DMA</t>
        </is>
      </c>
      <c r="F349" s="4" t="n"/>
      <c r="G349" s="4" t="inlineStr">
        <is>
          <t>2018gn</t>
        </is>
      </c>
      <c r="H349" s="4" t="n">
        <v>2018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no_year_in_pairs</t>
        </is>
      </c>
      <c r="B350" s="2" t="n"/>
      <c r="C350" s="3" t="inlineStr">
        <is>
          <t>SM.19.158, Sup. 2</t>
        </is>
      </c>
      <c r="D350" s="4" t="inlineStr">
        <is>
          <t>Dominica</t>
        </is>
      </c>
      <c r="E350" s="4" t="inlineStr">
        <is>
          <t>DMA</t>
        </is>
      </c>
      <c r="F350" s="4" t="n"/>
      <c r="G350" s="4" t="inlineStr">
        <is>
          <t>2018gn</t>
        </is>
      </c>
      <c r="H350" s="4" t="n">
        <v>2018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no_year_in_pairs</t>
        </is>
      </c>
      <c r="B351" s="2" t="n"/>
      <c r="C351" s="3" t="inlineStr">
        <is>
          <t>SM.19.158, Sup. 2</t>
        </is>
      </c>
      <c r="D351" s="4" t="inlineStr">
        <is>
          <t>Dominica</t>
        </is>
      </c>
      <c r="E351" s="4" t="inlineStr">
        <is>
          <t>DMA</t>
        </is>
      </c>
      <c r="F351" s="4" t="n"/>
      <c r="G351" s="4" t="inlineStr">
        <is>
          <t>2018gn</t>
        </is>
      </c>
      <c r="H351" s="4" t="n">
        <v>2018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no_year_in_pairs</t>
        </is>
      </c>
      <c r="B352" s="2" t="n"/>
      <c r="C352" s="3" t="inlineStr">
        <is>
          <t>SM.19.158, Sup. 2</t>
        </is>
      </c>
      <c r="D352" s="4" t="inlineStr">
        <is>
          <t>Dominica</t>
        </is>
      </c>
      <c r="E352" s="4" t="inlineStr">
        <is>
          <t>DMA</t>
        </is>
      </c>
      <c r="F352" s="4" t="n"/>
      <c r="G352" s="4" t="inlineStr">
        <is>
          <t>2018gn</t>
        </is>
      </c>
      <c r="H352" s="4" t="n">
        <v>2018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no_year_in_pairs</t>
        </is>
      </c>
      <c r="B353" s="2" t="n"/>
      <c r="C353" s="3" t="inlineStr">
        <is>
          <t>SM.19.158, Sup. 2</t>
        </is>
      </c>
      <c r="D353" s="4" t="inlineStr">
        <is>
          <t>Dominica</t>
        </is>
      </c>
      <c r="E353" s="4" t="inlineStr">
        <is>
          <t>DMA</t>
        </is>
      </c>
      <c r="F353" s="4" t="n"/>
      <c r="G353" s="4" t="inlineStr">
        <is>
          <t>2018gn</t>
        </is>
      </c>
      <c r="H353" s="4" t="n">
        <v>2018</v>
      </c>
      <c r="I353" s="5" t="n"/>
      <c r="J353" t="inlineStr">
        <is>
          <t>Locally-issued debt held by residents</t>
        </is>
      </c>
    </row>
    <row r="354">
      <c r="A354" t="inlineStr">
        <is>
          <t>no_year_in_pairs</t>
        </is>
      </c>
      <c r="B354" s="2" t="n"/>
      <c r="C354" s="3" t="inlineStr">
        <is>
          <t>SM.19.158, Sup. 2</t>
        </is>
      </c>
      <c r="D354" s="4" t="inlineStr">
        <is>
          <t>Dominica</t>
        </is>
      </c>
      <c r="E354" s="4" t="inlineStr">
        <is>
          <t>DMA</t>
        </is>
      </c>
      <c r="F354" s="4" t="n"/>
      <c r="G354" s="4" t="inlineStr">
        <is>
          <t>2018gn</t>
        </is>
      </c>
      <c r="H354" s="4" t="n">
        <v>2018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no_year_in_pairs</t>
        </is>
      </c>
      <c r="B355" s="2" t="n"/>
      <c r="C355" s="3" t="inlineStr">
        <is>
          <t>SM.19.158, Sup. 2</t>
        </is>
      </c>
      <c r="D355" s="4" t="inlineStr">
        <is>
          <t>Dominica</t>
        </is>
      </c>
      <c r="E355" s="4" t="inlineStr">
        <is>
          <t>DMA</t>
        </is>
      </c>
      <c r="F355" s="4" t="n"/>
      <c r="G355" s="4" t="inlineStr">
        <is>
          <t>2018gn</t>
        </is>
      </c>
      <c r="H355" s="4" t="n">
        <v>2018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no_year_in_pairs</t>
        </is>
      </c>
      <c r="B356" s="2" t="n"/>
      <c r="C356" s="3" t="inlineStr">
        <is>
          <t>SM.19.158, Sup. 2</t>
        </is>
      </c>
      <c r="D356" s="4" t="inlineStr">
        <is>
          <t>Dominica</t>
        </is>
      </c>
      <c r="E356" s="4" t="inlineStr">
        <is>
          <t>DMA</t>
        </is>
      </c>
      <c r="F356" s="4" t="n"/>
      <c r="G356" s="4" t="inlineStr">
        <is>
          <t>2018gn</t>
        </is>
      </c>
      <c r="H356" s="4" t="n">
        <v>2018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no_year_in_pairs</t>
        </is>
      </c>
      <c r="B357" s="2" t="n"/>
      <c r="C357" s="3" t="inlineStr">
        <is>
          <t>SM.19.158, Sup. 2</t>
        </is>
      </c>
      <c r="D357" s="4" t="inlineStr">
        <is>
          <t>Dominica</t>
        </is>
      </c>
      <c r="E357" s="4" t="inlineStr">
        <is>
          <t>DMA</t>
        </is>
      </c>
      <c r="F357" s="4" t="n"/>
      <c r="G357" s="4" t="inlineStr">
        <is>
          <t>2018gn</t>
        </is>
      </c>
      <c r="H357" s="4" t="n">
        <v>2018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no_year_in_pairs</t>
        </is>
      </c>
      <c r="B358" s="2" t="n"/>
      <c r="C358" s="3" t="inlineStr">
        <is>
          <t>SM.19.158, Sup. 2</t>
        </is>
      </c>
      <c r="D358" s="4" t="inlineStr">
        <is>
          <t>Dominica</t>
        </is>
      </c>
      <c r="E358" s="4" t="inlineStr">
        <is>
          <t>DMA</t>
        </is>
      </c>
      <c r="F358" s="4" t="n"/>
      <c r="G358" s="4" t="inlineStr">
        <is>
          <t>2018gn</t>
        </is>
      </c>
      <c r="H358" s="4" t="n">
        <v>2018</v>
      </c>
      <c r="I358" s="5" t="n"/>
    </row>
    <row r="359">
      <c r="A359" t="inlineStr">
        <is>
          <t>no_year_in_pairs</t>
        </is>
      </c>
      <c r="B359" s="2" t="n"/>
      <c r="C359" s="3" t="inlineStr">
        <is>
          <t>SM.19.158, Sup. 2</t>
        </is>
      </c>
      <c r="D359" s="4" t="inlineStr">
        <is>
          <t>Dominica</t>
        </is>
      </c>
      <c r="E359" s="4" t="inlineStr">
        <is>
          <t>DMA</t>
        </is>
      </c>
      <c r="F359" s="4" t="n"/>
      <c r="G359" s="4" t="inlineStr">
        <is>
          <t>2018gn</t>
        </is>
      </c>
      <c r="H359" s="4" t="n">
        <v>2018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no_year_in_pairs</t>
        </is>
      </c>
      <c r="B360" s="2" t="n"/>
      <c r="C360" s="3" t="inlineStr">
        <is>
          <t>SM.19.158, Sup. 2</t>
        </is>
      </c>
      <c r="D360" s="4" t="inlineStr">
        <is>
          <t>Dominica</t>
        </is>
      </c>
      <c r="E360" s="4" t="inlineStr">
        <is>
          <t>DMA</t>
        </is>
      </c>
      <c r="F360" s="4" t="n"/>
      <c r="G360" s="4" t="inlineStr">
        <is>
          <t>2018gn</t>
        </is>
      </c>
      <c r="H360" s="4" t="n">
        <v>2018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no_year_in_pairs</t>
        </is>
      </c>
      <c r="B361" s="2" t="n"/>
      <c r="C361" s="3" t="inlineStr">
        <is>
          <t>SM.19.158, Sup. 2</t>
        </is>
      </c>
      <c r="D361" s="4" t="inlineStr">
        <is>
          <t>Dominica</t>
        </is>
      </c>
      <c r="E361" s="4" t="inlineStr">
        <is>
          <t>DMA</t>
        </is>
      </c>
      <c r="F361" s="4" t="n"/>
      <c r="G361" s="4" t="inlineStr">
        <is>
          <t>2018gn</t>
        </is>
      </c>
      <c r="H361" s="4" t="n">
        <v>2018</v>
      </c>
      <c r="I361" s="5" t="n"/>
      <c r="N361" t="inlineStr">
        <is>
          <t>Note: interest associated with 2016 ST debt should be included in aggregate data.</t>
        </is>
      </c>
    </row>
    <row r="362">
      <c r="A362" t="inlineStr">
        <is>
          <t>no_year_in_pairs</t>
        </is>
      </c>
      <c r="B362" s="2" t="n"/>
      <c r="C362" s="3" t="inlineStr">
        <is>
          <t>SM.19.158, Sup. 2</t>
        </is>
      </c>
      <c r="D362" s="4" t="inlineStr">
        <is>
          <t>Dominica</t>
        </is>
      </c>
      <c r="E362" s="4" t="inlineStr">
        <is>
          <t>DMA</t>
        </is>
      </c>
      <c r="F362" s="4" t="n"/>
      <c r="G362" s="4" t="inlineStr">
        <is>
          <t>2018gn</t>
        </is>
      </c>
      <c r="H362" s="4" t="n">
        <v>2018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no_year_in_pairs</t>
        </is>
      </c>
      <c r="B363" s="2" t="n"/>
      <c r="C363" s="3" t="inlineStr">
        <is>
          <t>SM.19.158, Sup. 2</t>
        </is>
      </c>
      <c r="D363" s="4" t="inlineStr">
        <is>
          <t>Dominica</t>
        </is>
      </c>
      <c r="E363" s="4" t="inlineStr">
        <is>
          <t>DMA</t>
        </is>
      </c>
      <c r="F363" s="4" t="n"/>
      <c r="G363" s="4" t="inlineStr">
        <is>
          <t>2018gn</t>
        </is>
      </c>
      <c r="H363" s="4" t="n">
        <v>2018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no_year_in_pairs</t>
        </is>
      </c>
      <c r="B364" s="2" t="n"/>
      <c r="C364" s="3" t="inlineStr">
        <is>
          <t>SM.19.158, Sup. 2</t>
        </is>
      </c>
      <c r="D364" s="4" t="inlineStr">
        <is>
          <t>Dominica</t>
        </is>
      </c>
      <c r="E364" s="4" t="inlineStr">
        <is>
          <t>DMA</t>
        </is>
      </c>
      <c r="F364" s="4" t="n"/>
      <c r="G364" s="4" t="inlineStr">
        <is>
          <t>2018gn</t>
        </is>
      </c>
      <c r="H364" s="4" t="n">
        <v>2018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no_year_in_pairs</t>
        </is>
      </c>
      <c r="B365" s="2" t="n"/>
      <c r="C365" s="3" t="inlineStr">
        <is>
          <t>SM.19.158, Sup. 2</t>
        </is>
      </c>
      <c r="D365" s="4" t="inlineStr">
        <is>
          <t>Dominica</t>
        </is>
      </c>
      <c r="E365" s="4" t="inlineStr">
        <is>
          <t>DMA</t>
        </is>
      </c>
      <c r="F365" s="4" t="n"/>
      <c r="G365" s="4" t="inlineStr">
        <is>
          <t>2018gn</t>
        </is>
      </c>
      <c r="H365" s="4" t="n">
        <v>2018</v>
      </c>
      <c r="I365" s="5" t="n"/>
      <c r="N365" t="inlineStr">
        <is>
          <t>Note: Debt service associated with 2016 and 2017 ST debt  is captured in aggregate data on existing debt.</t>
        </is>
      </c>
    </row>
    <row r="366">
      <c r="A366" t="inlineStr">
        <is>
          <t>no_year_in_pairs</t>
        </is>
      </c>
      <c r="B366" s="2" t="n"/>
      <c r="C366" s="3" t="inlineStr">
        <is>
          <t>SM.19.158, Sup. 2</t>
        </is>
      </c>
      <c r="D366" s="4" t="inlineStr">
        <is>
          <t>Dominica</t>
        </is>
      </c>
      <c r="E366" s="4" t="inlineStr">
        <is>
          <t>DMA</t>
        </is>
      </c>
      <c r="F366" s="4" t="n"/>
      <c r="G366" s="4" t="inlineStr">
        <is>
          <t>2018gn</t>
        </is>
      </c>
      <c r="H366" s="4" t="n">
        <v>2018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no_year_in_pairs</t>
        </is>
      </c>
      <c r="B367" s="2" t="n"/>
      <c r="C367" s="3" t="inlineStr">
        <is>
          <t>SM.19.158, Sup. 2</t>
        </is>
      </c>
      <c r="D367" s="4" t="inlineStr">
        <is>
          <t>Dominica</t>
        </is>
      </c>
      <c r="E367" s="4" t="inlineStr">
        <is>
          <t>DMA</t>
        </is>
      </c>
      <c r="F367" s="4" t="n"/>
      <c r="G367" s="4" t="inlineStr">
        <is>
          <t>2018gn</t>
        </is>
      </c>
      <c r="H367" s="4" t="n">
        <v>2018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no_year_in_pairs</t>
        </is>
      </c>
      <c r="B368" s="2" t="n"/>
      <c r="C368" s="3" t="inlineStr">
        <is>
          <t>SM.19.158, Sup. 2</t>
        </is>
      </c>
      <c r="D368" s="4" t="inlineStr">
        <is>
          <t>Dominica</t>
        </is>
      </c>
      <c r="E368" s="4" t="inlineStr">
        <is>
          <t>DMA</t>
        </is>
      </c>
      <c r="F368" s="4" t="n"/>
      <c r="G368" s="4" t="inlineStr">
        <is>
          <t>2018gn</t>
        </is>
      </c>
      <c r="H368" s="4" t="n">
        <v>2018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no_year_in_pairs</t>
        </is>
      </c>
      <c r="B369" s="2" t="n"/>
      <c r="C369" s="3" t="inlineStr">
        <is>
          <t>SM.19.158, Sup. 2</t>
        </is>
      </c>
      <c r="D369" s="4" t="inlineStr">
        <is>
          <t>Dominica</t>
        </is>
      </c>
      <c r="E369" s="4" t="inlineStr">
        <is>
          <t>DMA</t>
        </is>
      </c>
      <c r="F369" s="4" t="n"/>
      <c r="G369" s="4" t="inlineStr">
        <is>
          <t>2018gn</t>
        </is>
      </c>
      <c r="H369" s="4" t="n">
        <v>2018</v>
      </c>
      <c r="I369" s="5" t="n"/>
    </row>
    <row r="370">
      <c r="A370" t="inlineStr">
        <is>
          <t>no_year_in_pairs</t>
        </is>
      </c>
      <c r="B370" s="2" t="n"/>
      <c r="C370" s="3" t="inlineStr">
        <is>
          <t>SM.19.158, Sup. 2</t>
        </is>
      </c>
      <c r="D370" s="4" t="inlineStr">
        <is>
          <t>Dominica</t>
        </is>
      </c>
      <c r="E370" s="4" t="inlineStr">
        <is>
          <t>DMA</t>
        </is>
      </c>
      <c r="F370" s="4" t="n"/>
      <c r="G370" s="4" t="inlineStr">
        <is>
          <t>2018gn</t>
        </is>
      </c>
      <c r="H370" s="4" t="n">
        <v>2018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no_year_in_pairs</t>
        </is>
      </c>
      <c r="B371" s="2" t="n"/>
      <c r="C371" s="3" t="inlineStr">
        <is>
          <t>SM.19.158, Sup. 2</t>
        </is>
      </c>
      <c r="D371" s="4" t="inlineStr">
        <is>
          <t>Dominica</t>
        </is>
      </c>
      <c r="E371" s="4" t="inlineStr">
        <is>
          <t>DMA</t>
        </is>
      </c>
      <c r="F371" s="4" t="n"/>
      <c r="G371" s="4" t="inlineStr">
        <is>
          <t>2018gn</t>
        </is>
      </c>
      <c r="H371" s="4" t="n">
        <v>2018</v>
      </c>
      <c r="I371" s="4" t="inlineStr">
        <is>
          <t>tot.pv.dbt</t>
        </is>
      </c>
      <c r="J371" t="inlineStr">
        <is>
          <t>Total PV of debt</t>
        </is>
      </c>
      <c r="N371" t="n">
        <v>273.0936903341975</v>
      </c>
      <c r="O371" t="n">
        <v>317.7772733523271</v>
      </c>
      <c r="P371" t="n">
        <v>331.1722525608056</v>
      </c>
      <c r="Q371" t="n">
        <v>365.7558215601964</v>
      </c>
      <c r="R371" t="n">
        <v>390.5402735374968</v>
      </c>
      <c r="S371" t="n">
        <v>406.6770389344824</v>
      </c>
      <c r="T371" t="n">
        <v>424.3901272674314</v>
      </c>
      <c r="U371" t="n">
        <v>437.6185005797019</v>
      </c>
      <c r="V371" t="n">
        <v>451.4832723682024</v>
      </c>
      <c r="W371" t="n">
        <v>464.1801332302496</v>
      </c>
      <c r="X371" t="n">
        <v>476.4466401078382</v>
      </c>
      <c r="Y371" t="n">
        <v>489.0520792793016</v>
      </c>
      <c r="Z371" t="n">
        <v>502.1812211130522</v>
      </c>
      <c r="AA371" t="n">
        <v>516.6663164088042</v>
      </c>
      <c r="AB371" t="n">
        <v>536.4874263817975</v>
      </c>
      <c r="AC371" t="n">
        <v>556.235458452131</v>
      </c>
      <c r="AD371" t="n">
        <v>530.6247647151928</v>
      </c>
      <c r="AE371" t="n">
        <v>547.9246544155577</v>
      </c>
      <c r="AF371" t="n">
        <v>566.0588627154891</v>
      </c>
      <c r="AG371" t="n">
        <v>580.6519962618187</v>
      </c>
      <c r="AH371" t="n">
        <v>601.0178601564124</v>
      </c>
      <c r="AI371" t="n">
        <v>621.9886408591933</v>
      </c>
      <c r="BI371" t="inlineStr">
        <is>
          <t>PV_D_TOT</t>
        </is>
      </c>
    </row>
    <row r="372">
      <c r="A372" t="inlineStr">
        <is>
          <t>no_year_in_pairs</t>
        </is>
      </c>
      <c r="B372" s="2" t="n"/>
      <c r="C372" s="3" t="inlineStr">
        <is>
          <t>SM.19.158, Sup. 2</t>
        </is>
      </c>
      <c r="D372" s="4" t="inlineStr">
        <is>
          <t>Dominica</t>
        </is>
      </c>
      <c r="E372" s="4" t="inlineStr">
        <is>
          <t>DMA</t>
        </is>
      </c>
      <c r="F372" s="4" t="n"/>
      <c r="G372" s="4" t="inlineStr">
        <is>
          <t>2018gn</t>
        </is>
      </c>
      <c r="H372" s="4" t="n">
        <v>2018</v>
      </c>
      <c r="I372" s="5" t="n"/>
    </row>
    <row r="373">
      <c r="A373" t="inlineStr">
        <is>
          <t>no_year_in_pairs</t>
        </is>
      </c>
      <c r="B373" s="2" t="n"/>
      <c r="C373" s="3" t="inlineStr">
        <is>
          <t>SM.19.158, Sup. 2</t>
        </is>
      </c>
      <c r="D373" s="4" t="inlineStr">
        <is>
          <t>Dominica</t>
        </is>
      </c>
      <c r="E373" s="4" t="inlineStr">
        <is>
          <t>DMA</t>
        </is>
      </c>
      <c r="F373" s="4" t="n"/>
      <c r="G373" s="4" t="inlineStr">
        <is>
          <t>2018gn</t>
        </is>
      </c>
      <c r="H373" s="4" t="n">
        <v>2018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5.684341886080801e-14</v>
      </c>
      <c r="P373" t="n">
        <v>5.684341886080801e-14</v>
      </c>
      <c r="Q373" t="n">
        <v>0</v>
      </c>
      <c r="R373" t="n">
        <v>-2.842170943040401e-14</v>
      </c>
      <c r="S373" t="n">
        <v>2.842170943040401e-14</v>
      </c>
      <c r="T373" t="n">
        <v>0</v>
      </c>
      <c r="U373" t="n">
        <v>0</v>
      </c>
      <c r="V373" t="n">
        <v>2.842170943040401e-14</v>
      </c>
      <c r="W373" t="n">
        <v>-2.842170943040401e-14</v>
      </c>
      <c r="X373" t="n">
        <v>-5.684341886080801e-14</v>
      </c>
      <c r="Y373" t="n">
        <v>1.4210854715202e-14</v>
      </c>
      <c r="Z373" t="n">
        <v>0</v>
      </c>
      <c r="AA373" t="n">
        <v>-4.263256414560601e-14</v>
      </c>
      <c r="AB373" t="n">
        <v>-4.263256414560601e-14</v>
      </c>
      <c r="AC373" t="n">
        <v>1.4210854715202e-14</v>
      </c>
      <c r="AD373" t="n">
        <v>4.263256414560601e-14</v>
      </c>
      <c r="AE373" t="n">
        <v>1.4210854715202e-14</v>
      </c>
      <c r="AF373" t="n">
        <v>0</v>
      </c>
      <c r="AG373" t="n">
        <v>-5.684341886080801e-14</v>
      </c>
      <c r="AH373" t="n">
        <v>4.973799150320701e-14</v>
      </c>
      <c r="AI373" t="n">
        <v>3.552713678800501e-14</v>
      </c>
    </row>
    <row r="374">
      <c r="A374" t="inlineStr">
        <is>
          <t>no_year_in_pairs</t>
        </is>
      </c>
      <c r="B374" s="2" t="n"/>
      <c r="C374" s="3" t="inlineStr">
        <is>
          <t>SM.19.158, Sup. 2</t>
        </is>
      </c>
      <c r="D374" s="4" t="inlineStr">
        <is>
          <t>Dominica</t>
        </is>
      </c>
      <c r="E374" s="4" t="inlineStr">
        <is>
          <t>DMA</t>
        </is>
      </c>
      <c r="F374" s="4" t="n"/>
      <c r="G374" s="4" t="inlineStr">
        <is>
          <t>2018gn</t>
        </is>
      </c>
      <c r="H374" s="4" t="n">
        <v>2018</v>
      </c>
      <c r="I374" s="4" t="inlineStr">
        <is>
          <t>tot.pub.tds</t>
        </is>
      </c>
      <c r="J374" t="inlineStr">
        <is>
          <t>Total public debt service</t>
        </is>
      </c>
      <c r="N374" t="n">
        <v>32.39914738420706</v>
      </c>
      <c r="O374" t="n">
        <v>11.45658152942483</v>
      </c>
      <c r="P374" t="n">
        <v>55.14265115947259</v>
      </c>
      <c r="Q374" t="n">
        <v>63.89472323274275</v>
      </c>
      <c r="R374" t="n">
        <v>85.64214008886951</v>
      </c>
      <c r="S374" t="n">
        <v>99.8255921889839</v>
      </c>
      <c r="T374" t="n">
        <v>111.8836628836936</v>
      </c>
      <c r="U374" t="n">
        <v>127.7643923307262</v>
      </c>
      <c r="V374" t="n">
        <v>139.9138196867814</v>
      </c>
      <c r="W374" t="n">
        <v>155.2598390967696</v>
      </c>
      <c r="X374" t="n">
        <v>171.3593113818426</v>
      </c>
      <c r="Y374" t="n">
        <v>188.5531931808867</v>
      </c>
      <c r="Z374" t="n">
        <v>204.1888099762187</v>
      </c>
      <c r="AA374" t="n">
        <v>220.062341988202</v>
      </c>
      <c r="AB374" t="n">
        <v>231.0877564460022</v>
      </c>
      <c r="AC374" t="n">
        <v>244.8905774434904</v>
      </c>
      <c r="AD374" t="n">
        <v>261.9036407486346</v>
      </c>
      <c r="AE374" t="n">
        <v>232.1416584727079</v>
      </c>
      <c r="AF374" t="n">
        <v>247.0424674431034</v>
      </c>
      <c r="AG374" t="n">
        <v>266.6987341377238</v>
      </c>
      <c r="AH374" t="n">
        <v>278.2449573572552</v>
      </c>
      <c r="AI374" t="n">
        <v>294.9951018758624</v>
      </c>
      <c r="BI374" t="inlineStr">
        <is>
          <t>DS_TOT</t>
        </is>
      </c>
    </row>
    <row r="375">
      <c r="A375" t="inlineStr">
        <is>
          <t>no_year_in_pairs</t>
        </is>
      </c>
      <c r="B375" s="2" t="n"/>
      <c r="C375" s="3" t="inlineStr">
        <is>
          <t>SM.19.158, Sup. 2</t>
        </is>
      </c>
      <c r="D375" s="4" t="inlineStr">
        <is>
          <t>Dominica</t>
        </is>
      </c>
      <c r="E375" s="4" t="inlineStr">
        <is>
          <t>DMA</t>
        </is>
      </c>
      <c r="F375" s="4" t="n"/>
      <c r="G375" s="4" t="inlineStr">
        <is>
          <t>2018gn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22.810625</v>
      </c>
      <c r="O375" t="n">
        <v>6.840511996296295</v>
      </c>
      <c r="P375" t="n">
        <v>44.99352368109922</v>
      </c>
      <c r="Q375" t="n">
        <v>51.83439869269303</v>
      </c>
      <c r="R375" t="n">
        <v>72.00836879096934</v>
      </c>
      <c r="S375" t="n">
        <v>86.87582610828721</v>
      </c>
      <c r="T375" t="n">
        <v>96.12737571321505</v>
      </c>
      <c r="U375" t="n">
        <v>111.4226449343264</v>
      </c>
      <c r="V375" t="n">
        <v>121.791773681164</v>
      </c>
      <c r="W375" t="n">
        <v>136.166109889377</v>
      </c>
      <c r="X375" t="n">
        <v>151.4697091776256</v>
      </c>
      <c r="Y375" t="n">
        <v>167.964207970515</v>
      </c>
      <c r="Z375" t="n">
        <v>183.0744069863719</v>
      </c>
      <c r="AA375" t="n">
        <v>199.0756212682917</v>
      </c>
      <c r="AB375" t="n">
        <v>211.5689892845884</v>
      </c>
      <c r="AC375" t="n">
        <v>224.554333238399</v>
      </c>
      <c r="AD375" t="n">
        <v>238.3023256294711</v>
      </c>
      <c r="AE375" t="n">
        <v>209.9520493790367</v>
      </c>
      <c r="AF375" t="n">
        <v>224.1595098784233</v>
      </c>
      <c r="AG375" t="n">
        <v>238.638277571353</v>
      </c>
      <c r="AH375" t="n">
        <v>254.4971990951531</v>
      </c>
      <c r="AI375" t="n">
        <v>271.7411798499472</v>
      </c>
      <c r="BI375" t="inlineStr">
        <is>
          <t>DS_TOT_P</t>
        </is>
      </c>
    </row>
    <row r="376">
      <c r="A376" t="inlineStr">
        <is>
          <t>no_year_in_pairs</t>
        </is>
      </c>
      <c r="B376" s="2" t="n"/>
      <c r="C376" s="3" t="inlineStr">
        <is>
          <t>SM.19.158, Sup. 2</t>
        </is>
      </c>
      <c r="D376" s="4" t="inlineStr">
        <is>
          <t>Dominica</t>
        </is>
      </c>
      <c r="E376" s="4" t="inlineStr">
        <is>
          <t>DMA</t>
        </is>
      </c>
      <c r="F376" s="4" t="n"/>
      <c r="G376" s="4" t="inlineStr">
        <is>
          <t>2018gn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9.588522384207064</v>
      </c>
      <c r="O376" t="n">
        <v>4.616069533128536</v>
      </c>
      <c r="P376" t="n">
        <v>10.14912747837337</v>
      </c>
      <c r="Q376" t="n">
        <v>12.06032454004972</v>
      </c>
      <c r="R376" t="n">
        <v>13.63377129790017</v>
      </c>
      <c r="S376" t="n">
        <v>12.94976608069669</v>
      </c>
      <c r="T376" t="n">
        <v>15.75628717047859</v>
      </c>
      <c r="U376" t="n">
        <v>16.34174739639977</v>
      </c>
      <c r="V376" t="n">
        <v>18.12204600561738</v>
      </c>
      <c r="W376" t="n">
        <v>19.09372920739253</v>
      </c>
      <c r="X376" t="n">
        <v>19.88960220421708</v>
      </c>
      <c r="Y376" t="n">
        <v>20.5889852103717</v>
      </c>
      <c r="Z376" t="n">
        <v>21.11440298984682</v>
      </c>
      <c r="AA376" t="n">
        <v>20.98672071991027</v>
      </c>
      <c r="AB376" t="n">
        <v>19.51876716141379</v>
      </c>
      <c r="AC376" t="n">
        <v>20.33624420509138</v>
      </c>
      <c r="AD376" t="n">
        <v>23.60131511916361</v>
      </c>
      <c r="AE376" t="n">
        <v>22.18960909367119</v>
      </c>
      <c r="AF376" t="n">
        <v>22.88295756468007</v>
      </c>
      <c r="AG376" t="n">
        <v>28.06045656637074</v>
      </c>
      <c r="AH376" t="n">
        <v>23.74775826210212</v>
      </c>
      <c r="AI376" t="n">
        <v>23.25392202591512</v>
      </c>
      <c r="BI376" t="inlineStr">
        <is>
          <t>DS_TOT_I</t>
        </is>
      </c>
    </row>
    <row r="377">
      <c r="A377" t="inlineStr">
        <is>
          <t>no_year_in_pairs</t>
        </is>
      </c>
      <c r="B377" s="2" t="n"/>
      <c r="C377" s="3" t="inlineStr">
        <is>
          <t>SM.19.158, Sup. 2</t>
        </is>
      </c>
      <c r="D377" s="4" t="inlineStr">
        <is>
          <t>Dominica</t>
        </is>
      </c>
      <c r="E377" s="4" t="inlineStr">
        <is>
          <t>DMA</t>
        </is>
      </c>
      <c r="F377" s="4" t="n"/>
      <c r="G377" s="4" t="inlineStr">
        <is>
          <t>2018gn</t>
        </is>
      </c>
      <c r="H377" s="4" t="n">
        <v>2018</v>
      </c>
      <c r="I377" s="5" t="n"/>
    </row>
    <row r="378">
      <c r="A378" t="inlineStr">
        <is>
          <t>no_year_in_pairs</t>
        </is>
      </c>
      <c r="B378" s="2" t="n"/>
      <c r="C378" s="3" t="inlineStr">
        <is>
          <t>SM.19.158, Sup. 2</t>
        </is>
      </c>
      <c r="D378" s="4" t="inlineStr">
        <is>
          <t>Dominica</t>
        </is>
      </c>
      <c r="E378" s="4" t="inlineStr">
        <is>
          <t>DMA</t>
        </is>
      </c>
      <c r="F378" s="4" t="n"/>
      <c r="G378" s="4" t="inlineStr">
        <is>
          <t>2018gn</t>
        </is>
      </c>
      <c r="H378" s="4" t="n">
        <v>2018</v>
      </c>
      <c r="I378" s="4" t="inlineStr">
        <is>
          <t>ext.dbt.out</t>
        </is>
      </c>
      <c r="J378" t="inlineStr">
        <is>
          <t>External debt outstanding</t>
        </is>
      </c>
      <c r="N378" t="n">
        <v>309.851196319483</v>
      </c>
      <c r="O378" t="n">
        <v>354.2681025080807</v>
      </c>
      <c r="P378" t="n">
        <v>379.2702294872007</v>
      </c>
      <c r="Q378" t="n">
        <v>427.1457158367334</v>
      </c>
      <c r="R378" t="n">
        <v>465.179519315713</v>
      </c>
      <c r="S378" t="n">
        <v>485.8577981306561</v>
      </c>
      <c r="T378" t="n">
        <v>511.1684760322239</v>
      </c>
      <c r="U378" t="n">
        <v>531.8991650061265</v>
      </c>
      <c r="V378" t="n">
        <v>554.7358509050273</v>
      </c>
      <c r="W378" t="n">
        <v>577.1282014783397</v>
      </c>
      <c r="X378" t="n">
        <v>599.7054844701283</v>
      </c>
      <c r="Y378" t="n">
        <v>623.1804843201515</v>
      </c>
      <c r="Z378" t="n">
        <v>647.5574087575911</v>
      </c>
      <c r="AA378" t="n">
        <v>673.0012416020056</v>
      </c>
      <c r="AB378" t="n">
        <v>702.1041869959056</v>
      </c>
      <c r="AC378" t="n">
        <v>731.3290080784878</v>
      </c>
      <c r="AD378" t="n">
        <v>717.8942962815697</v>
      </c>
      <c r="AE378" t="n">
        <v>747.8112728781767</v>
      </c>
      <c r="AF378" t="n">
        <v>778.9984081069413</v>
      </c>
      <c r="AG378" t="n">
        <v>811.5458082741532</v>
      </c>
      <c r="AH378" t="n">
        <v>845.0286246941371</v>
      </c>
      <c r="AI378" t="n">
        <v>878.2743747817307</v>
      </c>
    </row>
    <row r="379">
      <c r="A379" t="inlineStr">
        <is>
          <t>no_year_in_pairs</t>
        </is>
      </c>
      <c r="B379" s="2" t="n"/>
      <c r="C379" s="3" t="inlineStr">
        <is>
          <t>SM.19.158, Sup. 2</t>
        </is>
      </c>
      <c r="D379" s="4" t="inlineStr">
        <is>
          <t>Dominica</t>
        </is>
      </c>
      <c r="E379" s="4" t="inlineStr">
        <is>
          <t>DMA</t>
        </is>
      </c>
      <c r="F379" s="4" t="n"/>
      <c r="G379" s="4" t="inlineStr">
        <is>
          <t>2018gn</t>
        </is>
      </c>
      <c r="H379" s="4" t="n">
        <v>2018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309.851196319483</v>
      </c>
      <c r="O379" t="n">
        <v>354.2681025080807</v>
      </c>
      <c r="P379" t="n">
        <v>379.2702294872007</v>
      </c>
      <c r="Q379" t="n">
        <v>427.1457158367334</v>
      </c>
      <c r="R379" t="n">
        <v>465.179519315713</v>
      </c>
      <c r="S379" t="n">
        <v>485.8577981306561</v>
      </c>
      <c r="T379" t="n">
        <v>511.1684760322239</v>
      </c>
      <c r="U379" t="n">
        <v>531.8991650061265</v>
      </c>
      <c r="V379" t="n">
        <v>554.7358509050273</v>
      </c>
      <c r="W379" t="n">
        <v>577.1282014783397</v>
      </c>
      <c r="X379" t="n">
        <v>599.7054844701285</v>
      </c>
      <c r="Y379" t="n">
        <v>623.1804843201517</v>
      </c>
      <c r="Z379" t="n">
        <v>647.5574087575912</v>
      </c>
      <c r="AA379" t="n">
        <v>673.0012416020057</v>
      </c>
      <c r="AB379" t="n">
        <v>702.1041869959057</v>
      </c>
      <c r="AC379" t="n">
        <v>731.329008078488</v>
      </c>
      <c r="AD379" t="n">
        <v>717.8942962815695</v>
      </c>
      <c r="AE379" t="n">
        <v>747.8112728781769</v>
      </c>
      <c r="AF379" t="n">
        <v>778.9984081069413</v>
      </c>
      <c r="AG379" t="n">
        <v>811.5458082741532</v>
      </c>
      <c r="AH379" t="n">
        <v>845.0286246941371</v>
      </c>
      <c r="AI379" t="n">
        <v>878.2743747817307</v>
      </c>
    </row>
    <row r="380">
      <c r="A380" t="inlineStr">
        <is>
          <t>no_year_in_pairs</t>
        </is>
      </c>
      <c r="B380" s="2" t="n"/>
      <c r="C380" s="3" t="inlineStr">
        <is>
          <t>SM.19.158, Sup. 2</t>
        </is>
      </c>
      <c r="D380" s="4" t="inlineStr">
        <is>
          <t>Dominica</t>
        </is>
      </c>
      <c r="E380" s="4" t="inlineStr">
        <is>
          <t>DMA</t>
        </is>
      </c>
      <c r="F380" s="4" t="n"/>
      <c r="G380" s="4" t="inlineStr">
        <is>
          <t>2018gn</t>
        </is>
      </c>
      <c r="H380" s="4" t="n">
        <v>2018</v>
      </c>
      <c r="I380" s="5" t="n"/>
    </row>
    <row r="381">
      <c r="A381" t="inlineStr">
        <is>
          <t>no_year_in_pairs</t>
        </is>
      </c>
      <c r="B381" s="2" t="n"/>
      <c r="C381" s="3" t="inlineStr">
        <is>
          <t>SM.19.158, Sup. 2</t>
        </is>
      </c>
      <c r="D381" s="4" t="inlineStr">
        <is>
          <t>Dominica</t>
        </is>
      </c>
      <c r="E381" s="4" t="inlineStr">
        <is>
          <t>DMA</t>
        </is>
      </c>
      <c r="F381" s="4" t="n"/>
      <c r="G381" s="4" t="inlineStr">
        <is>
          <t>2018gn</t>
        </is>
      </c>
      <c r="H381" s="4" t="n">
        <v>2018</v>
      </c>
      <c r="I381" s="5" t="n"/>
      <c r="J381" t="inlineStr">
        <is>
          <t>Memorandum item</t>
        </is>
      </c>
    </row>
    <row r="382">
      <c r="A382" t="inlineStr">
        <is>
          <t>no_year_in_pairs</t>
        </is>
      </c>
      <c r="B382" s="2" t="n"/>
      <c r="C382" s="3" t="inlineStr">
        <is>
          <t>SM.19.158, Sup. 2</t>
        </is>
      </c>
      <c r="D382" s="4" t="inlineStr">
        <is>
          <t>Dominica</t>
        </is>
      </c>
      <c r="E382" s="4" t="inlineStr">
        <is>
          <t>DMA</t>
        </is>
      </c>
      <c r="F382" s="4" t="n"/>
      <c r="G382" s="4" t="inlineStr">
        <is>
          <t>2018gn</t>
        </is>
      </c>
      <c r="H382" s="4" t="n">
        <v>2018</v>
      </c>
      <c r="I382" s="4" t="inlineStr">
        <is>
          <t>xcg.rat.eop</t>
        </is>
      </c>
      <c r="J382" t="inlineStr">
        <is>
          <t>Exchange rate (eop)</t>
        </is>
      </c>
      <c r="N382" t="n">
        <v>2.7</v>
      </c>
      <c r="O382" t="n">
        <v>2.7</v>
      </c>
      <c r="P382" t="n">
        <v>2.7</v>
      </c>
      <c r="Q382" t="n">
        <v>2.7</v>
      </c>
      <c r="R382" t="n">
        <v>2.7</v>
      </c>
      <c r="S382" t="n">
        <v>2.7</v>
      </c>
      <c r="T382" t="n">
        <v>2.7</v>
      </c>
      <c r="U382" t="n">
        <v>2.7</v>
      </c>
      <c r="V382" t="n">
        <v>2.7</v>
      </c>
      <c r="W382" t="n">
        <v>2.7</v>
      </c>
      <c r="X382" t="n">
        <v>2.7</v>
      </c>
      <c r="Y382" t="n">
        <v>2.7</v>
      </c>
      <c r="Z382" t="n">
        <v>2.7</v>
      </c>
      <c r="AA382" t="n">
        <v>2.7</v>
      </c>
      <c r="AB382" t="n">
        <v>2.7</v>
      </c>
      <c r="AC382" t="n">
        <v>2.7</v>
      </c>
      <c r="AD382" t="n">
        <v>2.7</v>
      </c>
      <c r="AE382" t="n">
        <v>2.7</v>
      </c>
      <c r="AF382" t="n">
        <v>2.7</v>
      </c>
      <c r="AG382" t="n">
        <v>2.7</v>
      </c>
      <c r="AH382" t="n">
        <v>2.7</v>
      </c>
      <c r="AI382" t="n">
        <v>2.7</v>
      </c>
    </row>
    <row r="383">
      <c r="A383" t="inlineStr">
        <is>
          <t>no_year_in_pairs</t>
        </is>
      </c>
      <c r="B383" s="2" t="n"/>
      <c r="C383" s="3" t="inlineStr">
        <is>
          <t>SM.19.158, Sup. 2</t>
        </is>
      </c>
      <c r="D383" s="4" t="inlineStr">
        <is>
          <t>Dominica</t>
        </is>
      </c>
      <c r="E383" s="4" t="inlineStr">
        <is>
          <t>DMA</t>
        </is>
      </c>
      <c r="F383" s="4" t="n"/>
      <c r="G383" s="4" t="inlineStr">
        <is>
          <t>2018gn</t>
        </is>
      </c>
      <c r="H383" s="4" t="n">
        <v>2018</v>
      </c>
      <c r="I383" s="4" t="inlineStr">
        <is>
          <t>xcg.rat.pa</t>
        </is>
      </c>
      <c r="J383" t="inlineStr">
        <is>
          <t>Exchange rate (pa)</t>
        </is>
      </c>
      <c r="N383" t="n">
        <v>2.7</v>
      </c>
      <c r="O383" t="n">
        <v>2.7</v>
      </c>
      <c r="P383" t="n">
        <v>2.7</v>
      </c>
      <c r="Q383" t="n">
        <v>2.7</v>
      </c>
      <c r="R383" t="n">
        <v>2.7</v>
      </c>
      <c r="S383" t="n">
        <v>2.7</v>
      </c>
      <c r="T383" t="n">
        <v>2.7</v>
      </c>
      <c r="U383" t="n">
        <v>2.7</v>
      </c>
      <c r="V383" t="n">
        <v>2.7</v>
      </c>
      <c r="W383" t="n">
        <v>2.7</v>
      </c>
      <c r="X383" t="n">
        <v>2.7</v>
      </c>
      <c r="Y383" t="n">
        <v>2.7</v>
      </c>
      <c r="Z383" t="n">
        <v>2.7</v>
      </c>
      <c r="AA383" t="n">
        <v>2.7</v>
      </c>
      <c r="AB383" t="n">
        <v>2.7</v>
      </c>
      <c r="AC383" t="n">
        <v>2.7</v>
      </c>
      <c r="AD383" t="n">
        <v>2.7</v>
      </c>
      <c r="AE383" t="n">
        <v>2.7</v>
      </c>
      <c r="AF383" t="n">
        <v>2.7</v>
      </c>
      <c r="AG383" t="n">
        <v>2.7</v>
      </c>
      <c r="AH383" t="n">
        <v>2.7</v>
      </c>
      <c r="AI383" t="n">
        <v>2.7</v>
      </c>
    </row>
    <row r="384">
      <c r="A384" t="inlineStr">
        <is>
          <t>no_year_in_pairs</t>
        </is>
      </c>
      <c r="B384" s="2" t="n"/>
      <c r="C384" s="3" t="inlineStr">
        <is>
          <t>SM.19.158, Sup. 2</t>
        </is>
      </c>
      <c r="D384" s="4" t="inlineStr">
        <is>
          <t>Dominica</t>
        </is>
      </c>
      <c r="E384" s="4" t="inlineStr">
        <is>
          <t>DMA</t>
        </is>
      </c>
      <c r="F384" s="4" t="n"/>
      <c r="G384" s="4" t="inlineStr">
        <is>
          <t>2018gn</t>
        </is>
      </c>
      <c r="H384" s="4" t="n">
        <v>2018</v>
      </c>
      <c r="I384" s="5" t="n"/>
    </row>
    <row r="385">
      <c r="A385" t="inlineStr">
        <is>
          <t>no_year_in_pairs</t>
        </is>
      </c>
      <c r="B385" s="2" t="n"/>
      <c r="C385" s="3" t="inlineStr">
        <is>
          <t>SM.19.158, Sup. 2</t>
        </is>
      </c>
      <c r="D385" s="4" t="inlineStr">
        <is>
          <t>Dominica</t>
        </is>
      </c>
      <c r="E385" s="4" t="inlineStr">
        <is>
          <t>DMA</t>
        </is>
      </c>
      <c r="F385" s="4" t="n"/>
      <c r="G385" s="4" t="inlineStr">
        <is>
          <t>2018gn</t>
        </is>
      </c>
      <c r="H385" s="4" t="n">
        <v>2018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no_year_in_pairs</t>
        </is>
      </c>
      <c r="B386" s="2" t="n"/>
      <c r="C386" s="3" t="inlineStr">
        <is>
          <t>SM.19.158, Sup. 2</t>
        </is>
      </c>
      <c r="D386" s="4" t="inlineStr">
        <is>
          <t>Dominica</t>
        </is>
      </c>
      <c r="E386" s="4" t="inlineStr">
        <is>
          <t>DMA</t>
        </is>
      </c>
      <c r="F386" s="4" t="n"/>
      <c r="G386" s="4" t="inlineStr">
        <is>
          <t>2018gn</t>
        </is>
      </c>
      <c r="H386" s="4" t="n">
        <v>2018</v>
      </c>
      <c r="I386" s="5" t="n"/>
    </row>
    <row r="387">
      <c r="A387" t="inlineStr">
        <is>
          <t>no_year_in_pairs</t>
        </is>
      </c>
      <c r="B387" s="2" t="n"/>
      <c r="C387" s="3" t="inlineStr">
        <is>
          <t>SM.19.158, Sup. 2</t>
        </is>
      </c>
      <c r="D387" s="4" t="inlineStr">
        <is>
          <t>Dominica</t>
        </is>
      </c>
      <c r="E387" s="4" t="inlineStr">
        <is>
          <t>DMA</t>
        </is>
      </c>
      <c r="F387" s="4" t="n"/>
      <c r="G387" s="4" t="inlineStr">
        <is>
          <t>2018gn</t>
        </is>
      </c>
      <c r="H387" s="4" t="n">
        <v>2018</v>
      </c>
      <c r="I387" s="4" t="inlineStr">
        <is>
          <t>pv.new.dis.ppg</t>
        </is>
      </c>
      <c r="J387" t="inlineStr">
        <is>
          <t>PV of new disbursements PPG</t>
        </is>
      </c>
      <c r="O387" t="n">
        <v>42.48548003084457</v>
      </c>
      <c r="P387" t="n">
        <v>52.64876670033465</v>
      </c>
      <c r="Q387" t="n">
        <v>81.91967960409329</v>
      </c>
      <c r="R387" t="n">
        <v>92.13880098816003</v>
      </c>
      <c r="S387" t="n">
        <v>96.43534390909458</v>
      </c>
      <c r="T387" t="n">
        <v>109.2628992699186</v>
      </c>
      <c r="U387" t="n">
        <v>119.7732592796251</v>
      </c>
      <c r="V387" t="n">
        <v>131.8976664462967</v>
      </c>
      <c r="W387" t="n">
        <v>145.3825363404067</v>
      </c>
      <c r="X387" t="n">
        <v>160.4168115979189</v>
      </c>
      <c r="Y387" t="n">
        <v>177.3363003469582</v>
      </c>
      <c r="Z387" t="n">
        <v>192.8653478460041</v>
      </c>
      <c r="AA387" t="n">
        <v>209.4383762283012</v>
      </c>
      <c r="AB387" t="n">
        <v>225.0755505985553</v>
      </c>
      <c r="AC387" t="n">
        <v>237.8142381947339</v>
      </c>
      <c r="AD387" t="n">
        <v>208.4811740890899</v>
      </c>
      <c r="AE387" t="n">
        <v>222.9103099373133</v>
      </c>
      <c r="AF387" t="n">
        <v>237.7804430222567</v>
      </c>
      <c r="AG387" t="n">
        <v>252.988924548279</v>
      </c>
      <c r="AH387" t="n">
        <v>269.5782214387579</v>
      </c>
      <c r="AI387" t="n">
        <v>285.9149895708225</v>
      </c>
      <c r="BI387" t="inlineStr">
        <is>
          <t>PV_NEW_DIS_GE</t>
        </is>
      </c>
    </row>
    <row r="388">
      <c r="A388" t="inlineStr">
        <is>
          <t>no_year_in_pairs</t>
        </is>
      </c>
      <c r="B388" s="2" t="n"/>
      <c r="C388" s="3" t="inlineStr">
        <is>
          <t>SM.19.158, Sup. 2</t>
        </is>
      </c>
      <c r="D388" s="4" t="inlineStr">
        <is>
          <t>Dominica</t>
        </is>
      </c>
      <c r="E388" s="4" t="inlineStr">
        <is>
          <t>DMA</t>
        </is>
      </c>
      <c r="F388" s="4" t="n"/>
      <c r="G388" s="4" t="inlineStr">
        <is>
          <t>2018gn</t>
        </is>
      </c>
      <c r="H388" s="4" t="n">
        <v>2018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17.11349979120595</v>
      </c>
      <c r="P388" t="n">
        <v>24.78280264025517</v>
      </c>
      <c r="Q388" t="n">
        <v>17.841967655061</v>
      </c>
      <c r="R388" t="n">
        <v>16.26955458300976</v>
      </c>
      <c r="S388" t="n">
        <v>10.33783045479478</v>
      </c>
      <c r="T388" t="n">
        <v>10.02581479400638</v>
      </c>
      <c r="U388" t="n">
        <v>9.367962398285803</v>
      </c>
      <c r="V388" t="n">
        <v>8.802412174431256</v>
      </c>
      <c r="W388" t="n">
        <v>8.309820922727274</v>
      </c>
      <c r="X388" t="n">
        <v>7.83132210537028</v>
      </c>
      <c r="Y388" t="n">
        <v>7.366781149032168</v>
      </c>
      <c r="Z388" t="n">
        <v>7.031038787603146</v>
      </c>
      <c r="AA388" t="n">
        <v>6.717047279490736</v>
      </c>
      <c r="AB388" t="n">
        <v>6.480350149994906</v>
      </c>
      <c r="AC388" t="n">
        <v>6.290869779656819</v>
      </c>
      <c r="AD388" t="n">
        <v>7.287149742988336</v>
      </c>
      <c r="AE388" t="n">
        <v>7.069989953622678</v>
      </c>
      <c r="AF388" t="n">
        <v>6.879354955909915</v>
      </c>
      <c r="AG388" t="n">
        <v>6.710071616624399</v>
      </c>
      <c r="AH388" t="n">
        <v>6.389955234727646</v>
      </c>
      <c r="AI388" t="n">
        <v>6.25336317547251</v>
      </c>
      <c r="BI388" t="inlineStr">
        <is>
          <t>NEW_DIS_GE_PCT</t>
        </is>
      </c>
    </row>
    <row r="389">
      <c r="A389" t="inlineStr">
        <is>
          <t>no_year_in_pairs</t>
        </is>
      </c>
      <c r="B389" s="2" t="n"/>
      <c r="C389" s="3" t="inlineStr">
        <is>
          <t>SM.19.158, Sup. 2</t>
        </is>
      </c>
      <c r="D389" s="4" t="inlineStr">
        <is>
          <t>Dominica</t>
        </is>
      </c>
      <c r="E389" s="4" t="inlineStr">
        <is>
          <t>DMA</t>
        </is>
      </c>
      <c r="F389" s="4" t="n"/>
      <c r="G389" s="4" t="inlineStr">
        <is>
          <t>2018gn</t>
        </is>
      </c>
      <c r="H389" s="4" t="n">
        <v>2018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8.771938154049389</v>
      </c>
      <c r="P389" t="n">
        <v>17.3468839598846</v>
      </c>
      <c r="Q389" t="n">
        <v>17.79020543813242</v>
      </c>
      <c r="R389" t="n">
        <v>17.90337128178898</v>
      </c>
      <c r="S389" t="n">
        <v>11.11876101413562</v>
      </c>
      <c r="T389" t="n">
        <v>12.1751543448643</v>
      </c>
      <c r="U389" t="n">
        <v>12.38007462860398</v>
      </c>
      <c r="V389" t="n">
        <v>12.730793133768</v>
      </c>
      <c r="W389" t="n">
        <v>13.17592412228282</v>
      </c>
      <c r="X389" t="n">
        <v>13.63018057149542</v>
      </c>
      <c r="Y389" t="n">
        <v>14.10290747357992</v>
      </c>
      <c r="Z389" t="n">
        <v>14.58598357780734</v>
      </c>
      <c r="AA389" t="n">
        <v>15.08107788440498</v>
      </c>
      <c r="AB389" t="n">
        <v>15.59638407993306</v>
      </c>
      <c r="AC389" t="n">
        <v>15.96491612624725</v>
      </c>
      <c r="AD389" t="n">
        <v>16.38643974346288</v>
      </c>
      <c r="AE389" t="n">
        <v>16.9587160383306</v>
      </c>
      <c r="AF389" t="n">
        <v>17.56620208493102</v>
      </c>
      <c r="AG389" t="n">
        <v>18.19675319028596</v>
      </c>
      <c r="AH389" t="n">
        <v>18.40179407637898</v>
      </c>
      <c r="AI389" t="n">
        <v>19.07194036671832</v>
      </c>
      <c r="BI389" t="inlineStr">
        <is>
          <t>NEW_DIS_GE_USD</t>
        </is>
      </c>
    </row>
    <row r="390">
      <c r="A390" t="inlineStr">
        <is>
          <t>no_year_in_pairs</t>
        </is>
      </c>
      <c r="B390" s="2" t="n"/>
      <c r="C390" s="3" t="inlineStr">
        <is>
          <t>SM.19.158, Sup. 2</t>
        </is>
      </c>
      <c r="D390" s="4" t="inlineStr">
        <is>
          <t>Dominica</t>
        </is>
      </c>
      <c r="E390" s="4" t="inlineStr">
        <is>
          <t>DMA</t>
        </is>
      </c>
      <c r="F390" s="4" t="n"/>
      <c r="G390" s="4" t="inlineStr">
        <is>
          <t>2018gn</t>
        </is>
      </c>
      <c r="H390" s="4" t="n">
        <v>2018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5.000000000000001</v>
      </c>
      <c r="S390" t="n">
        <v>5</v>
      </c>
      <c r="T390" t="n">
        <v>5</v>
      </c>
      <c r="U390" t="n">
        <v>5</v>
      </c>
      <c r="V390" t="n">
        <v>5</v>
      </c>
      <c r="W390" t="n">
        <v>5.000000000000001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5.000000000000001</v>
      </c>
      <c r="AE390" t="n">
        <v>4.999999999999999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no_year_in_pairs</t>
        </is>
      </c>
      <c r="B391" s="2" t="n"/>
      <c r="C391" s="3" t="inlineStr">
        <is>
          <t>SM.19.158, Sup. 2</t>
        </is>
      </c>
      <c r="D391" s="4" t="inlineStr">
        <is>
          <t>Dominica</t>
        </is>
      </c>
      <c r="E391" s="4" t="inlineStr">
        <is>
          <t>DMA</t>
        </is>
      </c>
      <c r="F391" s="4" t="n"/>
      <c r="G391" s="4" t="inlineStr">
        <is>
          <t>2018gn</t>
        </is>
      </c>
      <c r="H391" s="4" t="n">
        <v>2018</v>
      </c>
      <c r="I391" s="5" t="n"/>
    </row>
    <row r="392">
      <c r="A392" t="inlineStr">
        <is>
          <t>no_year_in_pairs</t>
        </is>
      </c>
      <c r="B392" s="2" t="n"/>
      <c r="C392" s="3" t="inlineStr">
        <is>
          <t>SM.19.158, Sup. 2</t>
        </is>
      </c>
      <c r="D392" s="4" t="inlineStr">
        <is>
          <t>Dominica</t>
        </is>
      </c>
      <c r="E392" s="4" t="inlineStr">
        <is>
          <t>DMA</t>
        </is>
      </c>
      <c r="F392" s="4" t="n"/>
      <c r="G392" s="4" t="inlineStr">
        <is>
          <t>2018gn</t>
        </is>
      </c>
      <c r="H392" s="4" t="n">
        <v>2018</v>
      </c>
      <c r="I392" s="5" t="n"/>
    </row>
    <row r="393">
      <c r="A393" t="inlineStr">
        <is>
          <t>no_year_in_pairs</t>
        </is>
      </c>
      <c r="B393" s="2" t="n"/>
      <c r="C393" s="3" t="inlineStr">
        <is>
          <t>SM.19.158, Sup. 2</t>
        </is>
      </c>
      <c r="D393" s="4" t="inlineStr">
        <is>
          <t>Dominica</t>
        </is>
      </c>
      <c r="E393" s="4" t="inlineStr">
        <is>
          <t>DMA</t>
        </is>
      </c>
      <c r="F393" s="4" t="n"/>
      <c r="G393" s="4" t="inlineStr">
        <is>
          <t>2018gn</t>
        </is>
      </c>
      <c r="H393" s="4" t="n">
        <v>2018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no_year_in_pairs</t>
        </is>
      </c>
      <c r="B394" s="2" t="n"/>
      <c r="C394" s="3" t="inlineStr">
        <is>
          <t>SM.19.158, Sup. 2</t>
        </is>
      </c>
      <c r="D394" s="4" t="inlineStr">
        <is>
          <t>Dominica</t>
        </is>
      </c>
      <c r="E394" s="4" t="inlineStr">
        <is>
          <t>DMA</t>
        </is>
      </c>
      <c r="F394" s="4" t="n"/>
      <c r="G394" s="4" t="inlineStr">
        <is>
          <t>2018gn</t>
        </is>
      </c>
      <c r="H394" s="4" t="n">
        <v>2018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no_year_in_pairs</t>
        </is>
      </c>
      <c r="B395" s="2" t="n"/>
      <c r="C395" s="3" t="inlineStr">
        <is>
          <t>SM.19.158, Sup. 2</t>
        </is>
      </c>
      <c r="D395" s="4" t="inlineStr">
        <is>
          <t>Dominica</t>
        </is>
      </c>
      <c r="E395" s="4" t="inlineStr">
        <is>
          <t>DMA</t>
        </is>
      </c>
      <c r="F395" s="4" t="n"/>
      <c r="G395" s="4" t="inlineStr">
        <is>
          <t>2018gn</t>
        </is>
      </c>
      <c r="H395" s="4" t="n">
        <v>2018</v>
      </c>
      <c r="I395" s="5" t="n"/>
    </row>
    <row r="396">
      <c r="A396" t="inlineStr">
        <is>
          <t>no_year_in_pairs</t>
        </is>
      </c>
      <c r="B396" s="2" t="n"/>
      <c r="C396" s="3" t="inlineStr">
        <is>
          <t>SM.19.158, Sup. 2</t>
        </is>
      </c>
      <c r="D396" s="4" t="inlineStr">
        <is>
          <t>Dominica</t>
        </is>
      </c>
      <c r="E396" s="4" t="inlineStr">
        <is>
          <t>DMA</t>
        </is>
      </c>
      <c r="F396" s="4" t="n"/>
      <c r="G396" s="4" t="inlineStr">
        <is>
          <t>2018gn</t>
        </is>
      </c>
      <c r="H396" s="4" t="n">
        <v>2018</v>
      </c>
      <c r="I396" s="5" t="n"/>
    </row>
    <row r="397">
      <c r="A397" t="inlineStr">
        <is>
          <t>no_year_in_pairs</t>
        </is>
      </c>
      <c r="B397" s="2" t="n"/>
      <c r="C397" s="3" t="inlineStr">
        <is>
          <t>SM.19.158, Sup. 2</t>
        </is>
      </c>
      <c r="D397" s="4" t="inlineStr">
        <is>
          <t>Dominica</t>
        </is>
      </c>
      <c r="E397" s="4" t="inlineStr">
        <is>
          <t>DMA</t>
        </is>
      </c>
      <c r="F397" s="4" t="n"/>
      <c r="G397" s="4" t="inlineStr">
        <is>
          <t>2018gn</t>
        </is>
      </c>
      <c r="H397" s="4" t="n">
        <v>2018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15</v>
      </c>
      <c r="P397" t="n">
        <v>33</v>
      </c>
      <c r="Q397" t="n">
        <v>32</v>
      </c>
      <c r="R397" t="n">
        <v>33</v>
      </c>
      <c r="S397" t="n">
        <v>19</v>
      </c>
      <c r="T397" t="n">
        <v>21.52</v>
      </c>
      <c r="U397" t="n">
        <v>21.9256796871657</v>
      </c>
      <c r="V397" t="n">
        <v>22.6996542264938</v>
      </c>
      <c r="W397" t="n">
        <v>23.5009504039322</v>
      </c>
      <c r="X397" t="n">
        <v>24.3305317527934</v>
      </c>
      <c r="Y397" t="n">
        <v>25.1893972227495</v>
      </c>
      <c r="Z397" t="n">
        <v>26.078581179832</v>
      </c>
      <c r="AA397" t="n">
        <v>26.9991523647746</v>
      </c>
      <c r="AB397" t="n">
        <v>27.9522201429585</v>
      </c>
      <c r="AC397" t="n">
        <v>28.9389303377825</v>
      </c>
      <c r="AD397" t="n">
        <v>29.9604725222658</v>
      </c>
      <c r="AE397" t="n">
        <v>31.018075073269</v>
      </c>
      <c r="AF397" t="n">
        <v>32.113010919168</v>
      </c>
      <c r="AG397" t="n">
        <v>33.2465979226196</v>
      </c>
      <c r="AH397" t="n">
        <v>33.6794597259981</v>
      </c>
      <c r="AI397" t="n">
        <v>34.8944903565267</v>
      </c>
    </row>
    <row r="398">
      <c r="A398" t="inlineStr">
        <is>
          <t>no_year_in_pairs</t>
        </is>
      </c>
      <c r="B398" s="2" t="n"/>
      <c r="C398" s="3" t="inlineStr">
        <is>
          <t>SM.19.158, Sup. 2</t>
        </is>
      </c>
      <c r="D398" s="4" t="inlineStr">
        <is>
          <t>Dominica</t>
        </is>
      </c>
      <c r="E398" s="4" t="inlineStr">
        <is>
          <t>DMA</t>
        </is>
      </c>
      <c r="F398" s="4" t="n"/>
      <c r="G398" s="4" t="inlineStr">
        <is>
          <t>2018gn</t>
        </is>
      </c>
      <c r="H398" s="4" t="n">
        <v>2018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no_year_in_pairs</t>
        </is>
      </c>
      <c r="B399" s="2" t="n"/>
      <c r="C399" s="3" t="inlineStr">
        <is>
          <t>SM.19.158, Sup. 2</t>
        </is>
      </c>
      <c r="D399" s="4" t="inlineStr">
        <is>
          <t>Dominica</t>
        </is>
      </c>
      <c r="E399" s="4" t="inlineStr">
        <is>
          <t>DMA</t>
        </is>
      </c>
      <c r="F399" s="4" t="n"/>
      <c r="G399" s="4" t="inlineStr">
        <is>
          <t>2018gn</t>
        </is>
      </c>
      <c r="H399" s="4" t="n">
        <v>2018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no_year_in_pairs</t>
        </is>
      </c>
      <c r="B400" s="2" t="n"/>
      <c r="C400" s="3" t="inlineStr">
        <is>
          <t>SM.19.158, Sup. 2</t>
        </is>
      </c>
      <c r="D400" s="4" t="inlineStr">
        <is>
          <t>Dominica</t>
        </is>
      </c>
      <c r="E400" s="4" t="inlineStr">
        <is>
          <t>DMA</t>
        </is>
      </c>
      <c r="F400" s="4" t="n"/>
      <c r="G400" s="4" t="inlineStr">
        <is>
          <t>2018gn</t>
        </is>
      </c>
      <c r="H400" s="4" t="n">
        <v>2018</v>
      </c>
      <c r="I400" s="4" t="inlineStr">
        <is>
          <t>css.loan.mlt.ida.reg</t>
        </is>
      </c>
      <c r="J400" t="inlineStr">
        <is>
          <t>IDA - small economy</t>
        </is>
      </c>
      <c r="O400" t="n">
        <v>5</v>
      </c>
      <c r="P400" t="n">
        <v>16</v>
      </c>
      <c r="Q400" t="n">
        <v>16</v>
      </c>
      <c r="R400" t="n">
        <v>16</v>
      </c>
      <c r="S400" t="n">
        <v>11</v>
      </c>
      <c r="T400" t="n">
        <v>11.52</v>
      </c>
      <c r="U400" t="n">
        <v>11.9256796871657</v>
      </c>
      <c r="V400" t="n">
        <v>12.346655117517</v>
      </c>
      <c r="W400" t="n">
        <v>12.782491163789</v>
      </c>
      <c r="X400" t="n">
        <v>13.2337119050441</v>
      </c>
      <c r="Y400" t="n">
        <v>13.7008606837914</v>
      </c>
      <c r="Z400" t="n">
        <v>14.1845001059863</v>
      </c>
      <c r="AA400" t="n">
        <v>14.6852114744593</v>
      </c>
      <c r="AB400" t="n">
        <v>15.2035981883468</v>
      </c>
      <c r="AC400" t="n">
        <v>15.7402834768042</v>
      </c>
      <c r="AD400" t="n">
        <v>16.2959143650091</v>
      </c>
      <c r="AE400" t="n">
        <v>16.8711589840836</v>
      </c>
      <c r="AF400" t="n">
        <v>17.4667096973338</v>
      </c>
      <c r="AG400" t="n">
        <v>18.0832833084411</v>
      </c>
      <c r="AH400" t="n">
        <v>18.3512515538356</v>
      </c>
      <c r="AI400" t="n">
        <v>19.0121234773756</v>
      </c>
    </row>
    <row r="401">
      <c r="A401" t="inlineStr">
        <is>
          <t>no_year_in_pairs</t>
        </is>
      </c>
      <c r="B401" s="2" t="n"/>
      <c r="C401" s="3" t="inlineStr">
        <is>
          <t>SM.19.158, Sup. 2</t>
        </is>
      </c>
      <c r="D401" s="4" t="inlineStr">
        <is>
          <t>Dominica</t>
        </is>
      </c>
      <c r="E401" s="4" t="inlineStr">
        <is>
          <t>DMA</t>
        </is>
      </c>
      <c r="F401" s="4" t="n"/>
      <c r="G401" s="4" t="inlineStr">
        <is>
          <t>2018gn</t>
        </is>
      </c>
      <c r="H401" s="4" t="n">
        <v>2018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no_year_in_pairs</t>
        </is>
      </c>
      <c r="B402" s="2" t="n"/>
      <c r="C402" s="3" t="inlineStr">
        <is>
          <t>SM.19.158, Sup. 2</t>
        </is>
      </c>
      <c r="D402" s="4" t="inlineStr">
        <is>
          <t>Dominica</t>
        </is>
      </c>
      <c r="E402" s="4" t="inlineStr">
        <is>
          <t>DMA</t>
        </is>
      </c>
      <c r="F402" s="4" t="n"/>
      <c r="G402" s="4" t="inlineStr">
        <is>
          <t>2018gn</t>
        </is>
      </c>
      <c r="H402" s="4" t="n">
        <v>2018</v>
      </c>
      <c r="I402" s="4" t="inlineStr">
        <is>
          <t>css.loan.mlt.afdb</t>
        </is>
      </c>
      <c r="J402" t="inlineStr">
        <is>
          <t>CDB</t>
        </is>
      </c>
      <c r="O402" t="n">
        <v>10</v>
      </c>
      <c r="P402" t="n">
        <v>17</v>
      </c>
      <c r="Q402" t="n">
        <v>16</v>
      </c>
      <c r="R402" t="n">
        <v>17</v>
      </c>
      <c r="S402" t="n">
        <v>8</v>
      </c>
      <c r="T402" t="n">
        <v>10</v>
      </c>
      <c r="U402" t="n">
        <v>10</v>
      </c>
      <c r="V402" t="n">
        <v>10.3529991089768</v>
      </c>
      <c r="W402" t="n">
        <v>10.7184592401432</v>
      </c>
      <c r="X402" t="n">
        <v>11.0968198477493</v>
      </c>
      <c r="Y402" t="n">
        <v>11.4885365389581</v>
      </c>
      <c r="Z402" t="n">
        <v>11.8940810738457</v>
      </c>
      <c r="AA402" t="n">
        <v>12.3139408903153</v>
      </c>
      <c r="AB402" t="n">
        <v>12.7486219546117</v>
      </c>
      <c r="AC402" t="n">
        <v>13.1986468609783</v>
      </c>
      <c r="AD402" t="n">
        <v>13.6645581572567</v>
      </c>
      <c r="AE402" t="n">
        <v>14.1469160891854</v>
      </c>
      <c r="AF402" t="n">
        <v>14.6463012218342</v>
      </c>
      <c r="AG402" t="n">
        <v>15.1633146141785</v>
      </c>
      <c r="AH402" t="n">
        <v>15.3282081721625</v>
      </c>
      <c r="AI402" t="n">
        <v>15.8823668791511</v>
      </c>
    </row>
    <row r="403">
      <c r="A403" t="inlineStr">
        <is>
          <t>no_year_in_pairs</t>
        </is>
      </c>
      <c r="B403" s="2" t="n"/>
      <c r="C403" s="3" t="inlineStr">
        <is>
          <t>SM.19.158, Sup. 2</t>
        </is>
      </c>
      <c r="D403" s="4" t="inlineStr">
        <is>
          <t>Dominica</t>
        </is>
      </c>
      <c r="E403" s="4" t="inlineStr">
        <is>
          <t>DMA</t>
        </is>
      </c>
      <c r="F403" s="4" t="n"/>
      <c r="G403" s="4" t="inlineStr">
        <is>
          <t>2018gn</t>
        </is>
      </c>
      <c r="H403" s="4" t="n">
        <v>2018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no_year_in_pairs</t>
        </is>
      </c>
      <c r="B404" s="2" t="n"/>
      <c r="C404" s="3" t="inlineStr">
        <is>
          <t>SM.19.158, Sup. 2</t>
        </is>
      </c>
      <c r="D404" s="4" t="inlineStr">
        <is>
          <t>Dominica</t>
        </is>
      </c>
      <c r="E404" s="4" t="inlineStr">
        <is>
          <t>DMA</t>
        </is>
      </c>
      <c r="F404" s="4" t="n"/>
      <c r="G404" s="4" t="inlineStr">
        <is>
          <t>2018gn</t>
        </is>
      </c>
      <c r="H404" s="4" t="n">
        <v>2018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no_year_in_pairs</t>
        </is>
      </c>
      <c r="B405" s="2" t="n"/>
      <c r="C405" s="3" t="inlineStr">
        <is>
          <t>SM.19.158, Sup. 2</t>
        </is>
      </c>
      <c r="D405" s="4" t="inlineStr">
        <is>
          <t>Dominica</t>
        </is>
      </c>
      <c r="E405" s="4" t="inlineStr">
        <is>
          <t>DMA</t>
        </is>
      </c>
      <c r="F405" s="4" t="n"/>
      <c r="G405" s="4" t="inlineStr">
        <is>
          <t>2018gn</t>
        </is>
      </c>
      <c r="H405" s="4" t="n">
        <v>2018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no_year_in_pairs</t>
        </is>
      </c>
      <c r="B406" s="2" t="n"/>
      <c r="C406" s="3" t="inlineStr">
        <is>
          <t>SM.19.158, Sup. 2</t>
        </is>
      </c>
      <c r="D406" s="4" t="inlineStr">
        <is>
          <t>Dominica</t>
        </is>
      </c>
      <c r="E406" s="4" t="inlineStr">
        <is>
          <t>DMA</t>
        </is>
      </c>
      <c r="F406" s="4" t="n"/>
      <c r="G406" s="4" t="inlineStr">
        <is>
          <t>2018gn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no_year_in_pairs</t>
        </is>
      </c>
      <c r="B407" s="2" t="n"/>
      <c r="C407" s="3" t="inlineStr">
        <is>
          <t>SM.19.158, Sup. 2</t>
        </is>
      </c>
      <c r="D407" s="4" t="inlineStr">
        <is>
          <t>Dominica</t>
        </is>
      </c>
      <c r="E407" s="4" t="inlineStr">
        <is>
          <t>DMA</t>
        </is>
      </c>
      <c r="F407" s="4" t="n"/>
      <c r="G407" s="4" t="inlineStr">
        <is>
          <t>2018gn</t>
        </is>
      </c>
      <c r="H407" s="4" t="n">
        <v>2018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no_year_in_pairs</t>
        </is>
      </c>
      <c r="B408" s="2" t="n"/>
      <c r="C408" s="3" t="inlineStr">
        <is>
          <t>SM.19.158, Sup. 2</t>
        </is>
      </c>
      <c r="D408" s="4" t="inlineStr">
        <is>
          <t>Dominica</t>
        </is>
      </c>
      <c r="E408" s="4" t="inlineStr">
        <is>
          <t>DMA</t>
        </is>
      </c>
      <c r="F408" s="4" t="n"/>
      <c r="G408" s="4" t="inlineStr">
        <is>
          <t>2018gn</t>
        </is>
      </c>
      <c r="H408" s="4" t="n">
        <v>2018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no_year_in_pairs</t>
        </is>
      </c>
      <c r="B409" s="2" t="n"/>
      <c r="C409" s="3" t="inlineStr">
        <is>
          <t>SM.19.158, Sup. 2</t>
        </is>
      </c>
      <c r="D409" s="4" t="inlineStr">
        <is>
          <t>Dominica</t>
        </is>
      </c>
      <c r="E409" s="4" t="inlineStr">
        <is>
          <t>DMA</t>
        </is>
      </c>
      <c r="F409" s="4" t="n"/>
      <c r="G409" s="4" t="inlineStr">
        <is>
          <t>2018gn</t>
        </is>
      </c>
      <c r="H409" s="4" t="n">
        <v>2018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no_year_in_pairs</t>
        </is>
      </c>
      <c r="B410" s="2" t="n"/>
      <c r="C410" s="3" t="inlineStr">
        <is>
          <t>SM.19.158, Sup. 2</t>
        </is>
      </c>
      <c r="D410" s="4" t="inlineStr">
        <is>
          <t>Dominica</t>
        </is>
      </c>
      <c r="E410" s="4" t="inlineStr">
        <is>
          <t>DMA</t>
        </is>
      </c>
      <c r="F410" s="4" t="n"/>
      <c r="G410" s="4" t="inlineStr">
        <is>
          <t>2018gn</t>
        </is>
      </c>
      <c r="H410" s="4" t="n">
        <v>2018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no_year_in_pairs</t>
        </is>
      </c>
      <c r="B411" s="2" t="n"/>
      <c r="C411" s="3" t="inlineStr">
        <is>
          <t>SM.19.158, Sup. 2</t>
        </is>
      </c>
      <c r="D411" s="4" t="inlineStr">
        <is>
          <t>Dominica</t>
        </is>
      </c>
      <c r="E411" s="4" t="inlineStr">
        <is>
          <t>DMA</t>
        </is>
      </c>
      <c r="F411" s="4" t="n"/>
      <c r="G411" s="4" t="inlineStr">
        <is>
          <t>2018gn</t>
        </is>
      </c>
      <c r="H411" s="4" t="n">
        <v>2018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no_year_in_pairs</t>
        </is>
      </c>
      <c r="B412" s="2" t="n"/>
      <c r="C412" s="3" t="inlineStr">
        <is>
          <t>SM.19.158, Sup. 2</t>
        </is>
      </c>
      <c r="D412" s="4" t="inlineStr">
        <is>
          <t>Dominica</t>
        </is>
      </c>
      <c r="E412" s="4" t="inlineStr">
        <is>
          <t>DMA</t>
        </is>
      </c>
      <c r="F412" s="4" t="n"/>
      <c r="G412" s="4" t="inlineStr">
        <is>
          <t>2018gn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no_year_in_pairs</t>
        </is>
      </c>
      <c r="B413" s="2" t="n"/>
      <c r="C413" s="3" t="inlineStr">
        <is>
          <t>SM.19.158, Sup. 2</t>
        </is>
      </c>
      <c r="D413" s="4" t="inlineStr">
        <is>
          <t>Dominica</t>
        </is>
      </c>
      <c r="E413" s="4" t="inlineStr">
        <is>
          <t>DMA</t>
        </is>
      </c>
      <c r="F413" s="4" t="n"/>
      <c r="G413" s="4" t="inlineStr">
        <is>
          <t>2018gn</t>
        </is>
      </c>
      <c r="H413" s="4" t="n">
        <v>2018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no_year_in_pairs</t>
        </is>
      </c>
      <c r="B414" s="2" t="n"/>
      <c r="C414" s="3" t="inlineStr">
        <is>
          <t>SM.19.158, Sup. 2</t>
        </is>
      </c>
      <c r="D414" s="4" t="inlineStr">
        <is>
          <t>Dominica</t>
        </is>
      </c>
      <c r="E414" s="4" t="inlineStr">
        <is>
          <t>DMA</t>
        </is>
      </c>
      <c r="F414" s="4" t="n"/>
      <c r="G414" s="4" t="inlineStr">
        <is>
          <t>2018gn</t>
        </is>
      </c>
      <c r="H414" s="4" t="n">
        <v>2018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no_year_in_pairs</t>
        </is>
      </c>
      <c r="B415" s="2" t="n"/>
      <c r="C415" s="3" t="inlineStr">
        <is>
          <t>SM.19.158, Sup. 2</t>
        </is>
      </c>
      <c r="D415" s="4" t="inlineStr">
        <is>
          <t>Dominica</t>
        </is>
      </c>
      <c r="E415" s="4" t="inlineStr">
        <is>
          <t>DMA</t>
        </is>
      </c>
      <c r="F415" s="4" t="n"/>
      <c r="G415" s="4" t="inlineStr">
        <is>
          <t>2018gn</t>
        </is>
      </c>
      <c r="H415" s="4" t="n">
        <v>2018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no_year_in_pairs</t>
        </is>
      </c>
      <c r="B416" s="2" t="n"/>
      <c r="C416" s="3" t="inlineStr">
        <is>
          <t>SM.19.158, Sup. 2</t>
        </is>
      </c>
      <c r="D416" s="4" t="inlineStr">
        <is>
          <t>Dominica</t>
        </is>
      </c>
      <c r="E416" s="4" t="inlineStr">
        <is>
          <t>DMA</t>
        </is>
      </c>
      <c r="F416" s="4" t="n"/>
      <c r="G416" s="4" t="inlineStr">
        <is>
          <t>2018gn</t>
        </is>
      </c>
      <c r="H416" s="4" t="n">
        <v>2018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no_year_in_pairs</t>
        </is>
      </c>
      <c r="B417" s="2" t="n"/>
      <c r="C417" s="3" t="inlineStr">
        <is>
          <t>SM.19.158, Sup. 2</t>
        </is>
      </c>
      <c r="D417" s="4" t="inlineStr">
        <is>
          <t>Dominica</t>
        </is>
      </c>
      <c r="E417" s="4" t="inlineStr">
        <is>
          <t>DMA</t>
        </is>
      </c>
      <c r="F417" s="4" t="n"/>
      <c r="G417" s="4" t="inlineStr">
        <is>
          <t>2018gn</t>
        </is>
      </c>
      <c r="H417" s="4" t="n">
        <v>2018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no_year_in_pairs</t>
        </is>
      </c>
      <c r="B418" s="2" t="n"/>
      <c r="C418" s="3" t="inlineStr">
        <is>
          <t>SM.19.158, Sup. 2</t>
        </is>
      </c>
      <c r="D418" s="4" t="inlineStr">
        <is>
          <t>Dominica</t>
        </is>
      </c>
      <c r="E418" s="4" t="inlineStr">
        <is>
          <t>DMA</t>
        </is>
      </c>
      <c r="F418" s="4" t="n"/>
      <c r="G418" s="4" t="inlineStr">
        <is>
          <t>2018gn</t>
        </is>
      </c>
      <c r="H418" s="4" t="n">
        <v>2018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no_year_in_pairs</t>
        </is>
      </c>
      <c r="B419" s="2" t="n"/>
      <c r="C419" s="3" t="inlineStr">
        <is>
          <t>SM.19.158, Sup. 2</t>
        </is>
      </c>
      <c r="D419" s="4" t="inlineStr">
        <is>
          <t>Dominica</t>
        </is>
      </c>
      <c r="E419" s="4" t="inlineStr">
        <is>
          <t>DMA</t>
        </is>
      </c>
      <c r="F419" s="4" t="n"/>
      <c r="G419" s="4" t="inlineStr">
        <is>
          <t>2018gn</t>
        </is>
      </c>
      <c r="H419" s="4" t="n">
        <v>2018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no_year_in_pairs</t>
        </is>
      </c>
      <c r="B420" s="2" t="n"/>
      <c r="C420" s="3" t="inlineStr">
        <is>
          <t>SM.19.158, Sup. 2</t>
        </is>
      </c>
      <c r="D420" s="4" t="inlineStr">
        <is>
          <t>Dominica</t>
        </is>
      </c>
      <c r="E420" s="4" t="inlineStr">
        <is>
          <t>DMA</t>
        </is>
      </c>
      <c r="F420" s="4" t="n"/>
      <c r="G420" s="4" t="inlineStr">
        <is>
          <t>2018gn</t>
        </is>
      </c>
      <c r="H420" s="4" t="n">
        <v>2018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no_year_in_pairs</t>
        </is>
      </c>
      <c r="B421" s="2" t="n"/>
      <c r="C421" s="3" t="inlineStr">
        <is>
          <t>SM.19.158, Sup. 2</t>
        </is>
      </c>
      <c r="D421" s="4" t="inlineStr">
        <is>
          <t>Dominica</t>
        </is>
      </c>
      <c r="E421" s="4" t="inlineStr">
        <is>
          <t>DMA</t>
        </is>
      </c>
      <c r="F421" s="4" t="n"/>
      <c r="G421" s="4" t="inlineStr">
        <is>
          <t>2018gn</t>
        </is>
      </c>
      <c r="H421" s="4" t="n">
        <v>2018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no_year_in_pairs</t>
        </is>
      </c>
      <c r="B422" s="2" t="n"/>
      <c r="C422" s="3" t="inlineStr">
        <is>
          <t>SM.19.158, Sup. 2</t>
        </is>
      </c>
      <c r="D422" s="4" t="inlineStr">
        <is>
          <t>Dominica</t>
        </is>
      </c>
      <c r="E422" s="4" t="inlineStr">
        <is>
          <t>DMA</t>
        </is>
      </c>
      <c r="F422" s="4" t="n"/>
      <c r="G422" s="4" t="inlineStr">
        <is>
          <t>2018gn</t>
        </is>
      </c>
      <c r="H422" s="4" t="n">
        <v>2018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no_year_in_pairs</t>
        </is>
      </c>
      <c r="B423" s="2" t="n"/>
      <c r="C423" s="3" t="inlineStr">
        <is>
          <t>SM.19.158, Sup. 2</t>
        </is>
      </c>
      <c r="D423" s="4" t="inlineStr">
        <is>
          <t>Dominica</t>
        </is>
      </c>
      <c r="E423" s="4" t="inlineStr">
        <is>
          <t>DMA</t>
        </is>
      </c>
      <c r="F423" s="4" t="n"/>
      <c r="G423" s="4" t="inlineStr">
        <is>
          <t>2018gn</t>
        </is>
      </c>
      <c r="H423" s="4" t="n">
        <v>2018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no_year_in_pairs</t>
        </is>
      </c>
      <c r="C424" t="inlineStr">
        <is>
          <t>SM.19.158, Sup. 2</t>
        </is>
      </c>
      <c r="D424" t="inlineStr">
        <is>
          <t>Dominica</t>
        </is>
      </c>
      <c r="E424" t="inlineStr">
        <is>
          <t>DMA</t>
        </is>
      </c>
      <c r="G424" t="inlineStr">
        <is>
          <t>2018gn</t>
        </is>
      </c>
      <c r="H424" t="n">
        <v>2018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Dominica_2022_January</t>
        </is>
      </c>
      <c r="B2" s="2" t="n"/>
      <c r="C2" s="3" t="inlineStr">
        <is>
          <t>SM.22.7, Sup.2</t>
        </is>
      </c>
      <c r="D2" s="4" t="inlineStr">
        <is>
          <t>Dominica</t>
        </is>
      </c>
      <c r="E2" s="4" t="inlineStr">
        <is>
          <t>DMA</t>
        </is>
      </c>
      <c r="F2" s="10" t="n">
        <v>44562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Dominica_2022_January</t>
        </is>
      </c>
      <c r="B3" s="2" t="n"/>
      <c r="C3" s="3" t="inlineStr">
        <is>
          <t>SM.22.7, Sup.2</t>
        </is>
      </c>
      <c r="D3" s="4" t="inlineStr">
        <is>
          <t>Dominica</t>
        </is>
      </c>
      <c r="E3" s="4" t="inlineStr">
        <is>
          <t>DMA</t>
        </is>
      </c>
      <c r="F3" s="10" t="n">
        <v>44562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Dominica_2022_January</t>
        </is>
      </c>
      <c r="B4" s="2" t="n"/>
      <c r="C4" s="3" t="inlineStr">
        <is>
          <t>SM.22.7, Sup.2</t>
        </is>
      </c>
      <c r="D4" s="4" t="inlineStr">
        <is>
          <t>Dominica</t>
        </is>
      </c>
      <c r="E4" s="4" t="inlineStr">
        <is>
          <t>DMA</t>
        </is>
      </c>
      <c r="F4" s="10" t="n">
        <v>44562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Dominica_2022_January</t>
        </is>
      </c>
      <c r="B5" s="2" t="n"/>
      <c r="C5" s="3" t="inlineStr">
        <is>
          <t>SM.22.7, Sup.2</t>
        </is>
      </c>
      <c r="D5" s="4" t="inlineStr">
        <is>
          <t>Dominica</t>
        </is>
      </c>
      <c r="E5" s="4" t="inlineStr">
        <is>
          <t>DMA</t>
        </is>
      </c>
      <c r="F5" s="10" t="n">
        <v>44562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Dominica_2022_January</t>
        </is>
      </c>
      <c r="B6" s="2" t="n"/>
      <c r="C6" s="3" t="inlineStr">
        <is>
          <t>SM.22.7, Sup.2</t>
        </is>
      </c>
      <c r="D6" s="4" t="inlineStr">
        <is>
          <t>Dominica</t>
        </is>
      </c>
      <c r="E6" s="4" t="inlineStr">
        <is>
          <t>DMA</t>
        </is>
      </c>
      <c r="F6" s="10" t="n">
        <v>44562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Dominica_2022_January</t>
        </is>
      </c>
      <c r="B7" s="2" t="n"/>
      <c r="C7" s="3" t="inlineStr">
        <is>
          <t>SM.22.7, Sup.2</t>
        </is>
      </c>
      <c r="D7" s="4" t="inlineStr">
        <is>
          <t>Dominica</t>
        </is>
      </c>
      <c r="E7" s="4" t="inlineStr">
        <is>
          <t>DMA</t>
        </is>
      </c>
      <c r="F7" s="10" t="n">
        <v>44562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Dominica_2022_January</t>
        </is>
      </c>
      <c r="B8" s="2" t="n"/>
      <c r="C8" s="3" t="inlineStr">
        <is>
          <t>SM.22.7, Sup.2</t>
        </is>
      </c>
      <c r="D8" s="4" t="inlineStr">
        <is>
          <t>Dominica</t>
        </is>
      </c>
      <c r="E8" s="4" t="inlineStr">
        <is>
          <t>DMA</t>
        </is>
      </c>
      <c r="F8" s="10" t="n">
        <v>44562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Dominica_2022_January</t>
        </is>
      </c>
      <c r="B9" s="2" t="n"/>
      <c r="C9" s="3" t="inlineStr">
        <is>
          <t>SM.22.7, Sup.2</t>
        </is>
      </c>
      <c r="D9" s="4" t="inlineStr">
        <is>
          <t>Dominica</t>
        </is>
      </c>
      <c r="E9" s="4" t="inlineStr">
        <is>
          <t>DMA</t>
        </is>
      </c>
      <c r="F9" s="10" t="n">
        <v>44562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Dominica_2022_January</t>
        </is>
      </c>
      <c r="B10" s="2" t="n"/>
      <c r="C10" s="3" t="inlineStr">
        <is>
          <t>SM.22.7, Sup.2</t>
        </is>
      </c>
      <c r="D10" s="4" t="inlineStr">
        <is>
          <t>Dominica</t>
        </is>
      </c>
      <c r="E10" s="4" t="inlineStr">
        <is>
          <t>DMA</t>
        </is>
      </c>
      <c r="F10" s="10" t="n">
        <v>44562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Dominica_2022_January</t>
        </is>
      </c>
      <c r="B11" s="2" t="n"/>
      <c r="C11" s="3" t="inlineStr">
        <is>
          <t>SM.22.7, Sup.2</t>
        </is>
      </c>
      <c r="D11" s="4" t="inlineStr">
        <is>
          <t>Dominica</t>
        </is>
      </c>
      <c r="E11" s="4" t="inlineStr">
        <is>
          <t>DMA</t>
        </is>
      </c>
      <c r="F11" s="10" t="n">
        <v>44562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11.10185618518519</v>
      </c>
      <c r="O11" t="n">
        <v>7.51329544444445</v>
      </c>
      <c r="P11" t="n">
        <v>13.86671429629627</v>
      </c>
      <c r="Q11" t="n">
        <v>15.14793688888893</v>
      </c>
      <c r="R11" t="n">
        <v>16.12635493604879</v>
      </c>
      <c r="S11" t="n">
        <v>15.2590843890744</v>
      </c>
      <c r="T11" t="n">
        <v>14.39655951254786</v>
      </c>
      <c r="U11" t="n">
        <v>13.26399396353621</v>
      </c>
      <c r="V11" t="n">
        <v>12.58124531817767</v>
      </c>
      <c r="W11" t="n">
        <v>11.74992162318057</v>
      </c>
      <c r="X11" t="n">
        <v>11.21345858145423</v>
      </c>
      <c r="Y11" t="n">
        <v>10.73117679819524</v>
      </c>
      <c r="Z11" t="n">
        <v>10.27714144714186</v>
      </c>
      <c r="AA11" t="n">
        <v>9.849434563817372</v>
      </c>
      <c r="AB11" t="n">
        <v>9.446274803323369</v>
      </c>
      <c r="AC11" t="n">
        <v>9.06600723479157</v>
      </c>
      <c r="AD11" t="n">
        <v>10.03434067508172</v>
      </c>
      <c r="AE11" t="n">
        <v>6.872131253477232</v>
      </c>
      <c r="AF11" t="n">
        <v>6.586279254287561</v>
      </c>
      <c r="AG11" t="n">
        <v>6.317786370958007</v>
      </c>
      <c r="AH11" t="n">
        <v>6.065502439956301</v>
      </c>
      <c r="AI11" t="n">
        <v>5.828357150365971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Dominica_2022_January</t>
        </is>
      </c>
      <c r="B12" s="2" t="n"/>
      <c r="C12" s="3" t="inlineStr">
        <is>
          <t>SM.22.7, Sup.2</t>
        </is>
      </c>
      <c r="D12" s="4" t="inlineStr">
        <is>
          <t>Dominica</t>
        </is>
      </c>
      <c r="E12" s="4" t="inlineStr">
        <is>
          <t>DMA</t>
        </is>
      </c>
      <c r="F12" s="10" t="n">
        <v>44562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1.46091562962963</v>
      </c>
      <c r="O12" t="n">
        <v>2.0310702962963</v>
      </c>
      <c r="P12" t="n">
        <v>1.74091740740741</v>
      </c>
      <c r="Q12" t="n">
        <v>1.74091740740741</v>
      </c>
      <c r="R12" t="n">
        <v>1.58057833021344</v>
      </c>
      <c r="S12" t="n">
        <v>1.43500653271608</v>
      </c>
      <c r="T12" t="n">
        <v>1.30284194688393</v>
      </c>
      <c r="U12" t="n">
        <v>1.18284976399904</v>
      </c>
      <c r="V12" t="n">
        <v>1.07390890164303</v>
      </c>
      <c r="W12" t="n">
        <v>0.975001529466492</v>
      </c>
      <c r="X12" t="n">
        <v>0.885203559638608</v>
      </c>
      <c r="Y12" t="n">
        <v>0.803676013129568</v>
      </c>
      <c r="Z12" t="n">
        <v>0.72965718116128</v>
      </c>
      <c r="AA12" t="n">
        <v>0.662455508591112</v>
      </c>
      <c r="AB12" t="n">
        <v>0.601443132738398</v>
      </c>
      <c r="AC12" t="n">
        <v>0.5460500172872</v>
      </c>
      <c r="AD12" t="n">
        <v>0.495758626458611</v>
      </c>
      <c r="AE12" t="n">
        <v>0.450099089693572</v>
      </c>
      <c r="AF12" t="n">
        <v>0.408644811670051</v>
      </c>
      <c r="AG12" t="n">
        <v>0.371008486639107</v>
      </c>
      <c r="AH12" t="n">
        <v>0.336838479841951</v>
      </c>
      <c r="AI12" t="n">
        <v>0.30581554219972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Dominica_2022_January</t>
        </is>
      </c>
      <c r="B13" s="2" t="n"/>
      <c r="C13" s="3" t="inlineStr">
        <is>
          <t>SM.22.7, Sup.2</t>
        </is>
      </c>
      <c r="D13" s="4" t="inlineStr">
        <is>
          <t>Dominica</t>
        </is>
      </c>
      <c r="E13" s="4" t="inlineStr">
        <is>
          <t>DMA</t>
        </is>
      </c>
      <c r="F13" s="10" t="n">
        <v>44562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small economy</t>
        </is>
      </c>
      <c r="N13" t="n">
        <v>1.31679362962963</v>
      </c>
      <c r="O13" t="n">
        <v>1.32326214814815</v>
      </c>
      <c r="P13" t="n">
        <v>2.05907825925926</v>
      </c>
      <c r="Q13" t="n">
        <v>2.40091351851852</v>
      </c>
      <c r="R13" t="n">
        <v>2.90059552322425</v>
      </c>
      <c r="S13" t="n">
        <v>2.87948273161832</v>
      </c>
      <c r="T13" t="n">
        <v>2.85852361534073</v>
      </c>
      <c r="U13" t="n">
        <v>2.83771705582283</v>
      </c>
      <c r="V13" t="n">
        <v>2.81706194263781</v>
      </c>
      <c r="W13" t="n">
        <v>2.79655717344139</v>
      </c>
      <c r="X13" t="n">
        <v>2.776201653913</v>
      </c>
      <c r="Y13" t="n">
        <v>2.75599429769743</v>
      </c>
      <c r="Z13" t="n">
        <v>2.73593402634677</v>
      </c>
      <c r="AA13" t="n">
        <v>2.71601976926289</v>
      </c>
      <c r="AB13" t="n">
        <v>2.69625046364034</v>
      </c>
      <c r="AC13" t="n">
        <v>2.67662505440957</v>
      </c>
      <c r="AD13" t="n">
        <v>2.65714249418065</v>
      </c>
      <c r="AE13" t="n">
        <v>2.63780174318738</v>
      </c>
      <c r="AF13" t="n">
        <v>2.61860176923177</v>
      </c>
      <c r="AG13" t="n">
        <v>2.59954154762898</v>
      </c>
      <c r="AH13" t="n">
        <v>2.58062006115264</v>
      </c>
      <c r="AI13" t="n">
        <v>2.56183629998051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Dominica_2022_January</t>
        </is>
      </c>
      <c r="B14" s="2" t="n"/>
      <c r="C14" s="3" t="inlineStr">
        <is>
          <t>SM.22.7, Sup.2</t>
        </is>
      </c>
      <c r="D14" s="4" t="inlineStr">
        <is>
          <t>Dominica</t>
        </is>
      </c>
      <c r="E14" s="4" t="inlineStr">
        <is>
          <t>DMA</t>
        </is>
      </c>
      <c r="F14" s="10" t="n">
        <v>44562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Dominica_2022_January</t>
        </is>
      </c>
      <c r="B15" s="2" t="n"/>
      <c r="C15" s="3" t="inlineStr">
        <is>
          <t>SM.22.7, Sup.2</t>
        </is>
      </c>
      <c r="D15" s="4" t="inlineStr">
        <is>
          <t>Dominica</t>
        </is>
      </c>
      <c r="E15" s="4" t="inlineStr">
        <is>
          <t>DMA</t>
        </is>
      </c>
      <c r="F15" s="10" t="n">
        <v>44562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CDB</t>
        </is>
      </c>
      <c r="N15" t="n">
        <v>8.32414692592593</v>
      </c>
      <c r="O15" t="n">
        <v>4.158963</v>
      </c>
      <c r="P15" t="n">
        <v>10.0667186296296</v>
      </c>
      <c r="Q15" t="n">
        <v>11.006105962963</v>
      </c>
      <c r="R15" t="n">
        <v>11.6451810826111</v>
      </c>
      <c r="S15" t="n">
        <v>10.94459512474</v>
      </c>
      <c r="T15" t="n">
        <v>10.2351939503232</v>
      </c>
      <c r="U15" t="n">
        <v>9.24342714371434</v>
      </c>
      <c r="V15" t="n">
        <v>8.69027447389683</v>
      </c>
      <c r="W15" t="n">
        <v>7.97836292027269</v>
      </c>
      <c r="X15" t="n">
        <v>7.55205336790262</v>
      </c>
      <c r="Y15" t="n">
        <v>7.17150648736824</v>
      </c>
      <c r="Z15" t="n">
        <v>6.81155023963381</v>
      </c>
      <c r="AA15" t="n">
        <v>6.47095928596337</v>
      </c>
      <c r="AB15" t="n">
        <v>6.14858120694463</v>
      </c>
      <c r="AC15" t="n">
        <v>5.8433321630948</v>
      </c>
      <c r="AD15" t="n">
        <v>6.88143955444246</v>
      </c>
      <c r="AE15" t="n">
        <v>3.78423042059628</v>
      </c>
      <c r="AF15" t="n">
        <v>3.55903267338574</v>
      </c>
      <c r="AG15" t="n">
        <v>3.34723633668992</v>
      </c>
      <c r="AH15" t="n">
        <v>3.14804389896171</v>
      </c>
      <c r="AI15" t="n">
        <v>2.96070530818574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Dominica_2022_January</t>
        </is>
      </c>
      <c r="B16" s="2" t="n"/>
      <c r="C16" s="3" t="inlineStr">
        <is>
          <t>SM.22.7, Sup.2</t>
        </is>
      </c>
      <c r="D16" s="4" t="inlineStr">
        <is>
          <t>Dominica</t>
        </is>
      </c>
      <c r="E16" s="4" t="inlineStr">
        <is>
          <t>DMA</t>
        </is>
      </c>
      <c r="F16" s="10" t="n">
        <v>44562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MULTIRES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Dominica_2022_January</t>
        </is>
      </c>
      <c r="B17" s="2" t="n"/>
      <c r="C17" s="3" t="inlineStr">
        <is>
          <t>SM.22.7, Sup.2</t>
        </is>
      </c>
      <c r="D17" s="4" t="inlineStr">
        <is>
          <t>Dominica</t>
        </is>
      </c>
      <c r="E17" s="4" t="inlineStr">
        <is>
          <t>DMA</t>
        </is>
      </c>
      <c r="F17" s="10" t="n">
        <v>44562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Dominica_2022_January</t>
        </is>
      </c>
      <c r="B18" s="2" t="n"/>
      <c r="C18" s="3" t="inlineStr">
        <is>
          <t>SM.22.7, Sup.2</t>
        </is>
      </c>
      <c r="D18" s="4" t="inlineStr">
        <is>
          <t>Dominica</t>
        </is>
      </c>
      <c r="E18" s="4" t="inlineStr">
        <is>
          <t>DMA</t>
        </is>
      </c>
      <c r="F18" s="10" t="n">
        <v>44562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1.17804144444445</v>
      </c>
      <c r="O18" t="n">
        <v>5.89984988888889</v>
      </c>
      <c r="P18" t="n">
        <v>3.7837042962963</v>
      </c>
      <c r="Q18" t="n">
        <v>3.71647225925926</v>
      </c>
      <c r="R18" t="n">
        <v>2.99234589859555</v>
      </c>
      <c r="S18" t="n">
        <v>2.01799766183217</v>
      </c>
      <c r="T18" t="n">
        <v>1.28517048679564</v>
      </c>
      <c r="U18" t="n">
        <v>0.152947408573123</v>
      </c>
      <c r="V18" t="n">
        <v>0.0285369423922397</v>
      </c>
      <c r="W18" t="n">
        <v>0.0205775974318261</v>
      </c>
      <c r="X18" t="n">
        <v>0.016513320987638</v>
      </c>
      <c r="Y18" t="n">
        <v>0.0138536621122416</v>
      </c>
      <c r="Z18" t="n">
        <v>0.0118363688681473</v>
      </c>
      <c r="AA18" t="n">
        <v>0.0101857111363213</v>
      </c>
      <c r="AB18" t="n">
        <v>0.00878965630317818</v>
      </c>
      <c r="AC18" t="n">
        <v>0.00759306864273679</v>
      </c>
      <c r="AD18" t="n">
        <v>0.00656207828092104</v>
      </c>
      <c r="AE18" t="n">
        <v>0.00567197256328189</v>
      </c>
      <c r="AF18" t="n">
        <v>0.00490290197990362</v>
      </c>
      <c r="AG18" t="n">
        <v>0.0042382096882343</v>
      </c>
      <c r="AH18" t="n">
        <v>0.003663663424462</v>
      </c>
      <c r="AI18" t="n">
        <v>0.00316701556761023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Dominica_2022_January</t>
        </is>
      </c>
      <c r="B19" s="2" t="n"/>
      <c r="C19" s="3" t="inlineStr">
        <is>
          <t>SM.22.7, Sup.2</t>
        </is>
      </c>
      <c r="D19" s="4" t="inlineStr">
        <is>
          <t>Dominica</t>
        </is>
      </c>
      <c r="E19" s="4" t="inlineStr">
        <is>
          <t>DMA</t>
        </is>
      </c>
      <c r="F19" s="10" t="n">
        <v>44562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1.17804144444445</v>
      </c>
      <c r="O19" t="n">
        <v>5.89984988888889</v>
      </c>
      <c r="P19" t="n">
        <v>3.7837042962963</v>
      </c>
      <c r="Q19" t="n">
        <v>3.71647225925926</v>
      </c>
      <c r="R19" t="n">
        <v>2.99234589859555</v>
      </c>
      <c r="S19" t="n">
        <v>2.01799766183217</v>
      </c>
      <c r="T19" t="n">
        <v>1.28517048679564</v>
      </c>
      <c r="U19" t="n">
        <v>0.152947408573123</v>
      </c>
      <c r="V19" t="n">
        <v>0.0285369423922397</v>
      </c>
      <c r="W19" t="n">
        <v>0.0205775974318261</v>
      </c>
      <c r="X19" t="n">
        <v>0.016513320987638</v>
      </c>
      <c r="Y19" t="n">
        <v>0.0138536621122416</v>
      </c>
      <c r="Z19" t="n">
        <v>0.0118363688681473</v>
      </c>
      <c r="AA19" t="n">
        <v>0.0101857111363213</v>
      </c>
      <c r="AB19" t="n">
        <v>0.00878965630317818</v>
      </c>
      <c r="AC19" t="n">
        <v>0.00759306864273679</v>
      </c>
      <c r="AD19" t="n">
        <v>0.00656207828092104</v>
      </c>
      <c r="AE19" t="n">
        <v>0.00567197256328189</v>
      </c>
      <c r="AF19" t="n">
        <v>0.00490290197990362</v>
      </c>
      <c r="AG19" t="n">
        <v>0.0042382096882343</v>
      </c>
      <c r="AH19" t="n">
        <v>0.003663663424462</v>
      </c>
      <c r="AI19" t="n">
        <v>0.00316701556761023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Dominica_2022_January</t>
        </is>
      </c>
      <c r="B20" s="2" t="n"/>
      <c r="C20" s="3" t="inlineStr">
        <is>
          <t>SM.22.7, Sup.2</t>
        </is>
      </c>
      <c r="D20" s="4" t="inlineStr">
        <is>
          <t>Dominica</t>
        </is>
      </c>
      <c r="E20" s="4" t="inlineStr">
        <is>
          <t>DMA</t>
        </is>
      </c>
      <c r="F20" s="10" t="n">
        <v>44562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Dominica_2022_January</t>
        </is>
      </c>
      <c r="B21" s="2" t="n"/>
      <c r="C21" s="3" t="inlineStr">
        <is>
          <t>SM.22.7, Sup.2</t>
        </is>
      </c>
      <c r="D21" s="4" t="inlineStr">
        <is>
          <t>Dominica</t>
        </is>
      </c>
      <c r="E21" s="4" t="inlineStr">
        <is>
          <t>DMA</t>
        </is>
      </c>
      <c r="F21" s="10" t="n">
        <v>44562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Dominica_2022_January</t>
        </is>
      </c>
      <c r="B22" s="2" t="n"/>
      <c r="C22" s="3" t="inlineStr">
        <is>
          <t>SM.22.7, Sup.2</t>
        </is>
      </c>
      <c r="D22" s="4" t="inlineStr">
        <is>
          <t>Dominica</t>
        </is>
      </c>
      <c r="E22" s="4" t="inlineStr">
        <is>
          <t>DMA</t>
        </is>
      </c>
      <c r="F22" s="10" t="n">
        <v>44562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2.936159065942595</v>
      </c>
      <c r="O22" t="n">
        <v>4.593234586588703</v>
      </c>
      <c r="P22" t="n">
        <v>8.963841651174612</v>
      </c>
      <c r="Q22" t="n">
        <v>8.927897375785882</v>
      </c>
      <c r="R22" t="n">
        <v>6.915524404813112</v>
      </c>
      <c r="S22" t="n">
        <v>5.790007025542641</v>
      </c>
      <c r="T22" t="n">
        <v>4.919510631251946</v>
      </c>
      <c r="U22" t="n">
        <v>4.142171995630523</v>
      </c>
      <c r="V22" t="n">
        <v>3.509289053432475</v>
      </c>
      <c r="W22" t="n">
        <v>2.989370560146176</v>
      </c>
      <c r="X22" t="n">
        <v>2.59933680959448</v>
      </c>
      <c r="Y22" t="n">
        <v>2.273377767990718</v>
      </c>
      <c r="Z22" t="n">
        <v>1.99178073043856</v>
      </c>
      <c r="AA22" t="n">
        <v>1.758585521243253</v>
      </c>
      <c r="AB22" t="n">
        <v>1.565486964584468</v>
      </c>
      <c r="AC22" t="n">
        <v>1.166895246318736</v>
      </c>
      <c r="AD22" t="n">
        <v>0.846462455857813</v>
      </c>
      <c r="AE22" t="n">
        <v>0.7422795655823663</v>
      </c>
      <c r="AF22" t="n">
        <v>0.6538166763088193</v>
      </c>
      <c r="AG22" t="n">
        <v>-1.423564691267882</v>
      </c>
      <c r="AH22" t="n">
        <v>-1.486341292744904</v>
      </c>
      <c r="AI22" t="n">
        <v>0.4607713292495526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Dominica_2022_January</t>
        </is>
      </c>
      <c r="B23" s="2" t="n"/>
      <c r="C23" s="3" t="inlineStr">
        <is>
          <t>SM.22.7, Sup.2</t>
        </is>
      </c>
      <c r="D23" s="4" t="inlineStr">
        <is>
          <t>Dominica</t>
        </is>
      </c>
      <c r="E23" s="4" t="inlineStr">
        <is>
          <t>DMA</t>
        </is>
      </c>
      <c r="F23" s="10" t="n">
        <v>44562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1.66785140740741</v>
      </c>
      <c r="P23" t="n">
        <v>3.55459018518519</v>
      </c>
      <c r="Q23" t="n">
        <v>3.45459166666667</v>
      </c>
      <c r="R23" t="n">
        <v>2.58969996813444</v>
      </c>
      <c r="S23" t="n">
        <v>1.94134258750954</v>
      </c>
      <c r="T23" t="n">
        <v>1.45530798488335</v>
      </c>
      <c r="U23" t="n">
        <v>1.09095702350106</v>
      </c>
      <c r="V23" t="n">
        <v>0.817824982401702</v>
      </c>
      <c r="W23" t="n">
        <v>0.613074289300542</v>
      </c>
      <c r="X23" t="n">
        <v>0.459584987361939</v>
      </c>
      <c r="Y23" t="n">
        <v>0.344523272782249</v>
      </c>
      <c r="Z23" t="n">
        <v>0.258268413356841</v>
      </c>
      <c r="AA23" t="n">
        <v>0.193608323754716</v>
      </c>
      <c r="AB23" t="n">
        <v>0.145136536597374</v>
      </c>
      <c r="AC23" t="n">
        <v>0.108800147880873</v>
      </c>
      <c r="AD23" t="n">
        <v>0.0815609387988795</v>
      </c>
      <c r="AE23" t="n">
        <v>0.0611413391187498</v>
      </c>
      <c r="AF23" t="n">
        <v>0.0458339911762433</v>
      </c>
      <c r="AG23" t="n">
        <v>0.0343589914356279</v>
      </c>
      <c r="AH23" t="n">
        <v>0.0257568730581214</v>
      </c>
      <c r="AI23" t="n">
        <v>0.0193083813584895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Dominica_2022_January</t>
        </is>
      </c>
      <c r="B24" s="2" t="n"/>
      <c r="C24" s="3" t="inlineStr">
        <is>
          <t>SM.22.7, Sup.2</t>
        </is>
      </c>
      <c r="D24" s="4" t="inlineStr">
        <is>
          <t>Dominica</t>
        </is>
      </c>
      <c r="E24" s="4" t="inlineStr">
        <is>
          <t>DMA</t>
        </is>
      </c>
      <c r="F24" s="10" t="n">
        <v>44562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1.66785140740741</v>
      </c>
      <c r="P24" t="n">
        <v>3.55459018518519</v>
      </c>
      <c r="Q24" t="n">
        <v>3.45459166666667</v>
      </c>
      <c r="R24" t="n">
        <v>2.58969996813444</v>
      </c>
      <c r="S24" t="n">
        <v>1.94134258750954</v>
      </c>
      <c r="T24" t="n">
        <v>1.45530798488335</v>
      </c>
      <c r="U24" t="n">
        <v>1.09095702350106</v>
      </c>
      <c r="V24" t="n">
        <v>0.817824982401702</v>
      </c>
      <c r="W24" t="n">
        <v>0.613074289300542</v>
      </c>
      <c r="X24" t="n">
        <v>0.459584987361939</v>
      </c>
      <c r="Y24" t="n">
        <v>0.344523272782249</v>
      </c>
      <c r="Z24" t="n">
        <v>0.258268413356841</v>
      </c>
      <c r="AA24" t="n">
        <v>0.193608323754716</v>
      </c>
      <c r="AB24" t="n">
        <v>0.145136536597374</v>
      </c>
      <c r="AC24" t="n">
        <v>0.108800147880873</v>
      </c>
      <c r="AD24" t="n">
        <v>0.0815609387988795</v>
      </c>
      <c r="AE24" t="n">
        <v>0.0611413391187498</v>
      </c>
      <c r="AF24" t="n">
        <v>0.0458339911762433</v>
      </c>
      <c r="AG24" t="n">
        <v>0.0343589914356279</v>
      </c>
      <c r="AH24" t="n">
        <v>0.0257568730581214</v>
      </c>
      <c r="AI24" t="n">
        <v>0.0193083813584895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Dominica_2022_January</t>
        </is>
      </c>
      <c r="B25" s="2" t="n"/>
      <c r="C25" s="3" t="inlineStr">
        <is>
          <t>SM.22.7, Sup.2</t>
        </is>
      </c>
      <c r="D25" s="4" t="inlineStr">
        <is>
          <t>Dominica</t>
        </is>
      </c>
      <c r="E25" s="4" t="inlineStr">
        <is>
          <t>DMA</t>
        </is>
      </c>
      <c r="F25" s="10" t="n">
        <v>44562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Dominica_2022_January</t>
        </is>
      </c>
      <c r="B26" s="2" t="n"/>
      <c r="C26" s="3" t="inlineStr">
        <is>
          <t>SM.22.7, Sup.2</t>
        </is>
      </c>
      <c r="D26" s="4" t="inlineStr">
        <is>
          <t>Dominica</t>
        </is>
      </c>
      <c r="E26" s="4" t="inlineStr">
        <is>
          <t>DMA</t>
        </is>
      </c>
      <c r="F26" s="10" t="n">
        <v>44562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Dominica_2022_January</t>
        </is>
      </c>
      <c r="B27" s="2" t="n"/>
      <c r="C27" s="3" t="inlineStr">
        <is>
          <t>SM.22.7, Sup.2</t>
        </is>
      </c>
      <c r="D27" s="4" t="inlineStr">
        <is>
          <t>Dominica</t>
        </is>
      </c>
      <c r="E27" s="4" t="inlineStr">
        <is>
          <t>DMA</t>
        </is>
      </c>
      <c r="F27" s="10" t="n">
        <v>44562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Dominica_2022_January</t>
        </is>
      </c>
      <c r="B28" s="2" t="n"/>
      <c r="C28" s="3" t="inlineStr">
        <is>
          <t>SM.22.7, Sup.2</t>
        </is>
      </c>
      <c r="D28" s="4" t="inlineStr">
        <is>
          <t>Dominica</t>
        </is>
      </c>
      <c r="E28" s="4" t="inlineStr">
        <is>
          <t>DMA</t>
        </is>
      </c>
      <c r="F28" s="10" t="n">
        <v>44562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Dominica_2022_January</t>
        </is>
      </c>
      <c r="B29" s="2" t="n"/>
      <c r="C29" s="3" t="inlineStr">
        <is>
          <t>SM.22.7, Sup.2</t>
        </is>
      </c>
      <c r="D29" s="4" t="inlineStr">
        <is>
          <t>Dominica</t>
        </is>
      </c>
      <c r="E29" s="4" t="inlineStr">
        <is>
          <t>DMA</t>
        </is>
      </c>
      <c r="F29" s="10" t="n">
        <v>44562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2.936159065942595</v>
      </c>
      <c r="O29" t="n">
        <v>2.925383179181293</v>
      </c>
      <c r="P29" t="n">
        <v>5.409251465989422</v>
      </c>
      <c r="Q29" t="n">
        <v>5.473305709119212</v>
      </c>
      <c r="R29" t="n">
        <v>4.325824436678672</v>
      </c>
      <c r="S29" t="n">
        <v>3.848664438033101</v>
      </c>
      <c r="T29" t="n">
        <v>3.464202646368596</v>
      </c>
      <c r="U29" t="n">
        <v>3.051214972129463</v>
      </c>
      <c r="V29" t="n">
        <v>2.691464071030773</v>
      </c>
      <c r="W29" t="n">
        <v>2.376296270845634</v>
      </c>
      <c r="X29" t="n">
        <v>2.139751822232542</v>
      </c>
      <c r="Y29" t="n">
        <v>1.928854495208469</v>
      </c>
      <c r="Z29" t="n">
        <v>1.733512317081719</v>
      </c>
      <c r="AA29" t="n">
        <v>1.564977197488537</v>
      </c>
      <c r="AB29" t="n">
        <v>1.420350427987094</v>
      </c>
      <c r="AC29" t="n">
        <v>1.058095098437863</v>
      </c>
      <c r="AD29" t="n">
        <v>0.7649015170589335</v>
      </c>
      <c r="AE29" t="n">
        <v>0.6811382264636165</v>
      </c>
      <c r="AF29" t="n">
        <v>0.607982685132576</v>
      </c>
      <c r="AG29" t="n">
        <v>-1.45792368270351</v>
      </c>
      <c r="AH29" t="n">
        <v>-1.512098165803025</v>
      </c>
      <c r="AI29" t="n">
        <v>0.4414629478910631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Dominica_2022_January</t>
        </is>
      </c>
      <c r="B30" s="2" t="n"/>
      <c r="C30" s="3" t="inlineStr">
        <is>
          <t>SM.22.7, Sup.2</t>
        </is>
      </c>
      <c r="D30" s="4" t="inlineStr">
        <is>
          <t>Dominica</t>
        </is>
      </c>
      <c r="E30" s="4" t="inlineStr">
        <is>
          <t>DMA</t>
        </is>
      </c>
      <c r="F30" s="10" t="n">
        <v>44562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NPC2</t>
        </is>
      </c>
      <c r="N30" t="n">
        <v>0.572212037037037</v>
      </c>
      <c r="O30" t="n">
        <v>0.07016174074074071</v>
      </c>
      <c r="P30" t="n">
        <v>0.0517803703703704</v>
      </c>
      <c r="Q30" t="n">
        <v>0.0502312962962963</v>
      </c>
      <c r="R30" t="n">
        <v>0.0390673083430259</v>
      </c>
      <c r="S30" t="n">
        <v>0.0303845350151077</v>
      </c>
      <c r="T30" t="n">
        <v>0.0236315222942436</v>
      </c>
      <c r="U30" t="n">
        <v>0.0183793777217805</v>
      </c>
      <c r="V30" t="n">
        <v>0.0142945308911465</v>
      </c>
      <c r="W30" t="n">
        <v>0.0111175479655003</v>
      </c>
      <c r="X30" t="n">
        <v>0.008646654703565839</v>
      </c>
      <c r="Y30" t="n">
        <v>0.00672492151998851</v>
      </c>
      <c r="Z30" t="n">
        <v>0.00523029668703599</v>
      </c>
      <c r="AA30" t="n">
        <v>0.00406785467356152</v>
      </c>
      <c r="AB30" t="n">
        <v>0.00316376730334081</v>
      </c>
      <c r="AC30" t="n">
        <v>0.00246061483335266</v>
      </c>
      <c r="AD30" t="n">
        <v>0.00191373915259877</v>
      </c>
      <c r="AE30" t="n">
        <v>0.00148840748846471</v>
      </c>
      <c r="AF30" t="n">
        <v>0.00115760648399208</v>
      </c>
      <c r="AG30" t="n">
        <v>0.000900326545093346</v>
      </c>
      <c r="AH30" t="n">
        <v>0.000700227494411017</v>
      </c>
      <c r="AI30" t="n">
        <v>0.000544600785794109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Dominica_2022_January</t>
        </is>
      </c>
      <c r="B31" s="2" t="n"/>
      <c r="C31" s="3" t="inlineStr">
        <is>
          <t>SM.22.7, Sup.2</t>
        </is>
      </c>
      <c r="D31" s="4" t="inlineStr">
        <is>
          <t>Dominica</t>
        </is>
      </c>
      <c r="E31" s="4" t="inlineStr">
        <is>
          <t>DMA</t>
        </is>
      </c>
      <c r="F31" s="10" t="n">
        <v>44562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NPC2</t>
        </is>
      </c>
      <c r="N31" t="n">
        <v>0.356349777777778</v>
      </c>
      <c r="O31" t="n">
        <v>0.345470148148148</v>
      </c>
      <c r="P31" t="n">
        <v>0.33300162962963</v>
      </c>
      <c r="Q31" t="n">
        <v>0.307268777777778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Dominica_2022_January</t>
        </is>
      </c>
      <c r="B32" s="2" t="n"/>
      <c r="C32" s="3" t="inlineStr">
        <is>
          <t>SM.22.7, Sup.2</t>
        </is>
      </c>
      <c r="D32" s="4" t="inlineStr">
        <is>
          <t>Dominica</t>
        </is>
      </c>
      <c r="E32" s="4" t="inlineStr">
        <is>
          <t>DMA</t>
        </is>
      </c>
      <c r="F32" s="10" t="n">
        <v>44562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NPC3</t>
        </is>
      </c>
      <c r="N32" t="n">
        <v>1.67709622222222</v>
      </c>
      <c r="O32" t="n">
        <v>1.74230422222222</v>
      </c>
      <c r="P32" t="n">
        <v>4.00578585185185</v>
      </c>
      <c r="Q32" t="n">
        <v>4.11153792592593</v>
      </c>
      <c r="R32" t="n">
        <v>3.51321891038804</v>
      </c>
      <c r="S32" t="n">
        <v>3.00196844457625</v>
      </c>
      <c r="T32" t="n">
        <v>2.56511614337069</v>
      </c>
      <c r="U32" t="n">
        <v>2.19183544079849</v>
      </c>
      <c r="V32" t="n">
        <v>1.87287527387646</v>
      </c>
      <c r="W32" t="n">
        <v>1.60033081234418</v>
      </c>
      <c r="X32" t="n">
        <v>1.36744755225335</v>
      </c>
      <c r="Y32" t="n">
        <v>1.16845391823995</v>
      </c>
      <c r="Z32" t="n">
        <v>0.998418225840184</v>
      </c>
      <c r="AA32" t="n">
        <v>0.853126458929082</v>
      </c>
      <c r="AB32" t="n">
        <v>0.728977833224549</v>
      </c>
      <c r="AC32" t="n">
        <v>0.622895557593921</v>
      </c>
      <c r="AD32" t="n">
        <v>0.532250581549199</v>
      </c>
      <c r="AE32" t="n">
        <v>0.454796439155446</v>
      </c>
      <c r="AF32" t="n">
        <v>0.388613574580667</v>
      </c>
      <c r="AG32" t="n">
        <v>0.332061769500236</v>
      </c>
      <c r="AH32" t="n">
        <v>0.283739493358174</v>
      </c>
      <c r="AI32" t="n">
        <v>0.242449169057676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Dominica_2022_January</t>
        </is>
      </c>
      <c r="B33" s="2" t="n"/>
      <c r="C33" s="3" t="inlineStr">
        <is>
          <t>SM.22.7, Sup.2</t>
        </is>
      </c>
      <c r="D33" s="4" t="inlineStr">
        <is>
          <t>Dominica</t>
        </is>
      </c>
      <c r="E33" s="4" t="inlineStr">
        <is>
          <t>DMA</t>
        </is>
      </c>
      <c r="F33" s="10" t="n">
        <v>44562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NPC4</t>
        </is>
      </c>
      <c r="N33" t="n">
        <v>0.00330102890555982</v>
      </c>
      <c r="O33" t="n">
        <v>0.00352288288500051</v>
      </c>
      <c r="P33" t="n">
        <v>0.00365613265609231</v>
      </c>
      <c r="Q33" t="n">
        <v>0.00392204245253858</v>
      </c>
      <c r="R33" t="n">
        <v>0.00422627702115934</v>
      </c>
      <c r="S33" t="n">
        <v>0.00455895247569753</v>
      </c>
      <c r="T33" t="n">
        <v>0.00487879408169618</v>
      </c>
      <c r="U33" t="n">
        <v>0.00519024481681452</v>
      </c>
      <c r="V33" t="n">
        <v>0.00551568287559295</v>
      </c>
      <c r="W33" t="n">
        <v>0.00585766691450401</v>
      </c>
      <c r="X33" t="n">
        <v>0.0062195195479269</v>
      </c>
      <c r="Y33" t="n">
        <v>0.00660081931946846</v>
      </c>
      <c r="Z33" t="n">
        <v>0.00700186674858144</v>
      </c>
      <c r="AA33" t="n">
        <v>0.00703515029999966</v>
      </c>
      <c r="AB33" t="n">
        <v>0.00660352816256998</v>
      </c>
      <c r="AC33" t="n">
        <v>0.00633687680220218</v>
      </c>
      <c r="AD33" t="n">
        <v>0.00601525838862866</v>
      </c>
      <c r="AE33" t="n">
        <v>0.00564609063570188</v>
      </c>
      <c r="AF33" t="n">
        <v>0.00438353486388897</v>
      </c>
      <c r="AG33" t="n">
        <v>0.000533564174841036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Dominica_2022_January</t>
        </is>
      </c>
      <c r="B34" s="2" t="n"/>
      <c r="C34" s="3" t="inlineStr">
        <is>
          <t>SM.22.7, Sup.2</t>
        </is>
      </c>
      <c r="D34" s="4" t="inlineStr">
        <is>
          <t>Dominica</t>
        </is>
      </c>
      <c r="E34" s="4" t="inlineStr">
        <is>
          <t>DMA</t>
        </is>
      </c>
      <c r="F34" s="10" t="n">
        <v>44562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0.3272</v>
      </c>
      <c r="O34" t="n">
        <v>0.763924185185184</v>
      </c>
      <c r="P34" t="n">
        <v>1.01502748148148</v>
      </c>
      <c r="Q34" t="n">
        <v>1.00034566666667</v>
      </c>
      <c r="R34" t="n">
        <v>0.7693119409264469</v>
      </c>
      <c r="S34" t="n">
        <v>0.811752505966046</v>
      </c>
      <c r="T34" t="n">
        <v>0.870576186621966</v>
      </c>
      <c r="U34" t="n">
        <v>0.835809908792378</v>
      </c>
      <c r="V34" t="n">
        <v>0.798778583387574</v>
      </c>
      <c r="W34" t="n">
        <v>0.75899024362145</v>
      </c>
      <c r="X34" t="n">
        <v>0.757438095727699</v>
      </c>
      <c r="Y34" t="n">
        <v>0.747074836129062</v>
      </c>
      <c r="Z34" t="n">
        <v>0.722861927805918</v>
      </c>
      <c r="AA34" t="n">
        <v>0.700747733585894</v>
      </c>
      <c r="AB34" t="n">
        <v>0.681605299296634</v>
      </c>
      <c r="AC34" t="n">
        <v>0.426402049208387</v>
      </c>
      <c r="AD34" t="n">
        <v>0.224721937968507</v>
      </c>
      <c r="AE34" t="n">
        <v>0.219207289184004</v>
      </c>
      <c r="AF34" t="n">
        <v>0.213827969204028</v>
      </c>
      <c r="AG34" t="n">
        <v>-1.79141934292368</v>
      </c>
      <c r="AH34" t="n">
        <v>-1.79653788665561</v>
      </c>
      <c r="AI34" t="n">
        <v>0.198469178047593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Dominica_2022_January</t>
        </is>
      </c>
      <c r="B35" s="2" t="n"/>
      <c r="C35" s="3" t="inlineStr">
        <is>
          <t>SM.22.7, Sup.2</t>
        </is>
      </c>
      <c r="D35" s="4" t="inlineStr">
        <is>
          <t>Dominica</t>
        </is>
      </c>
      <c r="E35" s="4" t="inlineStr">
        <is>
          <t>DMA</t>
        </is>
      </c>
      <c r="F35" s="10" t="n">
        <v>44562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8.21840481471458</v>
      </c>
      <c r="O35" t="n">
        <v>6.44219057478901</v>
      </c>
      <c r="P35" t="n">
        <v>7.84470270855312</v>
      </c>
      <c r="Q35" t="n">
        <v>6.57803998714606</v>
      </c>
      <c r="R35" t="n">
        <v>7.35934946595267</v>
      </c>
      <c r="S35" t="n">
        <v>6.35124312214636</v>
      </c>
      <c r="T35" t="n">
        <v>6.1298775951308</v>
      </c>
      <c r="U35" t="n">
        <v>6.03779454074013</v>
      </c>
      <c r="V35" t="n">
        <v>5.94254539913369</v>
      </c>
      <c r="W35" t="n">
        <v>5.86265252090638</v>
      </c>
      <c r="X35" t="n">
        <v>5.58896183694061</v>
      </c>
      <c r="Y35" t="n">
        <v>3.94466620864053</v>
      </c>
      <c r="Z35" t="n">
        <v>2.56626064488828</v>
      </c>
      <c r="AA35" t="n">
        <v>7.25737831418471</v>
      </c>
      <c r="AB35" t="n">
        <v>6.79758740779437</v>
      </c>
      <c r="AC35" t="n">
        <v>0.169461041152537</v>
      </c>
      <c r="AD35" t="n">
        <v>0.1479808108874</v>
      </c>
      <c r="AE35" t="n">
        <v>0.129223332052947</v>
      </c>
      <c r="AF35" t="n">
        <v>0.112843479142524</v>
      </c>
      <c r="AG35" t="n">
        <v>0.0985398734322373</v>
      </c>
      <c r="AH35" t="n">
        <v>0.08604933780690339</v>
      </c>
      <c r="AI35" t="n">
        <v>0.07514205447095899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Dominica_2022_January</t>
        </is>
      </c>
      <c r="B36" s="2" t="n"/>
      <c r="C36" s="3" t="inlineStr">
        <is>
          <t>SM.22.7, Sup.2</t>
        </is>
      </c>
      <c r="D36" s="4" t="inlineStr">
        <is>
          <t>Dominica</t>
        </is>
      </c>
      <c r="E36" s="4" t="inlineStr">
        <is>
          <t>DMA</t>
        </is>
      </c>
      <c r="F36" s="10" t="n">
        <v>44562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Dominica_2022_January</t>
        </is>
      </c>
      <c r="B37" s="2" t="n"/>
      <c r="C37" s="3" t="inlineStr">
        <is>
          <t>SM.22.7, Sup.2</t>
        </is>
      </c>
      <c r="D37" s="4" t="inlineStr">
        <is>
          <t>Dominica</t>
        </is>
      </c>
      <c r="E37" s="4" t="inlineStr">
        <is>
          <t>DMA</t>
        </is>
      </c>
      <c r="F37" s="10" t="n">
        <v>44562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Commecial Bank</t>
        </is>
      </c>
      <c r="N37" t="n">
        <v>8.21840481471458</v>
      </c>
      <c r="O37" t="n">
        <v>6.44219057478901</v>
      </c>
      <c r="P37" t="n">
        <v>7.84470270855312</v>
      </c>
      <c r="Q37" t="n">
        <v>6.57803998714606</v>
      </c>
      <c r="R37" t="n">
        <v>7.35934946595267</v>
      </c>
      <c r="S37" t="n">
        <v>6.35124312214636</v>
      </c>
      <c r="T37" t="n">
        <v>6.1298775951308</v>
      </c>
      <c r="U37" t="n">
        <v>6.03779454074013</v>
      </c>
      <c r="V37" t="n">
        <v>5.94254539913369</v>
      </c>
      <c r="W37" t="n">
        <v>5.86265252090638</v>
      </c>
      <c r="X37" t="n">
        <v>5.58896183694061</v>
      </c>
      <c r="Y37" t="n">
        <v>3.94466620864053</v>
      </c>
      <c r="Z37" t="n">
        <v>2.56626064488828</v>
      </c>
      <c r="AA37" t="n">
        <v>7.25737831418471</v>
      </c>
      <c r="AB37" t="n">
        <v>6.79758740779437</v>
      </c>
      <c r="AC37" t="n">
        <v>0.169461041152537</v>
      </c>
      <c r="AD37" t="n">
        <v>0.1479808108874</v>
      </c>
      <c r="AE37" t="n">
        <v>0.129223332052947</v>
      </c>
      <c r="AF37" t="n">
        <v>0.112843479142524</v>
      </c>
      <c r="AG37" t="n">
        <v>0.0985398734322373</v>
      </c>
      <c r="AH37" t="n">
        <v>0.08604933780690339</v>
      </c>
      <c r="AI37" t="n">
        <v>0.07514205447095899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Dominica_2022_January</t>
        </is>
      </c>
      <c r="B38" s="2" t="n"/>
      <c r="C38" s="3" t="inlineStr">
        <is>
          <t>SM.22.7, Sup.2</t>
        </is>
      </c>
      <c r="D38" s="4" t="inlineStr">
        <is>
          <t>Dominica</t>
        </is>
      </c>
      <c r="E38" s="4" t="inlineStr">
        <is>
          <t>DMA</t>
        </is>
      </c>
      <c r="F38" s="10" t="n">
        <v>44562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Dominica_2022_January</t>
        </is>
      </c>
      <c r="B39" s="2" t="n"/>
      <c r="C39" s="3" t="inlineStr">
        <is>
          <t>SM.22.7, Sup.2</t>
        </is>
      </c>
      <c r="D39" s="4" t="inlineStr">
        <is>
          <t>Dominica</t>
        </is>
      </c>
      <c r="E39" s="4" t="inlineStr">
        <is>
          <t>DMA</t>
        </is>
      </c>
      <c r="F39" s="10" t="n">
        <v>44562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Dominica_2022_January</t>
        </is>
      </c>
      <c r="B40" s="2" t="n"/>
      <c r="C40" s="3" t="inlineStr">
        <is>
          <t>SM.22.7, Sup.2</t>
        </is>
      </c>
      <c r="D40" s="4" t="inlineStr">
        <is>
          <t>Dominica</t>
        </is>
      </c>
      <c r="E40" s="4" t="inlineStr">
        <is>
          <t>DMA</t>
        </is>
      </c>
      <c r="F40" s="10" t="n">
        <v>44562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Dominica_2022_January</t>
        </is>
      </c>
      <c r="B41" s="2" t="n"/>
      <c r="C41" s="3" t="inlineStr">
        <is>
          <t>SM.22.7, Sup.2</t>
        </is>
      </c>
      <c r="D41" s="4" t="inlineStr">
        <is>
          <t>Dominica</t>
        </is>
      </c>
      <c r="E41" s="4" t="inlineStr">
        <is>
          <t>DMA</t>
        </is>
      </c>
      <c r="F41" s="10" t="n">
        <v>44562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Dominica_2022_January</t>
        </is>
      </c>
      <c r="B42" s="2" t="n"/>
      <c r="C42" s="3" t="inlineStr">
        <is>
          <t>SM.22.7, Sup.2</t>
        </is>
      </c>
      <c r="D42" s="4" t="inlineStr">
        <is>
          <t>Dominica</t>
        </is>
      </c>
      <c r="E42" s="4" t="inlineStr">
        <is>
          <t>DMA</t>
        </is>
      </c>
      <c r="F42" s="10" t="n">
        <v>44562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23.43446151028682</v>
      </c>
      <c r="O42" t="n">
        <v>24.44857049471105</v>
      </c>
      <c r="P42" t="n">
        <v>34.4589629523203</v>
      </c>
      <c r="Q42" t="n">
        <v>34.37034651108014</v>
      </c>
      <c r="R42" t="n">
        <v>33.39357470541012</v>
      </c>
      <c r="S42" t="n">
        <v>29.41833219859557</v>
      </c>
      <c r="T42" t="n">
        <v>26.73111822572625</v>
      </c>
      <c r="U42" t="n">
        <v>23.59690790847998</v>
      </c>
      <c r="V42" t="n">
        <v>22.06161671313607</v>
      </c>
      <c r="W42" t="n">
        <v>20.62252230166495</v>
      </c>
      <c r="X42" t="n">
        <v>19.41827054897696</v>
      </c>
      <c r="Y42" t="n">
        <v>16.96307443693873</v>
      </c>
      <c r="Z42" t="n">
        <v>14.84701919133685</v>
      </c>
      <c r="AA42" t="n">
        <v>18.87558411038166</v>
      </c>
      <c r="AB42" t="n">
        <v>17.81813883200538</v>
      </c>
      <c r="AC42" t="n">
        <v>10.40995659090558</v>
      </c>
      <c r="AD42" t="n">
        <v>11.03534602010786</v>
      </c>
      <c r="AE42" t="n">
        <v>7.749306123675828</v>
      </c>
      <c r="AF42" t="n">
        <v>7.357842311718808</v>
      </c>
      <c r="AG42" t="n">
        <v>4.996999762810598</v>
      </c>
      <c r="AH42" t="n">
        <v>4.668874148442763</v>
      </c>
      <c r="AI42" t="n">
        <v>6.367437549654092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Dominica_2022_January</t>
        </is>
      </c>
      <c r="B43" s="2" t="n"/>
      <c r="C43" s="3" t="inlineStr">
        <is>
          <t>SM.22.7, Sup.2</t>
        </is>
      </c>
      <c r="D43" s="4" t="inlineStr">
        <is>
          <t>Dominica</t>
        </is>
      </c>
      <c r="E43" s="4" t="inlineStr">
        <is>
          <t>DMA</t>
        </is>
      </c>
      <c r="F43" s="10" t="n">
        <v>44562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15.90536222222222</v>
      </c>
      <c r="O43" t="n">
        <v>17.89457247629811</v>
      </c>
      <c r="P43" t="n">
        <v>28.45380132692422</v>
      </c>
      <c r="Q43" t="n">
        <v>28.43047993648263</v>
      </c>
      <c r="R43" t="n">
        <v>27.80277092205833</v>
      </c>
      <c r="S43" t="n">
        <v>24.60878870925355</v>
      </c>
      <c r="T43" t="n">
        <v>22.82195708334333</v>
      </c>
      <c r="U43" t="n">
        <v>20.27395039255985</v>
      </c>
      <c r="V43" t="n">
        <v>18.37837060759404</v>
      </c>
      <c r="W43" t="n">
        <v>16.79596709075763</v>
      </c>
      <c r="X43" t="n">
        <v>16.0149253292447</v>
      </c>
      <c r="Y43" t="n">
        <v>14.20887458364644</v>
      </c>
      <c r="Z43" t="n">
        <v>11.24252382279678</v>
      </c>
      <c r="AA43" t="n">
        <v>10.72114980534059</v>
      </c>
      <c r="AB43" t="n">
        <v>9.886801031589185</v>
      </c>
      <c r="AC43" t="n">
        <v>9.02723033683</v>
      </c>
      <c r="AD43" t="n">
        <v>8.197938553062295</v>
      </c>
      <c r="AE43" t="n">
        <v>7.544278808287554</v>
      </c>
      <c r="AF43" t="n">
        <v>6.016235160246554</v>
      </c>
      <c r="AG43" t="n">
        <v>3.293765280080555</v>
      </c>
      <c r="AH43" t="n">
        <v>3.188025935958037</v>
      </c>
      <c r="AI43" t="n">
        <v>3.134488350009296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Dominica_2022_January</t>
        </is>
      </c>
      <c r="B44" s="2" t="n"/>
      <c r="C44" s="3" t="inlineStr">
        <is>
          <t>SM.22.7, Sup.2</t>
        </is>
      </c>
      <c r="D44" s="4" t="inlineStr">
        <is>
          <t>Dominica</t>
        </is>
      </c>
      <c r="E44" s="4" t="inlineStr">
        <is>
          <t>DMA</t>
        </is>
      </c>
      <c r="F44" s="10" t="n">
        <v>44562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7.529099288064597</v>
      </c>
      <c r="O44" t="n">
        <v>6.55399801841294</v>
      </c>
      <c r="P44" t="n">
        <v>6.005161625396077</v>
      </c>
      <c r="Q44" t="n">
        <v>5.939866574597509</v>
      </c>
      <c r="R44" t="n">
        <v>5.590803783351795</v>
      </c>
      <c r="S44" t="n">
        <v>4.809543489342015</v>
      </c>
      <c r="T44" t="n">
        <v>3.909161142382914</v>
      </c>
      <c r="U44" t="n">
        <v>3.322957515920134</v>
      </c>
      <c r="V44" t="n">
        <v>3.683246105542036</v>
      </c>
      <c r="W44" t="n">
        <v>3.826555210907326</v>
      </c>
      <c r="X44" t="n">
        <v>3.403345219732252</v>
      </c>
      <c r="Y44" t="n">
        <v>2.754199853292281</v>
      </c>
      <c r="Z44" t="n">
        <v>3.604495368540068</v>
      </c>
      <c r="AA44" t="n">
        <v>8.154434305041063</v>
      </c>
      <c r="AB44" t="n">
        <v>7.9313378004162</v>
      </c>
      <c r="AC44" t="n">
        <v>1.382726254075582</v>
      </c>
      <c r="AD44" t="n">
        <v>2.837407467045562</v>
      </c>
      <c r="AE44" t="n">
        <v>0.2050273153882731</v>
      </c>
      <c r="AF44" t="n">
        <v>1.341607151472254</v>
      </c>
      <c r="AG44" t="n">
        <v>1.703234482730043</v>
      </c>
      <c r="AH44" t="n">
        <v>1.480848212484726</v>
      </c>
      <c r="AI44" t="n">
        <v>3.232949199644795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Dominica_2022_January</t>
        </is>
      </c>
      <c r="B45" s="2" t="n"/>
      <c r="C45" s="3" t="inlineStr">
        <is>
          <t>SM.22.7, Sup.2</t>
        </is>
      </c>
      <c r="D45" s="4" t="inlineStr">
        <is>
          <t>Dominica</t>
        </is>
      </c>
      <c r="E45" s="4" t="inlineStr">
        <is>
          <t>DMA</t>
        </is>
      </c>
      <c r="F45" s="10" t="n">
        <v>44562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375.034355363731</v>
      </c>
      <c r="O45" t="n">
        <v>357.1397828874329</v>
      </c>
      <c r="P45" t="n">
        <v>328.6859815605087</v>
      </c>
      <c r="Q45" t="n">
        <v>300.255501624026</v>
      </c>
      <c r="R45" t="n">
        <v>272.4527307019677</v>
      </c>
      <c r="S45" t="n">
        <v>247.8439419927141</v>
      </c>
      <c r="T45" t="n">
        <v>225.0219849093708</v>
      </c>
      <c r="U45" t="n">
        <v>204.7480345168109</v>
      </c>
      <c r="V45" t="n">
        <v>186.3696639092169</v>
      </c>
      <c r="W45" t="n">
        <v>169.5736968184593</v>
      </c>
      <c r="X45" t="n">
        <v>153.5587714892146</v>
      </c>
      <c r="Y45" t="n">
        <v>139.3498969055681</v>
      </c>
      <c r="Z45" t="n">
        <v>128.1073730827713</v>
      </c>
      <c r="AA45" t="n">
        <v>117.3862232774308</v>
      </c>
      <c r="AB45" t="n">
        <v>107.4994222458416</v>
      </c>
      <c r="AC45" t="n">
        <v>98.47219190901157</v>
      </c>
      <c r="AD45" t="n">
        <v>90.27425335594927</v>
      </c>
      <c r="AE45" t="n">
        <v>82.72997454766171</v>
      </c>
      <c r="AF45" t="n">
        <v>76.71373938741516</v>
      </c>
      <c r="AG45" t="n">
        <v>73.41997410733461</v>
      </c>
      <c r="AH45" t="n">
        <v>70.23194817137657</v>
      </c>
      <c r="AI45" t="n">
        <v>67.09745982136728</v>
      </c>
      <c r="AJ45" t="n">
        <v>67.09745982136728</v>
      </c>
      <c r="AK45" t="n">
        <v>67.09745982136728</v>
      </c>
      <c r="AL45" t="n">
        <v>67.09745982136728</v>
      </c>
      <c r="AM45" t="n">
        <v>67.09745982136728</v>
      </c>
      <c r="AN45" t="n">
        <v>67.09745982136728</v>
      </c>
      <c r="AO45" t="n">
        <v>67.09745982136728</v>
      </c>
      <c r="AP45" t="n">
        <v>67.09745982136728</v>
      </c>
      <c r="AQ45" t="n">
        <v>67.09745982136728</v>
      </c>
      <c r="AR45" t="n">
        <v>67.09745982136728</v>
      </c>
      <c r="AS45" t="n">
        <v>67.09745982136728</v>
      </c>
      <c r="AT45" t="n">
        <v>67.09745982136728</v>
      </c>
      <c r="AU45" t="n">
        <v>67.09745982136728</v>
      </c>
      <c r="AV45" t="n">
        <v>67.09745982136728</v>
      </c>
      <c r="AW45" t="n">
        <v>67.09745982136728</v>
      </c>
      <c r="AX45" t="n">
        <v>67.09745982136728</v>
      </c>
      <c r="AY45" t="n">
        <v>67.09745982136728</v>
      </c>
      <c r="AZ45" t="n">
        <v>67.09745982136728</v>
      </c>
      <c r="BA45" t="n">
        <v>67.09745982136728</v>
      </c>
      <c r="BB45" t="n">
        <v>67.09745982136728</v>
      </c>
      <c r="BC45" t="n">
        <v>67.09745982136728</v>
      </c>
      <c r="BD45" t="n">
        <v>67.09745982136728</v>
      </c>
      <c r="BE45" t="n">
        <v>67.09745982136728</v>
      </c>
      <c r="BF45" t="n">
        <v>67.09745982136728</v>
      </c>
      <c r="BG45" t="n">
        <v>67.09745982136728</v>
      </c>
    </row>
    <row r="46">
      <c r="A46" t="inlineStr">
        <is>
          <t>Dominica_2022_January</t>
        </is>
      </c>
      <c r="B46" s="2" t="n"/>
      <c r="C46" s="3" t="inlineStr">
        <is>
          <t>SM.22.7, Sup.2</t>
        </is>
      </c>
      <c r="D46" s="4" t="inlineStr">
        <is>
          <t>Dominica</t>
        </is>
      </c>
      <c r="E46" s="4" t="inlineStr">
        <is>
          <t>DMA</t>
        </is>
      </c>
      <c r="F46" s="10" t="n">
        <v>44562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67.09745982136741</v>
      </c>
    </row>
    <row r="47">
      <c r="A47" t="inlineStr">
        <is>
          <t>Dominica_2022_January</t>
        </is>
      </c>
      <c r="B47" s="2" t="n"/>
      <c r="C47" s="3" t="inlineStr">
        <is>
          <t>SM.22.7, Sup.2</t>
        </is>
      </c>
      <c r="D47" s="4" t="inlineStr">
        <is>
          <t>Dominica</t>
        </is>
      </c>
      <c r="E47" s="4" t="inlineStr">
        <is>
          <t>DMA</t>
        </is>
      </c>
      <c r="F47" s="10" t="n">
        <v>44562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Dominica_2022_January</t>
        </is>
      </c>
      <c r="B48" s="2" t="n"/>
      <c r="C48" s="3" t="inlineStr">
        <is>
          <t>SM.22.7, Sup.2</t>
        </is>
      </c>
      <c r="D48" s="4" t="inlineStr">
        <is>
          <t>Dominica</t>
        </is>
      </c>
      <c r="E48" s="4" t="inlineStr">
        <is>
          <t>DMA</t>
        </is>
      </c>
      <c r="F48" s="10" t="n">
        <v>44562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Dominica_2022_January</t>
        </is>
      </c>
      <c r="B49" s="2" t="n"/>
      <c r="C49" s="3" t="inlineStr">
        <is>
          <t>SM.22.7, Sup.2</t>
        </is>
      </c>
      <c r="D49" s="4" t="inlineStr">
        <is>
          <t>Dominica</t>
        </is>
      </c>
      <c r="E49" s="4" t="inlineStr">
        <is>
          <t>DMA</t>
        </is>
      </c>
      <c r="F49" s="10" t="n">
        <v>44562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Dominica_2022_January</t>
        </is>
      </c>
      <c r="B50" s="2" t="n"/>
      <c r="C50" s="3" t="inlineStr">
        <is>
          <t>SM.22.7, Sup.2</t>
        </is>
      </c>
      <c r="D50" s="4" t="inlineStr">
        <is>
          <t>Dominica</t>
        </is>
      </c>
      <c r="E50" s="4" t="inlineStr">
        <is>
          <t>DMA</t>
        </is>
      </c>
      <c r="F50" s="10" t="n">
        <v>44562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Dominica_2022_January</t>
        </is>
      </c>
      <c r="B51" s="2" t="n"/>
      <c r="C51" s="3" t="inlineStr">
        <is>
          <t>SM.22.7, Sup.2</t>
        </is>
      </c>
      <c r="D51" s="4" t="inlineStr">
        <is>
          <t>Dominica</t>
        </is>
      </c>
      <c r="E51" s="4" t="inlineStr">
        <is>
          <t>DMA</t>
        </is>
      </c>
      <c r="F51" s="10" t="n">
        <v>44562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Dominica_2022_January</t>
        </is>
      </c>
      <c r="B52" s="2" t="n"/>
      <c r="C52" s="3" t="inlineStr">
        <is>
          <t>SM.22.7, Sup.2</t>
        </is>
      </c>
      <c r="D52" s="4" t="inlineStr">
        <is>
          <t>Dominica</t>
        </is>
      </c>
      <c r="E52" s="4" t="inlineStr">
        <is>
          <t>DMA</t>
        </is>
      </c>
      <c r="F52" s="10" t="n">
        <v>44562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 held by residents</t>
        </is>
      </c>
    </row>
    <row r="53">
      <c r="A53" t="inlineStr">
        <is>
          <t>Dominica_2022_January</t>
        </is>
      </c>
      <c r="B53" s="2" t="n"/>
      <c r="C53" s="3" t="inlineStr">
        <is>
          <t>SM.22.7, Sup.2</t>
        </is>
      </c>
      <c r="D53" s="4" t="inlineStr">
        <is>
          <t>Dominica</t>
        </is>
      </c>
      <c r="E53" s="4" t="inlineStr">
        <is>
          <t>DMA</t>
        </is>
      </c>
      <c r="F53" s="10" t="n">
        <v>44562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Dominica_2022_January</t>
        </is>
      </c>
      <c r="B54" s="2" t="n"/>
      <c r="C54" s="3" t="inlineStr">
        <is>
          <t>SM.22.7, Sup.2</t>
        </is>
      </c>
      <c r="D54" s="4" t="inlineStr">
        <is>
          <t>Dominica</t>
        </is>
      </c>
      <c r="E54" s="4" t="inlineStr">
        <is>
          <t>DMA</t>
        </is>
      </c>
      <c r="F54" s="10" t="n">
        <v>44562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Dominica_2022_January</t>
        </is>
      </c>
      <c r="B55" s="2" t="n"/>
      <c r="C55" s="3" t="inlineStr">
        <is>
          <t>SM.22.7, Sup.2</t>
        </is>
      </c>
      <c r="D55" s="4" t="inlineStr">
        <is>
          <t>Dominica</t>
        </is>
      </c>
      <c r="E55" s="4" t="inlineStr">
        <is>
          <t>DMA</t>
        </is>
      </c>
      <c r="F55" s="10" t="n">
        <v>44562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Dominica_2022_January</t>
        </is>
      </c>
      <c r="B56" s="2" t="n"/>
      <c r="C56" s="3" t="inlineStr">
        <is>
          <t>SM.22.7, Sup.2</t>
        </is>
      </c>
      <c r="D56" s="4" t="inlineStr">
        <is>
          <t>Dominica</t>
        </is>
      </c>
      <c r="E56" s="4" t="inlineStr">
        <is>
          <t>DMA</t>
        </is>
      </c>
      <c r="F56" s="10" t="n">
        <v>44562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Dominica_2022_January</t>
        </is>
      </c>
      <c r="B57" s="2" t="n"/>
      <c r="C57" s="3" t="inlineStr">
        <is>
          <t>SM.22.7, Sup.2</t>
        </is>
      </c>
      <c r="D57" s="4" t="inlineStr">
        <is>
          <t>Dominica</t>
        </is>
      </c>
      <c r="E57" s="4" t="inlineStr">
        <is>
          <t>DMA</t>
        </is>
      </c>
      <c r="F57" s="10" t="n">
        <v>44562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Dominica_2022_January</t>
        </is>
      </c>
      <c r="B58" s="2" t="n"/>
      <c r="C58" s="3" t="inlineStr">
        <is>
          <t>SM.22.7, Sup.2</t>
        </is>
      </c>
      <c r="D58" s="4" t="inlineStr">
        <is>
          <t>Dominica</t>
        </is>
      </c>
      <c r="E58" s="4" t="inlineStr">
        <is>
          <t>DMA</t>
        </is>
      </c>
      <c r="F58" s="10" t="n">
        <v>44562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Dominica_2022_January</t>
        </is>
      </c>
      <c r="B59" s="2" t="n"/>
      <c r="C59" s="3" t="inlineStr">
        <is>
          <t>SM.22.7, Sup.2</t>
        </is>
      </c>
      <c r="D59" s="4" t="inlineStr">
        <is>
          <t>Dominica</t>
        </is>
      </c>
      <c r="E59" s="4" t="inlineStr">
        <is>
          <t>DMA</t>
        </is>
      </c>
      <c r="F59" s="10" t="n">
        <v>44562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Dominica_2022_January</t>
        </is>
      </c>
      <c r="B60" s="2" t="n"/>
      <c r="C60" s="3" t="inlineStr">
        <is>
          <t>SM.22.7, Sup.2</t>
        </is>
      </c>
      <c r="D60" s="4" t="inlineStr">
        <is>
          <t>Dominica</t>
        </is>
      </c>
      <c r="E60" s="4" t="inlineStr">
        <is>
          <t>DMA</t>
        </is>
      </c>
      <c r="F60" s="10" t="n">
        <v>44562</v>
      </c>
      <c r="G60" s="4" t="inlineStr">
        <is>
          <t>2018gn</t>
        </is>
      </c>
      <c r="H60" s="4" t="n">
        <v>2021</v>
      </c>
      <c r="I60" s="5" t="n"/>
      <c r="O60" t="n">
        <v>48.3153456860049</v>
      </c>
      <c r="P60" t="n">
        <v>76.8252635826954</v>
      </c>
      <c r="Q60" t="n">
        <v>76.7622958285031</v>
      </c>
      <c r="R60" t="n">
        <v>75.06748148955749</v>
      </c>
      <c r="S60" t="n">
        <v>66.4437295149846</v>
      </c>
      <c r="T60" t="n">
        <v>61.619284125027</v>
      </c>
      <c r="U60" t="n">
        <v>57.22798676017552</v>
      </c>
      <c r="V60" t="n">
        <v>55.97196667595865</v>
      </c>
      <c r="W60" t="n">
        <v>54.92926885090971</v>
      </c>
      <c r="X60" t="n">
        <v>55.71093495967513</v>
      </c>
      <c r="Y60" t="n">
        <v>53.58161444035336</v>
      </c>
      <c r="Z60" t="n">
        <v>49.77954093567087</v>
      </c>
      <c r="AA60" t="n">
        <v>55.10277045205331</v>
      </c>
      <c r="AB60" t="n">
        <v>57.89689899514708</v>
      </c>
      <c r="AC60" t="n">
        <v>59.7435877006892</v>
      </c>
      <c r="AD60" t="n">
        <v>61.47869625363491</v>
      </c>
      <c r="AE60" t="n">
        <v>63.87759528477562</v>
      </c>
      <c r="AF60" t="n">
        <v>63.16658119884445</v>
      </c>
      <c r="AG60" t="n">
        <v>58.33748130189252</v>
      </c>
      <c r="AH60" t="n">
        <v>59.90574098306614</v>
      </c>
      <c r="AI60" t="n">
        <v>8.4631185450251</v>
      </c>
    </row>
    <row r="61">
      <c r="A61" t="inlineStr">
        <is>
          <t>Dominica_2022_January</t>
        </is>
      </c>
      <c r="B61" s="2" t="n"/>
      <c r="C61" s="3" t="inlineStr">
        <is>
          <t>SM.22.7, Sup.2</t>
        </is>
      </c>
      <c r="D61" s="4" t="inlineStr">
        <is>
          <t>Dominica</t>
        </is>
      </c>
      <c r="E61" s="4" t="inlineStr">
        <is>
          <t>DMA</t>
        </is>
      </c>
      <c r="F61" s="10" t="n">
        <v>44562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23.43446151028682</v>
      </c>
      <c r="O61" t="n">
        <v>24.44857049471105</v>
      </c>
      <c r="P61" t="n">
        <v>34.4589629523203</v>
      </c>
      <c r="Q61" t="n">
        <v>34.37034651108014</v>
      </c>
      <c r="R61" t="n">
        <v>33.39357470541012</v>
      </c>
      <c r="S61" t="n">
        <v>29.41833219859557</v>
      </c>
      <c r="T61" t="n">
        <v>26.73111822572625</v>
      </c>
      <c r="U61" t="n">
        <v>23.59690790847998</v>
      </c>
      <c r="V61" t="n">
        <v>22.06161671313607</v>
      </c>
      <c r="W61" t="n">
        <v>20.62252230166495</v>
      </c>
      <c r="X61" t="n">
        <v>19.41827054897696</v>
      </c>
      <c r="Y61" t="n">
        <v>16.96307443693873</v>
      </c>
      <c r="Z61" t="n">
        <v>14.84701919133685</v>
      </c>
      <c r="AA61" t="n">
        <v>18.87558411038166</v>
      </c>
      <c r="AB61" t="n">
        <v>17.81813883200538</v>
      </c>
      <c r="AC61" t="n">
        <v>10.40995659090558</v>
      </c>
      <c r="AD61" t="n">
        <v>11.03534602010786</v>
      </c>
      <c r="AE61" t="n">
        <v>7.749306123675828</v>
      </c>
      <c r="AF61" t="n">
        <v>7.357842311718808</v>
      </c>
      <c r="AG61" t="n">
        <v>4.996999762810598</v>
      </c>
      <c r="AH61" t="n">
        <v>4.668874148442763</v>
      </c>
      <c r="AI61" t="n">
        <v>6.367437549654092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Dominica_2022_January</t>
        </is>
      </c>
      <c r="B62" s="2" t="n"/>
      <c r="C62" s="3" t="inlineStr">
        <is>
          <t>SM.22.7, Sup.2</t>
        </is>
      </c>
      <c r="D62" s="4" t="inlineStr">
        <is>
          <t>Dominica</t>
        </is>
      </c>
      <c r="E62" s="4" t="inlineStr">
        <is>
          <t>DMA</t>
        </is>
      </c>
      <c r="F62" s="10" t="n">
        <v>44562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15.90536222222222</v>
      </c>
      <c r="O62" t="n">
        <v>17.89457247629811</v>
      </c>
      <c r="P62" t="n">
        <v>28.45380132692422</v>
      </c>
      <c r="Q62" t="n">
        <v>28.43047993648263</v>
      </c>
      <c r="R62" t="n">
        <v>27.80277092205833</v>
      </c>
      <c r="S62" t="n">
        <v>24.60878870925355</v>
      </c>
      <c r="T62" t="n">
        <v>22.82195708334333</v>
      </c>
      <c r="U62" t="n">
        <v>20.27395039255985</v>
      </c>
      <c r="V62" t="n">
        <v>18.37837060759404</v>
      </c>
      <c r="W62" t="n">
        <v>16.79596709075763</v>
      </c>
      <c r="X62" t="n">
        <v>16.0149253292447</v>
      </c>
      <c r="Y62" t="n">
        <v>14.20887458364644</v>
      </c>
      <c r="Z62" t="n">
        <v>11.24252382279678</v>
      </c>
      <c r="AA62" t="n">
        <v>10.72114980534059</v>
      </c>
      <c r="AB62" t="n">
        <v>9.886801031589185</v>
      </c>
      <c r="AC62" t="n">
        <v>9.02723033683</v>
      </c>
      <c r="AD62" t="n">
        <v>8.197938553062295</v>
      </c>
      <c r="AE62" t="n">
        <v>7.544278808287554</v>
      </c>
      <c r="AF62" t="n">
        <v>6.016235160246554</v>
      </c>
      <c r="AG62" t="n">
        <v>3.293765280080555</v>
      </c>
      <c r="AH62" t="n">
        <v>3.188025935958037</v>
      </c>
      <c r="AI62" t="n">
        <v>3.134488350009296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Dominica_2022_January</t>
        </is>
      </c>
      <c r="B63" s="2" t="n"/>
      <c r="C63" s="3" t="inlineStr">
        <is>
          <t>SM.22.7, Sup.2</t>
        </is>
      </c>
      <c r="D63" s="4" t="inlineStr">
        <is>
          <t>Dominica</t>
        </is>
      </c>
      <c r="E63" s="4" t="inlineStr">
        <is>
          <t>DMA</t>
        </is>
      </c>
      <c r="F63" s="10" t="n">
        <v>44562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7.529099288064597</v>
      </c>
      <c r="O63" t="n">
        <v>6.55399801841294</v>
      </c>
      <c r="P63" t="n">
        <v>6.005161625396077</v>
      </c>
      <c r="Q63" t="n">
        <v>5.939866574597509</v>
      </c>
      <c r="R63" t="n">
        <v>5.590803783351795</v>
      </c>
      <c r="S63" t="n">
        <v>4.809543489342015</v>
      </c>
      <c r="T63" t="n">
        <v>3.909161142382914</v>
      </c>
      <c r="U63" t="n">
        <v>3.322957515920134</v>
      </c>
      <c r="V63" t="n">
        <v>3.683246105542036</v>
      </c>
      <c r="W63" t="n">
        <v>3.826555210907326</v>
      </c>
      <c r="X63" t="n">
        <v>3.403345219732252</v>
      </c>
      <c r="Y63" t="n">
        <v>2.754199853292281</v>
      </c>
      <c r="Z63" t="n">
        <v>3.604495368540068</v>
      </c>
      <c r="AA63" t="n">
        <v>8.154434305041063</v>
      </c>
      <c r="AB63" t="n">
        <v>7.9313378004162</v>
      </c>
      <c r="AC63" t="n">
        <v>1.382726254075582</v>
      </c>
      <c r="AD63" t="n">
        <v>2.837407467045562</v>
      </c>
      <c r="AE63" t="n">
        <v>0.2050273153882731</v>
      </c>
      <c r="AF63" t="n">
        <v>1.341607151472254</v>
      </c>
      <c r="AG63" t="n">
        <v>1.703234482730043</v>
      </c>
      <c r="AH63" t="n">
        <v>1.480848212484726</v>
      </c>
      <c r="AI63" t="n">
        <v>3.232949199644795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Dominica_2022_January</t>
        </is>
      </c>
      <c r="B64" s="2" t="n"/>
      <c r="C64" s="3" t="inlineStr">
        <is>
          <t>SM.22.7, Sup.2</t>
        </is>
      </c>
      <c r="D64" s="4" t="inlineStr">
        <is>
          <t>Dominica</t>
        </is>
      </c>
      <c r="E64" s="4" t="inlineStr">
        <is>
          <t>DMA</t>
        </is>
      </c>
      <c r="F64" s="10" t="n">
        <v>44562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Dominica_2022_January</t>
        </is>
      </c>
      <c r="B65" s="2" t="n"/>
      <c r="C65" s="3" t="inlineStr">
        <is>
          <t>SM.22.7, Sup.2</t>
        </is>
      </c>
      <c r="D65" s="4" t="inlineStr">
        <is>
          <t>Dominica</t>
        </is>
      </c>
      <c r="E65" s="4" t="inlineStr">
        <is>
          <t>DMA</t>
        </is>
      </c>
      <c r="F65" s="10" t="n">
        <v>44562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Dominica_2022_January</t>
        </is>
      </c>
      <c r="B66" s="2" t="n"/>
      <c r="C66" s="3" t="inlineStr">
        <is>
          <t>SM.22.7, Sup.2</t>
        </is>
      </c>
      <c r="D66" s="4" t="inlineStr">
        <is>
          <t>Dominica</t>
        </is>
      </c>
      <c r="E66" s="4" t="inlineStr">
        <is>
          <t>DMA</t>
        </is>
      </c>
      <c r="F66" s="10" t="n">
        <v>44562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Dominica_2022_January</t>
        </is>
      </c>
      <c r="B67" s="2" t="n"/>
      <c r="C67" s="3" t="inlineStr">
        <is>
          <t>SM.22.7, Sup.2</t>
        </is>
      </c>
      <c r="D67" s="4" t="inlineStr">
        <is>
          <t>Dominica</t>
        </is>
      </c>
      <c r="E67" s="4" t="inlineStr">
        <is>
          <t>DMA</t>
        </is>
      </c>
      <c r="F67" s="10" t="n">
        <v>44562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375.034355363731</v>
      </c>
      <c r="O67" t="n">
        <v>357.1397828874329</v>
      </c>
      <c r="P67" t="n">
        <v>328.6859815605087</v>
      </c>
      <c r="Q67" t="n">
        <v>300.255501624026</v>
      </c>
      <c r="R67" t="n">
        <v>272.4527307019677</v>
      </c>
      <c r="S67" t="n">
        <v>247.8439419927141</v>
      </c>
      <c r="T67" t="n">
        <v>225.0219849093708</v>
      </c>
      <c r="U67" t="n">
        <v>204.7480345168109</v>
      </c>
      <c r="V67" t="n">
        <v>186.3696639092169</v>
      </c>
      <c r="W67" t="n">
        <v>169.5736968184593</v>
      </c>
      <c r="X67" t="n">
        <v>153.5587714892146</v>
      </c>
      <c r="Y67" t="n">
        <v>139.3498969055681</v>
      </c>
      <c r="Z67" t="n">
        <v>128.1073730827713</v>
      </c>
      <c r="AA67" t="n">
        <v>117.3862232774308</v>
      </c>
      <c r="AB67" t="n">
        <v>107.4994222458416</v>
      </c>
      <c r="AC67" t="n">
        <v>98.47219190901157</v>
      </c>
      <c r="AD67" t="n">
        <v>90.27425335594927</v>
      </c>
      <c r="AE67" t="n">
        <v>82.72997454766171</v>
      </c>
      <c r="AF67" t="n">
        <v>76.71373938741516</v>
      </c>
      <c r="AG67" t="n">
        <v>73.41997410733461</v>
      </c>
      <c r="AH67" t="n">
        <v>70.23194817137657</v>
      </c>
      <c r="AI67" t="n">
        <v>67.09745982136728</v>
      </c>
      <c r="AJ67" t="n">
        <v>67.09745982136728</v>
      </c>
      <c r="AK67" t="n">
        <v>67.09745982136728</v>
      </c>
      <c r="AL67" t="n">
        <v>67.09745982136728</v>
      </c>
      <c r="AM67" t="n">
        <v>67.09745982136728</v>
      </c>
      <c r="AN67" t="n">
        <v>67.09745982136728</v>
      </c>
      <c r="AO67" t="n">
        <v>67.09745982136728</v>
      </c>
      <c r="AP67" t="n">
        <v>67.09745982136728</v>
      </c>
      <c r="AQ67" t="n">
        <v>67.09745982136728</v>
      </c>
      <c r="AR67" t="n">
        <v>67.09745982136728</v>
      </c>
      <c r="AS67" t="n">
        <v>67.09745982136728</v>
      </c>
      <c r="AT67" t="n">
        <v>67.09745982136728</v>
      </c>
      <c r="AU67" t="n">
        <v>67.09745982136728</v>
      </c>
      <c r="AV67" t="n">
        <v>67.09745982136728</v>
      </c>
      <c r="AW67" t="n">
        <v>67.09745982136728</v>
      </c>
      <c r="AX67" t="n">
        <v>67.09745982136728</v>
      </c>
      <c r="AY67" t="n">
        <v>67.09745982136728</v>
      </c>
      <c r="AZ67" t="n">
        <v>67.09745982136728</v>
      </c>
      <c r="BA67" t="n">
        <v>67.09745982136728</v>
      </c>
      <c r="BB67" t="n">
        <v>67.09745982136728</v>
      </c>
      <c r="BC67" t="n">
        <v>67.09745982136728</v>
      </c>
      <c r="BD67" t="n">
        <v>67.09745982136728</v>
      </c>
      <c r="BE67" t="n">
        <v>67.09745982136728</v>
      </c>
      <c r="BF67" t="n">
        <v>67.09745982136728</v>
      </c>
      <c r="BG67" t="n">
        <v>67.09745982136728</v>
      </c>
      <c r="BI67" t="inlineStr">
        <is>
          <t>OLD_MLT_CHG</t>
        </is>
      </c>
    </row>
    <row r="68">
      <c r="A68" t="inlineStr">
        <is>
          <t>Dominica_2022_January</t>
        </is>
      </c>
      <c r="B68" s="2" t="n"/>
      <c r="C68" s="3" t="inlineStr">
        <is>
          <t>SM.22.7, Sup.2</t>
        </is>
      </c>
      <c r="D68" s="4" t="inlineStr">
        <is>
          <t>Dominica</t>
        </is>
      </c>
      <c r="E68" s="4" t="inlineStr">
        <is>
          <t>DMA</t>
        </is>
      </c>
      <c r="F68" s="10" t="n">
        <v>44562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Dominica_2022_January</t>
        </is>
      </c>
      <c r="B69" s="2" t="n"/>
      <c r="C69" s="3" t="inlineStr">
        <is>
          <t>SM.22.7, Sup.2</t>
        </is>
      </c>
      <c r="D69" s="4" t="inlineStr">
        <is>
          <t>Dominica</t>
        </is>
      </c>
      <c r="E69" s="4" t="inlineStr">
        <is>
          <t>DMA</t>
        </is>
      </c>
      <c r="F69" s="10" t="n">
        <v>44562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Dominica_2022_January</t>
        </is>
      </c>
      <c r="B70" s="2" t="n"/>
      <c r="C70" s="3" t="inlineStr">
        <is>
          <t>SM.22.7, Sup.2</t>
        </is>
      </c>
      <c r="D70" s="4" t="inlineStr">
        <is>
          <t>Dominica</t>
        </is>
      </c>
      <c r="E70" s="4" t="inlineStr">
        <is>
          <t>DMA</t>
        </is>
      </c>
      <c r="F70" s="10" t="n">
        <v>44562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Dominica_2022_January</t>
        </is>
      </c>
      <c r="B71" s="2" t="n"/>
      <c r="C71" s="3" t="inlineStr">
        <is>
          <t>SM.22.7, Sup.2</t>
        </is>
      </c>
      <c r="D71" s="4" t="inlineStr">
        <is>
          <t>Dominica</t>
        </is>
      </c>
      <c r="E71" s="4" t="inlineStr">
        <is>
          <t>DMA</t>
        </is>
      </c>
      <c r="F71" s="10" t="n">
        <v>44562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22</v>
      </c>
      <c r="P71" t="n">
        <v>67.59999999999999</v>
      </c>
      <c r="Q71" t="n">
        <v>50</v>
      </c>
      <c r="R71" t="n">
        <v>42.5559761462496</v>
      </c>
      <c r="S71" t="n">
        <v>40.3378911999337</v>
      </c>
      <c r="T71" t="n">
        <v>42.0420594627752</v>
      </c>
      <c r="U71" t="n">
        <v>30.67742387326371</v>
      </c>
      <c r="V71" t="n">
        <v>16.03622206008543</v>
      </c>
      <c r="W71" t="n">
        <v>5.02488672634026</v>
      </c>
      <c r="X71" t="n">
        <v>2.61135659901107</v>
      </c>
      <c r="Y71" t="n">
        <v>2.703537229808256</v>
      </c>
      <c r="Z71" t="n">
        <v>1.399485919941805</v>
      </c>
      <c r="AA71" t="n">
        <v>1.448887680036286</v>
      </c>
      <c r="AB71" t="n">
        <v>1.050023323288424</v>
      </c>
      <c r="AC71" t="n">
        <v>0.7609623538396391</v>
      </c>
      <c r="AD71" t="n">
        <v>0.787824274427507</v>
      </c>
      <c r="AE71" t="n">
        <v>0.8156344190293859</v>
      </c>
      <c r="AF71" t="n">
        <v>0.8444262598900409</v>
      </c>
      <c r="AG71" t="n">
        <v>0.8742344508222529</v>
      </c>
      <c r="AH71" t="n">
        <v>0.66977020299791</v>
      </c>
      <c r="AI71" t="n">
        <v>0.693413046713202</v>
      </c>
      <c r="BI71" t="inlineStr">
        <is>
          <t>NEW_ML</t>
        </is>
      </c>
    </row>
    <row r="72">
      <c r="A72" t="inlineStr">
        <is>
          <t>Dominica_2022_January</t>
        </is>
      </c>
      <c r="B72" s="2" t="n"/>
      <c r="C72" s="3" t="inlineStr">
        <is>
          <t>SM.22.7, Sup.2</t>
        </is>
      </c>
      <c r="D72" s="4" t="inlineStr">
        <is>
          <t>Dominica</t>
        </is>
      </c>
      <c r="E72" s="4" t="inlineStr">
        <is>
          <t>DMA</t>
        </is>
      </c>
      <c r="F72" s="10" t="n">
        <v>44562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Dominica_2022_January</t>
        </is>
      </c>
      <c r="B73" s="2" t="n"/>
      <c r="C73" s="3" t="inlineStr">
        <is>
          <t>SM.22.7, Sup.2</t>
        </is>
      </c>
      <c r="D73" s="4" t="inlineStr">
        <is>
          <t>Dominica</t>
        </is>
      </c>
      <c r="E73" s="4" t="inlineStr">
        <is>
          <t>DMA</t>
        </is>
      </c>
      <c r="F73" s="10" t="n">
        <v>44562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small economy</t>
        </is>
      </c>
      <c r="O73" t="n">
        <v>15</v>
      </c>
      <c r="P73" t="n">
        <v>47.6</v>
      </c>
      <c r="Q73" t="n">
        <v>35</v>
      </c>
      <c r="R73" t="n">
        <v>29.7891833023747</v>
      </c>
      <c r="S73" t="n">
        <v>28.2365238399536</v>
      </c>
      <c r="T73" t="n">
        <v>29.4294416239426</v>
      </c>
      <c r="U73" t="n">
        <v>21.4741967112846</v>
      </c>
      <c r="V73" t="n">
        <v>11.2253554420598</v>
      </c>
      <c r="W73" t="n">
        <v>3.51742070843818</v>
      </c>
      <c r="X73" t="n">
        <v>1.82794961930775</v>
      </c>
      <c r="Y73" t="n">
        <v>1.89247606086578</v>
      </c>
      <c r="Z73" t="n">
        <v>0.979640143959263</v>
      </c>
      <c r="AA73" t="n">
        <v>1.0142213760254</v>
      </c>
      <c r="AB73" t="n">
        <v>0.7350163263018969</v>
      </c>
      <c r="AC73" t="n">
        <v>0.5326736476877471</v>
      </c>
      <c r="AD73" t="n">
        <v>0.551476992099255</v>
      </c>
      <c r="AE73" t="n">
        <v>0.5709440933205699</v>
      </c>
      <c r="AF73" t="n">
        <v>0.591098381923029</v>
      </c>
      <c r="AG73" t="n">
        <v>0.611964115575577</v>
      </c>
      <c r="AH73" t="n">
        <v>0.506853126593013</v>
      </c>
      <c r="AI73" t="n">
        <v>0.524745008323504</v>
      </c>
      <c r="BI73" t="inlineStr">
        <is>
          <t>NEW_IDA</t>
        </is>
      </c>
    </row>
    <row r="74">
      <c r="A74" t="inlineStr">
        <is>
          <t>Dominica_2022_January</t>
        </is>
      </c>
      <c r="B74" s="2" t="n"/>
      <c r="C74" s="3" t="inlineStr">
        <is>
          <t>SM.22.7, Sup.2</t>
        </is>
      </c>
      <c r="D74" s="4" t="inlineStr">
        <is>
          <t>Dominica</t>
        </is>
      </c>
      <c r="E74" s="4" t="inlineStr">
        <is>
          <t>DMA</t>
        </is>
      </c>
      <c r="F74" s="10" t="n">
        <v>44562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Dominica_2022_January</t>
        </is>
      </c>
      <c r="B75" s="2" t="n"/>
      <c r="C75" s="3" t="inlineStr">
        <is>
          <t>SM.22.7, Sup.2</t>
        </is>
      </c>
      <c r="D75" s="4" t="inlineStr">
        <is>
          <t>Dominica</t>
        </is>
      </c>
      <c r="E75" s="4" t="inlineStr">
        <is>
          <t>DMA</t>
        </is>
      </c>
      <c r="F75" s="10" t="n">
        <v>44562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CDB</t>
        </is>
      </c>
      <c r="O75" t="n">
        <v>7</v>
      </c>
      <c r="P75" t="n">
        <v>20</v>
      </c>
      <c r="Q75" t="n">
        <v>15</v>
      </c>
      <c r="R75" t="n">
        <v>12.7667928438749</v>
      </c>
      <c r="S75" t="n">
        <v>12.1013673599801</v>
      </c>
      <c r="T75" t="n">
        <v>12.6126178388326</v>
      </c>
      <c r="U75" t="n">
        <v>9.203227161979109</v>
      </c>
      <c r="V75" t="n">
        <v>4.81086661802563</v>
      </c>
      <c r="W75" t="n">
        <v>1.50746601790208</v>
      </c>
      <c r="X75" t="n">
        <v>0.78340697970332</v>
      </c>
      <c r="Y75" t="n">
        <v>0.811061168942476</v>
      </c>
      <c r="Z75" t="n">
        <v>0.419845775982542</v>
      </c>
      <c r="AA75" t="n">
        <v>0.434666304010886</v>
      </c>
      <c r="AB75" t="n">
        <v>0.315006996986527</v>
      </c>
      <c r="AC75" t="n">
        <v>0.228288706151892</v>
      </c>
      <c r="AD75" t="n">
        <v>0.236347282328252</v>
      </c>
      <c r="AE75" t="n">
        <v>0.244690325708816</v>
      </c>
      <c r="AF75" t="n">
        <v>0.253327877967012</v>
      </c>
      <c r="AG75" t="n">
        <v>0.262270335246676</v>
      </c>
      <c r="AH75" t="n">
        <v>0.162917076404897</v>
      </c>
      <c r="AI75" t="n">
        <v>0.168668038389698</v>
      </c>
      <c r="BI75" t="inlineStr">
        <is>
          <t>NEW_OTHERS1</t>
        </is>
      </c>
    </row>
    <row r="76">
      <c r="A76" t="inlineStr">
        <is>
          <t>Dominica_2022_January</t>
        </is>
      </c>
      <c r="B76" s="2" t="n"/>
      <c r="C76" s="3" t="inlineStr">
        <is>
          <t>SM.22.7, Sup.2</t>
        </is>
      </c>
      <c r="D76" s="4" t="inlineStr">
        <is>
          <t>Dominica</t>
        </is>
      </c>
      <c r="E76" s="4" t="inlineStr">
        <is>
          <t>DMA</t>
        </is>
      </c>
      <c r="F76" s="10" t="n">
        <v>44562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MULTIRES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Dominica_2022_January</t>
        </is>
      </c>
      <c r="B77" s="2" t="n"/>
      <c r="C77" s="3" t="inlineStr">
        <is>
          <t>SM.22.7, Sup.2</t>
        </is>
      </c>
      <c r="D77" s="4" t="inlineStr">
        <is>
          <t>Dominica</t>
        </is>
      </c>
      <c r="E77" s="4" t="inlineStr">
        <is>
          <t>DMA</t>
        </is>
      </c>
      <c r="F77" s="10" t="n">
        <v>44562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Dominica_2022_January</t>
        </is>
      </c>
      <c r="B78" s="2" t="n"/>
      <c r="C78" s="3" t="inlineStr">
        <is>
          <t>SM.22.7, Sup.2</t>
        </is>
      </c>
      <c r="D78" s="4" t="inlineStr">
        <is>
          <t>Dominica</t>
        </is>
      </c>
      <c r="E78" s="4" t="inlineStr">
        <is>
          <t>DMA</t>
        </is>
      </c>
      <c r="F78" s="10" t="n">
        <v>44562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14.2821756210486</v>
      </c>
      <c r="P78" t="n">
        <v>10.758032766085</v>
      </c>
      <c r="Q78" t="n">
        <v>11.1554784297162</v>
      </c>
      <c r="R78" t="n">
        <v>10.8052021382149</v>
      </c>
      <c r="S78" t="n">
        <v>10.2441883465963</v>
      </c>
      <c r="T78" t="n">
        <v>10.6673151715909</v>
      </c>
      <c r="U78" t="n">
        <v>11.1528120059903</v>
      </c>
      <c r="V78" t="n">
        <v>11.4825340961084</v>
      </c>
      <c r="W78" t="n">
        <v>11.8795849237167</v>
      </c>
      <c r="X78" t="n">
        <v>12.2884192709513</v>
      </c>
      <c r="Y78" t="n">
        <v>12.678404004038</v>
      </c>
      <c r="Z78" t="n">
        <v>13.0652855104157</v>
      </c>
      <c r="AA78" t="n">
        <v>13.43667014568</v>
      </c>
      <c r="AB78" t="n">
        <v>13.8394639069612</v>
      </c>
      <c r="AC78" t="n">
        <v>14.2667582326255</v>
      </c>
      <c r="AD78" t="n">
        <v>15.0851911987127</v>
      </c>
      <c r="AE78" t="n">
        <v>15.9497614391658</v>
      </c>
      <c r="AF78" t="n">
        <v>16.8656802751421</v>
      </c>
      <c r="AG78" t="n">
        <v>17.8425414243761</v>
      </c>
      <c r="AH78" t="n">
        <v>18.5467604361372</v>
      </c>
      <c r="AI78" t="n">
        <v>19.2744533785081</v>
      </c>
    </row>
    <row r="79">
      <c r="A79" t="inlineStr">
        <is>
          <t>Dominica_2022_January</t>
        </is>
      </c>
      <c r="B79" s="2" t="n"/>
      <c r="C79" s="3" t="inlineStr">
        <is>
          <t>SM.22.7, Sup.2</t>
        </is>
      </c>
      <c r="D79" s="4" t="inlineStr">
        <is>
          <t>Dominica</t>
        </is>
      </c>
      <c r="E79" s="4" t="inlineStr">
        <is>
          <t>DMA</t>
        </is>
      </c>
      <c r="F79" s="10" t="n">
        <v>44562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14.2821756210486</v>
      </c>
      <c r="P79" t="n">
        <v>10.758032766085</v>
      </c>
      <c r="Q79" t="n">
        <v>11.1554784297162</v>
      </c>
      <c r="R79" t="n">
        <v>10.8052021382149</v>
      </c>
      <c r="S79" t="n">
        <v>10.2441883465963</v>
      </c>
      <c r="T79" t="n">
        <v>10.6673151715909</v>
      </c>
      <c r="U79" t="n">
        <v>11.1528120059903</v>
      </c>
      <c r="V79" t="n">
        <v>11.4825340961084</v>
      </c>
      <c r="W79" t="n">
        <v>11.8795849237167</v>
      </c>
      <c r="X79" t="n">
        <v>12.2884192709513</v>
      </c>
      <c r="Y79" t="n">
        <v>12.678404004038</v>
      </c>
      <c r="Z79" t="n">
        <v>13.0652855104157</v>
      </c>
      <c r="AA79" t="n">
        <v>13.43667014568</v>
      </c>
      <c r="AB79" t="n">
        <v>13.8394639069612</v>
      </c>
      <c r="AC79" t="n">
        <v>14.2667582326255</v>
      </c>
      <c r="AD79" t="n">
        <v>15.0851911987127</v>
      </c>
      <c r="AE79" t="n">
        <v>15.9497614391658</v>
      </c>
      <c r="AF79" t="n">
        <v>16.8656802751421</v>
      </c>
      <c r="AG79" t="n">
        <v>17.8425414243761</v>
      </c>
      <c r="AH79" t="n">
        <v>18.5467604361372</v>
      </c>
      <c r="AI79" t="n">
        <v>19.2744533785081</v>
      </c>
    </row>
    <row r="80">
      <c r="A80" t="inlineStr">
        <is>
          <t>Dominica_2022_January</t>
        </is>
      </c>
      <c r="B80" s="2" t="n"/>
      <c r="C80" s="3" t="inlineStr">
        <is>
          <t>SM.22.7, Sup.2</t>
        </is>
      </c>
      <c r="D80" s="4" t="inlineStr">
        <is>
          <t>Dominica</t>
        </is>
      </c>
      <c r="E80" s="4" t="inlineStr">
        <is>
          <t>DMA</t>
        </is>
      </c>
      <c r="F80" s="10" t="n">
        <v>44562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Dominica_2022_January</t>
        </is>
      </c>
      <c r="B81" s="2" t="n"/>
      <c r="C81" s="3" t="inlineStr">
        <is>
          <t>SM.22.7, Sup.2</t>
        </is>
      </c>
      <c r="D81" s="4" t="inlineStr">
        <is>
          <t>Dominica</t>
        </is>
      </c>
      <c r="E81" s="4" t="inlineStr">
        <is>
          <t>DMA</t>
        </is>
      </c>
      <c r="F81" s="10" t="n">
        <v>44562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Dominica_2022_January</t>
        </is>
      </c>
      <c r="B82" s="2" t="n"/>
      <c r="C82" s="3" t="inlineStr">
        <is>
          <t>SM.22.7, Sup.2</t>
        </is>
      </c>
      <c r="D82" s="4" t="inlineStr">
        <is>
          <t>Dominica</t>
        </is>
      </c>
      <c r="E82" s="4" t="inlineStr">
        <is>
          <t>DMA</t>
        </is>
      </c>
      <c r="F82" s="10" t="n">
        <v>44562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0.0103367389970622</v>
      </c>
      <c r="P82" t="n">
        <v>0.00217306776689881</v>
      </c>
      <c r="Q82" t="n">
        <v>0</v>
      </c>
      <c r="R82" t="n">
        <v>0</v>
      </c>
      <c r="S82" t="n">
        <v>0.0850612737800218</v>
      </c>
      <c r="T82" t="n">
        <v>0.0281123680126269</v>
      </c>
      <c r="U82" t="n">
        <v>0</v>
      </c>
      <c r="V82" t="n">
        <v>0.08909457833729929</v>
      </c>
      <c r="W82" t="n">
        <v>0</v>
      </c>
      <c r="X82" t="n">
        <v>0</v>
      </c>
      <c r="Y82" t="n">
        <v>0.444518624419678</v>
      </c>
      <c r="Z82" t="n">
        <v>0.1747294374392</v>
      </c>
      <c r="AA82" t="n">
        <v>0.0176789914394953</v>
      </c>
      <c r="AB82" t="n">
        <v>0</v>
      </c>
      <c r="AC82" t="n">
        <v>0.351252493252851</v>
      </c>
      <c r="AD82" t="n">
        <v>0.127847975552428</v>
      </c>
      <c r="AE82" t="n">
        <v>0.0705706180724703</v>
      </c>
      <c r="AF82" t="n">
        <v>0.441210138892411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Dominica_2022_January</t>
        </is>
      </c>
      <c r="B83" s="2" t="n"/>
      <c r="C83" s="3" t="inlineStr">
        <is>
          <t>SM.22.7, Sup.2</t>
        </is>
      </c>
      <c r="D83" s="4" t="inlineStr">
        <is>
          <t>Dominica</t>
        </is>
      </c>
      <c r="E83" s="4" t="inlineStr">
        <is>
          <t>DMA</t>
        </is>
      </c>
      <c r="F83" s="10" t="n">
        <v>44562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Dominica_2022_January</t>
        </is>
      </c>
      <c r="B84" s="2" t="n"/>
      <c r="C84" s="3" t="inlineStr">
        <is>
          <t>SM.22.7, Sup.2</t>
        </is>
      </c>
      <c r="D84" s="4" t="inlineStr">
        <is>
          <t>Dominica</t>
        </is>
      </c>
      <c r="E84" s="4" t="inlineStr">
        <is>
          <t>DMA</t>
        </is>
      </c>
      <c r="F84" s="10" t="n">
        <v>44562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Dominica_2022_January</t>
        </is>
      </c>
      <c r="B85" s="2" t="n"/>
      <c r="C85" s="3" t="inlineStr">
        <is>
          <t>SM.22.7, Sup.2</t>
        </is>
      </c>
      <c r="D85" s="4" t="inlineStr">
        <is>
          <t>Dominica</t>
        </is>
      </c>
      <c r="E85" s="4" t="inlineStr">
        <is>
          <t>DMA</t>
        </is>
      </c>
      <c r="F85" s="10" t="n">
        <v>44562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Dominica_2022_January</t>
        </is>
      </c>
      <c r="B86" s="2" t="n"/>
      <c r="C86" s="3" t="inlineStr">
        <is>
          <t>SM.22.7, Sup.2</t>
        </is>
      </c>
      <c r="D86" s="4" t="inlineStr">
        <is>
          <t>Dominica</t>
        </is>
      </c>
      <c r="E86" s="4" t="inlineStr">
        <is>
          <t>DMA</t>
        </is>
      </c>
      <c r="F86" s="10" t="n">
        <v>44562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Dominica_2022_January</t>
        </is>
      </c>
      <c r="B87" s="2" t="n"/>
      <c r="C87" s="3" t="inlineStr">
        <is>
          <t>SM.22.7, Sup.2</t>
        </is>
      </c>
      <c r="D87" s="4" t="inlineStr">
        <is>
          <t>Dominica</t>
        </is>
      </c>
      <c r="E87" s="4" t="inlineStr">
        <is>
          <t>DMA</t>
        </is>
      </c>
      <c r="F87" s="10" t="n">
        <v>44562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Dominica_2022_January</t>
        </is>
      </c>
      <c r="B88" s="2" t="n"/>
      <c r="C88" s="3" t="inlineStr">
        <is>
          <t>SM.22.7, Sup.2</t>
        </is>
      </c>
      <c r="D88" s="4" t="inlineStr">
        <is>
          <t>Dominica</t>
        </is>
      </c>
      <c r="E88" s="4" t="inlineStr">
        <is>
          <t>DMA</t>
        </is>
      </c>
      <c r="F88" s="10" t="n">
        <v>44562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Dominica_2022_January</t>
        </is>
      </c>
      <c r="B89" s="2" t="n"/>
      <c r="C89" s="3" t="inlineStr">
        <is>
          <t>SM.22.7, Sup.2</t>
        </is>
      </c>
      <c r="D89" s="4" t="inlineStr">
        <is>
          <t>Dominica</t>
        </is>
      </c>
      <c r="E89" s="4" t="inlineStr">
        <is>
          <t>DMA</t>
        </is>
      </c>
      <c r="F89" s="10" t="n">
        <v>44562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0.0103367389970622</v>
      </c>
      <c r="P89" t="n">
        <v>0.00217306776689881</v>
      </c>
      <c r="Q89" t="n">
        <v>0</v>
      </c>
      <c r="R89" t="n">
        <v>0</v>
      </c>
      <c r="S89" t="n">
        <v>0.0850612737800218</v>
      </c>
      <c r="T89" t="n">
        <v>0.0281123680126269</v>
      </c>
      <c r="U89" t="n">
        <v>0</v>
      </c>
      <c r="V89" t="n">
        <v>0.08909457833729929</v>
      </c>
      <c r="W89" t="n">
        <v>0</v>
      </c>
      <c r="X89" t="n">
        <v>0</v>
      </c>
      <c r="Y89" t="n">
        <v>0.444518624419678</v>
      </c>
      <c r="Z89" t="n">
        <v>0.1747294374392</v>
      </c>
      <c r="AA89" t="n">
        <v>0.0176789914394953</v>
      </c>
      <c r="AB89" t="n">
        <v>0</v>
      </c>
      <c r="AC89" t="n">
        <v>0.351252493252851</v>
      </c>
      <c r="AD89" t="n">
        <v>0.127847975552428</v>
      </c>
      <c r="AE89" t="n">
        <v>0.0705706180724703</v>
      </c>
      <c r="AF89" t="n">
        <v>0.441210138892411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Dominica_2022_January</t>
        </is>
      </c>
      <c r="B90" s="2" t="n"/>
      <c r="C90" s="3" t="inlineStr">
        <is>
          <t>SM.22.7, Sup.2</t>
        </is>
      </c>
      <c r="D90" s="4" t="inlineStr">
        <is>
          <t>Dominica</t>
        </is>
      </c>
      <c r="E90" s="4" t="inlineStr">
        <is>
          <t>DMA</t>
        </is>
      </c>
      <c r="F90" s="10" t="n">
        <v>44562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NPC2</t>
        </is>
      </c>
      <c r="O90" t="n">
        <v>0.0103367389970622</v>
      </c>
      <c r="P90" t="n">
        <v>0.00217306776689881</v>
      </c>
      <c r="Q90" t="n">
        <v>0</v>
      </c>
      <c r="R90" t="n">
        <v>0</v>
      </c>
      <c r="S90" t="n">
        <v>0.0850612737800218</v>
      </c>
      <c r="T90" t="n">
        <v>0.0281123680126269</v>
      </c>
      <c r="U90" t="n">
        <v>0</v>
      </c>
      <c r="V90" t="n">
        <v>0.08909457833729929</v>
      </c>
      <c r="W90" t="n">
        <v>0</v>
      </c>
      <c r="X90" t="n">
        <v>0</v>
      </c>
      <c r="Y90" t="n">
        <v>0.444518624419678</v>
      </c>
      <c r="Z90" t="n">
        <v>0.1747294374392</v>
      </c>
      <c r="AA90" t="n">
        <v>0.0176789914394953</v>
      </c>
      <c r="AB90" t="n">
        <v>0</v>
      </c>
      <c r="AC90" t="n">
        <v>0.351252493252851</v>
      </c>
      <c r="AD90" t="n">
        <v>0.127847975552428</v>
      </c>
      <c r="AE90" t="n">
        <v>0.0705706180724703</v>
      </c>
      <c r="AF90" t="n">
        <v>0.441210138892411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Dominica_2022_January</t>
        </is>
      </c>
      <c r="B91" s="2" t="n"/>
      <c r="C91" s="3" t="inlineStr">
        <is>
          <t>SM.22.7, Sup.2</t>
        </is>
      </c>
      <c r="D91" s="4" t="inlineStr">
        <is>
          <t>Dominica</t>
        </is>
      </c>
      <c r="E91" s="4" t="inlineStr">
        <is>
          <t>DMA</t>
        </is>
      </c>
      <c r="F91" s="10" t="n">
        <v>44562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Dominica_2022_January</t>
        </is>
      </c>
      <c r="B92" s="2" t="n"/>
      <c r="C92" s="3" t="inlineStr">
        <is>
          <t>SM.22.7, Sup.2</t>
        </is>
      </c>
      <c r="D92" s="4" t="inlineStr">
        <is>
          <t>Dominica</t>
        </is>
      </c>
      <c r="E92" s="4" t="inlineStr">
        <is>
          <t>DMA</t>
        </is>
      </c>
      <c r="F92" s="10" t="n">
        <v>44562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Dominica_2022_January</t>
        </is>
      </c>
      <c r="B93" s="2" t="n"/>
      <c r="C93" s="3" t="inlineStr">
        <is>
          <t>SM.22.7, Sup.2</t>
        </is>
      </c>
      <c r="D93" s="4" t="inlineStr">
        <is>
          <t>Dominica</t>
        </is>
      </c>
      <c r="E93" s="4" t="inlineStr">
        <is>
          <t>DMA</t>
        </is>
      </c>
      <c r="F93" s="10" t="n">
        <v>44562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Dominica_2022_January</t>
        </is>
      </c>
      <c r="B94" s="2" t="n"/>
      <c r="C94" s="3" t="inlineStr">
        <is>
          <t>SM.22.7, Sup.2</t>
        </is>
      </c>
      <c r="D94" s="4" t="inlineStr">
        <is>
          <t>Dominica</t>
        </is>
      </c>
      <c r="E94" s="4" t="inlineStr">
        <is>
          <t>DMA</t>
        </is>
      </c>
      <c r="F94" s="10" t="n">
        <v>44562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Dominica_2022_January</t>
        </is>
      </c>
      <c r="B95" s="2" t="n"/>
      <c r="C95" s="3" t="inlineStr">
        <is>
          <t>SM.22.7, Sup.2</t>
        </is>
      </c>
      <c r="D95" s="4" t="inlineStr">
        <is>
          <t>Dominica</t>
        </is>
      </c>
      <c r="E95" s="4" t="inlineStr">
        <is>
          <t>DMA</t>
        </is>
      </c>
      <c r="F95" s="10" t="n">
        <v>44562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Dominica_2022_January</t>
        </is>
      </c>
      <c r="B96" s="2" t="n"/>
      <c r="C96" s="3" t="inlineStr">
        <is>
          <t>SM.22.7, Sup.2</t>
        </is>
      </c>
      <c r="D96" s="4" t="inlineStr">
        <is>
          <t>Dominica</t>
        </is>
      </c>
      <c r="E96" s="4" t="inlineStr">
        <is>
          <t>DMA</t>
        </is>
      </c>
      <c r="F96" s="10" t="n">
        <v>44562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Dominica_2022_January</t>
        </is>
      </c>
      <c r="B97" s="2" t="n"/>
      <c r="C97" s="3" t="inlineStr">
        <is>
          <t>SM.22.7, Sup.2</t>
        </is>
      </c>
      <c r="D97" s="4" t="inlineStr">
        <is>
          <t>Dominica</t>
        </is>
      </c>
      <c r="E97" s="4" t="inlineStr">
        <is>
          <t>DMA</t>
        </is>
      </c>
      <c r="F97" s="10" t="n">
        <v>44562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Dominica_2022_January</t>
        </is>
      </c>
      <c r="B98" s="2" t="n"/>
      <c r="C98" s="3" t="inlineStr">
        <is>
          <t>SM.22.7, Sup.2</t>
        </is>
      </c>
      <c r="D98" s="4" t="inlineStr">
        <is>
          <t>Dominica</t>
        </is>
      </c>
      <c r="E98" s="4" t="inlineStr">
        <is>
          <t>DMA</t>
        </is>
      </c>
      <c r="F98" s="10" t="n">
        <v>44562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Dominica_2022_January</t>
        </is>
      </c>
      <c r="B99" s="2" t="n"/>
      <c r="C99" s="3" t="inlineStr">
        <is>
          <t>SM.22.7, Sup.2</t>
        </is>
      </c>
      <c r="D99" s="4" t="inlineStr">
        <is>
          <t>Dominica</t>
        </is>
      </c>
      <c r="E99" s="4" t="inlineStr">
        <is>
          <t>DMA</t>
        </is>
      </c>
      <c r="F99" s="10" t="n">
        <v>44562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Dominica_2022_January</t>
        </is>
      </c>
      <c r="B100" s="2" t="n"/>
      <c r="C100" s="3" t="inlineStr">
        <is>
          <t>SM.22.7, Sup.2</t>
        </is>
      </c>
      <c r="D100" s="4" t="inlineStr">
        <is>
          <t>Dominica</t>
        </is>
      </c>
      <c r="E100" s="4" t="inlineStr">
        <is>
          <t>DMA</t>
        </is>
      </c>
      <c r="F100" s="10" t="n">
        <v>44562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Dominica_2022_January</t>
        </is>
      </c>
      <c r="B101" s="2" t="n"/>
      <c r="C101" s="3" t="inlineStr">
        <is>
          <t>SM.22.7, Sup.2</t>
        </is>
      </c>
      <c r="D101" s="4" t="inlineStr">
        <is>
          <t>Dominica</t>
        </is>
      </c>
      <c r="E101" s="4" t="inlineStr">
        <is>
          <t>DMA</t>
        </is>
      </c>
      <c r="F101" s="10" t="n">
        <v>44562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Dominica_2022_January</t>
        </is>
      </c>
      <c r="B102" s="2" t="n"/>
      <c r="C102" s="3" t="inlineStr">
        <is>
          <t>SM.22.7, Sup.2</t>
        </is>
      </c>
      <c r="D102" s="4" t="inlineStr">
        <is>
          <t>Dominica</t>
        </is>
      </c>
      <c r="E102" s="4" t="inlineStr">
        <is>
          <t>DMA</t>
        </is>
      </c>
      <c r="F102" s="10" t="n">
        <v>44562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Dominica_2022_January</t>
        </is>
      </c>
      <c r="B103" s="2" t="n"/>
      <c r="C103" s="3" t="inlineStr">
        <is>
          <t>SM.22.7, Sup.2</t>
        </is>
      </c>
      <c r="D103" s="4" t="inlineStr">
        <is>
          <t>Dominica</t>
        </is>
      </c>
      <c r="E103" s="4" t="inlineStr">
        <is>
          <t>DMA</t>
        </is>
      </c>
      <c r="F103" s="10" t="n">
        <v>44562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Dominica_2022_January</t>
        </is>
      </c>
      <c r="B104" s="2" t="n"/>
      <c r="C104" s="3" t="inlineStr">
        <is>
          <t>SM.22.7, Sup.2</t>
        </is>
      </c>
      <c r="D104" s="4" t="inlineStr">
        <is>
          <t>Dominica</t>
        </is>
      </c>
      <c r="E104" s="4" t="inlineStr">
        <is>
          <t>DMA</t>
        </is>
      </c>
      <c r="F104" s="10" t="n">
        <v>44562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Dominica_2022_January</t>
        </is>
      </c>
      <c r="B105" s="2" t="n"/>
      <c r="C105" s="3" t="inlineStr">
        <is>
          <t>SM.22.7, Sup.2</t>
        </is>
      </c>
      <c r="D105" s="4" t="inlineStr">
        <is>
          <t>Dominica</t>
        </is>
      </c>
      <c r="E105" s="4" t="inlineStr">
        <is>
          <t>DMA</t>
        </is>
      </c>
      <c r="F105" s="10" t="n">
        <v>44562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Dominica_2022_January</t>
        </is>
      </c>
      <c r="B106" s="2" t="n"/>
      <c r="C106" s="3" t="inlineStr">
        <is>
          <t>SM.22.7, Sup.2</t>
        </is>
      </c>
      <c r="D106" s="4" t="inlineStr">
        <is>
          <t>Dominica</t>
        </is>
      </c>
      <c r="E106" s="4" t="inlineStr">
        <is>
          <t>DMA</t>
        </is>
      </c>
      <c r="F106" s="10" t="n">
        <v>44562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Dominica_2022_January</t>
        </is>
      </c>
      <c r="B107" s="2" t="n"/>
      <c r="C107" s="3" t="inlineStr">
        <is>
          <t>SM.22.7, Sup.2</t>
        </is>
      </c>
      <c r="D107" s="4" t="inlineStr">
        <is>
          <t>Dominica</t>
        </is>
      </c>
      <c r="E107" s="4" t="inlineStr">
        <is>
          <t>DMA</t>
        </is>
      </c>
      <c r="F107" s="10" t="n">
        <v>44562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Dominica_2022_January</t>
        </is>
      </c>
      <c r="B108" s="2" t="n"/>
      <c r="C108" s="3" t="inlineStr">
        <is>
          <t>SM.22.7, Sup.2</t>
        </is>
      </c>
      <c r="D108" s="4" t="inlineStr">
        <is>
          <t>Dominica</t>
        </is>
      </c>
      <c r="E108" s="4" t="inlineStr">
        <is>
          <t>DMA</t>
        </is>
      </c>
      <c r="F108" s="10" t="n">
        <v>44562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Dominica_2022_January</t>
        </is>
      </c>
      <c r="B109" s="2" t="n"/>
      <c r="C109" s="3" t="inlineStr">
        <is>
          <t>SM.22.7, Sup.2</t>
        </is>
      </c>
      <c r="D109" s="4" t="inlineStr">
        <is>
          <t>Dominica</t>
        </is>
      </c>
      <c r="E109" s="4" t="inlineStr">
        <is>
          <t>DMA</t>
        </is>
      </c>
      <c r="F109" s="10" t="n">
        <v>44562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Dominica_2022_January</t>
        </is>
      </c>
      <c r="B110" s="2" t="n"/>
      <c r="C110" s="3" t="inlineStr">
        <is>
          <t>SM.22.7, Sup.2</t>
        </is>
      </c>
      <c r="D110" s="4" t="inlineStr">
        <is>
          <t>Dominica</t>
        </is>
      </c>
      <c r="E110" s="4" t="inlineStr">
        <is>
          <t>DMA</t>
        </is>
      </c>
      <c r="F110" s="10" t="n">
        <v>44562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 held by residents</t>
        </is>
      </c>
    </row>
    <row r="111">
      <c r="A111" t="inlineStr">
        <is>
          <t>Dominica_2022_January</t>
        </is>
      </c>
      <c r="B111" s="2" t="n"/>
      <c r="C111" s="3" t="inlineStr">
        <is>
          <t>SM.22.7, Sup.2</t>
        </is>
      </c>
      <c r="D111" s="4" t="inlineStr">
        <is>
          <t>Dominica</t>
        </is>
      </c>
      <c r="E111" s="4" t="inlineStr">
        <is>
          <t>DMA</t>
        </is>
      </c>
      <c r="F111" s="10" t="n">
        <v>44562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Dominica_2022_January</t>
        </is>
      </c>
      <c r="B112" s="2" t="n"/>
      <c r="C112" s="3" t="inlineStr">
        <is>
          <t>SM.22.7, Sup.2</t>
        </is>
      </c>
      <c r="D112" s="4" t="inlineStr">
        <is>
          <t>Dominica</t>
        </is>
      </c>
      <c r="E112" s="4" t="inlineStr">
        <is>
          <t>DMA</t>
        </is>
      </c>
      <c r="F112" s="10" t="n">
        <v>44562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Dominica_2022_January</t>
        </is>
      </c>
      <c r="B113" s="2" t="n"/>
      <c r="C113" s="3" t="inlineStr">
        <is>
          <t>SM.22.7, Sup.2</t>
        </is>
      </c>
      <c r="D113" s="4" t="inlineStr">
        <is>
          <t>Dominica</t>
        </is>
      </c>
      <c r="E113" s="4" t="inlineStr">
        <is>
          <t>DMA</t>
        </is>
      </c>
      <c r="F113" s="10" t="n">
        <v>44562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Dominica_2022_January</t>
        </is>
      </c>
      <c r="B114" s="2" t="n"/>
      <c r="C114" s="3" t="inlineStr">
        <is>
          <t>SM.22.7, Sup.2</t>
        </is>
      </c>
      <c r="D114" s="4" t="inlineStr">
        <is>
          <t>Dominica</t>
        </is>
      </c>
      <c r="E114" s="4" t="inlineStr">
        <is>
          <t>DMA</t>
        </is>
      </c>
      <c r="F114" s="10" t="n">
        <v>44562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Dominica_2022_January</t>
        </is>
      </c>
      <c r="B115" s="2" t="n"/>
      <c r="C115" s="3" t="inlineStr">
        <is>
          <t>SM.22.7, Sup.2</t>
        </is>
      </c>
      <c r="D115" s="4" t="inlineStr">
        <is>
          <t>Dominica</t>
        </is>
      </c>
      <c r="E115" s="4" t="inlineStr">
        <is>
          <t>DMA</t>
        </is>
      </c>
      <c r="F115" s="10" t="n">
        <v>44562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Dominica_2022_January</t>
        </is>
      </c>
      <c r="B116" s="2" t="n"/>
      <c r="C116" s="3" t="inlineStr">
        <is>
          <t>SM.22.7, Sup.2</t>
        </is>
      </c>
      <c r="D116" s="4" t="inlineStr">
        <is>
          <t>Dominica</t>
        </is>
      </c>
      <c r="E116" s="4" t="inlineStr">
        <is>
          <t>DMA</t>
        </is>
      </c>
      <c r="F116" s="10" t="n">
        <v>44562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Dominica_2022_January</t>
        </is>
      </c>
      <c r="B117" s="2" t="n"/>
      <c r="C117" s="3" t="inlineStr">
        <is>
          <t>SM.22.7, Sup.2</t>
        </is>
      </c>
      <c r="D117" s="4" t="inlineStr">
        <is>
          <t>Dominica</t>
        </is>
      </c>
      <c r="E117" s="4" t="inlineStr">
        <is>
          <t>DMA</t>
        </is>
      </c>
      <c r="F117" s="10" t="n">
        <v>44562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Dominica_2022_January</t>
        </is>
      </c>
      <c r="B118" s="2" t="n"/>
      <c r="C118" s="3" t="inlineStr">
        <is>
          <t>SM.22.7, Sup.2</t>
        </is>
      </c>
      <c r="D118" s="4" t="inlineStr">
        <is>
          <t>Dominica</t>
        </is>
      </c>
      <c r="E118" s="4" t="inlineStr">
        <is>
          <t>DMA</t>
        </is>
      </c>
      <c r="F118" s="10" t="n">
        <v>44562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36.29251236004566</v>
      </c>
      <c r="P118" t="n">
        <v>78.36020583385189</v>
      </c>
      <c r="Q118" t="n">
        <v>61.1554784297162</v>
      </c>
      <c r="R118" t="n">
        <v>53.3611782844645</v>
      </c>
      <c r="S118" t="n">
        <v>50.66714082031002</v>
      </c>
      <c r="T118" t="n">
        <v>52.73748700237873</v>
      </c>
      <c r="U118" t="n">
        <v>41.830235879254</v>
      </c>
      <c r="V118" t="n">
        <v>27.60785073453113</v>
      </c>
      <c r="W118" t="n">
        <v>16.90447165005696</v>
      </c>
      <c r="X118" t="n">
        <v>14.89977586996237</v>
      </c>
      <c r="Y118" t="n">
        <v>15.82645985826593</v>
      </c>
      <c r="Z118" t="n">
        <v>14.63950086779671</v>
      </c>
      <c r="AA118" t="n">
        <v>14.90323681715578</v>
      </c>
      <c r="AB118" t="n">
        <v>14.88948723024962</v>
      </c>
      <c r="AC118" t="n">
        <v>15.37897307971799</v>
      </c>
      <c r="AD118" t="n">
        <v>16.00086344869263</v>
      </c>
      <c r="AE118" t="n">
        <v>16.83596647626765</v>
      </c>
      <c r="AF118" t="n">
        <v>18.15131667392455</v>
      </c>
      <c r="AG118" t="n">
        <v>18.71677587519835</v>
      </c>
      <c r="AH118" t="n">
        <v>19.21653063913511</v>
      </c>
      <c r="AI118" t="n">
        <v>19.9678664252213</v>
      </c>
      <c r="BI118" t="inlineStr">
        <is>
          <t>NEW_MLT_ALL</t>
        </is>
      </c>
    </row>
    <row r="119">
      <c r="A119" t="inlineStr">
        <is>
          <t>Dominica_2022_January</t>
        </is>
      </c>
      <c r="B119" s="2" t="n"/>
      <c r="C119" s="3" t="inlineStr">
        <is>
          <t>SM.22.7, Sup.2</t>
        </is>
      </c>
      <c r="D119" s="4" t="inlineStr">
        <is>
          <t>Dominica</t>
        </is>
      </c>
      <c r="E119" s="4" t="inlineStr">
        <is>
          <t>DMA</t>
        </is>
      </c>
      <c r="F119" s="10" t="n">
        <v>44562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41.77107021039018</v>
      </c>
      <c r="P119" t="n">
        <v>90.5817825018058</v>
      </c>
      <c r="Q119" t="n">
        <v>82.74044382495258</v>
      </c>
      <c r="R119" t="n">
        <v>62.52803581494603</v>
      </c>
      <c r="S119" t="n">
        <v>59.6000899674512</v>
      </c>
      <c r="T119" t="n">
        <v>61.25744876387819</v>
      </c>
      <c r="U119" t="n">
        <v>50.03244493134066</v>
      </c>
      <c r="V119" t="n">
        <v>34.97928047806149</v>
      </c>
      <c r="W119" t="n">
        <v>23.91426410105679</v>
      </c>
      <c r="X119" t="n">
        <v>20.9794873442261</v>
      </c>
      <c r="Y119" t="n">
        <v>21.21630791820868</v>
      </c>
      <c r="Z119" t="n">
        <v>18.11664983194109</v>
      </c>
      <c r="AA119" t="n">
        <v>24.92409530289896</v>
      </c>
      <c r="AB119" t="n">
        <v>25.74140023253256</v>
      </c>
      <c r="AC119" t="n">
        <v>22.28583877677548</v>
      </c>
      <c r="AD119" t="n">
        <v>26.11125878768371</v>
      </c>
      <c r="AE119" t="n">
        <v>29.12228037463865</v>
      </c>
      <c r="AF119" t="n">
        <v>34.56942134515367</v>
      </c>
      <c r="AG119" t="n">
        <v>39.83360721823533</v>
      </c>
      <c r="AH119" t="n">
        <v>44.21964509167431</v>
      </c>
      <c r="AI119" t="n">
        <v>49.93251710756192</v>
      </c>
    </row>
    <row r="120">
      <c r="A120" t="inlineStr">
        <is>
          <t>Dominica_2022_January</t>
        </is>
      </c>
      <c r="B120" s="2" t="n"/>
      <c r="C120" s="3" t="inlineStr">
        <is>
          <t>SM.22.7, Sup.2</t>
        </is>
      </c>
      <c r="D120" s="4" t="inlineStr">
        <is>
          <t>Dominica</t>
        </is>
      </c>
      <c r="E120" s="4" t="inlineStr">
        <is>
          <t>DMA</t>
        </is>
      </c>
      <c r="F120" s="10" t="n">
        <v>44562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Dominica_2022_January</t>
        </is>
      </c>
      <c r="B121" s="2" t="n"/>
      <c r="C121" s="3" t="inlineStr">
        <is>
          <t>SM.22.7, Sup.2</t>
        </is>
      </c>
      <c r="D121" s="4" t="inlineStr">
        <is>
          <t>Dominica</t>
        </is>
      </c>
      <c r="E121" s="4" t="inlineStr">
        <is>
          <t>DMA</t>
        </is>
      </c>
      <c r="F121" s="10" t="n">
        <v>44562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Dominica_2022_January</t>
        </is>
      </c>
      <c r="B122" s="2" t="n"/>
      <c r="C122" s="3" t="inlineStr">
        <is>
          <t>SM.22.7, Sup.2</t>
        </is>
      </c>
      <c r="D122" s="4" t="inlineStr">
        <is>
          <t>Dominica</t>
        </is>
      </c>
      <c r="E122" s="4" t="inlineStr">
        <is>
          <t>DMA</t>
        </is>
      </c>
      <c r="F122" s="10" t="n">
        <v>44562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0.682591735012706</v>
      </c>
      <c r="M122" t="n">
        <v>0.682591735012706</v>
      </c>
      <c r="O122" t="n">
        <v>0.868843249101581</v>
      </c>
      <c r="P122" t="n">
        <v>0.8650768804675458</v>
      </c>
      <c r="Q122" t="n">
        <v>0.7391243701701433</v>
      </c>
      <c r="R122" t="n">
        <v>0.8533960420952423</v>
      </c>
      <c r="S122" t="n">
        <v>0.8501185291495424</v>
      </c>
      <c r="T122" t="n">
        <v>0.8609154978957687</v>
      </c>
      <c r="U122" t="n">
        <v>0.8360621979728852</v>
      </c>
      <c r="V122" t="n">
        <v>0.7892629681690103</v>
      </c>
      <c r="W122" t="n">
        <v>0.706878186952445</v>
      </c>
      <c r="X122" t="n">
        <v>0.7102068618498932</v>
      </c>
      <c r="Y122" t="n">
        <v>0.7459573041303303</v>
      </c>
      <c r="Z122" t="n">
        <v>0.8080688760670366</v>
      </c>
      <c r="AA122" t="n">
        <v>0.5979449458862551</v>
      </c>
      <c r="AB122" t="n">
        <v>0.5784256915220934</v>
      </c>
      <c r="AC122" t="n">
        <v>0.6900782704999521</v>
      </c>
      <c r="AD122" t="n">
        <v>0.6127955599076672</v>
      </c>
      <c r="AE122" t="n">
        <v>0.5781129176590641</v>
      </c>
      <c r="AF122" t="n">
        <v>0.5250685712293304</v>
      </c>
      <c r="AG122" t="n">
        <v>0.4698739878780059</v>
      </c>
      <c r="AH122" t="n">
        <v>0.4345699880516048</v>
      </c>
      <c r="AI122" t="n">
        <v>0.3998970527002996</v>
      </c>
    </row>
    <row r="123">
      <c r="A123" t="inlineStr">
        <is>
          <t>Dominica_2022_January</t>
        </is>
      </c>
      <c r="B123" s="2" t="n"/>
      <c r="C123" s="3" t="inlineStr">
        <is>
          <t>SM.22.7, Sup.2</t>
        </is>
      </c>
      <c r="D123" s="4" t="inlineStr">
        <is>
          <t>Dominica</t>
        </is>
      </c>
      <c r="E123" s="4" t="inlineStr">
        <is>
          <t>DMA</t>
        </is>
      </c>
      <c r="F123" s="10" t="n">
        <v>44562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0.3174082649872942</v>
      </c>
      <c r="M123" t="n">
        <v>0.3174082649872942</v>
      </c>
      <c r="O123" t="n">
        <v>0.131156750898419</v>
      </c>
      <c r="P123" t="n">
        <v>0.1349231195324542</v>
      </c>
      <c r="Q123" t="n">
        <v>0.2608756298298567</v>
      </c>
      <c r="R123" t="n">
        <v>0.1466039579047577</v>
      </c>
      <c r="S123" t="n">
        <v>0.1498814708504576</v>
      </c>
      <c r="T123" t="n">
        <v>0.1390845021042313</v>
      </c>
      <c r="U123" t="n">
        <v>0.1639378020271149</v>
      </c>
      <c r="V123" t="n">
        <v>0.2107370318309897</v>
      </c>
      <c r="W123" t="n">
        <v>0.2931218130475551</v>
      </c>
      <c r="X123" t="n">
        <v>0.2897931381501069</v>
      </c>
      <c r="Y123" t="n">
        <v>0.2540426958696697</v>
      </c>
      <c r="Z123" t="n">
        <v>0.1919311239329634</v>
      </c>
      <c r="AA123" t="n">
        <v>0.4020550541137449</v>
      </c>
      <c r="AB123" t="n">
        <v>0.4215743084779065</v>
      </c>
      <c r="AC123" t="n">
        <v>0.3099217295000479</v>
      </c>
      <c r="AD123" t="n">
        <v>0.3872044400923329</v>
      </c>
      <c r="AE123" t="n">
        <v>0.4218870823409358</v>
      </c>
      <c r="AF123" t="n">
        <v>0.4749314287706697</v>
      </c>
      <c r="AG123" t="n">
        <v>0.5301260121219941</v>
      </c>
      <c r="AH123" t="n">
        <v>0.5654300119483952</v>
      </c>
      <c r="AI123" t="n">
        <v>0.6001029472997003</v>
      </c>
    </row>
    <row r="124">
      <c r="A124" t="inlineStr">
        <is>
          <t>Dominica_2022_January</t>
        </is>
      </c>
      <c r="B124" s="2" t="n"/>
      <c r="C124" s="3" t="inlineStr">
        <is>
          <t>SM.22.7, Sup.2</t>
        </is>
      </c>
      <c r="D124" s="4" t="inlineStr">
        <is>
          <t>Dominica</t>
        </is>
      </c>
      <c r="E124" s="4" t="inlineStr">
        <is>
          <t>DMA</t>
        </is>
      </c>
      <c r="F124" s="10" t="n">
        <v>44562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Dominica_2022_January</t>
        </is>
      </c>
      <c r="B125" s="2" t="n"/>
      <c r="C125" s="3" t="inlineStr">
        <is>
          <t>SM.22.7, Sup.2</t>
        </is>
      </c>
      <c r="D125" s="4" t="inlineStr">
        <is>
          <t>Dominica</t>
        </is>
      </c>
      <c r="E125" s="4" t="inlineStr">
        <is>
          <t>DMA</t>
        </is>
      </c>
      <c r="F125" s="10" t="n">
        <v>44562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Dominica_2022_January</t>
        </is>
      </c>
      <c r="B126" s="2" t="n"/>
      <c r="C126" s="3" t="inlineStr">
        <is>
          <t>SM.22.7, Sup.2</t>
        </is>
      </c>
      <c r="D126" s="4" t="inlineStr">
        <is>
          <t>Dominica</t>
        </is>
      </c>
      <c r="E126" s="4" t="inlineStr">
        <is>
          <t>DMA</t>
        </is>
      </c>
      <c r="F126" s="10" t="n">
        <v>44562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Dominica_2022_January</t>
        </is>
      </c>
      <c r="B127" s="2" t="n"/>
      <c r="C127" s="3" t="inlineStr">
        <is>
          <t>SM.22.7, Sup.2</t>
        </is>
      </c>
      <c r="D127" s="4" t="inlineStr">
        <is>
          <t>Dominica</t>
        </is>
      </c>
      <c r="E127" s="4" t="inlineStr">
        <is>
          <t>DMA</t>
        </is>
      </c>
      <c r="F127" s="10" t="n">
        <v>44562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0.8946145503695633</v>
      </c>
      <c r="M127" t="n">
        <v>0.8946145503695633</v>
      </c>
      <c r="O127" t="n">
        <v>0.8966729014845396</v>
      </c>
      <c r="P127" t="n">
        <v>0.8481372034010259</v>
      </c>
      <c r="Q127" t="n">
        <v>0.8569220579304917</v>
      </c>
      <c r="R127" t="n">
        <v>0.8604360685985475</v>
      </c>
      <c r="S127" t="n">
        <v>0.8606763506742277</v>
      </c>
      <c r="T127" t="n">
        <v>0.8604908799379501</v>
      </c>
      <c r="U127" t="n">
        <v>0.8716586443997627</v>
      </c>
      <c r="V127" t="n">
        <v>0.8983499698147503</v>
      </c>
      <c r="W127" t="n">
        <v>0.9479809132569618</v>
      </c>
      <c r="X127" t="n">
        <v>0.9693292430157818</v>
      </c>
      <c r="Y127" t="n">
        <v>0.9701058215511578</v>
      </c>
      <c r="Z127" t="n">
        <v>0.9832706020374945</v>
      </c>
      <c r="AA127" t="n">
        <v>0.982986558751152</v>
      </c>
      <c r="AB127" t="n">
        <v>0.9876588039108453</v>
      </c>
      <c r="AC127" t="n">
        <v>0.9913408774934679</v>
      </c>
      <c r="AD127" t="n">
        <v>0.9913836369851605</v>
      </c>
      <c r="AE127" t="n">
        <v>0.9915219584494098</v>
      </c>
      <c r="AF127" t="n">
        <v>0.9918587396090639</v>
      </c>
      <c r="AG127" t="n">
        <v>0.9918259945027912</v>
      </c>
      <c r="AH127" t="n">
        <v>0.9934060271321715</v>
      </c>
      <c r="AI127" t="n">
        <v>0.9934301317282864</v>
      </c>
      <c r="BI127" t="inlineStr">
        <is>
          <t>NEW_IR_AVG</t>
        </is>
      </c>
    </row>
    <row r="128">
      <c r="A128" t="inlineStr">
        <is>
          <t>Dominica_2022_January</t>
        </is>
      </c>
      <c r="B128" s="2" t="n"/>
      <c r="C128" s="3" t="inlineStr">
        <is>
          <t>SM.22.7, Sup.2</t>
        </is>
      </c>
      <c r="D128" s="4" t="inlineStr">
        <is>
          <t>Dominica</t>
        </is>
      </c>
      <c r="E128" s="4" t="inlineStr">
        <is>
          <t>DMA</t>
        </is>
      </c>
      <c r="F128" s="10" t="n">
        <v>44562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7.107708992608734</v>
      </c>
      <c r="O128" t="n">
        <v>7.066541970309206</v>
      </c>
      <c r="P128" t="n">
        <v>8.037255931979484</v>
      </c>
      <c r="Q128" t="n">
        <v>7.861558841390167</v>
      </c>
      <c r="R128" t="n">
        <v>7.791278628029048</v>
      </c>
      <c r="S128" t="n">
        <v>7.786472986515448</v>
      </c>
      <c r="T128" t="n">
        <v>7.790182401240998</v>
      </c>
      <c r="U128" t="n">
        <v>7.56682711200475</v>
      </c>
      <c r="V128" t="n">
        <v>7.033000603704989</v>
      </c>
      <c r="W128" t="n">
        <v>6.040381734860765</v>
      </c>
      <c r="X128" t="n">
        <v>5.613415139684369</v>
      </c>
      <c r="Y128" t="n">
        <v>5.597883568976852</v>
      </c>
      <c r="Z128" t="n">
        <v>5.33458795925011</v>
      </c>
      <c r="AA128" t="n">
        <v>5.340268824976961</v>
      </c>
      <c r="AB128" t="n">
        <v>5.246823921783092</v>
      </c>
      <c r="AC128" t="n">
        <v>5.173182450130642</v>
      </c>
      <c r="AD128" t="n">
        <v>5.172327260296791</v>
      </c>
      <c r="AE128" t="n">
        <v>5.169560831011807</v>
      </c>
      <c r="AF128" t="n">
        <v>5.162825207818718</v>
      </c>
      <c r="AG128" t="n">
        <v>5.163480109944173</v>
      </c>
      <c r="AH128" t="n">
        <v>5.131879457356571</v>
      </c>
      <c r="AI128" t="n">
        <v>5.131397365434271</v>
      </c>
      <c r="BI128" t="inlineStr">
        <is>
          <t>NEW_GP_AVG</t>
        </is>
      </c>
    </row>
    <row r="129">
      <c r="A129" t="inlineStr">
        <is>
          <t>Dominica_2022_January</t>
        </is>
      </c>
      <c r="B129" s="2" t="n"/>
      <c r="C129" s="3" t="inlineStr">
        <is>
          <t>SM.22.7, Sup.2</t>
        </is>
      </c>
      <c r="D129" s="4" t="inlineStr">
        <is>
          <t>Dominica</t>
        </is>
      </c>
      <c r="E129" s="4" t="inlineStr">
        <is>
          <t>DMA</t>
        </is>
      </c>
      <c r="F129" s="10" t="n">
        <v>44562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33</v>
      </c>
      <c r="M129" t="n">
        <v>33.33188748071766</v>
      </c>
      <c r="O129" t="n">
        <v>33.17097622700463</v>
      </c>
      <c r="P129" t="n">
        <v>34.79857576356307</v>
      </c>
      <c r="Q129" t="n">
        <v>34.49673532218455</v>
      </c>
      <c r="R129" t="n">
        <v>34.38629498690279</v>
      </c>
      <c r="S129" t="n">
        <v>34.39217386627569</v>
      </c>
      <c r="T129" t="n">
        <v>34.38883684349473</v>
      </c>
      <c r="U129" t="n">
        <v>34.03358546172175</v>
      </c>
      <c r="V129" t="n">
        <v>33.22053240623905</v>
      </c>
      <c r="W129" t="n">
        <v>31.63488558335263</v>
      </c>
      <c r="X129" t="n">
        <v>30.96393807664687</v>
      </c>
      <c r="Y129" t="n">
        <v>31.16422775050856</v>
      </c>
      <c r="Z129" t="n">
        <v>30.6212649011279</v>
      </c>
      <c r="AA129" t="n">
        <v>30.54419816790265</v>
      </c>
      <c r="AB129" t="n">
        <v>30.387866162802</v>
      </c>
      <c r="AC129" t="n">
        <v>30.45486215860318</v>
      </c>
      <c r="AD129" t="n">
        <v>30.33472051873603</v>
      </c>
      <c r="AE129" t="n">
        <v>30.29998600058754</v>
      </c>
      <c r="AF129" t="n">
        <v>30.45032686539357</v>
      </c>
      <c r="AG129" t="n">
        <v>30.25689731562656</v>
      </c>
      <c r="AH129" t="n">
        <v>30.22136908913424</v>
      </c>
      <c r="AI129" t="n">
        <v>30.22055986340752</v>
      </c>
      <c r="BI129" t="inlineStr">
        <is>
          <t>NEW_M_AVG</t>
        </is>
      </c>
    </row>
    <row r="130">
      <c r="A130" t="inlineStr">
        <is>
          <t>Dominica_2022_January</t>
        </is>
      </c>
      <c r="B130" s="2" t="n"/>
      <c r="C130" s="3" t="inlineStr">
        <is>
          <t>SM.22.7, Sup.2</t>
        </is>
      </c>
      <c r="D130" s="4" t="inlineStr">
        <is>
          <t>Dominica</t>
        </is>
      </c>
      <c r="E130" s="4" t="inlineStr">
        <is>
          <t>DMA</t>
        </is>
      </c>
      <c r="F130" s="10" t="n">
        <v>44562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Dominica_2022_January</t>
        </is>
      </c>
      <c r="B131" s="2" t="n"/>
      <c r="C131" s="3" t="inlineStr">
        <is>
          <t>SM.22.7, Sup.2</t>
        </is>
      </c>
      <c r="D131" s="4" t="inlineStr">
        <is>
          <t>Dominica</t>
        </is>
      </c>
      <c r="E131" s="4" t="inlineStr">
        <is>
          <t>DMA</t>
        </is>
      </c>
      <c r="F131" s="10" t="n">
        <v>44562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7</v>
      </c>
      <c r="P131" t="n">
        <v>8</v>
      </c>
      <c r="Q131" t="n">
        <v>7</v>
      </c>
      <c r="R131" t="n">
        <v>7</v>
      </c>
      <c r="S131" t="n">
        <v>7</v>
      </c>
      <c r="T131" t="n">
        <v>7</v>
      </c>
      <c r="U131" t="n">
        <v>7</v>
      </c>
      <c r="V131" t="n">
        <v>7</v>
      </c>
      <c r="W131" t="n">
        <v>6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Dominica_2022_January</t>
        </is>
      </c>
      <c r="B132" s="2" t="n"/>
      <c r="C132" s="3" t="inlineStr">
        <is>
          <t>SM.22.7, Sup.2</t>
        </is>
      </c>
      <c r="D132" s="4" t="inlineStr">
        <is>
          <t>Dominica</t>
        </is>
      </c>
      <c r="E132" s="4" t="inlineStr">
        <is>
          <t>DMA</t>
        </is>
      </c>
      <c r="F132" s="10" t="n">
        <v>44562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33</v>
      </c>
      <c r="O132" t="n">
        <v>33</v>
      </c>
      <c r="P132" t="n">
        <v>34</v>
      </c>
      <c r="Q132" t="n">
        <v>34</v>
      </c>
      <c r="R132" t="n">
        <v>34</v>
      </c>
      <c r="S132" t="n">
        <v>34</v>
      </c>
      <c r="T132" t="n">
        <v>34</v>
      </c>
      <c r="U132" t="n">
        <v>34</v>
      </c>
      <c r="V132" t="n">
        <v>33</v>
      </c>
      <c r="W132" t="n">
        <v>31</v>
      </c>
      <c r="X132" t="n">
        <v>30</v>
      </c>
      <c r="Y132" t="n">
        <v>31</v>
      </c>
      <c r="Z132" t="n">
        <v>30</v>
      </c>
      <c r="AA132" t="n">
        <v>30</v>
      </c>
      <c r="AB132" t="n">
        <v>30</v>
      </c>
      <c r="AC132" t="n">
        <v>30</v>
      </c>
      <c r="AD132" t="n">
        <v>30</v>
      </c>
      <c r="AE132" t="n">
        <v>30</v>
      </c>
      <c r="AF132" t="n">
        <v>30</v>
      </c>
      <c r="AG132" t="n">
        <v>30</v>
      </c>
      <c r="AH132" t="n">
        <v>30</v>
      </c>
      <c r="AI132" t="n">
        <v>30</v>
      </c>
      <c r="BI132" t="inlineStr">
        <is>
          <t>NEW_M_AVG_R</t>
        </is>
      </c>
    </row>
    <row r="133">
      <c r="A133" t="inlineStr">
        <is>
          <t>Dominica_2022_January</t>
        </is>
      </c>
      <c r="B133" s="2" t="n"/>
      <c r="C133" s="3" t="inlineStr">
        <is>
          <t>SM.22.7, Sup.2</t>
        </is>
      </c>
      <c r="D133" s="4" t="inlineStr">
        <is>
          <t>Dominica</t>
        </is>
      </c>
      <c r="E133" s="4" t="inlineStr">
        <is>
          <t>DMA</t>
        </is>
      </c>
      <c r="F133" s="10" t="n">
        <v>44562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Dominica_2022_January</t>
        </is>
      </c>
      <c r="B134" s="2" t="n"/>
      <c r="C134" s="3" t="inlineStr">
        <is>
          <t>SM.22.7, Sup.2</t>
        </is>
      </c>
      <c r="D134" s="4" t="inlineStr">
        <is>
          <t>Dominica</t>
        </is>
      </c>
      <c r="E134" s="4" t="inlineStr">
        <is>
          <t>DMA</t>
        </is>
      </c>
      <c r="F134" s="10" t="n">
        <v>44562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Dominica_2022_January</t>
        </is>
      </c>
      <c r="B135" s="2" t="n"/>
      <c r="C135" s="3" t="inlineStr">
        <is>
          <t>SM.22.7, Sup.2</t>
        </is>
      </c>
      <c r="D135" s="4" t="inlineStr">
        <is>
          <t>Dominica</t>
        </is>
      </c>
      <c r="E135" s="4" t="inlineStr">
        <is>
          <t>DMA</t>
        </is>
      </c>
      <c r="F135" s="10" t="n">
        <v>44562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Dominica_2022_January</t>
        </is>
      </c>
      <c r="B136" s="2" t="n"/>
      <c r="C136" s="3" t="inlineStr">
        <is>
          <t>SM.22.7, Sup.2</t>
        </is>
      </c>
      <c r="D136" s="4" t="inlineStr">
        <is>
          <t>Dominica</t>
        </is>
      </c>
      <c r="E136" s="4" t="inlineStr">
        <is>
          <t>DMA</t>
        </is>
      </c>
      <c r="F136" s="10" t="n">
        <v>44562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0.3254251236004566</v>
      </c>
      <c r="Q136" t="n">
        <v>0.9900271819389757</v>
      </c>
      <c r="R136" t="n">
        <v>1.514081966236138</v>
      </c>
      <c r="S136" t="n">
        <v>1.973220790824846</v>
      </c>
      <c r="T136" t="n">
        <v>2.409300889428062</v>
      </c>
      <c r="U136" t="n">
        <v>3.784702414748999</v>
      </c>
      <c r="V136" t="n">
        <v>5.570490440351549</v>
      </c>
      <c r="W136" t="n">
        <v>6.991204822074971</v>
      </c>
      <c r="X136" t="n">
        <v>8.186521648949512</v>
      </c>
      <c r="Y136" t="n">
        <v>9.302175506966195</v>
      </c>
      <c r="Z136" t="n">
        <v>10.95752262612504</v>
      </c>
      <c r="AA136" t="n">
        <v>13.52371560754419</v>
      </c>
      <c r="AB136" t="n">
        <v>15.44776744910763</v>
      </c>
      <c r="AC136" t="n">
        <v>17.03092263959191</v>
      </c>
      <c r="AD136" t="n">
        <v>18.53492078902878</v>
      </c>
      <c r="AE136" t="n">
        <v>20.10294091790059</v>
      </c>
      <c r="AF136" t="n">
        <v>21.38885868436625</v>
      </c>
      <c r="AG136" t="n">
        <v>22.34623129758288</v>
      </c>
      <c r="AH136" t="n">
        <v>23.05346454143651</v>
      </c>
      <c r="AI136" t="n">
        <v>23.72646963662446</v>
      </c>
      <c r="BI136" t="inlineStr">
        <is>
          <t>NEW_DS_TOT</t>
        </is>
      </c>
    </row>
    <row r="137">
      <c r="A137" t="inlineStr">
        <is>
          <t>Dominica_2022_January</t>
        </is>
      </c>
      <c r="B137" s="2" t="n"/>
      <c r="C137" s="3" t="inlineStr">
        <is>
          <t>SM.22.7, Sup.2</t>
        </is>
      </c>
      <c r="D137" s="4" t="inlineStr">
        <is>
          <t>Dominica</t>
        </is>
      </c>
      <c r="E137" s="4" t="inlineStr">
        <is>
          <t>DMA</t>
        </is>
      </c>
      <c r="F137" s="10" t="n">
        <v>44562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Dominica_2022_January</t>
        </is>
      </c>
      <c r="B138" s="2" t="n"/>
      <c r="C138" s="3" t="inlineStr">
        <is>
          <t>SM.22.7, Sup.2</t>
        </is>
      </c>
      <c r="D138" s="4" t="inlineStr">
        <is>
          <t>Dominica</t>
        </is>
      </c>
      <c r="E138" s="4" t="inlineStr">
        <is>
          <t>DMA</t>
        </is>
      </c>
      <c r="F138" s="10" t="n">
        <v>44562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0.3254251236004566</v>
      </c>
      <c r="Q138" t="n">
        <v>0.9900271819389757</v>
      </c>
      <c r="R138" t="n">
        <v>1.514081966236138</v>
      </c>
      <c r="S138" t="n">
        <v>1.973220790824846</v>
      </c>
      <c r="T138" t="n">
        <v>2.409300889428062</v>
      </c>
      <c r="U138" t="n">
        <v>2.863102155391993</v>
      </c>
      <c r="V138" t="n">
        <v>3.218503019812751</v>
      </c>
      <c r="W138" t="n">
        <v>3.442998264347525</v>
      </c>
      <c r="X138" t="n">
        <v>3.567767363499725</v>
      </c>
      <c r="Y138" t="n">
        <v>3.666007705296581</v>
      </c>
      <c r="Z138" t="n">
        <v>3.76317943571038</v>
      </c>
      <c r="AA138" t="n">
        <v>3.836431912124302</v>
      </c>
      <c r="AB138" t="n">
        <v>3.891272556568265</v>
      </c>
      <c r="AC138" t="n">
        <v>3.930898272462946</v>
      </c>
      <c r="AD138" t="n">
        <v>3.962971840744814</v>
      </c>
      <c r="AE138" t="n">
        <v>3.98885110219718</v>
      </c>
      <c r="AF138" t="n">
        <v>4.010063770966711</v>
      </c>
      <c r="AG138" t="n">
        <v>4.033522021406949</v>
      </c>
      <c r="AH138" t="n">
        <v>4.054179002184869</v>
      </c>
      <c r="AI138" t="n">
        <v>4.073523663836226</v>
      </c>
      <c r="BI138" t="inlineStr">
        <is>
          <t>NEW_DS_I</t>
        </is>
      </c>
    </row>
    <row r="139">
      <c r="A139" t="inlineStr">
        <is>
          <t>Dominica_2022_January</t>
        </is>
      </c>
      <c r="B139" s="2" t="n"/>
      <c r="C139" s="3" t="inlineStr">
        <is>
          <t>SM.22.7, Sup.2</t>
        </is>
      </c>
      <c r="D139" s="4" t="inlineStr">
        <is>
          <t>Dominica</t>
        </is>
      </c>
      <c r="E139" s="4" t="inlineStr">
        <is>
          <t>DMA</t>
        </is>
      </c>
      <c r="F139" s="10" t="n">
        <v>44562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0.1825</v>
      </c>
      <c r="Q139" t="n">
        <v>0.7395</v>
      </c>
      <c r="R139" t="n">
        <v>1.152</v>
      </c>
      <c r="S139" t="n">
        <v>1.503086803206559</v>
      </c>
      <c r="T139" t="n">
        <v>1.835874405606012</v>
      </c>
      <c r="U139" t="n">
        <v>2.182721396173908</v>
      </c>
      <c r="V139" t="n">
        <v>2.432310143128333</v>
      </c>
      <c r="W139" t="n">
        <v>2.551108975124038</v>
      </c>
      <c r="X139" t="n">
        <v>2.571564290616346</v>
      </c>
      <c r="Y139" t="n">
        <v>2.565724586136249</v>
      </c>
      <c r="Z139" t="n">
        <v>2.55459468818024</v>
      </c>
      <c r="AA139" t="n">
        <v>2.522650057998416</v>
      </c>
      <c r="AB139" t="n">
        <v>2.474611378756382</v>
      </c>
      <c r="AC139" t="n">
        <v>2.412126635262165</v>
      </c>
      <c r="AD139" t="n">
        <v>2.339056109935451</v>
      </c>
      <c r="AE139" t="n">
        <v>2.258756361003747</v>
      </c>
      <c r="AF139" t="n">
        <v>2.170923154774552</v>
      </c>
      <c r="AG139" t="n">
        <v>2.077749009166644</v>
      </c>
      <c r="AH139" t="n">
        <v>1.981797109121407</v>
      </c>
      <c r="AI139" t="n">
        <v>1.88302648539478</v>
      </c>
      <c r="BI139" t="inlineStr">
        <is>
          <t>NEW_DS_ML</t>
        </is>
      </c>
    </row>
    <row r="140">
      <c r="A140" t="inlineStr">
        <is>
          <t>Dominica_2022_January</t>
        </is>
      </c>
      <c r="B140" s="2" t="n"/>
      <c r="C140" s="3" t="inlineStr">
        <is>
          <t>SM.22.7, Sup.2</t>
        </is>
      </c>
      <c r="D140" s="4" t="inlineStr">
        <is>
          <t>Dominica</t>
        </is>
      </c>
      <c r="E140" s="4" t="inlineStr">
        <is>
          <t>DMA</t>
        </is>
      </c>
      <c r="F140" s="10" t="n">
        <v>44562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Dominica_2022_January</t>
        </is>
      </c>
      <c r="B141" s="2" t="n"/>
      <c r="C141" s="3" t="inlineStr">
        <is>
          <t>SM.22.7, Sup.2</t>
        </is>
      </c>
      <c r="D141" s="4" t="inlineStr">
        <is>
          <t>Dominica</t>
        </is>
      </c>
      <c r="E141" s="4" t="inlineStr">
        <is>
          <t>DMA</t>
        </is>
      </c>
      <c r="F141" s="10" t="n">
        <v>44562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0.1125</v>
      </c>
      <c r="Q141" t="n">
        <v>0.4695</v>
      </c>
      <c r="R141" t="n">
        <v>0.732</v>
      </c>
      <c r="S141" t="n">
        <v>0.9554188747678102</v>
      </c>
      <c r="T141" t="n">
        <v>1.167192803567462</v>
      </c>
      <c r="U141" t="n">
        <v>1.387913615747032</v>
      </c>
      <c r="V141" t="n">
        <v>1.548970091081666</v>
      </c>
      <c r="W141" t="n">
        <v>1.633160256897115</v>
      </c>
      <c r="X141" t="n">
        <v>1.659540912210401</v>
      </c>
      <c r="Y141" t="n">
        <v>1.673250534355209</v>
      </c>
      <c r="Z141" t="n">
        <v>1.687444104811703</v>
      </c>
      <c r="AA141" t="n">
        <v>1.691041405891397</v>
      </c>
      <c r="AB141" t="n">
        <v>1.682998066211588</v>
      </c>
      <c r="AC141" t="n">
        <v>1.664110688658852</v>
      </c>
      <c r="AD141" t="n">
        <v>1.636258445190916</v>
      </c>
      <c r="AE141" t="n">
        <v>1.601488095846079</v>
      </c>
      <c r="AF141" t="n">
        <v>1.559506389354415</v>
      </c>
      <c r="AG141" t="n">
        <v>1.512307290849449</v>
      </c>
      <c r="AH141" t="n">
        <v>1.462458346486362</v>
      </c>
      <c r="AI141" t="n">
        <v>1.410941714528796</v>
      </c>
    </row>
    <row r="142">
      <c r="A142" t="inlineStr">
        <is>
          <t>Dominica_2022_January</t>
        </is>
      </c>
      <c r="B142" s="2" t="n"/>
      <c r="C142" s="3" t="inlineStr">
        <is>
          <t>SM.22.7, Sup.2</t>
        </is>
      </c>
      <c r="D142" s="4" t="inlineStr">
        <is>
          <t>Dominica</t>
        </is>
      </c>
      <c r="E142" s="4" t="inlineStr">
        <is>
          <t>DMA</t>
        </is>
      </c>
      <c r="F142" s="10" t="n">
        <v>44562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Dominica_2022_January</t>
        </is>
      </c>
      <c r="B143" s="2" t="n"/>
      <c r="C143" s="3" t="inlineStr">
        <is>
          <t>SM.22.7, Sup.2</t>
        </is>
      </c>
      <c r="D143" s="4" t="inlineStr">
        <is>
          <t>Dominica</t>
        </is>
      </c>
      <c r="E143" s="4" t="inlineStr">
        <is>
          <t>DMA</t>
        </is>
      </c>
      <c r="F143" s="10" t="n">
        <v>44562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CDB</t>
        </is>
      </c>
      <c r="M143" t="n">
        <v>111</v>
      </c>
      <c r="O143" t="n">
        <v>0</v>
      </c>
      <c r="P143" t="n">
        <v>0.07000000000000001</v>
      </c>
      <c r="Q143" t="n">
        <v>0.27</v>
      </c>
      <c r="R143" t="n">
        <v>0.42</v>
      </c>
      <c r="S143" t="n">
        <v>0.547667928438749</v>
      </c>
      <c r="T143" t="n">
        <v>0.66868160203855</v>
      </c>
      <c r="U143" t="n">
        <v>0.7948077804268761</v>
      </c>
      <c r="V143" t="n">
        <v>0.8833400520466672</v>
      </c>
      <c r="W143" t="n">
        <v>0.9179487182269236</v>
      </c>
      <c r="X143" t="n">
        <v>0.9120233784059444</v>
      </c>
      <c r="Y143" t="n">
        <v>0.89247405178104</v>
      </c>
      <c r="Z143" t="n">
        <v>0.8671505833685373</v>
      </c>
      <c r="AA143" t="n">
        <v>0.8316086521070188</v>
      </c>
      <c r="AB143" t="n">
        <v>0.7916133125447944</v>
      </c>
      <c r="AC143" t="n">
        <v>0.7480159466033135</v>
      </c>
      <c r="AD143" t="n">
        <v>0.7027976647445351</v>
      </c>
      <c r="AE143" t="n">
        <v>0.6572682651576688</v>
      </c>
      <c r="AF143" t="n">
        <v>0.6114167654201368</v>
      </c>
      <c r="AG143" t="n">
        <v>0.5654417183171956</v>
      </c>
      <c r="AH143" t="n">
        <v>0.5193387626350454</v>
      </c>
      <c r="AI143" t="n">
        <v>0.4720847708659843</v>
      </c>
    </row>
    <row r="144">
      <c r="A144" t="inlineStr">
        <is>
          <t>Dominica_2022_January</t>
        </is>
      </c>
      <c r="B144" s="2" t="n"/>
      <c r="C144" s="3" t="inlineStr">
        <is>
          <t>SM.22.7, Sup.2</t>
        </is>
      </c>
      <c r="D144" s="4" t="inlineStr">
        <is>
          <t>Dominica</t>
        </is>
      </c>
      <c r="E144" s="4" t="inlineStr">
        <is>
          <t>DMA</t>
        </is>
      </c>
      <c r="F144" s="10" t="n">
        <v>44562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MULTIRES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Dominica_2022_January</t>
        </is>
      </c>
      <c r="B145" s="2" t="n"/>
      <c r="C145" s="3" t="inlineStr">
        <is>
          <t>SM.22.7, Sup.2</t>
        </is>
      </c>
      <c r="D145" s="4" t="inlineStr">
        <is>
          <t>Dominica</t>
        </is>
      </c>
      <c r="E145" s="4" t="inlineStr">
        <is>
          <t>DMA</t>
        </is>
      </c>
      <c r="F145" s="10" t="n">
        <v>44562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Dominica_2022_January</t>
        </is>
      </c>
      <c r="B146" s="2" t="n"/>
      <c r="C146" s="3" t="inlineStr">
        <is>
          <t>SM.22.7, Sup.2</t>
        </is>
      </c>
      <c r="D146" s="4" t="inlineStr">
        <is>
          <t>Dominica</t>
        </is>
      </c>
      <c r="E146" s="4" t="inlineStr">
        <is>
          <t>DMA</t>
        </is>
      </c>
      <c r="F146" s="10" t="n">
        <v>44562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0.142821756210486</v>
      </c>
      <c r="Q146" t="n">
        <v>0.250402083871336</v>
      </c>
      <c r="R146" t="n">
        <v>0.361956868168498</v>
      </c>
      <c r="S146" t="n">
        <v>0.470008889550647</v>
      </c>
      <c r="T146" t="n">
        <v>0.57245077301661</v>
      </c>
      <c r="U146" t="n">
        <v>0.679123924732519</v>
      </c>
      <c r="V146" t="n">
        <v>0.7849391745440025</v>
      </c>
      <c r="W146" t="n">
        <v>0.889748432150233</v>
      </c>
      <c r="X146" t="n">
        <v>0.9940660066606601</v>
      </c>
      <c r="Y146" t="n">
        <v>1.098149843788147</v>
      </c>
      <c r="Z146" t="n">
        <v>1.202035852907863</v>
      </c>
      <c r="AA146" t="n">
        <v>1.305523751022719</v>
      </c>
      <c r="AB146" t="n">
        <v>1.408264370687822</v>
      </c>
      <c r="AC146" t="n">
        <v>1.510439914327294</v>
      </c>
      <c r="AD146" t="n">
        <v>1.612136567253922</v>
      </c>
      <c r="AE146" t="n">
        <v>1.717102182133041</v>
      </c>
      <c r="AF146" t="n">
        <v>1.825642137815077</v>
      </c>
      <c r="AG146" t="n">
        <v>1.938115167652709</v>
      </c>
      <c r="AH146" t="n">
        <v>2.054982140924409</v>
      </c>
      <c r="AI146" t="n">
        <v>2.173355518750935</v>
      </c>
    </row>
    <row r="147">
      <c r="A147" t="inlineStr">
        <is>
          <t>Dominica_2022_January</t>
        </is>
      </c>
      <c r="B147" s="2" t="n"/>
      <c r="C147" s="3" t="inlineStr">
        <is>
          <t>SM.22.7, Sup.2</t>
        </is>
      </c>
      <c r="D147" s="4" t="inlineStr">
        <is>
          <t>Dominica</t>
        </is>
      </c>
      <c r="E147" s="4" t="inlineStr">
        <is>
          <t>DMA</t>
        </is>
      </c>
      <c r="F147" s="10" t="n">
        <v>44562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0.142821756210486</v>
      </c>
      <c r="Q147" t="n">
        <v>0.250402083871336</v>
      </c>
      <c r="R147" t="n">
        <v>0.361956868168498</v>
      </c>
      <c r="S147" t="n">
        <v>0.470008889550647</v>
      </c>
      <c r="T147" t="n">
        <v>0.57245077301661</v>
      </c>
      <c r="U147" t="n">
        <v>0.679123924732519</v>
      </c>
      <c r="V147" t="n">
        <v>0.7849391745440025</v>
      </c>
      <c r="W147" t="n">
        <v>0.889748432150233</v>
      </c>
      <c r="X147" t="n">
        <v>0.9940660066606601</v>
      </c>
      <c r="Y147" t="n">
        <v>1.098149843788147</v>
      </c>
      <c r="Z147" t="n">
        <v>1.202035852907863</v>
      </c>
      <c r="AA147" t="n">
        <v>1.305523751022719</v>
      </c>
      <c r="AB147" t="n">
        <v>1.408264370687822</v>
      </c>
      <c r="AC147" t="n">
        <v>1.510439914327294</v>
      </c>
      <c r="AD147" t="n">
        <v>1.612136567253922</v>
      </c>
      <c r="AE147" t="n">
        <v>1.717102182133041</v>
      </c>
      <c r="AF147" t="n">
        <v>1.825642137815077</v>
      </c>
      <c r="AG147" t="n">
        <v>1.938115167652709</v>
      </c>
      <c r="AH147" t="n">
        <v>2.054982140924409</v>
      </c>
      <c r="AI147" t="n">
        <v>2.173355518750935</v>
      </c>
    </row>
    <row r="148">
      <c r="A148" t="inlineStr">
        <is>
          <t>Dominica_2022_January</t>
        </is>
      </c>
      <c r="B148" s="2" t="n"/>
      <c r="C148" s="3" t="inlineStr">
        <is>
          <t>SM.22.7, Sup.2</t>
        </is>
      </c>
      <c r="D148" s="4" t="inlineStr">
        <is>
          <t>Dominica</t>
        </is>
      </c>
      <c r="E148" s="4" t="inlineStr">
        <is>
          <t>DMA</t>
        </is>
      </c>
      <c r="F148" s="10" t="n">
        <v>44562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Dominica_2022_January</t>
        </is>
      </c>
      <c r="B149" s="2" t="n"/>
      <c r="C149" s="3" t="inlineStr">
        <is>
          <t>SM.22.7, Sup.2</t>
        </is>
      </c>
      <c r="D149" s="4" t="inlineStr">
        <is>
          <t>Dominica</t>
        </is>
      </c>
      <c r="E149" s="4" t="inlineStr">
        <is>
          <t>DMA</t>
        </is>
      </c>
      <c r="F149" s="10" t="n">
        <v>44562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Dominica_2022_January</t>
        </is>
      </c>
      <c r="B150" s="2" t="n"/>
      <c r="C150" s="3" t="inlineStr">
        <is>
          <t>SM.22.7, Sup.2</t>
        </is>
      </c>
      <c r="D150" s="4" t="inlineStr">
        <is>
          <t>Dominica</t>
        </is>
      </c>
      <c r="E150" s="4" t="inlineStr">
        <is>
          <t>DMA</t>
        </is>
      </c>
      <c r="F150" s="10" t="n">
        <v>44562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0.000103367389970622</v>
      </c>
      <c r="Q150" t="n">
        <v>0.0001250980676396101</v>
      </c>
      <c r="R150" t="n">
        <v>0.0001250980676396101</v>
      </c>
      <c r="S150" t="n">
        <v>0.0001250980676396101</v>
      </c>
      <c r="T150" t="n">
        <v>0.0009757108054398281</v>
      </c>
      <c r="U150" t="n">
        <v>0.001256834485566097</v>
      </c>
      <c r="V150" t="n">
        <v>0.001253702140415472</v>
      </c>
      <c r="W150" t="n">
        <v>0.002140857073253932</v>
      </c>
      <c r="X150" t="n">
        <v>0.002137066222719398</v>
      </c>
      <c r="Y150" t="n">
        <v>0.002133275372184865</v>
      </c>
      <c r="Z150" t="n">
        <v>0.006548894622277407</v>
      </c>
      <c r="AA150" t="n">
        <v>0.008258103103167404</v>
      </c>
      <c r="AB150" t="n">
        <v>0.008396807124060353</v>
      </c>
      <c r="AC150" t="n">
        <v>0.008331722873486441</v>
      </c>
      <c r="AD150" t="n">
        <v>0.01177916355544104</v>
      </c>
      <c r="AE150" t="n">
        <v>0.01299255906039141</v>
      </c>
      <c r="AF150" t="n">
        <v>0.01349847837708169</v>
      </c>
      <c r="AG150" t="n">
        <v>0.01765784458759586</v>
      </c>
      <c r="AH150" t="n">
        <v>0.01739975213905275</v>
      </c>
      <c r="AI150" t="n">
        <v>0.01714165969050963</v>
      </c>
      <c r="BI150" t="inlineStr">
        <is>
          <t>NEW_DS_I_OB</t>
        </is>
      </c>
    </row>
    <row r="151">
      <c r="A151" t="inlineStr">
        <is>
          <t>Dominica_2022_January</t>
        </is>
      </c>
      <c r="B151" s="2" t="n"/>
      <c r="C151" s="3" t="inlineStr">
        <is>
          <t>SM.22.7, Sup.2</t>
        </is>
      </c>
      <c r="D151" s="4" t="inlineStr">
        <is>
          <t>Dominica</t>
        </is>
      </c>
      <c r="E151" s="4" t="inlineStr">
        <is>
          <t>DMA</t>
        </is>
      </c>
      <c r="F151" s="10" t="n">
        <v>44562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Dominica_2022_January</t>
        </is>
      </c>
      <c r="B152" s="2" t="n"/>
      <c r="C152" s="3" t="inlineStr">
        <is>
          <t>SM.22.7, Sup.2</t>
        </is>
      </c>
      <c r="D152" s="4" t="inlineStr">
        <is>
          <t>Dominica</t>
        </is>
      </c>
      <c r="E152" s="4" t="inlineStr">
        <is>
          <t>DMA</t>
        </is>
      </c>
      <c r="F152" s="10" t="n">
        <v>44562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Dominica_2022_January</t>
        </is>
      </c>
      <c r="B153" s="2" t="n"/>
      <c r="C153" s="3" t="inlineStr">
        <is>
          <t>SM.22.7, Sup.2</t>
        </is>
      </c>
      <c r="D153" s="4" t="inlineStr">
        <is>
          <t>Dominica</t>
        </is>
      </c>
      <c r="E153" s="4" t="inlineStr">
        <is>
          <t>DMA</t>
        </is>
      </c>
      <c r="F153" s="10" t="n">
        <v>44562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Dominica_2022_January</t>
        </is>
      </c>
      <c r="B154" s="2" t="n"/>
      <c r="C154" s="3" t="inlineStr">
        <is>
          <t>SM.22.7, Sup.2</t>
        </is>
      </c>
      <c r="D154" s="4" t="inlineStr">
        <is>
          <t>Dominica</t>
        </is>
      </c>
      <c r="E154" s="4" t="inlineStr">
        <is>
          <t>DMA</t>
        </is>
      </c>
      <c r="F154" s="10" t="n">
        <v>44562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Dominica_2022_January</t>
        </is>
      </c>
      <c r="B155" s="2" t="n"/>
      <c r="C155" s="3" t="inlineStr">
        <is>
          <t>SM.22.7, Sup.2</t>
        </is>
      </c>
      <c r="D155" s="4" t="inlineStr">
        <is>
          <t>Dominica</t>
        </is>
      </c>
      <c r="E155" s="4" t="inlineStr">
        <is>
          <t>DMA</t>
        </is>
      </c>
      <c r="F155" s="10" t="n">
        <v>44562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Dominica_2022_January</t>
        </is>
      </c>
      <c r="B156" s="2" t="n"/>
      <c r="C156" s="3" t="inlineStr">
        <is>
          <t>SM.22.7, Sup.2</t>
        </is>
      </c>
      <c r="D156" s="4" t="inlineStr">
        <is>
          <t>Dominica</t>
        </is>
      </c>
      <c r="E156" s="4" t="inlineStr">
        <is>
          <t>DMA</t>
        </is>
      </c>
      <c r="F156" s="10" t="n">
        <v>44562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Dominica_2022_January</t>
        </is>
      </c>
      <c r="B157" s="2" t="n"/>
      <c r="C157" s="3" t="inlineStr">
        <is>
          <t>SM.22.7, Sup.2</t>
        </is>
      </c>
      <c r="D157" s="4" t="inlineStr">
        <is>
          <t>Dominica</t>
        </is>
      </c>
      <c r="E157" s="4" t="inlineStr">
        <is>
          <t>DMA</t>
        </is>
      </c>
      <c r="F157" s="10" t="n">
        <v>44562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0.000103367389970622</v>
      </c>
      <c r="Q157" t="n">
        <v>0.0001250980676396101</v>
      </c>
      <c r="R157" t="n">
        <v>0.0001250980676396101</v>
      </c>
      <c r="S157" t="n">
        <v>0.0001250980676396101</v>
      </c>
      <c r="T157" t="n">
        <v>0.0009757108054398281</v>
      </c>
      <c r="U157" t="n">
        <v>0.001256834485566097</v>
      </c>
      <c r="V157" t="n">
        <v>0.001253702140415472</v>
      </c>
      <c r="W157" t="n">
        <v>0.002140857073253932</v>
      </c>
      <c r="X157" t="n">
        <v>0.002137066222719398</v>
      </c>
      <c r="Y157" t="n">
        <v>0.002133275372184865</v>
      </c>
      <c r="Z157" t="n">
        <v>0.006548894622277407</v>
      </c>
      <c r="AA157" t="n">
        <v>0.008258103103167404</v>
      </c>
      <c r="AB157" t="n">
        <v>0.008396807124060353</v>
      </c>
      <c r="AC157" t="n">
        <v>0.008331722873486441</v>
      </c>
      <c r="AD157" t="n">
        <v>0.01177916355544104</v>
      </c>
      <c r="AE157" t="n">
        <v>0.01299255906039141</v>
      </c>
      <c r="AF157" t="n">
        <v>0.01349847837708169</v>
      </c>
      <c r="AG157" t="n">
        <v>0.01765784458759586</v>
      </c>
      <c r="AH157" t="n">
        <v>0.01739975213905275</v>
      </c>
      <c r="AI157" t="n">
        <v>0.01714165969050963</v>
      </c>
    </row>
    <row r="158">
      <c r="A158" t="inlineStr">
        <is>
          <t>Dominica_2022_January</t>
        </is>
      </c>
      <c r="B158" s="2" t="n"/>
      <c r="C158" s="3" t="inlineStr">
        <is>
          <t>SM.22.7, Sup.2</t>
        </is>
      </c>
      <c r="D158" s="4" t="inlineStr">
        <is>
          <t>Dominica</t>
        </is>
      </c>
      <c r="E158" s="4" t="inlineStr">
        <is>
          <t>DMA</t>
        </is>
      </c>
      <c r="F158" s="10" t="n">
        <v>44562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NPC2</t>
        </is>
      </c>
      <c r="M158" t="n">
        <v>397</v>
      </c>
      <c r="O158" t="n">
        <v>0</v>
      </c>
      <c r="P158" t="n">
        <v>0.000103367389970622</v>
      </c>
      <c r="Q158" t="n">
        <v>0.0001250980676396101</v>
      </c>
      <c r="R158" t="n">
        <v>0.0001250980676396101</v>
      </c>
      <c r="S158" t="n">
        <v>0.0001250980676396101</v>
      </c>
      <c r="T158" t="n">
        <v>0.0009757108054398281</v>
      </c>
      <c r="U158" t="n">
        <v>0.001256834485566097</v>
      </c>
      <c r="V158" t="n">
        <v>0.001253702140415472</v>
      </c>
      <c r="W158" t="n">
        <v>0.002140857073253932</v>
      </c>
      <c r="X158" t="n">
        <v>0.002137066222719398</v>
      </c>
      <c r="Y158" t="n">
        <v>0.002133275372184865</v>
      </c>
      <c r="Z158" t="n">
        <v>0.006548894622277407</v>
      </c>
      <c r="AA158" t="n">
        <v>0.008258103103167404</v>
      </c>
      <c r="AB158" t="n">
        <v>0.008396807124060353</v>
      </c>
      <c r="AC158" t="n">
        <v>0.008331722873486441</v>
      </c>
      <c r="AD158" t="n">
        <v>0.01177916355544104</v>
      </c>
      <c r="AE158" t="n">
        <v>0.01299255906039141</v>
      </c>
      <c r="AF158" t="n">
        <v>0.01349847837708169</v>
      </c>
      <c r="AG158" t="n">
        <v>0.01765784458759586</v>
      </c>
      <c r="AH158" t="n">
        <v>0.01739975213905275</v>
      </c>
      <c r="AI158" t="n">
        <v>0.01714165969050963</v>
      </c>
    </row>
    <row r="159">
      <c r="A159" t="inlineStr">
        <is>
          <t>Dominica_2022_January</t>
        </is>
      </c>
      <c r="B159" s="2" t="n"/>
      <c r="C159" s="3" t="inlineStr">
        <is>
          <t>SM.22.7, Sup.2</t>
        </is>
      </c>
      <c r="D159" s="4" t="inlineStr">
        <is>
          <t>Dominica</t>
        </is>
      </c>
      <c r="E159" s="4" t="inlineStr">
        <is>
          <t>DMA</t>
        </is>
      </c>
      <c r="F159" s="10" t="n">
        <v>44562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Dominica_2022_January</t>
        </is>
      </c>
      <c r="B160" s="2" t="n"/>
      <c r="C160" s="3" t="inlineStr">
        <is>
          <t>SM.22.7, Sup.2</t>
        </is>
      </c>
      <c r="D160" s="4" t="inlineStr">
        <is>
          <t>Dominica</t>
        </is>
      </c>
      <c r="E160" s="4" t="inlineStr">
        <is>
          <t>DMA</t>
        </is>
      </c>
      <c r="F160" s="10" t="n">
        <v>44562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Dominica_2022_January</t>
        </is>
      </c>
      <c r="B161" s="2" t="n"/>
      <c r="C161" s="3" t="inlineStr">
        <is>
          <t>SM.22.7, Sup.2</t>
        </is>
      </c>
      <c r="D161" s="4" t="inlineStr">
        <is>
          <t>Dominica</t>
        </is>
      </c>
      <c r="E161" s="4" t="inlineStr">
        <is>
          <t>DMA</t>
        </is>
      </c>
      <c r="F161" s="10" t="n">
        <v>44562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Dominica_2022_January</t>
        </is>
      </c>
      <c r="B162" s="2" t="n"/>
      <c r="C162" s="3" t="inlineStr">
        <is>
          <t>SM.22.7, Sup.2</t>
        </is>
      </c>
      <c r="D162" s="4" t="inlineStr">
        <is>
          <t>Dominica</t>
        </is>
      </c>
      <c r="E162" s="4" t="inlineStr">
        <is>
          <t>DMA</t>
        </is>
      </c>
      <c r="F162" s="10" t="n">
        <v>44562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Dominica_2022_January</t>
        </is>
      </c>
      <c r="B163" s="2" t="n"/>
      <c r="C163" s="3" t="inlineStr">
        <is>
          <t>SM.22.7, Sup.2</t>
        </is>
      </c>
      <c r="D163" s="4" t="inlineStr">
        <is>
          <t>Dominica</t>
        </is>
      </c>
      <c r="E163" s="4" t="inlineStr">
        <is>
          <t>DMA</t>
        </is>
      </c>
      <c r="F163" s="10" t="n">
        <v>44562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Dominica_2022_January</t>
        </is>
      </c>
      <c r="B164" s="2" t="n"/>
      <c r="C164" s="3" t="inlineStr">
        <is>
          <t>SM.22.7, Sup.2</t>
        </is>
      </c>
      <c r="D164" s="4" t="inlineStr">
        <is>
          <t>Dominica</t>
        </is>
      </c>
      <c r="E164" s="4" t="inlineStr">
        <is>
          <t>DMA</t>
        </is>
      </c>
      <c r="F164" s="10" t="n">
        <v>44562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Dominica_2022_January</t>
        </is>
      </c>
      <c r="B165" s="2" t="n"/>
      <c r="C165" s="3" t="inlineStr">
        <is>
          <t>SM.22.7, Sup.2</t>
        </is>
      </c>
      <c r="D165" s="4" t="inlineStr">
        <is>
          <t>Dominica</t>
        </is>
      </c>
      <c r="E165" s="4" t="inlineStr">
        <is>
          <t>DMA</t>
        </is>
      </c>
      <c r="F165" s="10" t="n">
        <v>44562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Dominica_2022_January</t>
        </is>
      </c>
      <c r="B166" s="2" t="n"/>
      <c r="C166" s="3" t="inlineStr">
        <is>
          <t>SM.22.7, Sup.2</t>
        </is>
      </c>
      <c r="D166" s="4" t="inlineStr">
        <is>
          <t>Dominica</t>
        </is>
      </c>
      <c r="E166" s="4" t="inlineStr">
        <is>
          <t>DMA</t>
        </is>
      </c>
      <c r="F166" s="10" t="n">
        <v>44562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Dominica_2022_January</t>
        </is>
      </c>
      <c r="B167" s="2" t="n"/>
      <c r="C167" s="3" t="inlineStr">
        <is>
          <t>SM.22.7, Sup.2</t>
        </is>
      </c>
      <c r="D167" s="4" t="inlineStr">
        <is>
          <t>Dominica</t>
        </is>
      </c>
      <c r="E167" s="4" t="inlineStr">
        <is>
          <t>DMA</t>
        </is>
      </c>
      <c r="F167" s="10" t="n">
        <v>44562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Dominica_2022_January</t>
        </is>
      </c>
      <c r="B168" s="2" t="n"/>
      <c r="C168" s="3" t="inlineStr">
        <is>
          <t>SM.22.7, Sup.2</t>
        </is>
      </c>
      <c r="D168" s="4" t="inlineStr">
        <is>
          <t>Dominica</t>
        </is>
      </c>
      <c r="E168" s="4" t="inlineStr">
        <is>
          <t>DMA</t>
        </is>
      </c>
      <c r="F168" s="10" t="n">
        <v>44562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Dominica_2022_January</t>
        </is>
      </c>
      <c r="B169" s="2" t="n"/>
      <c r="C169" s="3" t="inlineStr">
        <is>
          <t>SM.22.7, Sup.2</t>
        </is>
      </c>
      <c r="D169" s="4" t="inlineStr">
        <is>
          <t>Dominica</t>
        </is>
      </c>
      <c r="E169" s="4" t="inlineStr">
        <is>
          <t>DMA</t>
        </is>
      </c>
      <c r="F169" s="10" t="n">
        <v>44562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Dominica_2022_January</t>
        </is>
      </c>
      <c r="B170" s="2" t="n"/>
      <c r="C170" s="3" t="inlineStr">
        <is>
          <t>SM.22.7, Sup.2</t>
        </is>
      </c>
      <c r="D170" s="4" t="inlineStr">
        <is>
          <t>Dominica</t>
        </is>
      </c>
      <c r="E170" s="4" t="inlineStr">
        <is>
          <t>DMA</t>
        </is>
      </c>
      <c r="F170" s="10" t="n">
        <v>44562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Dominica_2022_January</t>
        </is>
      </c>
      <c r="B171" s="2" t="n"/>
      <c r="C171" s="3" t="inlineStr">
        <is>
          <t>SM.22.7, Sup.2</t>
        </is>
      </c>
      <c r="D171" s="4" t="inlineStr">
        <is>
          <t>Dominica</t>
        </is>
      </c>
      <c r="E171" s="4" t="inlineStr">
        <is>
          <t>DMA</t>
        </is>
      </c>
      <c r="F171" s="10" t="n">
        <v>44562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Dominica_2022_January</t>
        </is>
      </c>
      <c r="B172" s="2" t="n"/>
      <c r="C172" s="3" t="inlineStr">
        <is>
          <t>SM.22.7, Sup.2</t>
        </is>
      </c>
      <c r="D172" s="4" t="inlineStr">
        <is>
          <t>Dominica</t>
        </is>
      </c>
      <c r="E172" s="4" t="inlineStr">
        <is>
          <t>DMA</t>
        </is>
      </c>
      <c r="F172" s="10" t="n">
        <v>44562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Dominica_2022_January</t>
        </is>
      </c>
      <c r="B173" s="2" t="n"/>
      <c r="C173" s="3" t="inlineStr">
        <is>
          <t>SM.22.7, Sup.2</t>
        </is>
      </c>
      <c r="D173" s="4" t="inlineStr">
        <is>
          <t>Dominica</t>
        </is>
      </c>
      <c r="E173" s="4" t="inlineStr">
        <is>
          <t>DMA</t>
        </is>
      </c>
      <c r="F173" s="10" t="n">
        <v>44562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Dominica_2022_January</t>
        </is>
      </c>
      <c r="B174" s="2" t="n"/>
      <c r="C174" s="3" t="inlineStr">
        <is>
          <t>SM.22.7, Sup.2</t>
        </is>
      </c>
      <c r="D174" s="4" t="inlineStr">
        <is>
          <t>Dominica</t>
        </is>
      </c>
      <c r="E174" s="4" t="inlineStr">
        <is>
          <t>DMA</t>
        </is>
      </c>
      <c r="F174" s="10" t="n">
        <v>44562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Dominica_2022_January</t>
        </is>
      </c>
      <c r="B175" s="2" t="n"/>
      <c r="C175" s="3" t="inlineStr">
        <is>
          <t>SM.22.7, Sup.2</t>
        </is>
      </c>
      <c r="D175" s="4" t="inlineStr">
        <is>
          <t>Dominica</t>
        </is>
      </c>
      <c r="E175" s="4" t="inlineStr">
        <is>
          <t>DMA</t>
        </is>
      </c>
      <c r="F175" s="10" t="n">
        <v>44562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Dominica_2022_January</t>
        </is>
      </c>
      <c r="B176" s="2" t="n"/>
      <c r="C176" s="3" t="inlineStr">
        <is>
          <t>SM.22.7, Sup.2</t>
        </is>
      </c>
      <c r="D176" s="4" t="inlineStr">
        <is>
          <t>Dominica</t>
        </is>
      </c>
      <c r="E176" s="4" t="inlineStr">
        <is>
          <t>DMA</t>
        </is>
      </c>
      <c r="F176" s="10" t="n">
        <v>44562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Dominica_2022_January</t>
        </is>
      </c>
      <c r="B177" s="2" t="n"/>
      <c r="C177" s="3" t="inlineStr">
        <is>
          <t>SM.22.7, Sup.2</t>
        </is>
      </c>
      <c r="D177" s="4" t="inlineStr">
        <is>
          <t>Dominica</t>
        </is>
      </c>
      <c r="E177" s="4" t="inlineStr">
        <is>
          <t>DMA</t>
        </is>
      </c>
      <c r="F177" s="10" t="n">
        <v>44562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Dominica_2022_January</t>
        </is>
      </c>
      <c r="B178" s="2" t="n"/>
      <c r="C178" s="3" t="inlineStr">
        <is>
          <t>SM.22.7, Sup.2</t>
        </is>
      </c>
      <c r="D178" s="4" t="inlineStr">
        <is>
          <t>Dominica</t>
        </is>
      </c>
      <c r="E178" s="4" t="inlineStr">
        <is>
          <t>DMA</t>
        </is>
      </c>
      <c r="F178" s="10" t="n">
        <v>44562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 held by residents</t>
        </is>
      </c>
    </row>
    <row r="179">
      <c r="A179" t="inlineStr">
        <is>
          <t>Dominica_2022_January</t>
        </is>
      </c>
      <c r="B179" s="2" t="n"/>
      <c r="C179" s="3" t="inlineStr">
        <is>
          <t>SM.22.7, Sup.2</t>
        </is>
      </c>
      <c r="D179" s="4" t="inlineStr">
        <is>
          <t>Dominica</t>
        </is>
      </c>
      <c r="E179" s="4" t="inlineStr">
        <is>
          <t>DMA</t>
        </is>
      </c>
      <c r="F179" s="10" t="n">
        <v>44562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Dominica_2022_January</t>
        </is>
      </c>
      <c r="B180" s="2" t="n"/>
      <c r="C180" s="3" t="inlineStr">
        <is>
          <t>SM.22.7, Sup.2</t>
        </is>
      </c>
      <c r="D180" s="4" t="inlineStr">
        <is>
          <t>Dominica</t>
        </is>
      </c>
      <c r="E180" s="4" t="inlineStr">
        <is>
          <t>DMA</t>
        </is>
      </c>
      <c r="F180" s="10" t="n">
        <v>44562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Dominica_2022_January</t>
        </is>
      </c>
      <c r="B181" s="2" t="n"/>
      <c r="C181" s="3" t="inlineStr">
        <is>
          <t>SM.22.7, Sup.2</t>
        </is>
      </c>
      <c r="D181" s="4" t="inlineStr">
        <is>
          <t>Dominica</t>
        </is>
      </c>
      <c r="E181" s="4" t="inlineStr">
        <is>
          <t>DMA</t>
        </is>
      </c>
      <c r="F181" s="10" t="n">
        <v>44562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Dominica_2022_January</t>
        </is>
      </c>
      <c r="B182" s="2" t="n"/>
      <c r="C182" s="3" t="inlineStr">
        <is>
          <t>SM.22.7, Sup.2</t>
        </is>
      </c>
      <c r="D182" s="4" t="inlineStr">
        <is>
          <t>Dominica</t>
        </is>
      </c>
      <c r="E182" s="4" t="inlineStr">
        <is>
          <t>DMA</t>
        </is>
      </c>
      <c r="F182" s="10" t="n">
        <v>44562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Dominica_2022_January</t>
        </is>
      </c>
      <c r="B183" s="2" t="n"/>
      <c r="C183" s="3" t="inlineStr">
        <is>
          <t>SM.22.7, Sup.2</t>
        </is>
      </c>
      <c r="D183" s="4" t="inlineStr">
        <is>
          <t>Dominica</t>
        </is>
      </c>
      <c r="E183" s="4" t="inlineStr">
        <is>
          <t>DMA</t>
        </is>
      </c>
      <c r="F183" s="10" t="n">
        <v>44562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Dominica_2022_January</t>
        </is>
      </c>
      <c r="B184" s="2" t="n"/>
      <c r="C184" s="3" t="inlineStr">
        <is>
          <t>SM.22.7, Sup.2</t>
        </is>
      </c>
      <c r="D184" s="4" t="inlineStr">
        <is>
          <t>Dominica</t>
        </is>
      </c>
      <c r="E184" s="4" t="inlineStr">
        <is>
          <t>DMA</t>
        </is>
      </c>
      <c r="F184" s="10" t="n">
        <v>44562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0.9216002593570064</v>
      </c>
      <c r="V184" t="n">
        <v>2.351987420538797</v>
      </c>
      <c r="W184" t="n">
        <v>3.548206557727446</v>
      </c>
      <c r="X184" t="n">
        <v>4.618754285449787</v>
      </c>
      <c r="Y184" t="n">
        <v>5.636167801669614</v>
      </c>
      <c r="Z184" t="n">
        <v>7.194343190414656</v>
      </c>
      <c r="AA184" t="n">
        <v>9.687283695419891</v>
      </c>
      <c r="AB184" t="n">
        <v>11.55649489253936</v>
      </c>
      <c r="AC184" t="n">
        <v>13.10002436712896</v>
      </c>
      <c r="AD184" t="n">
        <v>14.57194894828396</v>
      </c>
      <c r="AE184" t="n">
        <v>16.11408981570341</v>
      </c>
      <c r="AF184" t="n">
        <v>17.37879491339954</v>
      </c>
      <c r="AG184" t="n">
        <v>18.31270927617593</v>
      </c>
      <c r="AH184" t="n">
        <v>18.99928553925164</v>
      </c>
      <c r="AI184" t="n">
        <v>19.65294597278823</v>
      </c>
      <c r="BI184" t="inlineStr">
        <is>
          <t>NEW_DP_TOT</t>
        </is>
      </c>
    </row>
    <row r="185">
      <c r="A185" t="inlineStr">
        <is>
          <t>Dominica_2022_January</t>
        </is>
      </c>
      <c r="B185" s="2" t="n"/>
      <c r="C185" s="3" t="inlineStr">
        <is>
          <t>SM.22.7, Sup.2</t>
        </is>
      </c>
      <c r="D185" s="4" t="inlineStr">
        <is>
          <t>Dominica</t>
        </is>
      </c>
      <c r="E185" s="4" t="inlineStr">
        <is>
          <t>DMA</t>
        </is>
      </c>
      <c r="F185" s="10" t="n">
        <v>44562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0.35</v>
      </c>
      <c r="V185" t="n">
        <v>1.35</v>
      </c>
      <c r="W185" t="n">
        <v>2.1</v>
      </c>
      <c r="X185" t="n">
        <v>2.738339642193745</v>
      </c>
      <c r="Y185" t="n">
        <v>3.34340801019275</v>
      </c>
      <c r="Z185" t="n">
        <v>4.47403890213438</v>
      </c>
      <c r="AA185" t="n">
        <v>6.520866926900003</v>
      </c>
      <c r="AB185" t="n">
        <v>7.92807692446795</v>
      </c>
      <c r="AC185" t="n">
        <v>8.996423002108877</v>
      </c>
      <c r="AD185" t="n">
        <v>9.97681081242583</v>
      </c>
      <c r="AE185" t="n">
        <v>10.99834525833771</v>
      </c>
      <c r="AF185" t="n">
        <v>11.73514410417965</v>
      </c>
      <c r="AG185" t="n">
        <v>12.13105593411553</v>
      </c>
      <c r="AH185" t="n">
        <v>12.26405364091279</v>
      </c>
      <c r="AI185" t="n">
        <v>12.33639973019731</v>
      </c>
      <c r="BI185" t="inlineStr">
        <is>
          <t>NEW_DP_ML</t>
        </is>
      </c>
    </row>
    <row r="186">
      <c r="A186" t="inlineStr">
        <is>
          <t>Dominica_2022_January</t>
        </is>
      </c>
      <c r="B186" s="2" t="n"/>
      <c r="C186" s="3" t="inlineStr">
        <is>
          <t>SM.22.7, Sup.2</t>
        </is>
      </c>
      <c r="D186" s="4" t="inlineStr">
        <is>
          <t>Dominica</t>
        </is>
      </c>
      <c r="E186" s="4" t="inlineStr">
        <is>
          <t>DMA</t>
        </is>
      </c>
      <c r="F186" s="10" t="n">
        <v>44562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Dominica_2022_January</t>
        </is>
      </c>
      <c r="B187" s="2" t="n"/>
      <c r="C187" s="3" t="inlineStr">
        <is>
          <t>SM.22.7, Sup.2</t>
        </is>
      </c>
      <c r="D187" s="4" t="inlineStr">
        <is>
          <t>Dominica</t>
        </is>
      </c>
      <c r="E187" s="4" t="inlineStr">
        <is>
          <t>DMA</t>
        </is>
      </c>
      <c r="F187" s="10" t="n">
        <v>44562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0.5</v>
      </c>
      <c r="AA187" t="n">
        <v>2.086666666666667</v>
      </c>
      <c r="AB187" t="n">
        <v>3.253333333333333</v>
      </c>
      <c r="AC187" t="n">
        <v>4.246306110079156</v>
      </c>
      <c r="AD187" t="n">
        <v>5.187523571410943</v>
      </c>
      <c r="AE187" t="n">
        <v>6.168504958875697</v>
      </c>
      <c r="AF187" t="n">
        <v>6.884311515918516</v>
      </c>
      <c r="AG187" t="n">
        <v>7.258490030653843</v>
      </c>
      <c r="AH187" t="n">
        <v>7.375737387601783</v>
      </c>
      <c r="AI187" t="n">
        <v>7.436669041578708</v>
      </c>
    </row>
    <row r="188">
      <c r="A188" t="inlineStr">
        <is>
          <t>Dominica_2022_January</t>
        </is>
      </c>
      <c r="B188" s="2" t="n"/>
      <c r="C188" s="3" t="inlineStr">
        <is>
          <t>SM.22.7, Sup.2</t>
        </is>
      </c>
      <c r="D188" s="4" t="inlineStr">
        <is>
          <t>Dominica</t>
        </is>
      </c>
      <c r="E188" s="4" t="inlineStr">
        <is>
          <t>DMA</t>
        </is>
      </c>
      <c r="F188" s="10" t="n">
        <v>44562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Dominica_2022_January</t>
        </is>
      </c>
      <c r="B189" s="2" t="n"/>
      <c r="C189" s="3" t="inlineStr">
        <is>
          <t>SM.22.7, Sup.2</t>
        </is>
      </c>
      <c r="D189" s="4" t="inlineStr">
        <is>
          <t>Dominica</t>
        </is>
      </c>
      <c r="E189" s="4" t="inlineStr">
        <is>
          <t>DMA</t>
        </is>
      </c>
      <c r="F189" s="10" t="n">
        <v>44562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CDB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0.35</v>
      </c>
      <c r="V189" t="n">
        <v>1.35</v>
      </c>
      <c r="W189" t="n">
        <v>2.1</v>
      </c>
      <c r="X189" t="n">
        <v>2.738339642193745</v>
      </c>
      <c r="Y189" t="n">
        <v>3.34340801019275</v>
      </c>
      <c r="Z189" t="n">
        <v>3.97403890213438</v>
      </c>
      <c r="AA189" t="n">
        <v>4.434200260233336</v>
      </c>
      <c r="AB189" t="n">
        <v>4.674743591134617</v>
      </c>
      <c r="AC189" t="n">
        <v>4.750116892029721</v>
      </c>
      <c r="AD189" t="n">
        <v>4.789287241014887</v>
      </c>
      <c r="AE189" t="n">
        <v>4.829840299462011</v>
      </c>
      <c r="AF189" t="n">
        <v>4.850832588261137</v>
      </c>
      <c r="AG189" t="n">
        <v>4.872565903461682</v>
      </c>
      <c r="AH189" t="n">
        <v>4.888316253311008</v>
      </c>
      <c r="AI189" t="n">
        <v>4.899730688618602</v>
      </c>
    </row>
    <row r="190">
      <c r="A190" t="inlineStr">
        <is>
          <t>Dominica_2022_January</t>
        </is>
      </c>
      <c r="B190" s="2" t="n"/>
      <c r="C190" s="3" t="inlineStr">
        <is>
          <t>SM.22.7, Sup.2</t>
        </is>
      </c>
      <c r="D190" s="4" t="inlineStr">
        <is>
          <t>Dominica</t>
        </is>
      </c>
      <c r="E190" s="4" t="inlineStr">
        <is>
          <t>DMA</t>
        </is>
      </c>
      <c r="F190" s="10" t="n">
        <v>44562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MULTIRES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Dominica_2022_January</t>
        </is>
      </c>
      <c r="B191" s="2" t="n"/>
      <c r="C191" s="3" t="inlineStr">
        <is>
          <t>SM.22.7, Sup.2</t>
        </is>
      </c>
      <c r="D191" s="4" t="inlineStr">
        <is>
          <t>Dominica</t>
        </is>
      </c>
      <c r="E191" s="4" t="inlineStr">
        <is>
          <t>DMA</t>
        </is>
      </c>
      <c r="F191" s="10" t="n">
        <v>44562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Dominica_2022_January</t>
        </is>
      </c>
      <c r="B192" s="2" t="n"/>
      <c r="C192" s="3" t="inlineStr">
        <is>
          <t>SM.22.7, Sup.2</t>
        </is>
      </c>
      <c r="D192" s="4" t="inlineStr">
        <is>
          <t>Dominica</t>
        </is>
      </c>
      <c r="E192" s="4" t="inlineStr">
        <is>
          <t>DMA</t>
        </is>
      </c>
      <c r="F192" s="10" t="n">
        <v>44562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0.5712870248419439</v>
      </c>
      <c r="V192" t="n">
        <v>1.001608335485344</v>
      </c>
      <c r="W192" t="n">
        <v>1.447827472673992</v>
      </c>
      <c r="X192" t="n">
        <v>1.880035558202588</v>
      </c>
      <c r="Y192" t="n">
        <v>2.28980309206644</v>
      </c>
      <c r="Z192" t="n">
        <v>2.716495698930076</v>
      </c>
      <c r="AA192" t="n">
        <v>3.162608179169688</v>
      </c>
      <c r="AB192" t="n">
        <v>3.621909543014024</v>
      </c>
      <c r="AC192" t="n">
        <v>4.097092939962692</v>
      </c>
      <c r="AD192" t="n">
        <v>4.588629710800744</v>
      </c>
      <c r="AE192" t="n">
        <v>5.095765870962264</v>
      </c>
      <c r="AF192" t="n">
        <v>5.618377291378891</v>
      </c>
      <c r="AG192" t="n">
        <v>6.155844097206092</v>
      </c>
      <c r="AH192" t="n">
        <v>6.709422653484539</v>
      </c>
      <c r="AI192" t="n">
        <v>7.28009298278956</v>
      </c>
    </row>
    <row r="193">
      <c r="A193" t="inlineStr">
        <is>
          <t>Dominica_2022_January</t>
        </is>
      </c>
      <c r="B193" s="2" t="n"/>
      <c r="C193" s="3" t="inlineStr">
        <is>
          <t>SM.22.7, Sup.2</t>
        </is>
      </c>
      <c r="D193" s="4" t="inlineStr">
        <is>
          <t>Dominica</t>
        </is>
      </c>
      <c r="E193" s="4" t="inlineStr">
        <is>
          <t>DMA</t>
        </is>
      </c>
      <c r="F193" s="10" t="n">
        <v>44562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0.5712870248419439</v>
      </c>
      <c r="V193" t="n">
        <v>1.001608335485344</v>
      </c>
      <c r="W193" t="n">
        <v>1.447827472673992</v>
      </c>
      <c r="X193" t="n">
        <v>1.880035558202588</v>
      </c>
      <c r="Y193" t="n">
        <v>2.28980309206644</v>
      </c>
      <c r="Z193" t="n">
        <v>2.716495698930076</v>
      </c>
      <c r="AA193" t="n">
        <v>3.162608179169688</v>
      </c>
      <c r="AB193" t="n">
        <v>3.621909543014024</v>
      </c>
      <c r="AC193" t="n">
        <v>4.097092939962692</v>
      </c>
      <c r="AD193" t="n">
        <v>4.588629710800744</v>
      </c>
      <c r="AE193" t="n">
        <v>5.095765870962264</v>
      </c>
      <c r="AF193" t="n">
        <v>5.618377291378891</v>
      </c>
      <c r="AG193" t="n">
        <v>6.155844097206092</v>
      </c>
      <c r="AH193" t="n">
        <v>6.709422653484539</v>
      </c>
      <c r="AI193" t="n">
        <v>7.28009298278956</v>
      </c>
    </row>
    <row r="194">
      <c r="A194" t="inlineStr">
        <is>
          <t>Dominica_2022_January</t>
        </is>
      </c>
      <c r="B194" s="2" t="n"/>
      <c r="C194" s="3" t="inlineStr">
        <is>
          <t>SM.22.7, Sup.2</t>
        </is>
      </c>
      <c r="D194" s="4" t="inlineStr">
        <is>
          <t>Dominica</t>
        </is>
      </c>
      <c r="E194" s="4" t="inlineStr">
        <is>
          <t>DMA</t>
        </is>
      </c>
      <c r="F194" s="10" t="n">
        <v>44562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Dominica_2022_January</t>
        </is>
      </c>
      <c r="B195" s="2" t="n"/>
      <c r="C195" s="3" t="inlineStr">
        <is>
          <t>SM.22.7, Sup.2</t>
        </is>
      </c>
      <c r="D195" s="4" t="inlineStr">
        <is>
          <t>Dominica</t>
        </is>
      </c>
      <c r="E195" s="4" t="inlineStr">
        <is>
          <t>DMA</t>
        </is>
      </c>
      <c r="F195" s="10" t="n">
        <v>44562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Dominica_2022_January</t>
        </is>
      </c>
      <c r="B196" s="2" t="n"/>
      <c r="C196" s="3" t="inlineStr">
        <is>
          <t>SM.22.7, Sup.2</t>
        </is>
      </c>
      <c r="D196" s="4" t="inlineStr">
        <is>
          <t>Dominica</t>
        </is>
      </c>
      <c r="E196" s="4" t="inlineStr">
        <is>
          <t>DMA</t>
        </is>
      </c>
      <c r="F196" s="10" t="n">
        <v>44562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0.0003132345150624909</v>
      </c>
      <c r="V196" t="n">
        <v>0.0003790850534533639</v>
      </c>
      <c r="W196" t="n">
        <v>0.0003790850534533639</v>
      </c>
      <c r="X196" t="n">
        <v>0.0003790850534533639</v>
      </c>
      <c r="Y196" t="n">
        <v>0.002956699410423722</v>
      </c>
      <c r="Z196" t="n">
        <v>0.003808589350200294</v>
      </c>
      <c r="AA196" t="n">
        <v>0.003808589350200294</v>
      </c>
      <c r="AB196" t="n">
        <v>0.006508425057391182</v>
      </c>
      <c r="AC196" t="n">
        <v>0.006508425057391182</v>
      </c>
      <c r="AD196" t="n">
        <v>0.006508425057391182</v>
      </c>
      <c r="AE196" t="n">
        <v>0.01997868640344203</v>
      </c>
      <c r="AF196" t="n">
        <v>0.02527351784099354</v>
      </c>
      <c r="AG196" t="n">
        <v>0.02580924485431158</v>
      </c>
      <c r="AH196" t="n">
        <v>0.02580924485431158</v>
      </c>
      <c r="AI196" t="n">
        <v>0.03645325980136768</v>
      </c>
      <c r="BI196" t="inlineStr">
        <is>
          <t>NEW_DP_OB</t>
        </is>
      </c>
    </row>
    <row r="197">
      <c r="A197" t="inlineStr">
        <is>
          <t>Dominica_2022_January</t>
        </is>
      </c>
      <c r="B197" s="2" t="n"/>
      <c r="C197" s="3" t="inlineStr">
        <is>
          <t>SM.22.7, Sup.2</t>
        </is>
      </c>
      <c r="D197" s="4" t="inlineStr">
        <is>
          <t>Dominica</t>
        </is>
      </c>
      <c r="E197" s="4" t="inlineStr">
        <is>
          <t>DMA</t>
        </is>
      </c>
      <c r="F197" s="10" t="n">
        <v>44562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Dominica_2022_January</t>
        </is>
      </c>
      <c r="B198" s="2" t="n"/>
      <c r="C198" s="3" t="inlineStr">
        <is>
          <t>SM.22.7, Sup.2</t>
        </is>
      </c>
      <c r="D198" s="4" t="inlineStr">
        <is>
          <t>Dominica</t>
        </is>
      </c>
      <c r="E198" s="4" t="inlineStr">
        <is>
          <t>DMA</t>
        </is>
      </c>
      <c r="F198" s="10" t="n">
        <v>44562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Dominica_2022_January</t>
        </is>
      </c>
      <c r="B199" s="2" t="n"/>
      <c r="C199" s="3" t="inlineStr">
        <is>
          <t>SM.22.7, Sup.2</t>
        </is>
      </c>
      <c r="D199" s="4" t="inlineStr">
        <is>
          <t>Dominica</t>
        </is>
      </c>
      <c r="E199" s="4" t="inlineStr">
        <is>
          <t>DMA</t>
        </is>
      </c>
      <c r="F199" s="10" t="n">
        <v>44562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Dominica_2022_January</t>
        </is>
      </c>
      <c r="B200" s="2" t="n"/>
      <c r="C200" s="3" t="inlineStr">
        <is>
          <t>SM.22.7, Sup.2</t>
        </is>
      </c>
      <c r="D200" s="4" t="inlineStr">
        <is>
          <t>Dominica</t>
        </is>
      </c>
      <c r="E200" s="4" t="inlineStr">
        <is>
          <t>DMA</t>
        </is>
      </c>
      <c r="F200" s="10" t="n">
        <v>44562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Dominica_2022_January</t>
        </is>
      </c>
      <c r="B201" s="2" t="n"/>
      <c r="C201" s="3" t="inlineStr">
        <is>
          <t>SM.22.7, Sup.2</t>
        </is>
      </c>
      <c r="D201" s="4" t="inlineStr">
        <is>
          <t>Dominica</t>
        </is>
      </c>
      <c r="E201" s="4" t="inlineStr">
        <is>
          <t>DMA</t>
        </is>
      </c>
      <c r="F201" s="10" t="n">
        <v>44562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Dominica_2022_January</t>
        </is>
      </c>
      <c r="B202" s="2" t="n"/>
      <c r="C202" s="3" t="inlineStr">
        <is>
          <t>SM.22.7, Sup.2</t>
        </is>
      </c>
      <c r="D202" s="4" t="inlineStr">
        <is>
          <t>Dominica</t>
        </is>
      </c>
      <c r="E202" s="4" t="inlineStr">
        <is>
          <t>DMA</t>
        </is>
      </c>
      <c r="F202" s="10" t="n">
        <v>44562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Dominica_2022_January</t>
        </is>
      </c>
      <c r="B203" s="2" t="n"/>
      <c r="C203" s="3" t="inlineStr">
        <is>
          <t>SM.22.7, Sup.2</t>
        </is>
      </c>
      <c r="D203" s="4" t="inlineStr">
        <is>
          <t>Dominica</t>
        </is>
      </c>
      <c r="E203" s="4" t="inlineStr">
        <is>
          <t>DMA</t>
        </is>
      </c>
      <c r="F203" s="10" t="n">
        <v>44562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0.0003132345150624909</v>
      </c>
      <c r="V203" t="n">
        <v>0.0003790850534533639</v>
      </c>
      <c r="W203" t="n">
        <v>0.0003790850534533639</v>
      </c>
      <c r="X203" t="n">
        <v>0.0003790850534533639</v>
      </c>
      <c r="Y203" t="n">
        <v>0.002956699410423722</v>
      </c>
      <c r="Z203" t="n">
        <v>0.003808589350200294</v>
      </c>
      <c r="AA203" t="n">
        <v>0.003808589350200294</v>
      </c>
      <c r="AB203" t="n">
        <v>0.006508425057391182</v>
      </c>
      <c r="AC203" t="n">
        <v>0.006508425057391182</v>
      </c>
      <c r="AD203" t="n">
        <v>0.006508425057391182</v>
      </c>
      <c r="AE203" t="n">
        <v>0.01997868640344203</v>
      </c>
      <c r="AF203" t="n">
        <v>0.02527351784099354</v>
      </c>
      <c r="AG203" t="n">
        <v>0.02580924485431158</v>
      </c>
      <c r="AH203" t="n">
        <v>0.02580924485431158</v>
      </c>
      <c r="AI203" t="n">
        <v>0.03645325980136768</v>
      </c>
    </row>
    <row r="204">
      <c r="A204" t="inlineStr">
        <is>
          <t>Dominica_2022_January</t>
        </is>
      </c>
      <c r="B204" s="2" t="n"/>
      <c r="C204" s="3" t="inlineStr">
        <is>
          <t>SM.22.7, Sup.2</t>
        </is>
      </c>
      <c r="D204" s="4" t="inlineStr">
        <is>
          <t>Dominica</t>
        </is>
      </c>
      <c r="E204" s="4" t="inlineStr">
        <is>
          <t>DMA</t>
        </is>
      </c>
      <c r="F204" s="10" t="n">
        <v>44562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NPC2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0.0003132345150624909</v>
      </c>
      <c r="V204" t="n">
        <v>0.0003790850534533639</v>
      </c>
      <c r="W204" t="n">
        <v>0.0003790850534533639</v>
      </c>
      <c r="X204" t="n">
        <v>0.0003790850534533639</v>
      </c>
      <c r="Y204" t="n">
        <v>0.002956699410423722</v>
      </c>
      <c r="Z204" t="n">
        <v>0.003808589350200294</v>
      </c>
      <c r="AA204" t="n">
        <v>0.003808589350200294</v>
      </c>
      <c r="AB204" t="n">
        <v>0.006508425057391182</v>
      </c>
      <c r="AC204" t="n">
        <v>0.006508425057391182</v>
      </c>
      <c r="AD204" t="n">
        <v>0.006508425057391182</v>
      </c>
      <c r="AE204" t="n">
        <v>0.01997868640344203</v>
      </c>
      <c r="AF204" t="n">
        <v>0.02527351784099354</v>
      </c>
      <c r="AG204" t="n">
        <v>0.02580924485431158</v>
      </c>
      <c r="AH204" t="n">
        <v>0.02580924485431158</v>
      </c>
      <c r="AI204" t="n">
        <v>0.03645325980136768</v>
      </c>
    </row>
    <row r="205">
      <c r="A205" t="inlineStr">
        <is>
          <t>Dominica_2022_January</t>
        </is>
      </c>
      <c r="B205" s="2" t="n"/>
      <c r="C205" s="3" t="inlineStr">
        <is>
          <t>SM.22.7, Sup.2</t>
        </is>
      </c>
      <c r="D205" s="4" t="inlineStr">
        <is>
          <t>Dominica</t>
        </is>
      </c>
      <c r="E205" s="4" t="inlineStr">
        <is>
          <t>DMA</t>
        </is>
      </c>
      <c r="F205" s="10" t="n">
        <v>44562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Dominica_2022_January</t>
        </is>
      </c>
      <c r="B206" s="2" t="n"/>
      <c r="C206" s="3" t="inlineStr">
        <is>
          <t>SM.22.7, Sup.2</t>
        </is>
      </c>
      <c r="D206" s="4" t="inlineStr">
        <is>
          <t>Dominica</t>
        </is>
      </c>
      <c r="E206" s="4" t="inlineStr">
        <is>
          <t>DMA</t>
        </is>
      </c>
      <c r="F206" s="10" t="n">
        <v>44562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Dominica_2022_January</t>
        </is>
      </c>
      <c r="B207" s="2" t="n"/>
      <c r="C207" s="3" t="inlineStr">
        <is>
          <t>SM.22.7, Sup.2</t>
        </is>
      </c>
      <c r="D207" s="4" t="inlineStr">
        <is>
          <t>Dominica</t>
        </is>
      </c>
      <c r="E207" s="4" t="inlineStr">
        <is>
          <t>DMA</t>
        </is>
      </c>
      <c r="F207" s="10" t="n">
        <v>44562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Dominica_2022_January</t>
        </is>
      </c>
      <c r="B208" s="2" t="n"/>
      <c r="C208" s="3" t="inlineStr">
        <is>
          <t>SM.22.7, Sup.2</t>
        </is>
      </c>
      <c r="D208" s="4" t="inlineStr">
        <is>
          <t>Dominica</t>
        </is>
      </c>
      <c r="E208" s="4" t="inlineStr">
        <is>
          <t>DMA</t>
        </is>
      </c>
      <c r="F208" s="10" t="n">
        <v>44562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Dominica_2022_January</t>
        </is>
      </c>
      <c r="B209" s="2" t="n"/>
      <c r="C209" s="3" t="inlineStr">
        <is>
          <t>SM.22.7, Sup.2</t>
        </is>
      </c>
      <c r="D209" s="4" t="inlineStr">
        <is>
          <t>Dominica</t>
        </is>
      </c>
      <c r="E209" s="4" t="inlineStr">
        <is>
          <t>DMA</t>
        </is>
      </c>
      <c r="F209" s="10" t="n">
        <v>44562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Dominica_2022_January</t>
        </is>
      </c>
      <c r="B210" s="2" t="n"/>
      <c r="C210" s="3" t="inlineStr">
        <is>
          <t>SM.22.7, Sup.2</t>
        </is>
      </c>
      <c r="D210" s="4" t="inlineStr">
        <is>
          <t>Dominica</t>
        </is>
      </c>
      <c r="E210" s="4" t="inlineStr">
        <is>
          <t>DMA</t>
        </is>
      </c>
      <c r="F210" s="10" t="n">
        <v>44562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Dominica_2022_January</t>
        </is>
      </c>
      <c r="B211" s="2" t="n"/>
      <c r="C211" s="3" t="inlineStr">
        <is>
          <t>SM.22.7, Sup.2</t>
        </is>
      </c>
      <c r="D211" s="4" t="inlineStr">
        <is>
          <t>Dominica</t>
        </is>
      </c>
      <c r="E211" s="4" t="inlineStr">
        <is>
          <t>DMA</t>
        </is>
      </c>
      <c r="F211" s="10" t="n">
        <v>44562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Dominica_2022_January</t>
        </is>
      </c>
      <c r="B212" s="2" t="n"/>
      <c r="C212" s="3" t="inlineStr">
        <is>
          <t>SM.22.7, Sup.2</t>
        </is>
      </c>
      <c r="D212" s="4" t="inlineStr">
        <is>
          <t>Dominica</t>
        </is>
      </c>
      <c r="E212" s="4" t="inlineStr">
        <is>
          <t>DMA</t>
        </is>
      </c>
      <c r="F212" s="10" t="n">
        <v>44562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Dominica_2022_January</t>
        </is>
      </c>
      <c r="B213" s="2" t="n"/>
      <c r="C213" s="3" t="inlineStr">
        <is>
          <t>SM.22.7, Sup.2</t>
        </is>
      </c>
      <c r="D213" s="4" t="inlineStr">
        <is>
          <t>Dominica</t>
        </is>
      </c>
      <c r="E213" s="4" t="inlineStr">
        <is>
          <t>DMA</t>
        </is>
      </c>
      <c r="F213" s="10" t="n">
        <v>44562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Dominica_2022_January</t>
        </is>
      </c>
      <c r="B214" s="2" t="n"/>
      <c r="C214" s="3" t="inlineStr">
        <is>
          <t>SM.22.7, Sup.2</t>
        </is>
      </c>
      <c r="D214" s="4" t="inlineStr">
        <is>
          <t>Dominica</t>
        </is>
      </c>
      <c r="E214" s="4" t="inlineStr">
        <is>
          <t>DMA</t>
        </is>
      </c>
      <c r="F214" s="10" t="n">
        <v>44562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Dominica_2022_January</t>
        </is>
      </c>
      <c r="B215" s="2" t="n"/>
      <c r="C215" s="3" t="inlineStr">
        <is>
          <t>SM.22.7, Sup.2</t>
        </is>
      </c>
      <c r="D215" s="4" t="inlineStr">
        <is>
          <t>Dominica</t>
        </is>
      </c>
      <c r="E215" s="4" t="inlineStr">
        <is>
          <t>DMA</t>
        </is>
      </c>
      <c r="F215" s="10" t="n">
        <v>44562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Dominica_2022_January</t>
        </is>
      </c>
      <c r="B216" s="2" t="n"/>
      <c r="C216" s="3" t="inlineStr">
        <is>
          <t>SM.22.7, Sup.2</t>
        </is>
      </c>
      <c r="D216" s="4" t="inlineStr">
        <is>
          <t>Dominica</t>
        </is>
      </c>
      <c r="E216" s="4" t="inlineStr">
        <is>
          <t>DMA</t>
        </is>
      </c>
      <c r="F216" s="10" t="n">
        <v>44562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Dominica_2022_January</t>
        </is>
      </c>
      <c r="B217" s="2" t="n"/>
      <c r="C217" s="3" t="inlineStr">
        <is>
          <t>SM.22.7, Sup.2</t>
        </is>
      </c>
      <c r="D217" s="4" t="inlineStr">
        <is>
          <t>Dominica</t>
        </is>
      </c>
      <c r="E217" s="4" t="inlineStr">
        <is>
          <t>DMA</t>
        </is>
      </c>
      <c r="F217" s="10" t="n">
        <v>44562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Dominica_2022_January</t>
        </is>
      </c>
      <c r="B218" s="2" t="n"/>
      <c r="C218" s="3" t="inlineStr">
        <is>
          <t>SM.22.7, Sup.2</t>
        </is>
      </c>
      <c r="D218" s="4" t="inlineStr">
        <is>
          <t>Dominica</t>
        </is>
      </c>
      <c r="E218" s="4" t="inlineStr">
        <is>
          <t>DMA</t>
        </is>
      </c>
      <c r="F218" s="10" t="n">
        <v>44562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Dominica_2022_January</t>
        </is>
      </c>
      <c r="B219" s="2" t="n"/>
      <c r="C219" s="3" t="inlineStr">
        <is>
          <t>SM.22.7, Sup.2</t>
        </is>
      </c>
      <c r="D219" s="4" t="inlineStr">
        <is>
          <t>Dominica</t>
        </is>
      </c>
      <c r="E219" s="4" t="inlineStr">
        <is>
          <t>DMA</t>
        </is>
      </c>
      <c r="F219" s="10" t="n">
        <v>44562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Dominica_2022_January</t>
        </is>
      </c>
      <c r="B220" s="2" t="n"/>
      <c r="C220" s="3" t="inlineStr">
        <is>
          <t>SM.22.7, Sup.2</t>
        </is>
      </c>
      <c r="D220" s="4" t="inlineStr">
        <is>
          <t>Dominica</t>
        </is>
      </c>
      <c r="E220" s="4" t="inlineStr">
        <is>
          <t>DMA</t>
        </is>
      </c>
      <c r="F220" s="10" t="n">
        <v>44562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Dominica_2022_January</t>
        </is>
      </c>
      <c r="B221" s="2" t="n"/>
      <c r="C221" s="3" t="inlineStr">
        <is>
          <t>SM.22.7, Sup.2</t>
        </is>
      </c>
      <c r="D221" s="4" t="inlineStr">
        <is>
          <t>Dominica</t>
        </is>
      </c>
      <c r="E221" s="4" t="inlineStr">
        <is>
          <t>DMA</t>
        </is>
      </c>
      <c r="F221" s="10" t="n">
        <v>44562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Dominica_2022_January</t>
        </is>
      </c>
      <c r="B222" s="2" t="n"/>
      <c r="C222" s="3" t="inlineStr">
        <is>
          <t>SM.22.7, Sup.2</t>
        </is>
      </c>
      <c r="D222" s="4" t="inlineStr">
        <is>
          <t>Dominica</t>
        </is>
      </c>
      <c r="E222" s="4" t="inlineStr">
        <is>
          <t>DMA</t>
        </is>
      </c>
      <c r="F222" s="10" t="n">
        <v>44562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Dominica_2022_January</t>
        </is>
      </c>
      <c r="B223" s="2" t="n"/>
      <c r="C223" s="3" t="inlineStr">
        <is>
          <t>SM.22.7, Sup.2</t>
        </is>
      </c>
      <c r="D223" s="4" t="inlineStr">
        <is>
          <t>Dominica</t>
        </is>
      </c>
      <c r="E223" s="4" t="inlineStr">
        <is>
          <t>DMA</t>
        </is>
      </c>
      <c r="F223" s="10" t="n">
        <v>44562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Dominica_2022_January</t>
        </is>
      </c>
      <c r="B224" s="2" t="n"/>
      <c r="C224" s="3" t="inlineStr">
        <is>
          <t>SM.22.7, Sup.2</t>
        </is>
      </c>
      <c r="D224" s="4" t="inlineStr">
        <is>
          <t>Dominica</t>
        </is>
      </c>
      <c r="E224" s="4" t="inlineStr">
        <is>
          <t>DMA</t>
        </is>
      </c>
      <c r="F224" s="10" t="n">
        <v>44562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</t>
        </is>
      </c>
    </row>
    <row r="225">
      <c r="A225" t="inlineStr">
        <is>
          <t>Dominica_2022_January</t>
        </is>
      </c>
      <c r="B225" s="2" t="n"/>
      <c r="C225" s="3" t="inlineStr">
        <is>
          <t>SM.22.7, Sup.2</t>
        </is>
      </c>
      <c r="D225" s="4" t="inlineStr">
        <is>
          <t>Dominica</t>
        </is>
      </c>
      <c r="E225" s="4" t="inlineStr">
        <is>
          <t>DMA</t>
        </is>
      </c>
      <c r="F225" s="10" t="n">
        <v>44562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Dominica_2022_January</t>
        </is>
      </c>
      <c r="B226" s="2" t="n"/>
      <c r="C226" s="3" t="inlineStr">
        <is>
          <t>SM.22.7, Sup.2</t>
        </is>
      </c>
      <c r="D226" s="4" t="inlineStr">
        <is>
          <t>Dominica</t>
        </is>
      </c>
      <c r="E226" s="4" t="inlineStr">
        <is>
          <t>DMA</t>
        </is>
      </c>
      <c r="F226" s="10" t="n">
        <v>44562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Dominica_2022_January</t>
        </is>
      </c>
      <c r="B227" s="2" t="n"/>
      <c r="C227" s="3" t="inlineStr">
        <is>
          <t>SM.22.7, Sup.2</t>
        </is>
      </c>
      <c r="D227" s="4" t="inlineStr">
        <is>
          <t>Dominica</t>
        </is>
      </c>
      <c r="E227" s="4" t="inlineStr">
        <is>
          <t>DMA</t>
        </is>
      </c>
      <c r="F227" s="10" t="n">
        <v>44562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Dominica_2022_January</t>
        </is>
      </c>
      <c r="B228" s="2" t="n"/>
      <c r="C228" s="3" t="inlineStr">
        <is>
          <t>SM.22.7, Sup.2</t>
        </is>
      </c>
      <c r="D228" s="4" t="inlineStr">
        <is>
          <t>Dominica</t>
        </is>
      </c>
      <c r="E228" s="4" t="inlineStr">
        <is>
          <t>DMA</t>
        </is>
      </c>
      <c r="F228" s="10" t="n">
        <v>44562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Dominica_2022_January</t>
        </is>
      </c>
      <c r="B229" s="2" t="n"/>
      <c r="C229" s="3" t="inlineStr">
        <is>
          <t>SM.22.7, Sup.2</t>
        </is>
      </c>
      <c r="D229" s="4" t="inlineStr">
        <is>
          <t>Dominica</t>
        </is>
      </c>
      <c r="E229" s="4" t="inlineStr">
        <is>
          <t>DMA</t>
        </is>
      </c>
      <c r="F229" s="10" t="n">
        <v>44562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Dominica_2022_January</t>
        </is>
      </c>
      <c r="B230" s="2" t="n"/>
      <c r="C230" s="3" t="inlineStr">
        <is>
          <t>SM.22.7, Sup.2</t>
        </is>
      </c>
      <c r="D230" s="4" t="inlineStr">
        <is>
          <t>Dominica</t>
        </is>
      </c>
      <c r="E230" s="4" t="inlineStr">
        <is>
          <t>DMA</t>
        </is>
      </c>
      <c r="F230" s="10" t="n">
        <v>44562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271.3354988793758</v>
      </c>
      <c r="O230" t="n">
        <v>260.4537033286335</v>
      </c>
      <c r="P230" t="n">
        <v>239.017425542745</v>
      </c>
      <c r="Q230" t="n">
        <v>216.5979503088021</v>
      </c>
      <c r="R230" t="n">
        <v>194.0342731188321</v>
      </c>
      <c r="S230" t="n">
        <v>174.3176545761781</v>
      </c>
      <c r="T230" t="n">
        <v>156.3024190792608</v>
      </c>
      <c r="U230" t="n">
        <v>140.5206321247439</v>
      </c>
      <c r="V230" t="n">
        <v>125.485047017845</v>
      </c>
      <c r="W230" t="n">
        <v>111.1367770670723</v>
      </c>
      <c r="X230" t="n">
        <v>97.27534537144895</v>
      </c>
      <c r="Y230" t="n">
        <v>85.17603820308267</v>
      </c>
      <c r="Z230" t="n">
        <v>74.58782092189998</v>
      </c>
      <c r="AA230" t="n">
        <v>59.44162785761331</v>
      </c>
      <c r="AB230" t="n">
        <v>44.59557041848859</v>
      </c>
      <c r="AC230" t="n">
        <v>36.41539234850745</v>
      </c>
      <c r="AD230" t="n">
        <v>27.20081594582496</v>
      </c>
      <c r="AE230" t="n">
        <v>20.81155061944039</v>
      </c>
      <c r="AF230" t="n">
        <v>14.4942858386936</v>
      </c>
      <c r="AG230" t="n">
        <v>10.22200036781768</v>
      </c>
      <c r="AH230" t="n">
        <v>6.064226237765801</v>
      </c>
      <c r="AI230" t="n">
        <v>0</v>
      </c>
      <c r="BI230" t="inlineStr">
        <is>
          <t>PV_OLD_MLT</t>
        </is>
      </c>
    </row>
    <row r="231">
      <c r="A231" t="inlineStr">
        <is>
          <t>Dominica_2022_January</t>
        </is>
      </c>
      <c r="B231" s="2" t="n"/>
      <c r="C231" s="3" t="inlineStr">
        <is>
          <t>SM.22.7, Sup.2</t>
        </is>
      </c>
      <c r="D231" s="4" t="inlineStr">
        <is>
          <t>Dominica</t>
        </is>
      </c>
      <c r="E231" s="4" t="inlineStr">
        <is>
          <t>DMA</t>
        </is>
      </c>
      <c r="F231" s="10" t="n">
        <v>44562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Dominica_2022_January</t>
        </is>
      </c>
      <c r="B232" s="2" t="n"/>
      <c r="C232" s="3" t="inlineStr">
        <is>
          <t>SM.22.7, Sup.2</t>
        </is>
      </c>
      <c r="D232" s="4" t="inlineStr">
        <is>
          <t>Dominica</t>
        </is>
      </c>
      <c r="E232" s="4" t="inlineStr">
        <is>
          <t>DMA</t>
        </is>
      </c>
      <c r="F232" s="10" t="n">
        <v>44562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144.7469394888506</v>
      </c>
      <c r="O232" t="n">
        <v>144.4709910188487</v>
      </c>
      <c r="P232" t="n">
        <v>137.8278262734949</v>
      </c>
      <c r="Q232" t="n">
        <v>129.5712806982807</v>
      </c>
      <c r="R232" t="n">
        <v>119.9234897971459</v>
      </c>
      <c r="S232" t="n">
        <v>110.6605798979288</v>
      </c>
      <c r="T232" t="n">
        <v>101.7970493802775</v>
      </c>
      <c r="U232" t="n">
        <v>93.62290788575513</v>
      </c>
      <c r="V232" t="n">
        <v>85.7228079618652</v>
      </c>
      <c r="W232" t="n">
        <v>78.2590267367779</v>
      </c>
      <c r="X232" t="n">
        <v>70.95851949216257</v>
      </c>
      <c r="Y232" t="n">
        <v>63.77526866857545</v>
      </c>
      <c r="Z232" t="n">
        <v>56.68689065486239</v>
      </c>
      <c r="AA232" t="n">
        <v>49.67180062378813</v>
      </c>
      <c r="AB232" t="n">
        <v>42.70911585165417</v>
      </c>
      <c r="AC232" t="n">
        <v>35.77856440944531</v>
      </c>
      <c r="AD232" t="n">
        <v>27.53315195483585</v>
      </c>
      <c r="AE232" t="n">
        <v>22.03767829910042</v>
      </c>
      <c r="AF232" t="n">
        <v>16.55328295976788</v>
      </c>
      <c r="AG232" t="n">
        <v>11.06316073679826</v>
      </c>
      <c r="AH232" t="n">
        <v>5.550816333681876</v>
      </c>
      <c r="AI232" t="n">
        <v>0</v>
      </c>
      <c r="BI232" t="inlineStr">
        <is>
          <t>PV_OLD_ML</t>
        </is>
      </c>
    </row>
    <row r="233">
      <c r="A233" t="inlineStr">
        <is>
          <t>Dominica_2022_January</t>
        </is>
      </c>
      <c r="B233" s="2" t="n"/>
      <c r="C233" s="3" t="inlineStr">
        <is>
          <t>SM.22.7, Sup.2</t>
        </is>
      </c>
      <c r="D233" s="4" t="inlineStr">
        <is>
          <t>Dominica</t>
        </is>
      </c>
      <c r="E233" s="4" t="inlineStr">
        <is>
          <t>DMA</t>
        </is>
      </c>
      <c r="F233" s="10" t="n">
        <v>44562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13.92439153022318</v>
      </c>
      <c r="O233" t="n">
        <v>12.58954081043804</v>
      </c>
      <c r="P233" t="n">
        <v>11.47810044355253</v>
      </c>
      <c r="Q233" t="n">
        <v>10.31108805832275</v>
      </c>
      <c r="R233" t="n">
        <v>9.246064131025443</v>
      </c>
      <c r="S233" t="n">
        <v>8.273360804860635</v>
      </c>
      <c r="T233" t="n">
        <v>7.384186898219736</v>
      </c>
      <c r="U233" t="n">
        <v>6.570546479131684</v>
      </c>
      <c r="V233" t="n">
        <v>5.825164901445238</v>
      </c>
      <c r="W233" t="n">
        <v>5.141421617051009</v>
      </c>
      <c r="X233" t="n">
        <v>4.513289138264952</v>
      </c>
      <c r="Y233" t="n">
        <v>3.935277582048631</v>
      </c>
      <c r="Z233" t="n">
        <v>3.402384279989782</v>
      </c>
      <c r="AA233" t="n">
        <v>2.91004798539816</v>
      </c>
      <c r="AB233" t="n">
        <v>2.454107251929669</v>
      </c>
      <c r="AC233" t="n">
        <v>2.030762597238954</v>
      </c>
      <c r="AD233" t="n">
        <v>1.63654210064229</v>
      </c>
      <c r="AE233" t="n">
        <v>1.268270115980833</v>
      </c>
      <c r="AF233" t="n">
        <v>0.9230388101098231</v>
      </c>
      <c r="AG233" t="n">
        <v>0.5981822639762072</v>
      </c>
      <c r="AH233" t="n">
        <v>0.2912528973330666</v>
      </c>
      <c r="AI233" t="n">
        <v>0</v>
      </c>
    </row>
    <row r="234">
      <c r="A234" t="inlineStr">
        <is>
          <t>Dominica_2022_January</t>
        </is>
      </c>
      <c r="B234" s="2" t="n"/>
      <c r="C234" s="3" t="inlineStr">
        <is>
          <t>SM.22.7, Sup.2</t>
        </is>
      </c>
      <c r="D234" s="4" t="inlineStr">
        <is>
          <t>Dominica</t>
        </is>
      </c>
      <c r="E234" s="4" t="inlineStr">
        <is>
          <t>DMA</t>
        </is>
      </c>
      <c r="F234" s="10" t="n">
        <v>44562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small economy</t>
        </is>
      </c>
      <c r="N234" t="n">
        <v>33.00948934330986</v>
      </c>
      <c r="O234" t="n">
        <v>33.33670166232721</v>
      </c>
      <c r="P234" t="n">
        <v>32.94445848618431</v>
      </c>
      <c r="Q234" t="n">
        <v>32.19076789197501</v>
      </c>
      <c r="R234" t="n">
        <v>30.89971076334951</v>
      </c>
      <c r="S234" t="n">
        <v>29.56521356989867</v>
      </c>
      <c r="T234" t="n">
        <v>28.18495063305287</v>
      </c>
      <c r="U234" t="n">
        <v>26.75648110888269</v>
      </c>
      <c r="V234" t="n">
        <v>25.27724322168902</v>
      </c>
      <c r="W234" t="n">
        <v>23.74454820933208</v>
      </c>
      <c r="X234" t="n">
        <v>22.15557396588568</v>
      </c>
      <c r="Y234" t="n">
        <v>20.50735836648253</v>
      </c>
      <c r="Z234" t="n">
        <v>18.7967922584599</v>
      </c>
      <c r="AA234" t="n">
        <v>17.02061210212</v>
      </c>
      <c r="AB234" t="n">
        <v>15.17539224358566</v>
      </c>
      <c r="AC234" t="n">
        <v>13.25753680135537</v>
      </c>
      <c r="AD234" t="n">
        <v>11.26327114724249</v>
      </c>
      <c r="AE234" t="n">
        <v>9.188632961417236</v>
      </c>
      <c r="AF234" t="n">
        <v>7.029462840256328</v>
      </c>
      <c r="AG234" t="n">
        <v>4.781394434640165</v>
      </c>
      <c r="AH234" t="n">
        <v>2.439844095219533</v>
      </c>
      <c r="AI234" t="n">
        <v>0</v>
      </c>
    </row>
    <row r="235">
      <c r="A235" t="inlineStr">
        <is>
          <t>Dominica_2022_January</t>
        </is>
      </c>
      <c r="B235" s="2" t="n"/>
      <c r="C235" s="3" t="inlineStr">
        <is>
          <t>SM.22.7, Sup.2</t>
        </is>
      </c>
      <c r="D235" s="4" t="inlineStr">
        <is>
          <t>Dominica</t>
        </is>
      </c>
      <c r="E235" s="4" t="inlineStr">
        <is>
          <t>DMA</t>
        </is>
      </c>
      <c r="F235" s="10" t="n">
        <v>44562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Dominica_2022_January</t>
        </is>
      </c>
      <c r="B236" s="2" t="n"/>
      <c r="C236" s="3" t="inlineStr">
        <is>
          <t>SM.22.7, Sup.2</t>
        </is>
      </c>
      <c r="D236" s="4" t="inlineStr">
        <is>
          <t>Dominica</t>
        </is>
      </c>
      <c r="E236" s="4" t="inlineStr">
        <is>
          <t>DMA</t>
        </is>
      </c>
      <c r="F236" s="10" t="n">
        <v>44562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CDB</t>
        </is>
      </c>
      <c r="N236" t="n">
        <v>97.81305861531756</v>
      </c>
      <c r="O236" t="n">
        <v>98.54474854608344</v>
      </c>
      <c r="P236" t="n">
        <v>93.40526734375806</v>
      </c>
      <c r="Q236" t="n">
        <v>87.06942474798296</v>
      </c>
      <c r="R236" t="n">
        <v>79.777714902771</v>
      </c>
      <c r="S236" t="n">
        <v>72.82200552316954</v>
      </c>
      <c r="T236" t="n">
        <v>66.22791184900484</v>
      </c>
      <c r="U236" t="n">
        <v>60.29588029774075</v>
      </c>
      <c r="V236" t="n">
        <v>54.62039983873095</v>
      </c>
      <c r="W236" t="n">
        <v>49.37305691039482</v>
      </c>
      <c r="X236" t="n">
        <v>44.28965638801193</v>
      </c>
      <c r="Y236" t="n">
        <v>39.33263272004429</v>
      </c>
      <c r="Z236" t="n">
        <v>34.48771411641271</v>
      </c>
      <c r="AA236" t="n">
        <v>29.74114053626997</v>
      </c>
      <c r="AB236" t="n">
        <v>25.07961635613884</v>
      </c>
      <c r="AC236" t="n">
        <v>20.49026501085098</v>
      </c>
      <c r="AD236" t="n">
        <v>14.63333870695107</v>
      </c>
      <c r="AE236" t="n">
        <v>11.58077522170235</v>
      </c>
      <c r="AF236" t="n">
        <v>8.600781309401725</v>
      </c>
      <c r="AG236" t="n">
        <v>5.683584038181891</v>
      </c>
      <c r="AH236" t="n">
        <v>2.819719341129276</v>
      </c>
      <c r="AI236" t="n">
        <v>0</v>
      </c>
    </row>
    <row r="237">
      <c r="A237" t="inlineStr">
        <is>
          <t>Dominica_2022_January</t>
        </is>
      </c>
      <c r="B237" s="2" t="n"/>
      <c r="C237" s="3" t="inlineStr">
        <is>
          <t>SM.22.7, Sup.2</t>
        </is>
      </c>
      <c r="D237" s="4" t="inlineStr">
        <is>
          <t>Dominica</t>
        </is>
      </c>
      <c r="E237" s="4" t="inlineStr">
        <is>
          <t>DMA</t>
        </is>
      </c>
      <c r="F237" s="10" t="n">
        <v>44562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MULTIRES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Dominica_2022_January</t>
        </is>
      </c>
      <c r="B238" s="2" t="n"/>
      <c r="C238" s="3" t="inlineStr">
        <is>
          <t>SM.22.7, Sup.2</t>
        </is>
      </c>
      <c r="D238" s="4" t="inlineStr">
        <is>
          <t>Dominica</t>
        </is>
      </c>
      <c r="E238" s="4" t="inlineStr">
        <is>
          <t>DMA</t>
        </is>
      </c>
      <c r="F238" s="10" t="n">
        <v>44562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Dominica_2022_January</t>
        </is>
      </c>
      <c r="B239" s="2" t="n"/>
      <c r="C239" s="3" t="inlineStr">
        <is>
          <t>SM.22.7, Sup.2</t>
        </is>
      </c>
      <c r="D239" s="4" t="inlineStr">
        <is>
          <t>Dominica</t>
        </is>
      </c>
      <c r="E239" s="4" t="inlineStr">
        <is>
          <t>DMA</t>
        </is>
      </c>
      <c r="F239" s="10" t="n">
        <v>44562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17.45455406911395</v>
      </c>
      <c r="O239" t="n">
        <v>12.42743188368076</v>
      </c>
      <c r="P239" t="n">
        <v>9.265099181568498</v>
      </c>
      <c r="Q239" t="n">
        <v>6.01188188138766</v>
      </c>
      <c r="R239" t="n">
        <v>3.320130076861494</v>
      </c>
      <c r="S239" t="n">
        <v>1.468138918872398</v>
      </c>
      <c r="T239" t="n">
        <v>0.2563753780203779</v>
      </c>
      <c r="U239" t="n">
        <v>0.1162467383482738</v>
      </c>
      <c r="V239" t="n">
        <v>0.09352213287344781</v>
      </c>
      <c r="W239" t="n">
        <v>0.07762064208529411</v>
      </c>
      <c r="X239" t="n">
        <v>0.06498835320192083</v>
      </c>
      <c r="Y239" t="n">
        <v>0.05438410874977526</v>
      </c>
      <c r="Z239" t="n">
        <v>0.04526694531911673</v>
      </c>
      <c r="AA239" t="n">
        <v>0.03734458144875126</v>
      </c>
      <c r="AB239" t="n">
        <v>0.03042215421801065</v>
      </c>
      <c r="AC239" t="n">
        <v>0.02435019328617439</v>
      </c>
      <c r="AD239" t="n">
        <v>0.01900562466956207</v>
      </c>
      <c r="AE239" t="n">
        <v>0.01428393333975829</v>
      </c>
      <c r="AF239" t="n">
        <v>0.01009522802684258</v>
      </c>
      <c r="AG239" t="n">
        <v>0.006361779739950411</v>
      </c>
      <c r="AH239" t="n">
        <v>0.003016205302485933</v>
      </c>
      <c r="AI239" t="n">
        <v>0</v>
      </c>
    </row>
    <row r="240">
      <c r="A240" t="inlineStr">
        <is>
          <t>Dominica_2022_January</t>
        </is>
      </c>
      <c r="B240" s="2" t="n"/>
      <c r="C240" s="3" t="inlineStr">
        <is>
          <t>SM.22.7, Sup.2</t>
        </is>
      </c>
      <c r="D240" s="4" t="inlineStr">
        <is>
          <t>Dominica</t>
        </is>
      </c>
      <c r="E240" s="4" t="inlineStr">
        <is>
          <t>DMA</t>
        </is>
      </c>
      <c r="F240" s="10" t="n">
        <v>44562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17.45455406911395</v>
      </c>
      <c r="O240" t="n">
        <v>12.42743188368076</v>
      </c>
      <c r="P240" t="n">
        <v>9.265099181568498</v>
      </c>
      <c r="Q240" t="n">
        <v>6.01188188138766</v>
      </c>
      <c r="R240" t="n">
        <v>3.320130076861494</v>
      </c>
      <c r="S240" t="n">
        <v>1.468138918872398</v>
      </c>
      <c r="T240" t="n">
        <v>0.2563753780203779</v>
      </c>
      <c r="U240" t="n">
        <v>0.1162467383482738</v>
      </c>
      <c r="V240" t="n">
        <v>0.09352213287344781</v>
      </c>
      <c r="W240" t="n">
        <v>0.07762064208529411</v>
      </c>
      <c r="X240" t="n">
        <v>0.06498835320192083</v>
      </c>
      <c r="Y240" t="n">
        <v>0.05438410874977526</v>
      </c>
      <c r="Z240" t="n">
        <v>0.04526694531911673</v>
      </c>
      <c r="AA240" t="n">
        <v>0.03734458144875126</v>
      </c>
      <c r="AB240" t="n">
        <v>0.03042215421801065</v>
      </c>
      <c r="AC240" t="n">
        <v>0.02435019328617439</v>
      </c>
      <c r="AD240" t="n">
        <v>0.01900562466956207</v>
      </c>
      <c r="AE240" t="n">
        <v>0.01428393333975829</v>
      </c>
      <c r="AF240" t="n">
        <v>0.01009522802684258</v>
      </c>
      <c r="AG240" t="n">
        <v>0.006361779739950411</v>
      </c>
      <c r="AH240" t="n">
        <v>0.003016205302485933</v>
      </c>
      <c r="AI240" t="n">
        <v>0</v>
      </c>
    </row>
    <row r="241">
      <c r="A241" t="inlineStr">
        <is>
          <t>Dominica_2022_January</t>
        </is>
      </c>
      <c r="B241" s="2" t="n"/>
      <c r="C241" s="3" t="inlineStr">
        <is>
          <t>SM.22.7, Sup.2</t>
        </is>
      </c>
      <c r="D241" s="4" t="inlineStr">
        <is>
          <t>Dominica</t>
        </is>
      </c>
      <c r="E241" s="4" t="inlineStr">
        <is>
          <t>DMA</t>
        </is>
      </c>
      <c r="F241" s="10" t="n">
        <v>44562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Dominica_2022_January</t>
        </is>
      </c>
      <c r="B242" s="2" t="n"/>
      <c r="C242" s="3" t="inlineStr">
        <is>
          <t>SM.22.7, Sup.2</t>
        </is>
      </c>
      <c r="D242" s="4" t="inlineStr">
        <is>
          <t>Dominica</t>
        </is>
      </c>
      <c r="E242" s="4" t="inlineStr">
        <is>
          <t>DMA</t>
        </is>
      </c>
      <c r="F242" s="10" t="n">
        <v>44562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Dominica_2022_January</t>
        </is>
      </c>
      <c r="B243" s="2" t="n"/>
      <c r="C243" s="3" t="inlineStr">
        <is>
          <t>SM.22.7, Sup.2</t>
        </is>
      </c>
      <c r="D243" s="4" t="inlineStr">
        <is>
          <t>Dominica</t>
        </is>
      </c>
      <c r="E243" s="4" t="inlineStr">
        <is>
          <t>DMA</t>
        </is>
      </c>
      <c r="F243" s="10" t="n">
        <v>44562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47.70405626868313</v>
      </c>
      <c r="O243" t="n">
        <v>45.49602449552857</v>
      </c>
      <c r="P243" t="n">
        <v>38.80698406913039</v>
      </c>
      <c r="Q243" t="n">
        <v>31.81943589680102</v>
      </c>
      <c r="R243" t="n">
        <v>26.49488328682797</v>
      </c>
      <c r="S243" t="n">
        <v>22.02962042562673</v>
      </c>
      <c r="T243" t="n">
        <v>18.21159081565612</v>
      </c>
      <c r="U243" t="n">
        <v>14.9799983608084</v>
      </c>
      <c r="V243" t="n">
        <v>12.21970922541635</v>
      </c>
      <c r="W243" t="n">
        <v>9.841324126540993</v>
      </c>
      <c r="X243" t="n">
        <v>7.734053523273562</v>
      </c>
      <c r="Y243" t="n">
        <v>5.847378431446522</v>
      </c>
      <c r="Z243" t="n">
        <v>4.147966622580288</v>
      </c>
      <c r="AA243" t="n">
        <v>2.596779432466049</v>
      </c>
      <c r="AB243" t="n">
        <v>1.161131439504884</v>
      </c>
      <c r="AC243" t="n">
        <v>0.05229276516139308</v>
      </c>
      <c r="AD243" t="n">
        <v>-0.7915550524383504</v>
      </c>
      <c r="AE243" t="n">
        <v>-1.573412370642635</v>
      </c>
      <c r="AF243" t="n">
        <v>-2.305899665483586</v>
      </c>
      <c r="AG243" t="n">
        <v>-0.997629957489883</v>
      </c>
      <c r="AH243" t="n">
        <v>0.4388298373805263</v>
      </c>
      <c r="AI243" t="n">
        <v>0</v>
      </c>
      <c r="BI243" t="inlineStr">
        <is>
          <t>PV_OLD_OB</t>
        </is>
      </c>
    </row>
    <row r="244">
      <c r="A244" t="inlineStr">
        <is>
          <t>Dominica_2022_January</t>
        </is>
      </c>
      <c r="B244" s="2" t="n"/>
      <c r="C244" s="3" t="inlineStr">
        <is>
          <t>SM.22.7, Sup.2</t>
        </is>
      </c>
      <c r="D244" s="4" t="inlineStr">
        <is>
          <t>Dominica</t>
        </is>
      </c>
      <c r="E244" s="4" t="inlineStr">
        <is>
          <t>DMA</t>
        </is>
      </c>
      <c r="F244" s="10" t="n">
        <v>44562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15.22745223327871</v>
      </c>
      <c r="O244" t="n">
        <v>14.32097343753523</v>
      </c>
      <c r="P244" t="n">
        <v>11.4824319242268</v>
      </c>
      <c r="Q244" t="n">
        <v>8.601961853771472</v>
      </c>
      <c r="R244" t="n">
        <v>6.442359978325606</v>
      </c>
      <c r="S244" t="n">
        <v>4.823135389732347</v>
      </c>
      <c r="T244" t="n">
        <v>3.608984174335615</v>
      </c>
      <c r="U244" t="n">
        <v>2.698476359551336</v>
      </c>
      <c r="V244" t="n">
        <v>2.015575195127201</v>
      </c>
      <c r="W244" t="n">
        <v>1.503279665583019</v>
      </c>
      <c r="X244" t="n">
        <v>1.118858661500231</v>
      </c>
      <c r="Y244" t="n">
        <v>0.8302783217929938</v>
      </c>
      <c r="Z244" t="n">
        <v>0.6135238245258023</v>
      </c>
      <c r="AA244" t="n">
        <v>0.4505916919973765</v>
      </c>
      <c r="AB244" t="n">
        <v>0.3279847399998714</v>
      </c>
      <c r="AC244" t="n">
        <v>0.2355838291189919</v>
      </c>
      <c r="AD244" t="n">
        <v>0.165802081776062</v>
      </c>
      <c r="AE244" t="n">
        <v>0.1129508467461154</v>
      </c>
      <c r="AF244" t="n">
        <v>0.07276439790717781</v>
      </c>
      <c r="AG244" t="n">
        <v>0.04204362636690882</v>
      </c>
      <c r="AH244" t="n">
        <v>0.01838893462713286</v>
      </c>
      <c r="AI244" t="n">
        <v>0</v>
      </c>
    </row>
    <row r="245">
      <c r="A245" t="inlineStr">
        <is>
          <t>Dominica_2022_January</t>
        </is>
      </c>
      <c r="B245" s="2" t="n"/>
      <c r="C245" s="3" t="inlineStr">
        <is>
          <t>SM.22.7, Sup.2</t>
        </is>
      </c>
      <c r="D245" s="4" t="inlineStr">
        <is>
          <t>Dominica</t>
        </is>
      </c>
      <c r="E245" s="4" t="inlineStr">
        <is>
          <t>DMA</t>
        </is>
      </c>
      <c r="F245" s="10" t="n">
        <v>44562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Export Credit Agencies</t>
        </is>
      </c>
      <c r="N245" t="n">
        <v>15.22745223327871</v>
      </c>
      <c r="O245" t="n">
        <v>14.32097343753523</v>
      </c>
      <c r="P245" t="n">
        <v>11.4824319242268</v>
      </c>
      <c r="Q245" t="n">
        <v>8.601961853771472</v>
      </c>
      <c r="R245" t="n">
        <v>6.442359978325606</v>
      </c>
      <c r="S245" t="n">
        <v>4.823135389732347</v>
      </c>
      <c r="T245" t="n">
        <v>3.608984174335615</v>
      </c>
      <c r="U245" t="n">
        <v>2.698476359551336</v>
      </c>
      <c r="V245" t="n">
        <v>2.015575195127201</v>
      </c>
      <c r="W245" t="n">
        <v>1.503279665583019</v>
      </c>
      <c r="X245" t="n">
        <v>1.118858661500231</v>
      </c>
      <c r="Y245" t="n">
        <v>0.8302783217929938</v>
      </c>
      <c r="Z245" t="n">
        <v>0.6135238245258023</v>
      </c>
      <c r="AA245" t="n">
        <v>0.4505916919973765</v>
      </c>
      <c r="AB245" t="n">
        <v>0.3279847399998714</v>
      </c>
      <c r="AC245" t="n">
        <v>0.2355838291189919</v>
      </c>
      <c r="AD245" t="n">
        <v>0.165802081776062</v>
      </c>
      <c r="AE245" t="n">
        <v>0.1129508467461154</v>
      </c>
      <c r="AF245" t="n">
        <v>0.07276439790717781</v>
      </c>
      <c r="AG245" t="n">
        <v>0.04204362636690882</v>
      </c>
      <c r="AH245" t="n">
        <v>0.01838893462713286</v>
      </c>
      <c r="AI245" t="n">
        <v>0</v>
      </c>
    </row>
    <row r="246">
      <c r="A246" t="inlineStr">
        <is>
          <t>Dominica_2022_January</t>
        </is>
      </c>
      <c r="B246" s="2" t="n"/>
      <c r="C246" s="3" t="inlineStr">
        <is>
          <t>SM.22.7, Sup.2</t>
        </is>
      </c>
      <c r="D246" s="4" t="inlineStr">
        <is>
          <t>Dominica</t>
        </is>
      </c>
      <c r="E246" s="4" t="inlineStr">
        <is>
          <t>DMA</t>
        </is>
      </c>
      <c r="F246" s="10" t="n">
        <v>44562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Dominica_2022_January</t>
        </is>
      </c>
      <c r="B247" s="2" t="n"/>
      <c r="C247" s="3" t="inlineStr">
        <is>
          <t>SM.22.7, Sup.2</t>
        </is>
      </c>
      <c r="D247" s="4" t="inlineStr">
        <is>
          <t>Dominica</t>
        </is>
      </c>
      <c r="E247" s="4" t="inlineStr">
        <is>
          <t>DMA</t>
        </is>
      </c>
      <c r="F247" s="10" t="n">
        <v>44562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Dominica_2022_January</t>
        </is>
      </c>
      <c r="B248" s="2" t="n"/>
      <c r="C248" s="3" t="inlineStr">
        <is>
          <t>SM.22.7, Sup.2</t>
        </is>
      </c>
      <c r="D248" s="4" t="inlineStr">
        <is>
          <t>Dominica</t>
        </is>
      </c>
      <c r="E248" s="4" t="inlineStr">
        <is>
          <t>DMA</t>
        </is>
      </c>
      <c r="F248" s="10" t="n">
        <v>44562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Dominica_2022_January</t>
        </is>
      </c>
      <c r="B249" s="2" t="n"/>
      <c r="C249" s="3" t="inlineStr">
        <is>
          <t>SM.22.7, Sup.2</t>
        </is>
      </c>
      <c r="D249" s="4" t="inlineStr">
        <is>
          <t>Dominica</t>
        </is>
      </c>
      <c r="E249" s="4" t="inlineStr">
        <is>
          <t>DMA</t>
        </is>
      </c>
      <c r="F249" s="10" t="n">
        <v>44562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Dominica_2022_January</t>
        </is>
      </c>
      <c r="B250" s="2" t="n"/>
      <c r="C250" s="3" t="inlineStr">
        <is>
          <t>SM.22.7, Sup.2</t>
        </is>
      </c>
      <c r="D250" s="4" t="inlineStr">
        <is>
          <t>Dominica</t>
        </is>
      </c>
      <c r="E250" s="4" t="inlineStr">
        <is>
          <t>DMA</t>
        </is>
      </c>
      <c r="F250" s="10" t="n">
        <v>44562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32.47660403540442</v>
      </c>
      <c r="O250" t="n">
        <v>31.17505105799334</v>
      </c>
      <c r="P250" t="n">
        <v>27.32455214490359</v>
      </c>
      <c r="Q250" t="n">
        <v>23.21747404302955</v>
      </c>
      <c r="R250" t="n">
        <v>20.05252330850237</v>
      </c>
      <c r="S250" t="n">
        <v>17.20648503589438</v>
      </c>
      <c r="T250" t="n">
        <v>14.60260664132051</v>
      </c>
      <c r="U250" t="n">
        <v>12.28152200125707</v>
      </c>
      <c r="V250" t="n">
        <v>10.20413403028915</v>
      </c>
      <c r="W250" t="n">
        <v>8.338044460957974</v>
      </c>
      <c r="X250" t="n">
        <v>6.615194861773331</v>
      </c>
      <c r="Y250" t="n">
        <v>5.017100109653528</v>
      </c>
      <c r="Z250" t="n">
        <v>3.534442798054486</v>
      </c>
      <c r="AA250" t="n">
        <v>2.146187740468673</v>
      </c>
      <c r="AB250" t="n">
        <v>0.8331466995050127</v>
      </c>
      <c r="AC250" t="n">
        <v>-0.1832910639575989</v>
      </c>
      <c r="AD250" t="n">
        <v>-0.9573571342144125</v>
      </c>
      <c r="AE250" t="n">
        <v>-1.68636321738875</v>
      </c>
      <c r="AF250" t="n">
        <v>-2.378664063390763</v>
      </c>
      <c r="AG250" t="n">
        <v>-1.039673583856792</v>
      </c>
      <c r="AH250" t="n">
        <v>0.4204409027533934</v>
      </c>
      <c r="AI250" t="n">
        <v>0</v>
      </c>
    </row>
    <row r="251">
      <c r="A251" t="inlineStr">
        <is>
          <t>Dominica_2022_January</t>
        </is>
      </c>
      <c r="B251" s="2" t="n"/>
      <c r="C251" s="3" t="inlineStr">
        <is>
          <t>SM.22.7, Sup.2</t>
        </is>
      </c>
      <c r="D251" s="4" t="inlineStr">
        <is>
          <t>Dominica</t>
        </is>
      </c>
      <c r="E251" s="4" t="inlineStr">
        <is>
          <t>DMA</t>
        </is>
      </c>
      <c r="F251" s="10" t="n">
        <v>44562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NPC2</t>
        </is>
      </c>
      <c r="N251" t="n">
        <v>0.280578427463119</v>
      </c>
      <c r="O251" t="n">
        <v>0.2244456080955342</v>
      </c>
      <c r="P251" t="n">
        <v>0.1838875181299406</v>
      </c>
      <c r="Q251" t="n">
        <v>0.1428505977401413</v>
      </c>
      <c r="R251" t="n">
        <v>0.1109258192841225</v>
      </c>
      <c r="S251" t="n">
        <v>0.08608757523322094</v>
      </c>
      <c r="T251" t="n">
        <v>0.06676043170063836</v>
      </c>
      <c r="U251" t="n">
        <v>0.05171907556388981</v>
      </c>
      <c r="V251" t="n">
        <v>0.0400104984509378</v>
      </c>
      <c r="W251" t="n">
        <v>0.0308934754079844</v>
      </c>
      <c r="X251" t="n">
        <v>0.02379149447481777</v>
      </c>
      <c r="Y251" t="n">
        <v>0.01825614767857016</v>
      </c>
      <c r="Z251" t="n">
        <v>0.01393865837546267</v>
      </c>
      <c r="AA251" t="n">
        <v>0.01056773662067428</v>
      </c>
      <c r="AB251" t="n">
        <v>0.007932356148367188</v>
      </c>
      <c r="AC251" t="n">
        <v>0.005868359122432888</v>
      </c>
      <c r="AD251" t="n">
        <v>0.004248037925955763</v>
      </c>
      <c r="AE251" t="n">
        <v>0.002972032333788841</v>
      </c>
      <c r="AF251" t="n">
        <v>0.001963027466486203</v>
      </c>
      <c r="AG251" t="n">
        <v>0.001160852294717167</v>
      </c>
      <c r="AH251" t="n">
        <v>0.0005186674150420086</v>
      </c>
      <c r="AI251" t="n">
        <v>0</v>
      </c>
    </row>
    <row r="252">
      <c r="A252" t="inlineStr">
        <is>
          <t>Dominica_2022_January</t>
        </is>
      </c>
      <c r="B252" s="2" t="n"/>
      <c r="C252" s="3" t="inlineStr">
        <is>
          <t>SM.22.7, Sup.2</t>
        </is>
      </c>
      <c r="D252" s="4" t="inlineStr">
        <is>
          <t>Dominica</t>
        </is>
      </c>
      <c r="E252" s="4" t="inlineStr">
        <is>
          <t>DMA</t>
        </is>
      </c>
      <c r="F252" s="10" t="n">
        <v>44562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NPC2</t>
        </is>
      </c>
      <c r="N252" t="n">
        <v>0.8964918062604234</v>
      </c>
      <c r="O252" t="n">
        <v>0.5958462484252964</v>
      </c>
      <c r="P252" t="n">
        <v>0.2926369312169314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Dominica_2022_January</t>
        </is>
      </c>
      <c r="B253" s="2" t="n"/>
      <c r="C253" s="3" t="inlineStr">
        <is>
          <t>SM.22.7, Sup.2</t>
        </is>
      </c>
      <c r="D253" s="4" t="inlineStr">
        <is>
          <t>Dominica</t>
        </is>
      </c>
      <c r="E253" s="4" t="inlineStr">
        <is>
          <t>DMA</t>
        </is>
      </c>
      <c r="F253" s="10" t="n">
        <v>44562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NPC3</t>
        </is>
      </c>
      <c r="N253" t="n">
        <v>23.98587251558434</v>
      </c>
      <c r="O253" t="n">
        <v>23.44286191914133</v>
      </c>
      <c r="P253" t="n">
        <v>20.60921916324655</v>
      </c>
      <c r="Q253" t="n">
        <v>17.52814219548294</v>
      </c>
      <c r="R253" t="n">
        <v>14.89133039486906</v>
      </c>
      <c r="S253" t="n">
        <v>12.63392847003626</v>
      </c>
      <c r="T253" t="n">
        <v>10.70050875016738</v>
      </c>
      <c r="U253" t="n">
        <v>9.043698746877261</v>
      </c>
      <c r="V253" t="n">
        <v>7.623008410344665</v>
      </c>
      <c r="W253" t="n">
        <v>6.403828018517721</v>
      </c>
      <c r="X253" t="n">
        <v>5.356571867190257</v>
      </c>
      <c r="Y253" t="n">
        <v>4.45594654230982</v>
      </c>
      <c r="Z253" t="n">
        <v>3.680325643585127</v>
      </c>
      <c r="AA253" t="n">
        <v>3.011215466835302</v>
      </c>
      <c r="AB253" t="n">
        <v>2.432798406952518</v>
      </c>
      <c r="AC253" t="n">
        <v>1.931542769706223</v>
      </c>
      <c r="AD253" t="n">
        <v>1.495869326642335</v>
      </c>
      <c r="AE253" t="n">
        <v>1.115866353819006</v>
      </c>
      <c r="AF253" t="n">
        <v>0.7830460969292896</v>
      </c>
      <c r="AG253" t="n">
        <v>0.4901366322755181</v>
      </c>
      <c r="AH253" t="n">
        <v>0.23090397053112</v>
      </c>
      <c r="AI253" t="n">
        <v>0</v>
      </c>
    </row>
    <row r="254">
      <c r="A254" t="inlineStr">
        <is>
          <t>Dominica_2022_January</t>
        </is>
      </c>
      <c r="B254" s="2" t="n"/>
      <c r="C254" s="3" t="inlineStr">
        <is>
          <t>SM.22.7, Sup.2</t>
        </is>
      </c>
      <c r="D254" s="4" t="inlineStr">
        <is>
          <t>Dominica</t>
        </is>
      </c>
      <c r="E254" s="4" t="inlineStr">
        <is>
          <t>DMA</t>
        </is>
      </c>
      <c r="F254" s="10" t="n">
        <v>44562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NPC4</t>
        </is>
      </c>
      <c r="N254" t="n">
        <v>0.06088916319804985</v>
      </c>
      <c r="O254" t="n">
        <v>0.06041073847295184</v>
      </c>
      <c r="P254" t="n">
        <v>0.05977514274050712</v>
      </c>
      <c r="Q254" t="n">
        <v>0.0588418574249939</v>
      </c>
      <c r="R254" t="n">
        <v>0.05755767327508425</v>
      </c>
      <c r="S254" t="n">
        <v>0.05587660446314095</v>
      </c>
      <c r="T254" t="n">
        <v>0.05379164060460182</v>
      </c>
      <c r="U254" t="n">
        <v>0.05129097781801739</v>
      </c>
      <c r="V254" t="n">
        <v>0.04833984383332531</v>
      </c>
      <c r="W254" t="n">
        <v>0.04489916911048756</v>
      </c>
      <c r="X254" t="n">
        <v>0.04092460801808504</v>
      </c>
      <c r="Y254" t="n">
        <v>0.03637001909952084</v>
      </c>
      <c r="Z254" t="n">
        <v>0.03118665330591545</v>
      </c>
      <c r="AA254" t="n">
        <v>0.02571083567121156</v>
      </c>
      <c r="AB254" t="n">
        <v>0.02039284929220216</v>
      </c>
      <c r="AC254" t="n">
        <v>0.01507561495461009</v>
      </c>
      <c r="AD254" t="n">
        <v>0.009814137313711934</v>
      </c>
      <c r="AE254" t="n">
        <v>0.004658753543695649</v>
      </c>
      <c r="AF254" t="n">
        <v>0.0005081563569914628</v>
      </c>
      <c r="AG254" t="n">
        <v>0</v>
      </c>
      <c r="AH254" t="n">
        <v>0</v>
      </c>
      <c r="AI254" t="n">
        <v>0</v>
      </c>
    </row>
    <row r="255">
      <c r="A255" t="inlineStr">
        <is>
          <t>Dominica_2022_January</t>
        </is>
      </c>
      <c r="B255" s="2" t="n"/>
      <c r="C255" s="3" t="inlineStr">
        <is>
          <t>SM.22.7, Sup.2</t>
        </is>
      </c>
      <c r="D255" s="4" t="inlineStr">
        <is>
          <t>Dominica</t>
        </is>
      </c>
      <c r="E255" s="4" t="inlineStr">
        <is>
          <t>DMA</t>
        </is>
      </c>
      <c r="F255" s="10" t="n">
        <v>44562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7.252772122898489</v>
      </c>
      <c r="O255" t="n">
        <v>6.851486543858227</v>
      </c>
      <c r="P255" t="n">
        <v>6.179033389569661</v>
      </c>
      <c r="Q255" t="n">
        <v>5.487639392381475</v>
      </c>
      <c r="R255" t="n">
        <v>4.992709421074101</v>
      </c>
      <c r="S255" t="n">
        <v>4.43059238616176</v>
      </c>
      <c r="T255" t="n">
        <v>3.781545818847882</v>
      </c>
      <c r="U255" t="n">
        <v>3.134813200997899</v>
      </c>
      <c r="V255" t="n">
        <v>2.492775277660221</v>
      </c>
      <c r="W255" t="n">
        <v>1.858423797921781</v>
      </c>
      <c r="X255" t="n">
        <v>1.193906892090171</v>
      </c>
      <c r="Y255" t="n">
        <v>0.5065274005656174</v>
      </c>
      <c r="Z255" t="n">
        <v>-0.1910081572120194</v>
      </c>
      <c r="AA255" t="n">
        <v>-0.9013062986585144</v>
      </c>
      <c r="AB255" t="n">
        <v>-1.627976912888074</v>
      </c>
      <c r="AC255" t="n">
        <v>-2.135777807740865</v>
      </c>
      <c r="AD255" t="n">
        <v>-2.467288636096415</v>
      </c>
      <c r="AE255" t="n">
        <v>-2.809860357085241</v>
      </c>
      <c r="AF255" t="n">
        <v>-3.164181344143531</v>
      </c>
      <c r="AG255" t="n">
        <v>-1.530971068427027</v>
      </c>
      <c r="AH255" t="n">
        <v>0.1890182648072314</v>
      </c>
      <c r="AI255" t="n">
        <v>0</v>
      </c>
    </row>
    <row r="256">
      <c r="A256" t="inlineStr">
        <is>
          <t>Dominica_2022_January</t>
        </is>
      </c>
      <c r="B256" s="2" t="n"/>
      <c r="C256" s="3" t="inlineStr">
        <is>
          <t>SM.22.7, Sup.2</t>
        </is>
      </c>
      <c r="D256" s="4" t="inlineStr">
        <is>
          <t>Dominica</t>
        </is>
      </c>
      <c r="E256" s="4" t="inlineStr">
        <is>
          <t>DMA</t>
        </is>
      </c>
      <c r="F256" s="10" t="n">
        <v>44562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61.42994905272813</v>
      </c>
      <c r="O256" t="n">
        <v>58.05925593057554</v>
      </c>
      <c r="P256" t="n">
        <v>53.11751601855121</v>
      </c>
      <c r="Q256" t="n">
        <v>49.19535183233271</v>
      </c>
      <c r="R256" t="n">
        <v>44.29576995799668</v>
      </c>
      <c r="S256" t="n">
        <v>40.15931533375014</v>
      </c>
      <c r="T256" t="n">
        <v>36.03740350530686</v>
      </c>
      <c r="U256" t="n">
        <v>31.80147913983206</v>
      </c>
      <c r="V256" t="n">
        <v>27.44900769768998</v>
      </c>
      <c r="W256" t="n">
        <v>22.9588055616681</v>
      </c>
      <c r="X256" t="n">
        <v>18.5177840028109</v>
      </c>
      <c r="Y256" t="n">
        <v>15.49900699431092</v>
      </c>
      <c r="Z256" t="n">
        <v>13.70769669913818</v>
      </c>
      <c r="AA256" t="n">
        <v>7.135703219910379</v>
      </c>
      <c r="AB256" t="n">
        <v>0.6949009731115293</v>
      </c>
      <c r="AC256" t="n">
        <v>0.5601849806145688</v>
      </c>
      <c r="AD256" t="n">
        <v>0.4402134187578972</v>
      </c>
      <c r="AE256" t="n">
        <v>0.3330007576428451</v>
      </c>
      <c r="AF256" t="n">
        <v>0.2368073163824634</v>
      </c>
      <c r="AG256" t="n">
        <v>0.1501078087693493</v>
      </c>
      <c r="AH256" t="n">
        <v>0.07156386140091332</v>
      </c>
      <c r="AI256" t="n">
        <v>0</v>
      </c>
      <c r="BI256" t="inlineStr">
        <is>
          <t>PV_OLD_COM</t>
        </is>
      </c>
    </row>
    <row r="257">
      <c r="A257" t="inlineStr">
        <is>
          <t>Dominica_2022_January</t>
        </is>
      </c>
      <c r="B257" s="2" t="n"/>
      <c r="C257" s="3" t="inlineStr">
        <is>
          <t>SM.22.7, Sup.2</t>
        </is>
      </c>
      <c r="D257" s="4" t="inlineStr">
        <is>
          <t>Dominica</t>
        </is>
      </c>
      <c r="E257" s="4" t="inlineStr">
        <is>
          <t>DMA</t>
        </is>
      </c>
      <c r="F257" s="10" t="n">
        <v>44562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Dominica_2022_January</t>
        </is>
      </c>
      <c r="B258" s="2" t="n"/>
      <c r="C258" s="3" t="inlineStr">
        <is>
          <t>SM.22.7, Sup.2</t>
        </is>
      </c>
      <c r="D258" s="4" t="inlineStr">
        <is>
          <t>Dominica</t>
        </is>
      </c>
      <c r="E258" s="4" t="inlineStr">
        <is>
          <t>DMA</t>
        </is>
      </c>
      <c r="F258" s="10" t="n">
        <v>44562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Commecial Bank</t>
        </is>
      </c>
      <c r="N258" t="n">
        <v>61.42994905272813</v>
      </c>
      <c r="O258" t="n">
        <v>58.05925593057554</v>
      </c>
      <c r="P258" t="n">
        <v>53.11751601855121</v>
      </c>
      <c r="Q258" t="n">
        <v>49.19535183233271</v>
      </c>
      <c r="R258" t="n">
        <v>44.29576995799668</v>
      </c>
      <c r="S258" t="n">
        <v>40.15931533375014</v>
      </c>
      <c r="T258" t="n">
        <v>36.03740350530686</v>
      </c>
      <c r="U258" t="n">
        <v>31.80147913983206</v>
      </c>
      <c r="V258" t="n">
        <v>27.44900769768998</v>
      </c>
      <c r="W258" t="n">
        <v>22.9588055616681</v>
      </c>
      <c r="X258" t="n">
        <v>18.5177840028109</v>
      </c>
      <c r="Y258" t="n">
        <v>15.49900699431092</v>
      </c>
      <c r="Z258" t="n">
        <v>13.70769669913818</v>
      </c>
      <c r="AA258" t="n">
        <v>7.135703219910379</v>
      </c>
      <c r="AB258" t="n">
        <v>0.6949009731115293</v>
      </c>
      <c r="AC258" t="n">
        <v>0.5601849806145688</v>
      </c>
      <c r="AD258" t="n">
        <v>0.4402134187578972</v>
      </c>
      <c r="AE258" t="n">
        <v>0.3330007576428451</v>
      </c>
      <c r="AF258" t="n">
        <v>0.2368073163824634</v>
      </c>
      <c r="AG258" t="n">
        <v>0.1501078087693493</v>
      </c>
      <c r="AH258" t="n">
        <v>0.07156386140091332</v>
      </c>
      <c r="AI258" t="n">
        <v>0</v>
      </c>
    </row>
    <row r="259">
      <c r="A259" t="inlineStr">
        <is>
          <t>Dominica_2022_January</t>
        </is>
      </c>
      <c r="B259" s="2" t="n"/>
      <c r="C259" s="3" t="inlineStr">
        <is>
          <t>SM.22.7, Sup.2</t>
        </is>
      </c>
      <c r="D259" s="4" t="inlineStr">
        <is>
          <t>Dominica</t>
        </is>
      </c>
      <c r="E259" s="4" t="inlineStr">
        <is>
          <t>DMA</t>
        </is>
      </c>
      <c r="F259" s="10" t="n">
        <v>44562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Dominica_2022_January</t>
        </is>
      </c>
      <c r="B260" s="2" t="n"/>
      <c r="C260" s="3" t="inlineStr">
        <is>
          <t>SM.22.7, Sup.2</t>
        </is>
      </c>
      <c r="D260" s="4" t="inlineStr">
        <is>
          <t>Dominica</t>
        </is>
      </c>
      <c r="E260" s="4" t="inlineStr">
        <is>
          <t>DMA</t>
        </is>
      </c>
      <c r="F260" s="10" t="n">
        <v>44562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Dominica_2022_January</t>
        </is>
      </c>
      <c r="B261" s="2" t="n"/>
      <c r="C261" s="3" t="inlineStr">
        <is>
          <t>SM.22.7, Sup.2</t>
        </is>
      </c>
      <c r="D261" s="4" t="inlineStr">
        <is>
          <t>Dominica</t>
        </is>
      </c>
      <c r="E261" s="4" t="inlineStr">
        <is>
          <t>DMA</t>
        </is>
      </c>
      <c r="F261" s="10" t="n">
        <v>44562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Dominica_2022_January</t>
        </is>
      </c>
      <c r="B262" s="2" t="n"/>
      <c r="C262" s="3" t="inlineStr">
        <is>
          <t>SM.22.7, Sup.2</t>
        </is>
      </c>
      <c r="D262" s="4" t="inlineStr">
        <is>
          <t>Dominica</t>
        </is>
      </c>
      <c r="E262" s="4" t="inlineStr">
        <is>
          <t>DMA</t>
        </is>
      </c>
      <c r="F262" s="10" t="n">
        <v>44562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Dominica_2022_January</t>
        </is>
      </c>
      <c r="B263" s="2" t="n"/>
      <c r="C263" s="3" t="inlineStr">
        <is>
          <t>SM.22.7, Sup.2</t>
        </is>
      </c>
      <c r="D263" s="4" t="inlineStr">
        <is>
          <t>Dominica</t>
        </is>
      </c>
      <c r="E263" s="4" t="inlineStr">
        <is>
          <t>DMA</t>
        </is>
      </c>
      <c r="F263" s="10" t="n">
        <v>44562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Dominica_2022_January</t>
        </is>
      </c>
      <c r="B264" s="2" t="n"/>
      <c r="C264" s="3" t="inlineStr">
        <is>
          <t>SM.22.7, Sup.2</t>
        </is>
      </c>
      <c r="D264" s="4" t="inlineStr">
        <is>
          <t>Dominica</t>
        </is>
      </c>
      <c r="E264" s="4" t="inlineStr">
        <is>
          <t>DMA</t>
        </is>
      </c>
      <c r="F264" s="10" t="n">
        <v>44562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Dominica_2022_January</t>
        </is>
      </c>
      <c r="B265" s="2" t="n"/>
      <c r="C265" s="3" t="inlineStr">
        <is>
          <t>SM.22.7, Sup.2</t>
        </is>
      </c>
      <c r="D265" s="4" t="inlineStr">
        <is>
          <t>Dominica</t>
        </is>
      </c>
      <c r="E265" s="4" t="inlineStr">
        <is>
          <t>DMA</t>
        </is>
      </c>
      <c r="F265" s="10" t="n">
        <v>44562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Dominica_2022_January</t>
        </is>
      </c>
      <c r="B266" s="2" t="n"/>
      <c r="C266" s="3" t="inlineStr">
        <is>
          <t>SM.22.7, Sup.2</t>
        </is>
      </c>
      <c r="D266" s="4" t="inlineStr">
        <is>
          <t>Dominica</t>
        </is>
      </c>
      <c r="E266" s="4" t="inlineStr">
        <is>
          <t>DMA</t>
        </is>
      </c>
      <c r="F266" s="10" t="n">
        <v>44562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Dominica_2022_January</t>
        </is>
      </c>
      <c r="B267" s="2" t="n"/>
      <c r="C267" s="3" t="inlineStr">
        <is>
          <t>SM.22.7, Sup.2</t>
        </is>
      </c>
      <c r="D267" s="4" t="inlineStr">
        <is>
          <t>Dominica</t>
        </is>
      </c>
      <c r="E267" s="4" t="inlineStr">
        <is>
          <t>DMA</t>
        </is>
      </c>
      <c r="F267" s="10" t="n">
        <v>44562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17.89688982301665</v>
      </c>
      <c r="P267" t="n">
        <v>54.80962380295765</v>
      </c>
      <c r="Q267" t="n">
        <v>85.25178875032977</v>
      </c>
      <c r="R267" t="n">
        <v>113.1456010744041</v>
      </c>
      <c r="S267" t="n">
        <v>140.7084207375611</v>
      </c>
      <c r="T267" t="n">
        <v>170.1862569367245</v>
      </c>
      <c r="U267" t="n">
        <v>194.8987763644065</v>
      </c>
      <c r="V267" t="n">
        <v>212.6945224563555</v>
      </c>
      <c r="W267" t="n">
        <v>225.1749740595093</v>
      </c>
      <c r="X267" t="n">
        <v>236.2233864093149</v>
      </c>
      <c r="Y267" t="n">
        <v>247.1899091834071</v>
      </c>
      <c r="Z267" t="n">
        <v>256.5402314197192</v>
      </c>
      <c r="AA267" t="n">
        <v>263.9404935476194</v>
      </c>
      <c r="AB267" t="n">
        <v>269.8210665696373</v>
      </c>
      <c r="AC267" t="n">
        <v>274.6958002400875</v>
      </c>
      <c r="AD267" t="n">
        <v>278.662683463605</v>
      </c>
      <c r="AE267" t="n">
        <v>281.7219817230178</v>
      </c>
      <c r="AF267" t="n">
        <v>284.3549289732495</v>
      </c>
      <c r="AG267" t="n">
        <v>286.4937934609898</v>
      </c>
      <c r="AH267" t="n">
        <v>288.3223664182537</v>
      </c>
      <c r="AI267" t="n">
        <v>289.9824294134648</v>
      </c>
      <c r="BI267" t="inlineStr">
        <is>
          <t>PV_NEW_MLT</t>
        </is>
      </c>
    </row>
    <row r="268">
      <c r="A268" t="inlineStr">
        <is>
          <t>Dominica_2022_January</t>
        </is>
      </c>
      <c r="B268" s="2" t="n"/>
      <c r="C268" s="3" t="inlineStr">
        <is>
          <t>SM.22.7, Sup.2</t>
        </is>
      </c>
      <c r="D268" s="4" t="inlineStr">
        <is>
          <t>Dominica</t>
        </is>
      </c>
      <c r="E268" s="4" t="inlineStr">
        <is>
          <t>DMA</t>
        </is>
      </c>
      <c r="F268" s="10" t="n">
        <v>44562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9.988279006963237</v>
      </c>
      <c r="P268" t="n">
        <v>40.69418411506742</v>
      </c>
      <c r="Q268" t="n">
        <v>64.50793938264627</v>
      </c>
      <c r="R268" t="n">
        <v>85.74731053288394</v>
      </c>
      <c r="S268" t="n">
        <v>106.6986024767738</v>
      </c>
      <c r="T268" t="n">
        <v>129.1321792459367</v>
      </c>
      <c r="U268" t="n">
        <v>146.8722864630243</v>
      </c>
      <c r="V268" t="n">
        <v>157.6558387454011</v>
      </c>
      <c r="W268" t="n">
        <v>163.1505845715981</v>
      </c>
      <c r="X268" t="n">
        <v>167.1742889445415</v>
      </c>
      <c r="Y268" t="n">
        <v>170.8414653482256</v>
      </c>
      <c r="Z268" t="n">
        <v>172.9851927883439</v>
      </c>
      <c r="AA268" t="n">
        <v>173.2434723220889</v>
      </c>
      <c r="AB268" t="n">
        <v>171.9758576063983</v>
      </c>
      <c r="AC268" t="n">
        <v>169.5088161656722</v>
      </c>
      <c r="AD268" t="n">
        <v>166.0232031958409</v>
      </c>
      <c r="AE268" t="n">
        <v>161.434599760982</v>
      </c>
      <c r="AF268" t="n">
        <v>155.9805675226599</v>
      </c>
      <c r="AG268" t="n">
        <v>149.9645207305042</v>
      </c>
      <c r="AH268" t="n">
        <v>143.5109269590088</v>
      </c>
      <c r="AI268" t="n">
        <v>136.7714573061199</v>
      </c>
      <c r="BI268" t="inlineStr">
        <is>
          <t>PV_NEW_ML</t>
        </is>
      </c>
    </row>
    <row r="269">
      <c r="A269" t="inlineStr">
        <is>
          <t>Dominica_2022_January</t>
        </is>
      </c>
      <c r="B269" s="2" t="n"/>
      <c r="C269" s="3" t="inlineStr">
        <is>
          <t>SM.22.7, Sup.2</t>
        </is>
      </c>
      <c r="D269" s="4" t="inlineStr">
        <is>
          <t>Dominica</t>
        </is>
      </c>
      <c r="E269" s="4" t="inlineStr">
        <is>
          <t>DMA</t>
        </is>
      </c>
      <c r="F269" s="10" t="n">
        <v>44562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Dominica_2022_January</t>
        </is>
      </c>
      <c r="B270" s="2" t="n"/>
      <c r="C270" s="3" t="inlineStr">
        <is>
          <t>SM.22.7, Sup.2</t>
        </is>
      </c>
      <c r="D270" s="4" t="inlineStr">
        <is>
          <t>Dominica</t>
        </is>
      </c>
      <c r="E270" s="4" t="inlineStr">
        <is>
          <t>DMA</t>
        </is>
      </c>
      <c r="F270" s="10" t="n">
        <v>44562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5.854227996247337</v>
      </c>
      <c r="P270" t="n">
        <v>24.61185623748458</v>
      </c>
      <c r="Q270" t="n">
        <v>39.03281437393593</v>
      </c>
      <c r="R270" t="n">
        <v>51.87863315090645</v>
      </c>
      <c r="S270" t="n">
        <v>64.53734915905474</v>
      </c>
      <c r="T270" t="n">
        <v>78.08280121802744</v>
      </c>
      <c r="U270" t="n">
        <v>88.98001723545676</v>
      </c>
      <c r="V270" t="n">
        <v>96.26110067926352</v>
      </c>
      <c r="W270" t="n">
        <v>100.8137809753909</v>
      </c>
      <c r="X270" t="n">
        <v>104.9083447010887</v>
      </c>
      <c r="Y270" t="n">
        <v>109.2191104909712</v>
      </c>
      <c r="Z270" t="n">
        <v>112.874957694509</v>
      </c>
      <c r="AA270" t="n">
        <v>115.1368297182711</v>
      </c>
      <c r="AB270" t="n">
        <v>116.2442033483154</v>
      </c>
      <c r="AC270" t="n">
        <v>116.3538895824036</v>
      </c>
      <c r="AD270" t="n">
        <v>115.5630335146842</v>
      </c>
      <c r="AE270" t="n">
        <v>113.7940212620573</v>
      </c>
      <c r="AF270" t="n">
        <v>111.2705993996199</v>
      </c>
      <c r="AG270" t="n">
        <v>108.3021705453044</v>
      </c>
      <c r="AH270" t="n">
        <v>105.0768989227272</v>
      </c>
      <c r="AI270" t="n">
        <v>101.6879315739973</v>
      </c>
    </row>
    <row r="271">
      <c r="A271" t="inlineStr">
        <is>
          <t>Dominica_2022_January</t>
        </is>
      </c>
      <c r="B271" s="2" t="n"/>
      <c r="C271" s="3" t="inlineStr">
        <is>
          <t>SM.22.7, Sup.2</t>
        </is>
      </c>
      <c r="D271" s="4" t="inlineStr">
        <is>
          <t>Dominica</t>
        </is>
      </c>
      <c r="E271" s="4" t="inlineStr">
        <is>
          <t>DMA</t>
        </is>
      </c>
      <c r="F271" s="10" t="n">
        <v>44562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Dominica_2022_January</t>
        </is>
      </c>
      <c r="B272" s="2" t="n"/>
      <c r="C272" s="3" t="inlineStr">
        <is>
          <t>SM.22.7, Sup.2</t>
        </is>
      </c>
      <c r="D272" s="4" t="inlineStr">
        <is>
          <t>Dominica</t>
        </is>
      </c>
      <c r="E272" s="4" t="inlineStr">
        <is>
          <t>DMA</t>
        </is>
      </c>
      <c r="F272" s="10" t="n">
        <v>44562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CDB</t>
        </is>
      </c>
      <c r="M272" t="n">
        <v>109</v>
      </c>
      <c r="O272" t="n">
        <v>4.134051010715901</v>
      </c>
      <c r="P272" t="n">
        <v>16.08232787758284</v>
      </c>
      <c r="Q272" t="n">
        <v>25.47512500871034</v>
      </c>
      <c r="R272" t="n">
        <v>33.86867738197751</v>
      </c>
      <c r="S272" t="n">
        <v>42.16125331771908</v>
      </c>
      <c r="T272" t="n">
        <v>51.04937802790923</v>
      </c>
      <c r="U272" t="n">
        <v>57.89226922756751</v>
      </c>
      <c r="V272" t="n">
        <v>61.39473806613754</v>
      </c>
      <c r="W272" t="n">
        <v>62.33680359620721</v>
      </c>
      <c r="X272" t="n">
        <v>62.26594424345279</v>
      </c>
      <c r="Y272" t="n">
        <v>61.62235485725436</v>
      </c>
      <c r="Z272" t="n">
        <v>60.11023509383494</v>
      </c>
      <c r="AA272" t="n">
        <v>58.10664260381782</v>
      </c>
      <c r="AB272" t="n">
        <v>55.73165425808283</v>
      </c>
      <c r="AC272" t="n">
        <v>53.15492658326855</v>
      </c>
      <c r="AD272" t="n">
        <v>50.46016968115671</v>
      </c>
      <c r="AE272" t="n">
        <v>47.64057849892472</v>
      </c>
      <c r="AF272" t="n">
        <v>44.70996812303998</v>
      </c>
      <c r="AG272" t="n">
        <v>41.66235018519986</v>
      </c>
      <c r="AH272" t="n">
        <v>38.43402803628159</v>
      </c>
      <c r="AI272" t="n">
        <v>35.08352573212257</v>
      </c>
    </row>
    <row r="273">
      <c r="A273" t="inlineStr">
        <is>
          <t>Dominica_2022_January</t>
        </is>
      </c>
      <c r="B273" s="2" t="n"/>
      <c r="C273" s="3" t="inlineStr">
        <is>
          <t>SM.22.7, Sup.2</t>
        </is>
      </c>
      <c r="D273" s="4" t="inlineStr">
        <is>
          <t>Dominica</t>
        </is>
      </c>
      <c r="E273" s="4" t="inlineStr">
        <is>
          <t>DMA</t>
        </is>
      </c>
      <c r="F273" s="10" t="n">
        <v>44562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MULTIRES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Dominica_2022_January</t>
        </is>
      </c>
      <c r="B274" s="2" t="n"/>
      <c r="C274" s="3" t="inlineStr">
        <is>
          <t>SM.22.7, Sup.2</t>
        </is>
      </c>
      <c r="D274" s="4" t="inlineStr">
        <is>
          <t>Dominica</t>
        </is>
      </c>
      <c r="E274" s="4" t="inlineStr">
        <is>
          <t>DMA</t>
        </is>
      </c>
      <c r="F274" s="10" t="n">
        <v>44562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Dominica_2022_January</t>
        </is>
      </c>
      <c r="B275" s="2" t="n"/>
      <c r="C275" s="3" t="inlineStr">
        <is>
          <t>SM.22.7, Sup.2</t>
        </is>
      </c>
      <c r="D275" s="4" t="inlineStr">
        <is>
          <t>Dominica</t>
        </is>
      </c>
      <c r="E275" s="4" t="inlineStr">
        <is>
          <t>DMA</t>
        </is>
      </c>
      <c r="F275" s="10" t="n">
        <v>44562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7.903401496520989</v>
      </c>
      <c r="P275" t="n">
        <v>14.10897812706061</v>
      </c>
      <c r="Q275" t="n">
        <v>20.73718982688005</v>
      </c>
      <c r="R275" t="n">
        <v>27.39142312174418</v>
      </c>
      <c r="S275" t="n">
        <v>33.95986495238651</v>
      </c>
      <c r="T275" t="n">
        <v>40.98843487378537</v>
      </c>
      <c r="U275" t="n">
        <v>47.95913501253024</v>
      </c>
      <c r="V275" t="n">
        <v>54.92469361852875</v>
      </c>
      <c r="W275" t="n">
        <v>61.90721983299099</v>
      </c>
      <c r="X275" t="n">
        <v>68.92858547838318</v>
      </c>
      <c r="Y275" t="n">
        <v>76.00297590668879</v>
      </c>
      <c r="Z275" t="n">
        <v>83.11459786342462</v>
      </c>
      <c r="AA275" t="n">
        <v>90.2377155788086</v>
      </c>
      <c r="AB275" t="n">
        <v>97.37784326636256</v>
      </c>
      <c r="AC275" t="n">
        <v>104.5340724718272</v>
      </c>
      <c r="AD275" t="n">
        <v>111.9077802032358</v>
      </c>
      <c r="AE275" t="n">
        <v>119.5165032580889</v>
      </c>
      <c r="AF275" t="n">
        <v>127.3813578397603</v>
      </c>
      <c r="AG275" t="n">
        <v>135.5300860285567</v>
      </c>
      <c r="AH275" t="n">
        <v>143.805502419213</v>
      </c>
      <c r="AI275" t="n">
        <v>152.2083331348032</v>
      </c>
    </row>
    <row r="276">
      <c r="A276" t="inlineStr">
        <is>
          <t>Dominica_2022_January</t>
        </is>
      </c>
      <c r="B276" s="2" t="n"/>
      <c r="C276" s="3" t="inlineStr">
        <is>
          <t>SM.22.7, Sup.2</t>
        </is>
      </c>
      <c r="D276" s="4" t="inlineStr">
        <is>
          <t>Dominica</t>
        </is>
      </c>
      <c r="E276" s="4" t="inlineStr">
        <is>
          <t>DMA</t>
        </is>
      </c>
      <c r="F276" s="10" t="n">
        <v>44562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7.903401496520989</v>
      </c>
      <c r="P276" t="n">
        <v>14.10897812706061</v>
      </c>
      <c r="Q276" t="n">
        <v>20.73718982688005</v>
      </c>
      <c r="R276" t="n">
        <v>27.39142312174418</v>
      </c>
      <c r="S276" t="n">
        <v>33.95986495238651</v>
      </c>
      <c r="T276" t="n">
        <v>40.98843487378537</v>
      </c>
      <c r="U276" t="n">
        <v>47.95913501253024</v>
      </c>
      <c r="V276" t="n">
        <v>54.92469361852875</v>
      </c>
      <c r="W276" t="n">
        <v>61.90721983299099</v>
      </c>
      <c r="X276" t="n">
        <v>68.92858547838318</v>
      </c>
      <c r="Y276" t="n">
        <v>76.00297590668879</v>
      </c>
      <c r="Z276" t="n">
        <v>83.11459786342462</v>
      </c>
      <c r="AA276" t="n">
        <v>90.2377155788086</v>
      </c>
      <c r="AB276" t="n">
        <v>97.37784326636256</v>
      </c>
      <c r="AC276" t="n">
        <v>104.5340724718272</v>
      </c>
      <c r="AD276" t="n">
        <v>111.9077802032358</v>
      </c>
      <c r="AE276" t="n">
        <v>119.5165032580889</v>
      </c>
      <c r="AF276" t="n">
        <v>127.3813578397603</v>
      </c>
      <c r="AG276" t="n">
        <v>135.5300860285567</v>
      </c>
      <c r="AH276" t="n">
        <v>143.805502419213</v>
      </c>
      <c r="AI276" t="n">
        <v>152.2083331348032</v>
      </c>
    </row>
    <row r="277">
      <c r="A277" t="inlineStr">
        <is>
          <t>Dominica_2022_January</t>
        </is>
      </c>
      <c r="B277" s="2" t="n"/>
      <c r="C277" s="3" t="inlineStr">
        <is>
          <t>SM.22.7, Sup.2</t>
        </is>
      </c>
      <c r="D277" s="4" t="inlineStr">
        <is>
          <t>Dominica</t>
        </is>
      </c>
      <c r="E277" s="4" t="inlineStr">
        <is>
          <t>DMA</t>
        </is>
      </c>
      <c r="F277" s="10" t="n">
        <v>44562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Dominica_2022_January</t>
        </is>
      </c>
      <c r="B278" s="2" t="n"/>
      <c r="C278" s="3" t="inlineStr">
        <is>
          <t>SM.22.7, Sup.2</t>
        </is>
      </c>
      <c r="D278" s="4" t="inlineStr">
        <is>
          <t>Dominica</t>
        </is>
      </c>
      <c r="E278" s="4" t="inlineStr">
        <is>
          <t>DMA</t>
        </is>
      </c>
      <c r="F278" s="10" t="n">
        <v>44562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Dominica_2022_January</t>
        </is>
      </c>
      <c r="B279" s="2" t="n"/>
      <c r="C279" s="3" t="inlineStr">
        <is>
          <t>SM.22.7, Sup.2</t>
        </is>
      </c>
      <c r="D279" s="4" t="inlineStr">
        <is>
          <t>Dominica</t>
        </is>
      </c>
      <c r="E279" s="4" t="inlineStr">
        <is>
          <t>DMA</t>
        </is>
      </c>
      <c r="F279" s="10" t="n">
        <v>44562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0.00520931953242423</v>
      </c>
      <c r="P279" t="n">
        <v>0.006461560829614845</v>
      </c>
      <c r="Q279" t="n">
        <v>0.006659540803455977</v>
      </c>
      <c r="R279" t="n">
        <v>0.006867419775989167</v>
      </c>
      <c r="S279" t="n">
        <v>0.04995330840081427</v>
      </c>
      <c r="T279" t="n">
        <v>0.06564281700246048</v>
      </c>
      <c r="U279" t="n">
        <v>0.06735488885195492</v>
      </c>
      <c r="V279" t="n">
        <v>0.1139900924257097</v>
      </c>
      <c r="W279" t="n">
        <v>0.1171696549202879</v>
      </c>
      <c r="X279" t="n">
        <v>0.1205119863901296</v>
      </c>
      <c r="Y279" t="n">
        <v>0.345467928492742</v>
      </c>
      <c r="Z279" t="n">
        <v>0.4404407679506249</v>
      </c>
      <c r="AA279" t="n">
        <v>0.4593056467218723</v>
      </c>
      <c r="AB279" t="n">
        <v>0.4673656968765144</v>
      </c>
      <c r="AC279" t="n">
        <v>0.6529116025881939</v>
      </c>
      <c r="AD279" t="n">
        <v>0.7317000645283203</v>
      </c>
      <c r="AE279" t="n">
        <v>0.7708787039469698</v>
      </c>
      <c r="AF279" t="n">
        <v>0.9930036108292803</v>
      </c>
      <c r="AG279" t="n">
        <v>0.9991867019288369</v>
      </c>
      <c r="AH279" t="n">
        <v>1.005937040031915</v>
      </c>
      <c r="AI279" t="n">
        <v>1.002638972541633</v>
      </c>
      <c r="BI279" t="inlineStr">
        <is>
          <t>PV_NEW_OB</t>
        </is>
      </c>
    </row>
    <row r="280">
      <c r="A280" t="inlineStr">
        <is>
          <t>Dominica_2022_January</t>
        </is>
      </c>
      <c r="B280" s="2" t="n"/>
      <c r="C280" s="3" t="inlineStr">
        <is>
          <t>SM.22.7, Sup.2</t>
        </is>
      </c>
      <c r="D280" s="4" t="inlineStr">
        <is>
          <t>Dominica</t>
        </is>
      </c>
      <c r="E280" s="4" t="inlineStr">
        <is>
          <t>DMA</t>
        </is>
      </c>
      <c r="F280" s="10" t="n">
        <v>44562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Dominica_2022_January</t>
        </is>
      </c>
      <c r="B281" s="2" t="n"/>
      <c r="C281" s="3" t="inlineStr">
        <is>
          <t>SM.22.7, Sup.2</t>
        </is>
      </c>
      <c r="D281" s="4" t="inlineStr">
        <is>
          <t>Dominica</t>
        </is>
      </c>
      <c r="E281" s="4" t="inlineStr">
        <is>
          <t>DMA</t>
        </is>
      </c>
      <c r="F281" s="10" t="n">
        <v>44562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Dominica_2022_January</t>
        </is>
      </c>
      <c r="B282" s="2" t="n"/>
      <c r="C282" s="3" t="inlineStr">
        <is>
          <t>SM.22.7, Sup.2</t>
        </is>
      </c>
      <c r="D282" s="4" t="inlineStr">
        <is>
          <t>Dominica</t>
        </is>
      </c>
      <c r="E282" s="4" t="inlineStr">
        <is>
          <t>DMA</t>
        </is>
      </c>
      <c r="F282" s="10" t="n">
        <v>44562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Dominica_2022_January</t>
        </is>
      </c>
      <c r="B283" s="2" t="n"/>
      <c r="C283" s="3" t="inlineStr">
        <is>
          <t>SM.22.7, Sup.2</t>
        </is>
      </c>
      <c r="D283" s="4" t="inlineStr">
        <is>
          <t>Dominica</t>
        </is>
      </c>
      <c r="E283" s="4" t="inlineStr">
        <is>
          <t>DMA</t>
        </is>
      </c>
      <c r="F283" s="10" t="n">
        <v>44562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Dominica_2022_January</t>
        </is>
      </c>
      <c r="B284" s="2" t="n"/>
      <c r="C284" s="3" t="inlineStr">
        <is>
          <t>SM.22.7, Sup.2</t>
        </is>
      </c>
      <c r="D284" s="4" t="inlineStr">
        <is>
          <t>Dominica</t>
        </is>
      </c>
      <c r="E284" s="4" t="inlineStr">
        <is>
          <t>DMA</t>
        </is>
      </c>
      <c r="F284" s="10" t="n">
        <v>44562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Dominica_2022_January</t>
        </is>
      </c>
      <c r="B285" s="2" t="n"/>
      <c r="C285" s="3" t="inlineStr">
        <is>
          <t>SM.22.7, Sup.2</t>
        </is>
      </c>
      <c r="D285" s="4" t="inlineStr">
        <is>
          <t>Dominica</t>
        </is>
      </c>
      <c r="E285" s="4" t="inlineStr">
        <is>
          <t>DMA</t>
        </is>
      </c>
      <c r="F285" s="10" t="n">
        <v>44562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Dominica_2022_January</t>
        </is>
      </c>
      <c r="B286" s="2" t="n"/>
      <c r="C286" s="3" t="inlineStr">
        <is>
          <t>SM.22.7, Sup.2</t>
        </is>
      </c>
      <c r="D286" s="4" t="inlineStr">
        <is>
          <t>Dominica</t>
        </is>
      </c>
      <c r="E286" s="4" t="inlineStr">
        <is>
          <t>DMA</t>
        </is>
      </c>
      <c r="F286" s="10" t="n">
        <v>44562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0.00520931953242423</v>
      </c>
      <c r="P286" t="n">
        <v>0.006461560829614845</v>
      </c>
      <c r="Q286" t="n">
        <v>0.006659540803455977</v>
      </c>
      <c r="R286" t="n">
        <v>0.006867419775989167</v>
      </c>
      <c r="S286" t="n">
        <v>0.04995330840081427</v>
      </c>
      <c r="T286" t="n">
        <v>0.06564281700246048</v>
      </c>
      <c r="U286" t="n">
        <v>0.06735488885195492</v>
      </c>
      <c r="V286" t="n">
        <v>0.1139900924257097</v>
      </c>
      <c r="W286" t="n">
        <v>0.1171696549202879</v>
      </c>
      <c r="X286" t="n">
        <v>0.1205119863901296</v>
      </c>
      <c r="Y286" t="n">
        <v>0.345467928492742</v>
      </c>
      <c r="Z286" t="n">
        <v>0.4404407679506249</v>
      </c>
      <c r="AA286" t="n">
        <v>0.4593056467218723</v>
      </c>
      <c r="AB286" t="n">
        <v>0.4673656968765144</v>
      </c>
      <c r="AC286" t="n">
        <v>0.6529116025881939</v>
      </c>
      <c r="AD286" t="n">
        <v>0.7317000645283203</v>
      </c>
      <c r="AE286" t="n">
        <v>0.7708787039469698</v>
      </c>
      <c r="AF286" t="n">
        <v>0.9930036108292803</v>
      </c>
      <c r="AG286" t="n">
        <v>0.9991867019288369</v>
      </c>
      <c r="AH286" t="n">
        <v>1.005937040031915</v>
      </c>
      <c r="AI286" t="n">
        <v>1.002638972541633</v>
      </c>
    </row>
    <row r="287">
      <c r="A287" t="inlineStr">
        <is>
          <t>Dominica_2022_January</t>
        </is>
      </c>
      <c r="B287" s="2" t="n"/>
      <c r="C287" s="3" t="inlineStr">
        <is>
          <t>SM.22.7, Sup.2</t>
        </is>
      </c>
      <c r="D287" s="4" t="inlineStr">
        <is>
          <t>Dominica</t>
        </is>
      </c>
      <c r="E287" s="4" t="inlineStr">
        <is>
          <t>DMA</t>
        </is>
      </c>
      <c r="F287" s="10" t="n">
        <v>44562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NPC2</t>
        </is>
      </c>
      <c r="M287" t="n">
        <v>395</v>
      </c>
      <c r="O287" t="n">
        <v>0.00520931953242423</v>
      </c>
      <c r="P287" t="n">
        <v>0.006461560829614845</v>
      </c>
      <c r="Q287" t="n">
        <v>0.006659540803455977</v>
      </c>
      <c r="R287" t="n">
        <v>0.006867419775989167</v>
      </c>
      <c r="S287" t="n">
        <v>0.04995330840081427</v>
      </c>
      <c r="T287" t="n">
        <v>0.06564281700246048</v>
      </c>
      <c r="U287" t="n">
        <v>0.06735488885195492</v>
      </c>
      <c r="V287" t="n">
        <v>0.1139900924257097</v>
      </c>
      <c r="W287" t="n">
        <v>0.1171696549202879</v>
      </c>
      <c r="X287" t="n">
        <v>0.1205119863901296</v>
      </c>
      <c r="Y287" t="n">
        <v>0.345467928492742</v>
      </c>
      <c r="Z287" t="n">
        <v>0.4404407679506249</v>
      </c>
      <c r="AA287" t="n">
        <v>0.4593056467218723</v>
      </c>
      <c r="AB287" t="n">
        <v>0.4673656968765144</v>
      </c>
      <c r="AC287" t="n">
        <v>0.6529116025881939</v>
      </c>
      <c r="AD287" t="n">
        <v>0.7317000645283203</v>
      </c>
      <c r="AE287" t="n">
        <v>0.7708787039469698</v>
      </c>
      <c r="AF287" t="n">
        <v>0.9930036108292803</v>
      </c>
      <c r="AG287" t="n">
        <v>0.9991867019288369</v>
      </c>
      <c r="AH287" t="n">
        <v>1.005937040031915</v>
      </c>
      <c r="AI287" t="n">
        <v>1.002638972541633</v>
      </c>
    </row>
    <row r="288">
      <c r="A288" t="inlineStr">
        <is>
          <t>Dominica_2022_January</t>
        </is>
      </c>
      <c r="B288" s="2" t="n"/>
      <c r="C288" s="3" t="inlineStr">
        <is>
          <t>SM.22.7, Sup.2</t>
        </is>
      </c>
      <c r="D288" s="4" t="inlineStr">
        <is>
          <t>Dominica</t>
        </is>
      </c>
      <c r="E288" s="4" t="inlineStr">
        <is>
          <t>DMA</t>
        </is>
      </c>
      <c r="F288" s="10" t="n">
        <v>44562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Dominica_2022_January</t>
        </is>
      </c>
      <c r="B289" s="2" t="n"/>
      <c r="C289" s="3" t="inlineStr">
        <is>
          <t>SM.22.7, Sup.2</t>
        </is>
      </c>
      <c r="D289" s="4" t="inlineStr">
        <is>
          <t>Dominica</t>
        </is>
      </c>
      <c r="E289" s="4" t="inlineStr">
        <is>
          <t>DMA</t>
        </is>
      </c>
      <c r="F289" s="10" t="n">
        <v>44562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Dominica_2022_January</t>
        </is>
      </c>
      <c r="B290" s="2" t="n"/>
      <c r="C290" s="3" t="inlineStr">
        <is>
          <t>SM.22.7, Sup.2</t>
        </is>
      </c>
      <c r="D290" s="4" t="inlineStr">
        <is>
          <t>Dominica</t>
        </is>
      </c>
      <c r="E290" s="4" t="inlineStr">
        <is>
          <t>DMA</t>
        </is>
      </c>
      <c r="F290" s="10" t="n">
        <v>44562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Dominica_2022_January</t>
        </is>
      </c>
      <c r="B291" s="2" t="n"/>
      <c r="C291" s="3" t="inlineStr">
        <is>
          <t>SM.22.7, Sup.2</t>
        </is>
      </c>
      <c r="D291" s="4" t="inlineStr">
        <is>
          <t>Dominica</t>
        </is>
      </c>
      <c r="E291" s="4" t="inlineStr">
        <is>
          <t>DMA</t>
        </is>
      </c>
      <c r="F291" s="10" t="n">
        <v>44562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Dominica_2022_January</t>
        </is>
      </c>
      <c r="B292" s="2" t="n"/>
      <c r="C292" s="3" t="inlineStr">
        <is>
          <t>SM.22.7, Sup.2</t>
        </is>
      </c>
      <c r="D292" s="4" t="inlineStr">
        <is>
          <t>Dominica</t>
        </is>
      </c>
      <c r="E292" s="4" t="inlineStr">
        <is>
          <t>DMA</t>
        </is>
      </c>
      <c r="F292" s="10" t="n">
        <v>44562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Dominica_2022_January</t>
        </is>
      </c>
      <c r="B293" s="2" t="n"/>
      <c r="C293" s="3" t="inlineStr">
        <is>
          <t>SM.22.7, Sup.2</t>
        </is>
      </c>
      <c r="D293" s="4" t="inlineStr">
        <is>
          <t>Dominica</t>
        </is>
      </c>
      <c r="E293" s="4" t="inlineStr">
        <is>
          <t>DMA</t>
        </is>
      </c>
      <c r="F293" s="10" t="n">
        <v>44562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Dominica_2022_January</t>
        </is>
      </c>
      <c r="B294" s="2" t="n"/>
      <c r="C294" s="3" t="inlineStr">
        <is>
          <t>SM.22.7, Sup.2</t>
        </is>
      </c>
      <c r="D294" s="4" t="inlineStr">
        <is>
          <t>Dominica</t>
        </is>
      </c>
      <c r="E294" s="4" t="inlineStr">
        <is>
          <t>DMA</t>
        </is>
      </c>
      <c r="F294" s="10" t="n">
        <v>44562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Dominica_2022_January</t>
        </is>
      </c>
      <c r="B295" s="2" t="n"/>
      <c r="C295" s="3" t="inlineStr">
        <is>
          <t>SM.22.7, Sup.2</t>
        </is>
      </c>
      <c r="D295" s="4" t="inlineStr">
        <is>
          <t>Dominica</t>
        </is>
      </c>
      <c r="E295" s="4" t="inlineStr">
        <is>
          <t>DMA</t>
        </is>
      </c>
      <c r="F295" s="10" t="n">
        <v>44562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Dominica_2022_January</t>
        </is>
      </c>
      <c r="B296" s="2" t="n"/>
      <c r="C296" s="3" t="inlineStr">
        <is>
          <t>SM.22.7, Sup.2</t>
        </is>
      </c>
      <c r="D296" s="4" t="inlineStr">
        <is>
          <t>Dominica</t>
        </is>
      </c>
      <c r="E296" s="4" t="inlineStr">
        <is>
          <t>DMA</t>
        </is>
      </c>
      <c r="F296" s="10" t="n">
        <v>44562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Dominica_2022_January</t>
        </is>
      </c>
      <c r="B297" s="2" t="n"/>
      <c r="C297" s="3" t="inlineStr">
        <is>
          <t>SM.22.7, Sup.2</t>
        </is>
      </c>
      <c r="D297" s="4" t="inlineStr">
        <is>
          <t>Dominica</t>
        </is>
      </c>
      <c r="E297" s="4" t="inlineStr">
        <is>
          <t>DMA</t>
        </is>
      </c>
      <c r="F297" s="10" t="n">
        <v>44562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Dominica_2022_January</t>
        </is>
      </c>
      <c r="B298" s="2" t="n"/>
      <c r="C298" s="3" t="inlineStr">
        <is>
          <t>SM.22.7, Sup.2</t>
        </is>
      </c>
      <c r="D298" s="4" t="inlineStr">
        <is>
          <t>Dominica</t>
        </is>
      </c>
      <c r="E298" s="4" t="inlineStr">
        <is>
          <t>DMA</t>
        </is>
      </c>
      <c r="F298" s="10" t="n">
        <v>44562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Dominica_2022_January</t>
        </is>
      </c>
      <c r="B299" s="2" t="n"/>
      <c r="C299" s="3" t="inlineStr">
        <is>
          <t>SM.22.7, Sup.2</t>
        </is>
      </c>
      <c r="D299" s="4" t="inlineStr">
        <is>
          <t>Dominica</t>
        </is>
      </c>
      <c r="E299" s="4" t="inlineStr">
        <is>
          <t>DMA</t>
        </is>
      </c>
      <c r="F299" s="10" t="n">
        <v>44562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Dominica_2022_January</t>
        </is>
      </c>
      <c r="B300" s="2" t="n"/>
      <c r="C300" s="3" t="inlineStr">
        <is>
          <t>SM.22.7, Sup.2</t>
        </is>
      </c>
      <c r="D300" s="4" t="inlineStr">
        <is>
          <t>Dominica</t>
        </is>
      </c>
      <c r="E300" s="4" t="inlineStr">
        <is>
          <t>DMA</t>
        </is>
      </c>
      <c r="F300" s="10" t="n">
        <v>44562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Dominica_2022_January</t>
        </is>
      </c>
      <c r="B301" s="2" t="n"/>
      <c r="C301" s="3" t="inlineStr">
        <is>
          <t>SM.22.7, Sup.2</t>
        </is>
      </c>
      <c r="D301" s="4" t="inlineStr">
        <is>
          <t>Dominica</t>
        </is>
      </c>
      <c r="E301" s="4" t="inlineStr">
        <is>
          <t>DMA</t>
        </is>
      </c>
      <c r="F301" s="10" t="n">
        <v>44562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Dominica_2022_January</t>
        </is>
      </c>
      <c r="B302" s="2" t="n"/>
      <c r="C302" s="3" t="inlineStr">
        <is>
          <t>SM.22.7, Sup.2</t>
        </is>
      </c>
      <c r="D302" s="4" t="inlineStr">
        <is>
          <t>Dominica</t>
        </is>
      </c>
      <c r="E302" s="4" t="inlineStr">
        <is>
          <t>DMA</t>
        </is>
      </c>
      <c r="F302" s="10" t="n">
        <v>44562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Dominica_2022_January</t>
        </is>
      </c>
      <c r="B303" s="2" t="n"/>
      <c r="C303" s="3" t="inlineStr">
        <is>
          <t>SM.22.7, Sup.2</t>
        </is>
      </c>
      <c r="D303" s="4" t="inlineStr">
        <is>
          <t>Dominica</t>
        </is>
      </c>
      <c r="E303" s="4" t="inlineStr">
        <is>
          <t>DMA</t>
        </is>
      </c>
      <c r="F303" s="10" t="n">
        <v>44562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Dominica_2022_January</t>
        </is>
      </c>
      <c r="B304" s="2" t="n"/>
      <c r="C304" s="3" t="inlineStr">
        <is>
          <t>SM.22.7, Sup.2</t>
        </is>
      </c>
      <c r="D304" s="4" t="inlineStr">
        <is>
          <t>Dominica</t>
        </is>
      </c>
      <c r="E304" s="4" t="inlineStr">
        <is>
          <t>DMA</t>
        </is>
      </c>
      <c r="F304" s="10" t="n">
        <v>44562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Dominica_2022_January</t>
        </is>
      </c>
      <c r="B305" s="2" t="n"/>
      <c r="C305" s="3" t="inlineStr">
        <is>
          <t>SM.22.7, Sup.2</t>
        </is>
      </c>
      <c r="D305" s="4" t="inlineStr">
        <is>
          <t>Dominica</t>
        </is>
      </c>
      <c r="E305" s="4" t="inlineStr">
        <is>
          <t>DMA</t>
        </is>
      </c>
      <c r="F305" s="10" t="n">
        <v>44562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Dominica_2022_January</t>
        </is>
      </c>
      <c r="B306" s="2" t="n"/>
      <c r="C306" s="3" t="inlineStr">
        <is>
          <t>SM.22.7, Sup.2</t>
        </is>
      </c>
      <c r="D306" s="4" t="inlineStr">
        <is>
          <t>Dominica</t>
        </is>
      </c>
      <c r="E306" s="4" t="inlineStr">
        <is>
          <t>DMA</t>
        </is>
      </c>
      <c r="F306" s="10" t="n">
        <v>44562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Dominica_2022_January</t>
        </is>
      </c>
      <c r="B307" s="2" t="n"/>
      <c r="C307" s="3" t="inlineStr">
        <is>
          <t>SM.22.7, Sup.2</t>
        </is>
      </c>
      <c r="D307" s="4" t="inlineStr">
        <is>
          <t>Dominica</t>
        </is>
      </c>
      <c r="E307" s="4" t="inlineStr">
        <is>
          <t>DMA</t>
        </is>
      </c>
      <c r="F307" s="10" t="n">
        <v>44562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 held by residents</t>
        </is>
      </c>
    </row>
    <row r="308">
      <c r="A308" t="inlineStr">
        <is>
          <t>Dominica_2022_January</t>
        </is>
      </c>
      <c r="B308" s="2" t="n"/>
      <c r="C308" s="3" t="inlineStr">
        <is>
          <t>SM.22.7, Sup.2</t>
        </is>
      </c>
      <c r="D308" s="4" t="inlineStr">
        <is>
          <t>Dominica</t>
        </is>
      </c>
      <c r="E308" s="4" t="inlineStr">
        <is>
          <t>DMA</t>
        </is>
      </c>
      <c r="F308" s="10" t="n">
        <v>44562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Dominica_2022_January</t>
        </is>
      </c>
      <c r="B309" s="2" t="n"/>
      <c r="C309" s="3" t="inlineStr">
        <is>
          <t>SM.22.7, Sup.2</t>
        </is>
      </c>
      <c r="D309" s="4" t="inlineStr">
        <is>
          <t>Dominica</t>
        </is>
      </c>
      <c r="E309" s="4" t="inlineStr">
        <is>
          <t>DMA</t>
        </is>
      </c>
      <c r="F309" s="10" t="n">
        <v>44562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Dominica_2022_January</t>
        </is>
      </c>
      <c r="B310" s="2" t="n"/>
      <c r="C310" s="3" t="inlineStr">
        <is>
          <t>SM.22.7, Sup.2</t>
        </is>
      </c>
      <c r="D310" s="4" t="inlineStr">
        <is>
          <t>Dominica</t>
        </is>
      </c>
      <c r="E310" s="4" t="inlineStr">
        <is>
          <t>DMA</t>
        </is>
      </c>
      <c r="F310" s="10" t="n">
        <v>44562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Dominica_2022_January</t>
        </is>
      </c>
      <c r="B311" s="2" t="n"/>
      <c r="C311" s="3" t="inlineStr">
        <is>
          <t>SM.22.7, Sup.2</t>
        </is>
      </c>
      <c r="D311" s="4" t="inlineStr">
        <is>
          <t>Dominica</t>
        </is>
      </c>
      <c r="E311" s="4" t="inlineStr">
        <is>
          <t>DMA</t>
        </is>
      </c>
      <c r="F311" s="10" t="n">
        <v>44562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Dominica_2022_January</t>
        </is>
      </c>
      <c r="B312" s="2" t="n"/>
      <c r="C312" s="3" t="inlineStr">
        <is>
          <t>SM.22.7, Sup.2</t>
        </is>
      </c>
      <c r="D312" s="4" t="inlineStr">
        <is>
          <t>Dominica</t>
        </is>
      </c>
      <c r="E312" s="4" t="inlineStr">
        <is>
          <t>DMA</t>
        </is>
      </c>
      <c r="F312" s="10" t="n">
        <v>44562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Dominica_2022_January</t>
        </is>
      </c>
      <c r="B313" s="2" t="n"/>
      <c r="C313" s="3" t="inlineStr">
        <is>
          <t>SM.22.7, Sup.2</t>
        </is>
      </c>
      <c r="D313" s="4" t="inlineStr">
        <is>
          <t>Dominica</t>
        </is>
      </c>
      <c r="E313" s="4" t="inlineStr">
        <is>
          <t>DMA</t>
        </is>
      </c>
      <c r="F313" s="10" t="n">
        <v>44562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36.29251236004566</v>
      </c>
      <c r="P313" t="n">
        <v>114.6527181938976</v>
      </c>
      <c r="Q313" t="n">
        <v>175.8081966236138</v>
      </c>
      <c r="R313" t="n">
        <v>229.1693749080783</v>
      </c>
      <c r="S313" t="n">
        <v>279.8365157283882</v>
      </c>
      <c r="T313" t="n">
        <v>332.574002730767</v>
      </c>
      <c r="U313" t="n">
        <v>373.482638350664</v>
      </c>
      <c r="V313" t="n">
        <v>398.7385016646563</v>
      </c>
      <c r="W313" t="n">
        <v>412.0947667569859</v>
      </c>
      <c r="X313" t="n">
        <v>422.3757883414984</v>
      </c>
      <c r="Y313" t="n">
        <v>432.5660803980948</v>
      </c>
      <c r="Z313" t="n">
        <v>440.0112380754768</v>
      </c>
      <c r="AA313" t="n">
        <v>445.2271911972127</v>
      </c>
      <c r="AB313" t="n">
        <v>448.5601835349229</v>
      </c>
      <c r="AC313" t="n">
        <v>450.8391322475119</v>
      </c>
      <c r="AD313" t="n">
        <v>452.2680467479206</v>
      </c>
      <c r="AE313" t="n">
        <v>452.9899234084849</v>
      </c>
      <c r="AF313" t="n">
        <v>453.7624451690099</v>
      </c>
      <c r="AG313" t="n">
        <v>454.1665117680323</v>
      </c>
      <c r="AH313" t="n">
        <v>454.3837568679157</v>
      </c>
      <c r="AI313" t="n">
        <v>454.6986773203488</v>
      </c>
      <c r="BI313" t="inlineStr">
        <is>
          <t>NOM_NEW_MLT</t>
        </is>
      </c>
    </row>
    <row r="314">
      <c r="A314" t="inlineStr">
        <is>
          <t>Dominica_2022_January</t>
        </is>
      </c>
      <c r="B314" s="2" t="n"/>
      <c r="C314" s="3" t="inlineStr">
        <is>
          <t>SM.22.7, Sup.2</t>
        </is>
      </c>
      <c r="D314" s="4" t="inlineStr">
        <is>
          <t>Dominica</t>
        </is>
      </c>
      <c r="E314" s="4" t="inlineStr">
        <is>
          <t>DMA</t>
        </is>
      </c>
      <c r="F314" s="10" t="n">
        <v>44562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22</v>
      </c>
      <c r="P314" t="n">
        <v>89.59999999999999</v>
      </c>
      <c r="Q314" t="n">
        <v>139.6</v>
      </c>
      <c r="R314" t="n">
        <v>182.1559761462496</v>
      </c>
      <c r="S314" t="n">
        <v>222.4938673461833</v>
      </c>
      <c r="T314" t="n">
        <v>264.5359268089585</v>
      </c>
      <c r="U314" t="n">
        <v>294.8633506822222</v>
      </c>
      <c r="V314" t="n">
        <v>309.5495727423076</v>
      </c>
      <c r="W314" t="n">
        <v>312.4744594686479</v>
      </c>
      <c r="X314" t="n">
        <v>312.3474764254652</v>
      </c>
      <c r="Y314" t="n">
        <v>311.7076056450808</v>
      </c>
      <c r="Z314" t="n">
        <v>308.6330526628882</v>
      </c>
      <c r="AA314" t="n">
        <v>303.5610734160244</v>
      </c>
      <c r="AB314" t="n">
        <v>296.6830198148449</v>
      </c>
      <c r="AC314" t="n">
        <v>288.4475591665757</v>
      </c>
      <c r="AD314" t="n">
        <v>279.2585726285773</v>
      </c>
      <c r="AE314" t="n">
        <v>269.075861789269</v>
      </c>
      <c r="AF314" t="n">
        <v>258.1851439449794</v>
      </c>
      <c r="AG314" t="n">
        <v>246.9283224616862</v>
      </c>
      <c r="AH314" t="n">
        <v>235.3340390237713</v>
      </c>
      <c r="AI314" t="n">
        <v>223.6910523402871</v>
      </c>
      <c r="BI314" t="inlineStr">
        <is>
          <t>NOM_NEW_ML</t>
        </is>
      </c>
    </row>
    <row r="315">
      <c r="A315" t="inlineStr">
        <is>
          <t>Dominica_2022_January</t>
        </is>
      </c>
      <c r="B315" s="2" t="n"/>
      <c r="C315" s="3" t="inlineStr">
        <is>
          <t>SM.22.7, Sup.2</t>
        </is>
      </c>
      <c r="D315" s="4" t="inlineStr">
        <is>
          <t>Dominica</t>
        </is>
      </c>
      <c r="E315" s="4" t="inlineStr">
        <is>
          <t>DMA</t>
        </is>
      </c>
      <c r="F315" s="10" t="n">
        <v>44562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Dominica_2022_January</t>
        </is>
      </c>
      <c r="B316" s="2" t="n"/>
      <c r="C316" s="3" t="inlineStr">
        <is>
          <t>SM.22.7, Sup.2</t>
        </is>
      </c>
      <c r="D316" s="4" t="inlineStr">
        <is>
          <t>Dominica</t>
        </is>
      </c>
      <c r="E316" s="4" t="inlineStr">
        <is>
          <t>DMA</t>
        </is>
      </c>
      <c r="F316" s="10" t="n">
        <v>44562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15</v>
      </c>
      <c r="P316" t="n">
        <v>62.6</v>
      </c>
      <c r="Q316" t="n">
        <v>97.59999999999999</v>
      </c>
      <c r="R316" t="n">
        <v>127.3891833023747</v>
      </c>
      <c r="S316" t="n">
        <v>155.6257071423283</v>
      </c>
      <c r="T316" t="n">
        <v>185.0551487662709</v>
      </c>
      <c r="U316" t="n">
        <v>206.5293454775555</v>
      </c>
      <c r="V316" t="n">
        <v>217.7547009196153</v>
      </c>
      <c r="W316" t="n">
        <v>221.2721216280535</v>
      </c>
      <c r="X316" t="n">
        <v>223.1000712473612</v>
      </c>
      <c r="Y316" t="n">
        <v>224.992547308227</v>
      </c>
      <c r="Z316" t="n">
        <v>225.4721874521863</v>
      </c>
      <c r="AA316" t="n">
        <v>224.399742161545</v>
      </c>
      <c r="AB316" t="n">
        <v>221.8814251545136</v>
      </c>
      <c r="AC316" t="n">
        <v>218.1677926921222</v>
      </c>
      <c r="AD316" t="n">
        <v>213.5317461128105</v>
      </c>
      <c r="AE316" t="n">
        <v>207.9341852472554</v>
      </c>
      <c r="AF316" t="n">
        <v>201.6409721132599</v>
      </c>
      <c r="AG316" t="n">
        <v>194.9944461981816</v>
      </c>
      <c r="AH316" t="n">
        <v>188.1255619371728</v>
      </c>
      <c r="AI316" t="n">
        <v>181.2136379039176</v>
      </c>
    </row>
    <row r="317">
      <c r="A317" t="inlineStr">
        <is>
          <t>Dominica_2022_January</t>
        </is>
      </c>
      <c r="B317" s="2" t="n"/>
      <c r="C317" s="3" t="inlineStr">
        <is>
          <t>SM.22.7, Sup.2</t>
        </is>
      </c>
      <c r="D317" s="4" t="inlineStr">
        <is>
          <t>Dominica</t>
        </is>
      </c>
      <c r="E317" s="4" t="inlineStr">
        <is>
          <t>DMA</t>
        </is>
      </c>
      <c r="F317" s="10" t="n">
        <v>44562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Dominica_2022_January</t>
        </is>
      </c>
      <c r="B318" s="2" t="n"/>
      <c r="C318" s="3" t="inlineStr">
        <is>
          <t>SM.22.7, Sup.2</t>
        </is>
      </c>
      <c r="D318" s="4" t="inlineStr">
        <is>
          <t>Dominica</t>
        </is>
      </c>
      <c r="E318" s="4" t="inlineStr">
        <is>
          <t>DMA</t>
        </is>
      </c>
      <c r="F318" s="10" t="n">
        <v>44562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CDB</t>
        </is>
      </c>
      <c r="M318" t="n">
        <v>108</v>
      </c>
      <c r="O318" t="n">
        <v>7</v>
      </c>
      <c r="P318" t="n">
        <v>27</v>
      </c>
      <c r="Q318" t="n">
        <v>42</v>
      </c>
      <c r="R318" t="n">
        <v>54.7667928438749</v>
      </c>
      <c r="S318" t="n">
        <v>66.868160203855</v>
      </c>
      <c r="T318" t="n">
        <v>79.4807780426876</v>
      </c>
      <c r="U318" t="n">
        <v>88.33400520466672</v>
      </c>
      <c r="V318" t="n">
        <v>91.79487182269236</v>
      </c>
      <c r="W318" t="n">
        <v>91.20233784059444</v>
      </c>
      <c r="X318" t="n">
        <v>89.247405178104</v>
      </c>
      <c r="Y318" t="n">
        <v>86.71505833685373</v>
      </c>
      <c r="Z318" t="n">
        <v>83.16086521070189</v>
      </c>
      <c r="AA318" t="n">
        <v>79.16133125447944</v>
      </c>
      <c r="AB318" t="n">
        <v>74.80159466033135</v>
      </c>
      <c r="AC318" t="n">
        <v>70.27976647445351</v>
      </c>
      <c r="AD318" t="n">
        <v>65.72682651576687</v>
      </c>
      <c r="AE318" t="n">
        <v>61.14167654201368</v>
      </c>
      <c r="AF318" t="n">
        <v>56.54417183171955</v>
      </c>
      <c r="AG318" t="n">
        <v>51.93387626350454</v>
      </c>
      <c r="AH318" t="n">
        <v>47.20847708659843</v>
      </c>
      <c r="AI318" t="n">
        <v>42.47741443636952</v>
      </c>
    </row>
    <row r="319">
      <c r="A319" t="inlineStr">
        <is>
          <t>Dominica_2022_January</t>
        </is>
      </c>
      <c r="B319" s="2" t="n"/>
      <c r="C319" s="3" t="inlineStr">
        <is>
          <t>SM.22.7, Sup.2</t>
        </is>
      </c>
      <c r="D319" s="4" t="inlineStr">
        <is>
          <t>Dominica</t>
        </is>
      </c>
      <c r="E319" s="4" t="inlineStr">
        <is>
          <t>DMA</t>
        </is>
      </c>
      <c r="F319" s="10" t="n">
        <v>44562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MULTIRES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Dominica_2022_January</t>
        </is>
      </c>
      <c r="B320" s="2" t="n"/>
      <c r="C320" s="3" t="inlineStr">
        <is>
          <t>SM.22.7, Sup.2</t>
        </is>
      </c>
      <c r="D320" s="4" t="inlineStr">
        <is>
          <t>Dominica</t>
        </is>
      </c>
      <c r="E320" s="4" t="inlineStr">
        <is>
          <t>DMA</t>
        </is>
      </c>
      <c r="F320" s="10" t="n">
        <v>44562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Dominica_2022_January</t>
        </is>
      </c>
      <c r="B321" s="2" t="n"/>
      <c r="C321" s="3" t="inlineStr">
        <is>
          <t>SM.22.7, Sup.2</t>
        </is>
      </c>
      <c r="D321" s="4" t="inlineStr">
        <is>
          <t>Dominica</t>
        </is>
      </c>
      <c r="E321" s="4" t="inlineStr">
        <is>
          <t>DMA</t>
        </is>
      </c>
      <c r="F321" s="10" t="n">
        <v>44562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14.2821756210486</v>
      </c>
      <c r="P321" t="n">
        <v>25.0402083871336</v>
      </c>
      <c r="Q321" t="n">
        <v>36.1956868168498</v>
      </c>
      <c r="R321" t="n">
        <v>47.0008889550647</v>
      </c>
      <c r="S321" t="n">
        <v>57.245077301661</v>
      </c>
      <c r="T321" t="n">
        <v>67.9123924732519</v>
      </c>
      <c r="U321" t="n">
        <v>78.49391745440025</v>
      </c>
      <c r="V321" t="n">
        <v>88.9748432150233</v>
      </c>
      <c r="W321" t="n">
        <v>99.40660066606601</v>
      </c>
      <c r="X321" t="n">
        <v>109.8149843788147</v>
      </c>
      <c r="Y321" t="n">
        <v>120.2035852907863</v>
      </c>
      <c r="Z321" t="n">
        <v>130.5523751022719</v>
      </c>
      <c r="AA321" t="n">
        <v>140.8264370687822</v>
      </c>
      <c r="AB321" t="n">
        <v>151.0439914327294</v>
      </c>
      <c r="AC321" t="n">
        <v>161.2136567253922</v>
      </c>
      <c r="AD321" t="n">
        <v>171.7102182133041</v>
      </c>
      <c r="AE321" t="n">
        <v>182.5642137815077</v>
      </c>
      <c r="AF321" t="n">
        <v>193.8115167652709</v>
      </c>
      <c r="AG321" t="n">
        <v>205.4982140924409</v>
      </c>
      <c r="AH321" t="n">
        <v>217.3355518750935</v>
      </c>
      <c r="AI321" t="n">
        <v>229.3299122708121</v>
      </c>
    </row>
    <row r="322">
      <c r="A322" t="inlineStr">
        <is>
          <t>Dominica_2022_January</t>
        </is>
      </c>
      <c r="B322" s="2" t="n"/>
      <c r="C322" s="3" t="inlineStr">
        <is>
          <t>SM.22.7, Sup.2</t>
        </is>
      </c>
      <c r="D322" s="4" t="inlineStr">
        <is>
          <t>Dominica</t>
        </is>
      </c>
      <c r="E322" s="4" t="inlineStr">
        <is>
          <t>DMA</t>
        </is>
      </c>
      <c r="F322" s="10" t="n">
        <v>44562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14.2821756210486</v>
      </c>
      <c r="P322" t="n">
        <v>25.0402083871336</v>
      </c>
      <c r="Q322" t="n">
        <v>36.1956868168498</v>
      </c>
      <c r="R322" t="n">
        <v>47.0008889550647</v>
      </c>
      <c r="S322" t="n">
        <v>57.245077301661</v>
      </c>
      <c r="T322" t="n">
        <v>67.9123924732519</v>
      </c>
      <c r="U322" t="n">
        <v>78.49391745440025</v>
      </c>
      <c r="V322" t="n">
        <v>88.9748432150233</v>
      </c>
      <c r="W322" t="n">
        <v>99.40660066606601</v>
      </c>
      <c r="X322" t="n">
        <v>109.8149843788147</v>
      </c>
      <c r="Y322" t="n">
        <v>120.2035852907863</v>
      </c>
      <c r="Z322" t="n">
        <v>130.5523751022719</v>
      </c>
      <c r="AA322" t="n">
        <v>140.8264370687822</v>
      </c>
      <c r="AB322" t="n">
        <v>151.0439914327294</v>
      </c>
      <c r="AC322" t="n">
        <v>161.2136567253922</v>
      </c>
      <c r="AD322" t="n">
        <v>171.7102182133041</v>
      </c>
      <c r="AE322" t="n">
        <v>182.5642137815077</v>
      </c>
      <c r="AF322" t="n">
        <v>193.8115167652709</v>
      </c>
      <c r="AG322" t="n">
        <v>205.4982140924409</v>
      </c>
      <c r="AH322" t="n">
        <v>217.3355518750935</v>
      </c>
      <c r="AI322" t="n">
        <v>229.3299122708121</v>
      </c>
    </row>
    <row r="323">
      <c r="A323" t="inlineStr">
        <is>
          <t>Dominica_2022_January</t>
        </is>
      </c>
      <c r="B323" s="2" t="n"/>
      <c r="C323" s="3" t="inlineStr">
        <is>
          <t>SM.22.7, Sup.2</t>
        </is>
      </c>
      <c r="D323" s="4" t="inlineStr">
        <is>
          <t>Dominica</t>
        </is>
      </c>
      <c r="E323" s="4" t="inlineStr">
        <is>
          <t>DMA</t>
        </is>
      </c>
      <c r="F323" s="10" t="n">
        <v>44562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Dominica_2022_January</t>
        </is>
      </c>
      <c r="B324" s="2" t="n"/>
      <c r="C324" s="3" t="inlineStr">
        <is>
          <t>SM.22.7, Sup.2</t>
        </is>
      </c>
      <c r="D324" s="4" t="inlineStr">
        <is>
          <t>Dominica</t>
        </is>
      </c>
      <c r="E324" s="4" t="inlineStr">
        <is>
          <t>DMA</t>
        </is>
      </c>
      <c r="F324" s="10" t="n">
        <v>44562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Dominica_2022_January</t>
        </is>
      </c>
      <c r="B325" s="2" t="n"/>
      <c r="C325" s="3" t="inlineStr">
        <is>
          <t>SM.22.7, Sup.2</t>
        </is>
      </c>
      <c r="D325" s="4" t="inlineStr">
        <is>
          <t>Dominica</t>
        </is>
      </c>
      <c r="E325" s="4" t="inlineStr">
        <is>
          <t>DMA</t>
        </is>
      </c>
      <c r="F325" s="10" t="n">
        <v>44562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0.0103367389970622</v>
      </c>
      <c r="P325" t="n">
        <v>0.01250980676396101</v>
      </c>
      <c r="Q325" t="n">
        <v>0.01250980676396101</v>
      </c>
      <c r="R325" t="n">
        <v>0.01250980676396101</v>
      </c>
      <c r="S325" t="n">
        <v>0.09757108054398281</v>
      </c>
      <c r="T325" t="n">
        <v>0.1256834485566097</v>
      </c>
      <c r="U325" t="n">
        <v>0.1253702140415472</v>
      </c>
      <c r="V325" t="n">
        <v>0.2140857073253932</v>
      </c>
      <c r="W325" t="n">
        <v>0.2137066222719398</v>
      </c>
      <c r="X325" t="n">
        <v>0.2133275372184865</v>
      </c>
      <c r="Y325" t="n">
        <v>0.6548894622277407</v>
      </c>
      <c r="Z325" t="n">
        <v>0.8258103103167403</v>
      </c>
      <c r="AA325" t="n">
        <v>0.8396807124060353</v>
      </c>
      <c r="AB325" t="n">
        <v>0.8331722873486441</v>
      </c>
      <c r="AC325" t="n">
        <v>1.177916355544104</v>
      </c>
      <c r="AD325" t="n">
        <v>1.299255906039141</v>
      </c>
      <c r="AE325" t="n">
        <v>1.349847837708169</v>
      </c>
      <c r="AF325" t="n">
        <v>1.765784458759586</v>
      </c>
      <c r="AG325" t="n">
        <v>1.739975213905275</v>
      </c>
      <c r="AH325" t="n">
        <v>1.714165969050963</v>
      </c>
      <c r="AI325" t="n">
        <v>1.677712709249595</v>
      </c>
      <c r="BI325" t="inlineStr">
        <is>
          <t>NOM_NEW_OB</t>
        </is>
      </c>
    </row>
    <row r="326">
      <c r="A326" t="inlineStr">
        <is>
          <t>Dominica_2022_January</t>
        </is>
      </c>
      <c r="B326" s="2" t="n"/>
      <c r="C326" s="3" t="inlineStr">
        <is>
          <t>SM.22.7, Sup.2</t>
        </is>
      </c>
      <c r="D326" s="4" t="inlineStr">
        <is>
          <t>Dominica</t>
        </is>
      </c>
      <c r="E326" s="4" t="inlineStr">
        <is>
          <t>DMA</t>
        </is>
      </c>
      <c r="F326" s="10" t="n">
        <v>44562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Dominica_2022_January</t>
        </is>
      </c>
      <c r="B327" s="2" t="n"/>
      <c r="C327" s="3" t="inlineStr">
        <is>
          <t>SM.22.7, Sup.2</t>
        </is>
      </c>
      <c r="D327" s="4" t="inlineStr">
        <is>
          <t>Dominica</t>
        </is>
      </c>
      <c r="E327" s="4" t="inlineStr">
        <is>
          <t>DMA</t>
        </is>
      </c>
      <c r="F327" s="10" t="n">
        <v>44562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Dominica_2022_January</t>
        </is>
      </c>
      <c r="B328" s="2" t="n"/>
      <c r="C328" s="3" t="inlineStr">
        <is>
          <t>SM.22.7, Sup.2</t>
        </is>
      </c>
      <c r="D328" s="4" t="inlineStr">
        <is>
          <t>Dominica</t>
        </is>
      </c>
      <c r="E328" s="4" t="inlineStr">
        <is>
          <t>DMA</t>
        </is>
      </c>
      <c r="F328" s="10" t="n">
        <v>44562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Dominica_2022_January</t>
        </is>
      </c>
      <c r="B329" s="2" t="n"/>
      <c r="C329" s="3" t="inlineStr">
        <is>
          <t>SM.22.7, Sup.2</t>
        </is>
      </c>
      <c r="D329" s="4" t="inlineStr">
        <is>
          <t>Dominica</t>
        </is>
      </c>
      <c r="E329" s="4" t="inlineStr">
        <is>
          <t>DMA</t>
        </is>
      </c>
      <c r="F329" s="10" t="n">
        <v>44562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Dominica_2022_January</t>
        </is>
      </c>
      <c r="B330" s="2" t="n"/>
      <c r="C330" s="3" t="inlineStr">
        <is>
          <t>SM.22.7, Sup.2</t>
        </is>
      </c>
      <c r="D330" s="4" t="inlineStr">
        <is>
          <t>Dominica</t>
        </is>
      </c>
      <c r="E330" s="4" t="inlineStr">
        <is>
          <t>DMA</t>
        </is>
      </c>
      <c r="F330" s="10" t="n">
        <v>44562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Dominica_2022_January</t>
        </is>
      </c>
      <c r="B331" s="2" t="n"/>
      <c r="C331" s="3" t="inlineStr">
        <is>
          <t>SM.22.7, Sup.2</t>
        </is>
      </c>
      <c r="D331" s="4" t="inlineStr">
        <is>
          <t>Dominica</t>
        </is>
      </c>
      <c r="E331" s="4" t="inlineStr">
        <is>
          <t>DMA</t>
        </is>
      </c>
      <c r="F331" s="10" t="n">
        <v>44562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Dominica_2022_January</t>
        </is>
      </c>
      <c r="B332" s="2" t="n"/>
      <c r="C332" s="3" t="inlineStr">
        <is>
          <t>SM.22.7, Sup.2</t>
        </is>
      </c>
      <c r="D332" s="4" t="inlineStr">
        <is>
          <t>Dominica</t>
        </is>
      </c>
      <c r="E332" s="4" t="inlineStr">
        <is>
          <t>DMA</t>
        </is>
      </c>
      <c r="F332" s="10" t="n">
        <v>44562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0.0103367389970622</v>
      </c>
      <c r="P332" t="n">
        <v>0.01250980676396101</v>
      </c>
      <c r="Q332" t="n">
        <v>0.01250980676396101</v>
      </c>
      <c r="R332" t="n">
        <v>0.01250980676396101</v>
      </c>
      <c r="S332" t="n">
        <v>0.09757108054398281</v>
      </c>
      <c r="T332" t="n">
        <v>0.1256834485566097</v>
      </c>
      <c r="U332" t="n">
        <v>0.1253702140415472</v>
      </c>
      <c r="V332" t="n">
        <v>0.2140857073253932</v>
      </c>
      <c r="W332" t="n">
        <v>0.2137066222719398</v>
      </c>
      <c r="X332" t="n">
        <v>0.2133275372184865</v>
      </c>
      <c r="Y332" t="n">
        <v>0.6548894622277407</v>
      </c>
      <c r="Z332" t="n">
        <v>0.8258103103167403</v>
      </c>
      <c r="AA332" t="n">
        <v>0.8396807124060353</v>
      </c>
      <c r="AB332" t="n">
        <v>0.8331722873486441</v>
      </c>
      <c r="AC332" t="n">
        <v>1.177916355544104</v>
      </c>
      <c r="AD332" t="n">
        <v>1.299255906039141</v>
      </c>
      <c r="AE332" t="n">
        <v>1.349847837708169</v>
      </c>
      <c r="AF332" t="n">
        <v>1.765784458759586</v>
      </c>
      <c r="AG332" t="n">
        <v>1.739975213905275</v>
      </c>
      <c r="AH332" t="n">
        <v>1.714165969050963</v>
      </c>
      <c r="AI332" t="n">
        <v>1.677712709249595</v>
      </c>
    </row>
    <row r="333">
      <c r="A333" t="inlineStr">
        <is>
          <t>Dominica_2022_January</t>
        </is>
      </c>
      <c r="B333" s="2" t="n"/>
      <c r="C333" s="3" t="inlineStr">
        <is>
          <t>SM.22.7, Sup.2</t>
        </is>
      </c>
      <c r="D333" s="4" t="inlineStr">
        <is>
          <t>Dominica</t>
        </is>
      </c>
      <c r="E333" s="4" t="inlineStr">
        <is>
          <t>DMA</t>
        </is>
      </c>
      <c r="F333" s="10" t="n">
        <v>44562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NPC2</t>
        </is>
      </c>
      <c r="M333" t="n">
        <v>394</v>
      </c>
      <c r="O333" t="n">
        <v>0.0103367389970622</v>
      </c>
      <c r="P333" t="n">
        <v>0.01250980676396101</v>
      </c>
      <c r="Q333" t="n">
        <v>0.01250980676396101</v>
      </c>
      <c r="R333" t="n">
        <v>0.01250980676396101</v>
      </c>
      <c r="S333" t="n">
        <v>0.09757108054398281</v>
      </c>
      <c r="T333" t="n">
        <v>0.1256834485566097</v>
      </c>
      <c r="U333" t="n">
        <v>0.1253702140415472</v>
      </c>
      <c r="V333" t="n">
        <v>0.2140857073253932</v>
      </c>
      <c r="W333" t="n">
        <v>0.2137066222719398</v>
      </c>
      <c r="X333" t="n">
        <v>0.2133275372184865</v>
      </c>
      <c r="Y333" t="n">
        <v>0.6548894622277407</v>
      </c>
      <c r="Z333" t="n">
        <v>0.8258103103167403</v>
      </c>
      <c r="AA333" t="n">
        <v>0.8396807124060353</v>
      </c>
      <c r="AB333" t="n">
        <v>0.8331722873486441</v>
      </c>
      <c r="AC333" t="n">
        <v>1.177916355544104</v>
      </c>
      <c r="AD333" t="n">
        <v>1.299255906039141</v>
      </c>
      <c r="AE333" t="n">
        <v>1.349847837708169</v>
      </c>
      <c r="AF333" t="n">
        <v>1.765784458759586</v>
      </c>
      <c r="AG333" t="n">
        <v>1.739975213905275</v>
      </c>
      <c r="AH333" t="n">
        <v>1.714165969050963</v>
      </c>
      <c r="AI333" t="n">
        <v>1.677712709249595</v>
      </c>
    </row>
    <row r="334">
      <c r="A334" t="inlineStr">
        <is>
          <t>Dominica_2022_January</t>
        </is>
      </c>
      <c r="B334" s="2" t="n"/>
      <c r="C334" s="3" t="inlineStr">
        <is>
          <t>SM.22.7, Sup.2</t>
        </is>
      </c>
      <c r="D334" s="4" t="inlineStr">
        <is>
          <t>Dominica</t>
        </is>
      </c>
      <c r="E334" s="4" t="inlineStr">
        <is>
          <t>DMA</t>
        </is>
      </c>
      <c r="F334" s="10" t="n">
        <v>44562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Dominica_2022_January</t>
        </is>
      </c>
      <c r="B335" s="2" t="n"/>
      <c r="C335" s="3" t="inlineStr">
        <is>
          <t>SM.22.7, Sup.2</t>
        </is>
      </c>
      <c r="D335" s="4" t="inlineStr">
        <is>
          <t>Dominica</t>
        </is>
      </c>
      <c r="E335" s="4" t="inlineStr">
        <is>
          <t>DMA</t>
        </is>
      </c>
      <c r="F335" s="10" t="n">
        <v>44562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Dominica_2022_January</t>
        </is>
      </c>
      <c r="B336" s="2" t="n"/>
      <c r="C336" s="3" t="inlineStr">
        <is>
          <t>SM.22.7, Sup.2</t>
        </is>
      </c>
      <c r="D336" s="4" t="inlineStr">
        <is>
          <t>Dominica</t>
        </is>
      </c>
      <c r="E336" s="4" t="inlineStr">
        <is>
          <t>DMA</t>
        </is>
      </c>
      <c r="F336" s="10" t="n">
        <v>44562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Dominica_2022_January</t>
        </is>
      </c>
      <c r="B337" s="2" t="n"/>
      <c r="C337" s="3" t="inlineStr">
        <is>
          <t>SM.22.7, Sup.2</t>
        </is>
      </c>
      <c r="D337" s="4" t="inlineStr">
        <is>
          <t>Dominica</t>
        </is>
      </c>
      <c r="E337" s="4" t="inlineStr">
        <is>
          <t>DMA</t>
        </is>
      </c>
      <c r="F337" s="10" t="n">
        <v>44562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Dominica_2022_January</t>
        </is>
      </c>
      <c r="B338" s="2" t="n"/>
      <c r="C338" s="3" t="inlineStr">
        <is>
          <t>SM.22.7, Sup.2</t>
        </is>
      </c>
      <c r="D338" s="4" t="inlineStr">
        <is>
          <t>Dominica</t>
        </is>
      </c>
      <c r="E338" s="4" t="inlineStr">
        <is>
          <t>DMA</t>
        </is>
      </c>
      <c r="F338" s="10" t="n">
        <v>44562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Dominica_2022_January</t>
        </is>
      </c>
      <c r="B339" s="2" t="n"/>
      <c r="C339" s="3" t="inlineStr">
        <is>
          <t>SM.22.7, Sup.2</t>
        </is>
      </c>
      <c r="D339" s="4" t="inlineStr">
        <is>
          <t>Dominica</t>
        </is>
      </c>
      <c r="E339" s="4" t="inlineStr">
        <is>
          <t>DMA</t>
        </is>
      </c>
      <c r="F339" s="10" t="n">
        <v>44562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Dominica_2022_January</t>
        </is>
      </c>
      <c r="B340" s="2" t="n"/>
      <c r="C340" s="3" t="inlineStr">
        <is>
          <t>SM.22.7, Sup.2</t>
        </is>
      </c>
      <c r="D340" s="4" t="inlineStr">
        <is>
          <t>Dominica</t>
        </is>
      </c>
      <c r="E340" s="4" t="inlineStr">
        <is>
          <t>DMA</t>
        </is>
      </c>
      <c r="F340" s="10" t="n">
        <v>44562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Dominica_2022_January</t>
        </is>
      </c>
      <c r="B341" s="2" t="n"/>
      <c r="C341" s="3" t="inlineStr">
        <is>
          <t>SM.22.7, Sup.2</t>
        </is>
      </c>
      <c r="D341" s="4" t="inlineStr">
        <is>
          <t>Dominica</t>
        </is>
      </c>
      <c r="E341" s="4" t="inlineStr">
        <is>
          <t>DMA</t>
        </is>
      </c>
      <c r="F341" s="10" t="n">
        <v>44562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Dominica_2022_January</t>
        </is>
      </c>
      <c r="B342" s="2" t="n"/>
      <c r="C342" s="3" t="inlineStr">
        <is>
          <t>SM.22.7, Sup.2</t>
        </is>
      </c>
      <c r="D342" s="4" t="inlineStr">
        <is>
          <t>Dominica</t>
        </is>
      </c>
      <c r="E342" s="4" t="inlineStr">
        <is>
          <t>DMA</t>
        </is>
      </c>
      <c r="F342" s="10" t="n">
        <v>44562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Dominica_2022_January</t>
        </is>
      </c>
      <c r="B343" s="2" t="n"/>
      <c r="C343" s="3" t="inlineStr">
        <is>
          <t>SM.22.7, Sup.2</t>
        </is>
      </c>
      <c r="D343" s="4" t="inlineStr">
        <is>
          <t>Dominica</t>
        </is>
      </c>
      <c r="E343" s="4" t="inlineStr">
        <is>
          <t>DMA</t>
        </is>
      </c>
      <c r="F343" s="10" t="n">
        <v>44562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Dominica_2022_January</t>
        </is>
      </c>
      <c r="B344" s="2" t="n"/>
      <c r="C344" s="3" t="inlineStr">
        <is>
          <t>SM.22.7, Sup.2</t>
        </is>
      </c>
      <c r="D344" s="4" t="inlineStr">
        <is>
          <t>Dominica</t>
        </is>
      </c>
      <c r="E344" s="4" t="inlineStr">
        <is>
          <t>DMA</t>
        </is>
      </c>
      <c r="F344" s="10" t="n">
        <v>44562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Dominica_2022_January</t>
        </is>
      </c>
      <c r="B345" s="2" t="n"/>
      <c r="C345" s="3" t="inlineStr">
        <is>
          <t>SM.22.7, Sup.2</t>
        </is>
      </c>
      <c r="D345" s="4" t="inlineStr">
        <is>
          <t>Dominica</t>
        </is>
      </c>
      <c r="E345" s="4" t="inlineStr">
        <is>
          <t>DMA</t>
        </is>
      </c>
      <c r="F345" s="10" t="n">
        <v>44562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Dominica_2022_January</t>
        </is>
      </c>
      <c r="B346" s="2" t="n"/>
      <c r="C346" s="3" t="inlineStr">
        <is>
          <t>SM.22.7, Sup.2</t>
        </is>
      </c>
      <c r="D346" s="4" t="inlineStr">
        <is>
          <t>Dominica</t>
        </is>
      </c>
      <c r="E346" s="4" t="inlineStr">
        <is>
          <t>DMA</t>
        </is>
      </c>
      <c r="F346" s="10" t="n">
        <v>44562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Dominica_2022_January</t>
        </is>
      </c>
      <c r="B347" s="2" t="n"/>
      <c r="C347" s="3" t="inlineStr">
        <is>
          <t>SM.22.7, Sup.2</t>
        </is>
      </c>
      <c r="D347" s="4" t="inlineStr">
        <is>
          <t>Dominica</t>
        </is>
      </c>
      <c r="E347" s="4" t="inlineStr">
        <is>
          <t>DMA</t>
        </is>
      </c>
      <c r="F347" s="10" t="n">
        <v>44562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Dominica_2022_January</t>
        </is>
      </c>
      <c r="B348" s="2" t="n"/>
      <c r="C348" s="3" t="inlineStr">
        <is>
          <t>SM.22.7, Sup.2</t>
        </is>
      </c>
      <c r="D348" s="4" t="inlineStr">
        <is>
          <t>Dominica</t>
        </is>
      </c>
      <c r="E348" s="4" t="inlineStr">
        <is>
          <t>DMA</t>
        </is>
      </c>
      <c r="F348" s="10" t="n">
        <v>44562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Dominica_2022_January</t>
        </is>
      </c>
      <c r="B349" s="2" t="n"/>
      <c r="C349" s="3" t="inlineStr">
        <is>
          <t>SM.22.7, Sup.2</t>
        </is>
      </c>
      <c r="D349" s="4" t="inlineStr">
        <is>
          <t>Dominica</t>
        </is>
      </c>
      <c r="E349" s="4" t="inlineStr">
        <is>
          <t>DMA</t>
        </is>
      </c>
      <c r="F349" s="10" t="n">
        <v>44562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Dominica_2022_January</t>
        </is>
      </c>
      <c r="B350" s="2" t="n"/>
      <c r="C350" s="3" t="inlineStr">
        <is>
          <t>SM.22.7, Sup.2</t>
        </is>
      </c>
      <c r="D350" s="4" t="inlineStr">
        <is>
          <t>Dominica</t>
        </is>
      </c>
      <c r="E350" s="4" t="inlineStr">
        <is>
          <t>DMA</t>
        </is>
      </c>
      <c r="F350" s="10" t="n">
        <v>44562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Dominica_2022_January</t>
        </is>
      </c>
      <c r="B351" s="2" t="n"/>
      <c r="C351" s="3" t="inlineStr">
        <is>
          <t>SM.22.7, Sup.2</t>
        </is>
      </c>
      <c r="D351" s="4" t="inlineStr">
        <is>
          <t>Dominica</t>
        </is>
      </c>
      <c r="E351" s="4" t="inlineStr">
        <is>
          <t>DMA</t>
        </is>
      </c>
      <c r="F351" s="10" t="n">
        <v>44562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Dominica_2022_January</t>
        </is>
      </c>
      <c r="B352" s="2" t="n"/>
      <c r="C352" s="3" t="inlineStr">
        <is>
          <t>SM.22.7, Sup.2</t>
        </is>
      </c>
      <c r="D352" s="4" t="inlineStr">
        <is>
          <t>Dominica</t>
        </is>
      </c>
      <c r="E352" s="4" t="inlineStr">
        <is>
          <t>DMA</t>
        </is>
      </c>
      <c r="F352" s="10" t="n">
        <v>44562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Dominica_2022_January</t>
        </is>
      </c>
      <c r="B353" s="2" t="n"/>
      <c r="C353" s="3" t="inlineStr">
        <is>
          <t>SM.22.7, Sup.2</t>
        </is>
      </c>
      <c r="D353" s="4" t="inlineStr">
        <is>
          <t>Dominica</t>
        </is>
      </c>
      <c r="E353" s="4" t="inlineStr">
        <is>
          <t>DMA</t>
        </is>
      </c>
      <c r="F353" s="10" t="n">
        <v>44562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 held by residents</t>
        </is>
      </c>
    </row>
    <row r="354">
      <c r="A354" t="inlineStr">
        <is>
          <t>Dominica_2022_January</t>
        </is>
      </c>
      <c r="B354" s="2" t="n"/>
      <c r="C354" s="3" t="inlineStr">
        <is>
          <t>SM.22.7, Sup.2</t>
        </is>
      </c>
      <c r="D354" s="4" t="inlineStr">
        <is>
          <t>Dominica</t>
        </is>
      </c>
      <c r="E354" s="4" t="inlineStr">
        <is>
          <t>DMA</t>
        </is>
      </c>
      <c r="F354" s="10" t="n">
        <v>44562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Dominica_2022_January</t>
        </is>
      </c>
      <c r="B355" s="2" t="n"/>
      <c r="C355" s="3" t="inlineStr">
        <is>
          <t>SM.22.7, Sup.2</t>
        </is>
      </c>
      <c r="D355" s="4" t="inlineStr">
        <is>
          <t>Dominica</t>
        </is>
      </c>
      <c r="E355" s="4" t="inlineStr">
        <is>
          <t>DMA</t>
        </is>
      </c>
      <c r="F355" s="10" t="n">
        <v>44562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Dominica_2022_January</t>
        </is>
      </c>
      <c r="B356" s="2" t="n"/>
      <c r="C356" s="3" t="inlineStr">
        <is>
          <t>SM.22.7, Sup.2</t>
        </is>
      </c>
      <c r="D356" s="4" t="inlineStr">
        <is>
          <t>Dominica</t>
        </is>
      </c>
      <c r="E356" s="4" t="inlineStr">
        <is>
          <t>DMA</t>
        </is>
      </c>
      <c r="F356" s="10" t="n">
        <v>44562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Dominica_2022_January</t>
        </is>
      </c>
      <c r="B357" s="2" t="n"/>
      <c r="C357" s="3" t="inlineStr">
        <is>
          <t>SM.22.7, Sup.2</t>
        </is>
      </c>
      <c r="D357" s="4" t="inlineStr">
        <is>
          <t>Dominica</t>
        </is>
      </c>
      <c r="E357" s="4" t="inlineStr">
        <is>
          <t>DMA</t>
        </is>
      </c>
      <c r="F357" s="10" t="n">
        <v>44562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Dominica_2022_January</t>
        </is>
      </c>
      <c r="B358" s="2" t="n"/>
      <c r="C358" s="3" t="inlineStr">
        <is>
          <t>SM.22.7, Sup.2</t>
        </is>
      </c>
      <c r="D358" s="4" t="inlineStr">
        <is>
          <t>Dominica</t>
        </is>
      </c>
      <c r="E358" s="4" t="inlineStr">
        <is>
          <t>DMA</t>
        </is>
      </c>
      <c r="F358" s="10" t="n">
        <v>44562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Dominica_2022_January</t>
        </is>
      </c>
      <c r="B359" s="2" t="n"/>
      <c r="C359" s="3" t="inlineStr">
        <is>
          <t>SM.22.7, Sup.2</t>
        </is>
      </c>
      <c r="D359" s="4" t="inlineStr">
        <is>
          <t>Dominica</t>
        </is>
      </c>
      <c r="E359" s="4" t="inlineStr">
        <is>
          <t>DMA</t>
        </is>
      </c>
      <c r="F359" s="10" t="n">
        <v>44562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Dominica_2022_January</t>
        </is>
      </c>
      <c r="B360" s="2" t="n"/>
      <c r="C360" s="3" t="inlineStr">
        <is>
          <t>SM.22.7, Sup.2</t>
        </is>
      </c>
      <c r="D360" s="4" t="inlineStr">
        <is>
          <t>Dominica</t>
        </is>
      </c>
      <c r="E360" s="4" t="inlineStr">
        <is>
          <t>DMA</t>
        </is>
      </c>
      <c r="F360" s="10" t="n">
        <v>44562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Dominica_2022_January</t>
        </is>
      </c>
      <c r="B361" s="2" t="n"/>
      <c r="C361" s="3" t="inlineStr">
        <is>
          <t>SM.22.7, Sup.2</t>
        </is>
      </c>
      <c r="D361" s="4" t="inlineStr">
        <is>
          <t>Dominica</t>
        </is>
      </c>
      <c r="E361" s="4" t="inlineStr">
        <is>
          <t>DMA</t>
        </is>
      </c>
      <c r="F361" s="10" t="n">
        <v>44562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Dominica_2022_January</t>
        </is>
      </c>
      <c r="B362" s="2" t="n"/>
      <c r="C362" s="3" t="inlineStr">
        <is>
          <t>SM.22.7, Sup.2</t>
        </is>
      </c>
      <c r="D362" s="4" t="inlineStr">
        <is>
          <t>Dominica</t>
        </is>
      </c>
      <c r="E362" s="4" t="inlineStr">
        <is>
          <t>DMA</t>
        </is>
      </c>
      <c r="F362" s="10" t="n">
        <v>44562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Dominica_2022_January</t>
        </is>
      </c>
      <c r="B363" s="2" t="n"/>
      <c r="C363" s="3" t="inlineStr">
        <is>
          <t>SM.22.7, Sup.2</t>
        </is>
      </c>
      <c r="D363" s="4" t="inlineStr">
        <is>
          <t>Dominica</t>
        </is>
      </c>
      <c r="E363" s="4" t="inlineStr">
        <is>
          <t>DMA</t>
        </is>
      </c>
      <c r="F363" s="10" t="n">
        <v>44562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Dominica_2022_January</t>
        </is>
      </c>
      <c r="B364" s="2" t="n"/>
      <c r="C364" s="3" t="inlineStr">
        <is>
          <t>SM.22.7, Sup.2</t>
        </is>
      </c>
      <c r="D364" s="4" t="inlineStr">
        <is>
          <t>Dominica</t>
        </is>
      </c>
      <c r="E364" s="4" t="inlineStr">
        <is>
          <t>DMA</t>
        </is>
      </c>
      <c r="F364" s="10" t="n">
        <v>44562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Dominica_2022_January</t>
        </is>
      </c>
      <c r="B365" s="2" t="n"/>
      <c r="C365" s="3" t="inlineStr">
        <is>
          <t>SM.22.7, Sup.2</t>
        </is>
      </c>
      <c r="D365" s="4" t="inlineStr">
        <is>
          <t>Dominica</t>
        </is>
      </c>
      <c r="E365" s="4" t="inlineStr">
        <is>
          <t>DMA</t>
        </is>
      </c>
      <c r="F365" s="10" t="n">
        <v>44562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Dominica_2022_January</t>
        </is>
      </c>
      <c r="B366" s="2" t="n"/>
      <c r="C366" s="3" t="inlineStr">
        <is>
          <t>SM.22.7, Sup.2</t>
        </is>
      </c>
      <c r="D366" s="4" t="inlineStr">
        <is>
          <t>Dominica</t>
        </is>
      </c>
      <c r="E366" s="4" t="inlineStr">
        <is>
          <t>DMA</t>
        </is>
      </c>
      <c r="F366" s="10" t="n">
        <v>44562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Dominica_2022_January</t>
        </is>
      </c>
      <c r="B367" s="2" t="n"/>
      <c r="C367" s="3" t="inlineStr">
        <is>
          <t>SM.22.7, Sup.2</t>
        </is>
      </c>
      <c r="D367" s="4" t="inlineStr">
        <is>
          <t>Dominica</t>
        </is>
      </c>
      <c r="E367" s="4" t="inlineStr">
        <is>
          <t>DMA</t>
        </is>
      </c>
      <c r="F367" s="10" t="n">
        <v>44562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Dominica_2022_January</t>
        </is>
      </c>
      <c r="B368" s="2" t="n"/>
      <c r="C368" s="3" t="inlineStr">
        <is>
          <t>SM.22.7, Sup.2</t>
        </is>
      </c>
      <c r="D368" s="4" t="inlineStr">
        <is>
          <t>Dominica</t>
        </is>
      </c>
      <c r="E368" s="4" t="inlineStr">
        <is>
          <t>DMA</t>
        </is>
      </c>
      <c r="F368" s="10" t="n">
        <v>44562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Dominica_2022_January</t>
        </is>
      </c>
      <c r="B369" s="2" t="n"/>
      <c r="C369" s="3" t="inlineStr">
        <is>
          <t>SM.22.7, Sup.2</t>
        </is>
      </c>
      <c r="D369" s="4" t="inlineStr">
        <is>
          <t>Dominica</t>
        </is>
      </c>
      <c r="E369" s="4" t="inlineStr">
        <is>
          <t>DMA</t>
        </is>
      </c>
      <c r="F369" s="10" t="n">
        <v>44562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Dominica_2022_January</t>
        </is>
      </c>
      <c r="B370" s="2" t="n"/>
      <c r="C370" s="3" t="inlineStr">
        <is>
          <t>SM.22.7, Sup.2</t>
        </is>
      </c>
      <c r="D370" s="4" t="inlineStr">
        <is>
          <t>Dominica</t>
        </is>
      </c>
      <c r="E370" s="4" t="inlineStr">
        <is>
          <t>DMA</t>
        </is>
      </c>
      <c r="F370" s="10" t="n">
        <v>44562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Dominica_2022_January</t>
        </is>
      </c>
      <c r="B371" s="2" t="n"/>
      <c r="C371" s="3" t="inlineStr">
        <is>
          <t>SM.22.7, Sup.2</t>
        </is>
      </c>
      <c r="D371" s="4" t="inlineStr">
        <is>
          <t>Dominica</t>
        </is>
      </c>
      <c r="E371" s="4" t="inlineStr">
        <is>
          <t>DMA</t>
        </is>
      </c>
      <c r="F371" s="10" t="n">
        <v>44562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271.3354988793758</v>
      </c>
      <c r="O371" t="n">
        <v>278.3505931516502</v>
      </c>
      <c r="P371" t="n">
        <v>293.8270493457027</v>
      </c>
      <c r="Q371" t="n">
        <v>301.8497390591319</v>
      </c>
      <c r="R371" t="n">
        <v>307.1798741932362</v>
      </c>
      <c r="S371" t="n">
        <v>315.0260753137392</v>
      </c>
      <c r="T371" t="n">
        <v>326.4886760159853</v>
      </c>
      <c r="U371" t="n">
        <v>335.4194084891503</v>
      </c>
      <c r="V371" t="n">
        <v>338.1795694742005</v>
      </c>
      <c r="W371" t="n">
        <v>336.3117511265816</v>
      </c>
      <c r="X371" t="n">
        <v>333.4987317807638</v>
      </c>
      <c r="Y371" t="n">
        <v>332.3659473864898</v>
      </c>
      <c r="Z371" t="n">
        <v>331.1280523416192</v>
      </c>
      <c r="AA371" t="n">
        <v>323.3821214052327</v>
      </c>
      <c r="AB371" t="n">
        <v>314.4166369881259</v>
      </c>
      <c r="AC371" t="n">
        <v>311.111192588595</v>
      </c>
      <c r="AD371" t="n">
        <v>305.8634994094299</v>
      </c>
      <c r="AE371" t="n">
        <v>302.5335323424582</v>
      </c>
      <c r="AF371" t="n">
        <v>298.8492148119431</v>
      </c>
      <c r="AG371" t="n">
        <v>296.7157938288074</v>
      </c>
      <c r="AH371" t="n">
        <v>294.3865926560195</v>
      </c>
      <c r="AI371" t="n">
        <v>289.9824294134648</v>
      </c>
      <c r="BI371" t="inlineStr">
        <is>
          <t>PV_D_TOT</t>
        </is>
      </c>
    </row>
    <row r="372">
      <c r="A372" t="inlineStr">
        <is>
          <t>Dominica_2022_January</t>
        </is>
      </c>
      <c r="B372" s="2" t="n"/>
      <c r="C372" s="3" t="inlineStr">
        <is>
          <t>SM.22.7, Sup.2</t>
        </is>
      </c>
      <c r="D372" s="4" t="inlineStr">
        <is>
          <t>Dominica</t>
        </is>
      </c>
      <c r="E372" s="4" t="inlineStr">
        <is>
          <t>DMA</t>
        </is>
      </c>
      <c r="F372" s="10" t="n">
        <v>44562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Dominica_2022_January</t>
        </is>
      </c>
      <c r="B373" s="2" t="n"/>
      <c r="C373" s="3" t="inlineStr">
        <is>
          <t>SM.22.7, Sup.2</t>
        </is>
      </c>
      <c r="D373" s="4" t="inlineStr">
        <is>
          <t>Dominica</t>
        </is>
      </c>
      <c r="E373" s="4" t="inlineStr">
        <is>
          <t>DMA</t>
        </is>
      </c>
      <c r="F373" s="10" t="n">
        <v>44562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5.684341886080801e-14</v>
      </c>
      <c r="P373" t="n">
        <v>0</v>
      </c>
      <c r="Q373" t="n">
        <v>0</v>
      </c>
      <c r="R373" t="n">
        <v>0</v>
      </c>
      <c r="S373" t="n">
        <v>2.842170943040401e-14</v>
      </c>
      <c r="T373" t="n">
        <v>0</v>
      </c>
      <c r="U373" t="n">
        <v>2.842170943040401e-14</v>
      </c>
      <c r="V373" t="n">
        <v>-2.842170943040401e-14</v>
      </c>
      <c r="W373" t="n">
        <v>5.684341886080801e-14</v>
      </c>
      <c r="X373" t="n">
        <v>-5.684341886080801e-14</v>
      </c>
      <c r="Y373" t="n">
        <v>-5.684341886080801e-14</v>
      </c>
      <c r="Z373" t="n">
        <v>-5.684341886080801e-14</v>
      </c>
      <c r="AA373" t="n">
        <v>-5.684341886080801e-14</v>
      </c>
      <c r="AB373" t="n">
        <v>0</v>
      </c>
      <c r="AC373" t="n">
        <v>-2.842170943040401e-14</v>
      </c>
      <c r="AD373" t="n">
        <v>-5.684341886080801e-14</v>
      </c>
      <c r="AE373" t="n">
        <v>-1.4210854715202e-14</v>
      </c>
      <c r="AF373" t="n">
        <v>5.684341886080801e-14</v>
      </c>
      <c r="AG373" t="n">
        <v>-5.684341886080801e-14</v>
      </c>
      <c r="AH373" t="n">
        <v>-4.263256414560601e-14</v>
      </c>
      <c r="AI373" t="n">
        <v>-4.263256414560601e-14</v>
      </c>
    </row>
    <row r="374">
      <c r="A374" t="inlineStr">
        <is>
          <t>Dominica_2022_January</t>
        </is>
      </c>
      <c r="B374" s="2" t="n"/>
      <c r="C374" s="3" t="inlineStr">
        <is>
          <t>SM.22.7, Sup.2</t>
        </is>
      </c>
      <c r="D374" s="4" t="inlineStr">
        <is>
          <t>Dominica</t>
        </is>
      </c>
      <c r="E374" s="4" t="inlineStr">
        <is>
          <t>DMA</t>
        </is>
      </c>
      <c r="F374" s="10" t="n">
        <v>44562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23.43446151028682</v>
      </c>
      <c r="O374" t="n">
        <v>24.44857049471105</v>
      </c>
      <c r="P374" t="n">
        <v>34.78438807592076</v>
      </c>
      <c r="Q374" t="n">
        <v>35.36037369301911</v>
      </c>
      <c r="R374" t="n">
        <v>34.90765667164627</v>
      </c>
      <c r="S374" t="n">
        <v>31.39155298942041</v>
      </c>
      <c r="T374" t="n">
        <v>29.14041911515431</v>
      </c>
      <c r="U374" t="n">
        <v>27.38161032322898</v>
      </c>
      <c r="V374" t="n">
        <v>27.63210715348762</v>
      </c>
      <c r="W374" t="n">
        <v>27.61372712373993</v>
      </c>
      <c r="X374" t="n">
        <v>27.60479219792647</v>
      </c>
      <c r="Y374" t="n">
        <v>26.26524994390492</v>
      </c>
      <c r="Z374" t="n">
        <v>25.80454181746188</v>
      </c>
      <c r="AA374" t="n">
        <v>32.39929971792585</v>
      </c>
      <c r="AB374" t="n">
        <v>33.26590628111301</v>
      </c>
      <c r="AC374" t="n">
        <v>27.44087923049749</v>
      </c>
      <c r="AD374" t="n">
        <v>29.57026680913664</v>
      </c>
      <c r="AE374" t="n">
        <v>27.85224704157642</v>
      </c>
      <c r="AF374" t="n">
        <v>28.74670099608505</v>
      </c>
      <c r="AG374" t="n">
        <v>27.34323106039348</v>
      </c>
      <c r="AH374" t="n">
        <v>27.72233868987927</v>
      </c>
      <c r="AI374" t="n">
        <v>30.09390718627855</v>
      </c>
      <c r="BI374" t="inlineStr">
        <is>
          <t>DS_TOT</t>
        </is>
      </c>
    </row>
    <row r="375">
      <c r="A375" t="inlineStr">
        <is>
          <t>Dominica_2022_January</t>
        </is>
      </c>
      <c r="B375" s="2" t="n"/>
      <c r="C375" s="3" t="inlineStr">
        <is>
          <t>SM.22.7, Sup.2</t>
        </is>
      </c>
      <c r="D375" s="4" t="inlineStr">
        <is>
          <t>Dominica</t>
        </is>
      </c>
      <c r="E375" s="4" t="inlineStr">
        <is>
          <t>DMA</t>
        </is>
      </c>
      <c r="F375" s="10" t="n">
        <v>44562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15.90536222222222</v>
      </c>
      <c r="O375" t="n">
        <v>17.89457247629811</v>
      </c>
      <c r="P375" t="n">
        <v>28.45380132692422</v>
      </c>
      <c r="Q375" t="n">
        <v>28.43047993648263</v>
      </c>
      <c r="R375" t="n">
        <v>27.80277092205833</v>
      </c>
      <c r="S375" t="n">
        <v>24.60878870925355</v>
      </c>
      <c r="T375" t="n">
        <v>22.82195708334333</v>
      </c>
      <c r="U375" t="n">
        <v>21.19555065191686</v>
      </c>
      <c r="V375" t="n">
        <v>20.73035802813283</v>
      </c>
      <c r="W375" t="n">
        <v>20.34417364848508</v>
      </c>
      <c r="X375" t="n">
        <v>20.63367961469449</v>
      </c>
      <c r="Y375" t="n">
        <v>19.84504238531606</v>
      </c>
      <c r="Z375" t="n">
        <v>18.43686701321143</v>
      </c>
      <c r="AA375" t="n">
        <v>20.40843350076048</v>
      </c>
      <c r="AB375" t="n">
        <v>21.44329592412855</v>
      </c>
      <c r="AC375" t="n">
        <v>22.12725470395896</v>
      </c>
      <c r="AD375" t="n">
        <v>22.76988750134626</v>
      </c>
      <c r="AE375" t="n">
        <v>23.65836862399097</v>
      </c>
      <c r="AF375" t="n">
        <v>23.39503007364609</v>
      </c>
      <c r="AG375" t="n">
        <v>21.60647455625649</v>
      </c>
      <c r="AH375" t="n">
        <v>22.18731147520968</v>
      </c>
      <c r="AI375" t="n">
        <v>22.78743432279753</v>
      </c>
      <c r="BI375" t="inlineStr">
        <is>
          <t>DS_TOT_P</t>
        </is>
      </c>
    </row>
    <row r="376">
      <c r="A376" t="inlineStr">
        <is>
          <t>Dominica_2022_January</t>
        </is>
      </c>
      <c r="B376" s="2" t="n"/>
      <c r="C376" s="3" t="inlineStr">
        <is>
          <t>SM.22.7, Sup.2</t>
        </is>
      </c>
      <c r="D376" s="4" t="inlineStr">
        <is>
          <t>Dominica</t>
        </is>
      </c>
      <c r="E376" s="4" t="inlineStr">
        <is>
          <t>DMA</t>
        </is>
      </c>
      <c r="F376" s="10" t="n">
        <v>44562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7.529099288064597</v>
      </c>
      <c r="O376" t="n">
        <v>6.55399801841294</v>
      </c>
      <c r="P376" t="n">
        <v>6.330586748996534</v>
      </c>
      <c r="Q376" t="n">
        <v>6.929893756536485</v>
      </c>
      <c r="R376" t="n">
        <v>7.104885749587933</v>
      </c>
      <c r="S376" t="n">
        <v>6.782764280166862</v>
      </c>
      <c r="T376" t="n">
        <v>6.318462031810975</v>
      </c>
      <c r="U376" t="n">
        <v>6.186059671312127</v>
      </c>
      <c r="V376" t="n">
        <v>6.901749125354787</v>
      </c>
      <c r="W376" t="n">
        <v>7.269553475254851</v>
      </c>
      <c r="X376" t="n">
        <v>6.971112583231977</v>
      </c>
      <c r="Y376" t="n">
        <v>6.420207558588862</v>
      </c>
      <c r="Z376" t="n">
        <v>7.367674804250449</v>
      </c>
      <c r="AA376" t="n">
        <v>11.99086621716537</v>
      </c>
      <c r="AB376" t="n">
        <v>11.82261035698446</v>
      </c>
      <c r="AC376" t="n">
        <v>5.313624526538527</v>
      </c>
      <c r="AD376" t="n">
        <v>6.800379307790376</v>
      </c>
      <c r="AE376" t="n">
        <v>4.193878417585453</v>
      </c>
      <c r="AF376" t="n">
        <v>5.351670922438965</v>
      </c>
      <c r="AG376" t="n">
        <v>5.736756504136991</v>
      </c>
      <c r="AH376" t="n">
        <v>5.535027214669594</v>
      </c>
      <c r="AI376" t="n">
        <v>7.306472863481021</v>
      </c>
      <c r="BI376" t="inlineStr">
        <is>
          <t>DS_TOT_I</t>
        </is>
      </c>
    </row>
    <row r="377">
      <c r="A377" t="inlineStr">
        <is>
          <t>Dominica_2022_January</t>
        </is>
      </c>
      <c r="B377" s="2" t="n"/>
      <c r="C377" s="3" t="inlineStr">
        <is>
          <t>SM.22.7, Sup.2</t>
        </is>
      </c>
      <c r="D377" s="4" t="inlineStr">
        <is>
          <t>Dominica</t>
        </is>
      </c>
      <c r="E377" s="4" t="inlineStr">
        <is>
          <t>DMA</t>
        </is>
      </c>
      <c r="F377" s="10" t="n">
        <v>44562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Dominica_2022_January</t>
        </is>
      </c>
      <c r="B378" s="2" t="n"/>
      <c r="C378" s="3" t="inlineStr">
        <is>
          <t>SM.22.7, Sup.2</t>
        </is>
      </c>
      <c r="D378" s="4" t="inlineStr">
        <is>
          <t>Dominica</t>
        </is>
      </c>
      <c r="E378" s="4" t="inlineStr">
        <is>
          <t>DMA</t>
        </is>
      </c>
      <c r="F378" s="10" t="n">
        <v>44562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375.034355363731</v>
      </c>
      <c r="O378" t="n">
        <v>393.4322952474786</v>
      </c>
      <c r="P378" t="n">
        <v>443.3386997544062</v>
      </c>
      <c r="Q378" t="n">
        <v>476.0636982476398</v>
      </c>
      <c r="R378" t="n">
        <v>501.6221056100459</v>
      </c>
      <c r="S378" t="n">
        <v>527.6804577211024</v>
      </c>
      <c r="T378" t="n">
        <v>557.5959876401378</v>
      </c>
      <c r="U378" t="n">
        <v>578.2306728674749</v>
      </c>
      <c r="V378" t="n">
        <v>585.1081655738732</v>
      </c>
      <c r="W378" t="n">
        <v>581.6684635754452</v>
      </c>
      <c r="X378" t="n">
        <v>575.9345598307129</v>
      </c>
      <c r="Y378" t="n">
        <v>571.9159773036629</v>
      </c>
      <c r="Z378" t="n">
        <v>568.1186111582481</v>
      </c>
      <c r="AA378" t="n">
        <v>562.6134144746434</v>
      </c>
      <c r="AB378" t="n">
        <v>556.0596057807645</v>
      </c>
      <c r="AC378" t="n">
        <v>549.3113241565235</v>
      </c>
      <c r="AD378" t="n">
        <v>542.5423001038698</v>
      </c>
      <c r="AE378" t="n">
        <v>535.7198979561466</v>
      </c>
      <c r="AF378" t="n">
        <v>530.4761845564251</v>
      </c>
      <c r="AG378" t="n">
        <v>527.5864858753669</v>
      </c>
      <c r="AH378" t="n">
        <v>524.6157050392923</v>
      </c>
      <c r="AI378" t="n">
        <v>521.796137141716</v>
      </c>
    </row>
    <row r="379">
      <c r="A379" t="inlineStr">
        <is>
          <t>Dominica_2022_January</t>
        </is>
      </c>
      <c r="B379" s="2" t="n"/>
      <c r="C379" s="3" t="inlineStr">
        <is>
          <t>SM.22.7, Sup.2</t>
        </is>
      </c>
      <c r="D379" s="4" t="inlineStr">
        <is>
          <t>Dominica</t>
        </is>
      </c>
      <c r="E379" s="4" t="inlineStr">
        <is>
          <t>DMA</t>
        </is>
      </c>
      <c r="F379" s="10" t="n">
        <v>44562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375.034355363731</v>
      </c>
      <c r="O379" t="n">
        <v>393.4322952474786</v>
      </c>
      <c r="P379" t="n">
        <v>443.3386997544062</v>
      </c>
      <c r="Q379" t="n">
        <v>476.0636982476398</v>
      </c>
      <c r="R379" t="n">
        <v>501.6221056100459</v>
      </c>
      <c r="S379" t="n">
        <v>527.6804577211024</v>
      </c>
      <c r="T379" t="n">
        <v>557.5959876401378</v>
      </c>
      <c r="U379" t="n">
        <v>578.2306728674751</v>
      </c>
      <c r="V379" t="n">
        <v>585.1081655738732</v>
      </c>
      <c r="W379" t="n">
        <v>581.6684635754451</v>
      </c>
      <c r="X379" t="n">
        <v>575.9345598307129</v>
      </c>
      <c r="Y379" t="n">
        <v>571.9159773036629</v>
      </c>
      <c r="Z379" t="n">
        <v>568.1186111582482</v>
      </c>
      <c r="AA379" t="n">
        <v>562.6134144746434</v>
      </c>
      <c r="AB379" t="n">
        <v>556.0596057807644</v>
      </c>
      <c r="AC379" t="n">
        <v>549.3113241565235</v>
      </c>
      <c r="AD379" t="n">
        <v>542.5423001038698</v>
      </c>
      <c r="AE379" t="n">
        <v>535.7198979561465</v>
      </c>
      <c r="AF379" t="n">
        <v>530.4761845564251</v>
      </c>
      <c r="AG379" t="n">
        <v>527.586485875367</v>
      </c>
      <c r="AH379" t="n">
        <v>524.6157050392924</v>
      </c>
      <c r="AI379" t="n">
        <v>521.796137141716</v>
      </c>
    </row>
    <row r="380">
      <c r="A380" t="inlineStr">
        <is>
          <t>Dominica_2022_January</t>
        </is>
      </c>
      <c r="B380" s="2" t="n"/>
      <c r="C380" s="3" t="inlineStr">
        <is>
          <t>SM.22.7, Sup.2</t>
        </is>
      </c>
      <c r="D380" s="4" t="inlineStr">
        <is>
          <t>Dominica</t>
        </is>
      </c>
      <c r="E380" s="4" t="inlineStr">
        <is>
          <t>DMA</t>
        </is>
      </c>
      <c r="F380" s="10" t="n">
        <v>44562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Dominica_2022_January</t>
        </is>
      </c>
      <c r="B381" s="2" t="n"/>
      <c r="C381" s="3" t="inlineStr">
        <is>
          <t>SM.22.7, Sup.2</t>
        </is>
      </c>
      <c r="D381" s="4" t="inlineStr">
        <is>
          <t>Dominica</t>
        </is>
      </c>
      <c r="E381" s="4" t="inlineStr">
        <is>
          <t>DMA</t>
        </is>
      </c>
      <c r="F381" s="10" t="n">
        <v>44562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Dominica_2022_January</t>
        </is>
      </c>
      <c r="B382" s="2" t="n"/>
      <c r="C382" s="3" t="inlineStr">
        <is>
          <t>SM.22.7, Sup.2</t>
        </is>
      </c>
      <c r="D382" s="4" t="inlineStr">
        <is>
          <t>Dominica</t>
        </is>
      </c>
      <c r="E382" s="4" t="inlineStr">
        <is>
          <t>DMA</t>
        </is>
      </c>
      <c r="F382" s="10" t="n">
        <v>44562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2.7</v>
      </c>
      <c r="O382" t="n">
        <v>2.7</v>
      </c>
      <c r="P382" t="n">
        <v>2.7</v>
      </c>
      <c r="Q382" t="n">
        <v>2.7</v>
      </c>
      <c r="R382" t="n">
        <v>2.7</v>
      </c>
      <c r="S382" t="n">
        <v>2.7</v>
      </c>
      <c r="T382" t="n">
        <v>2.7</v>
      </c>
      <c r="U382" t="n">
        <v>2.7</v>
      </c>
      <c r="V382" t="n">
        <v>2.7</v>
      </c>
      <c r="W382" t="n">
        <v>2.7</v>
      </c>
      <c r="X382" t="n">
        <v>2.7</v>
      </c>
      <c r="Y382" t="n">
        <v>2.7</v>
      </c>
      <c r="Z382" t="n">
        <v>2.7</v>
      </c>
      <c r="AA382" t="n">
        <v>2.7</v>
      </c>
      <c r="AB382" t="n">
        <v>2.7</v>
      </c>
      <c r="AC382" t="n">
        <v>2.7</v>
      </c>
      <c r="AD382" t="n">
        <v>2.7</v>
      </c>
      <c r="AE382" t="n">
        <v>2.7</v>
      </c>
      <c r="AF382" t="n">
        <v>2.7</v>
      </c>
      <c r="AG382" t="n">
        <v>2.7</v>
      </c>
      <c r="AH382" t="n">
        <v>2.7</v>
      </c>
      <c r="AI382" t="n">
        <v>2.7</v>
      </c>
    </row>
    <row r="383">
      <c r="A383" t="inlineStr">
        <is>
          <t>Dominica_2022_January</t>
        </is>
      </c>
      <c r="B383" s="2" t="n"/>
      <c r="C383" s="3" t="inlineStr">
        <is>
          <t>SM.22.7, Sup.2</t>
        </is>
      </c>
      <c r="D383" s="4" t="inlineStr">
        <is>
          <t>Dominica</t>
        </is>
      </c>
      <c r="E383" s="4" t="inlineStr">
        <is>
          <t>DMA</t>
        </is>
      </c>
      <c r="F383" s="10" t="n">
        <v>44562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2.7</v>
      </c>
      <c r="O383" t="n">
        <v>2.7</v>
      </c>
      <c r="P383" t="n">
        <v>2.7</v>
      </c>
      <c r="Q383" t="n">
        <v>2.7</v>
      </c>
      <c r="R383" t="n">
        <v>2.7</v>
      </c>
      <c r="S383" t="n">
        <v>2.7</v>
      </c>
      <c r="T383" t="n">
        <v>2.7</v>
      </c>
      <c r="U383" t="n">
        <v>2.7</v>
      </c>
      <c r="V383" t="n">
        <v>2.7</v>
      </c>
      <c r="W383" t="n">
        <v>2.7</v>
      </c>
      <c r="X383" t="n">
        <v>2.7</v>
      </c>
      <c r="Y383" t="n">
        <v>2.7</v>
      </c>
      <c r="Z383" t="n">
        <v>2.7</v>
      </c>
      <c r="AA383" t="n">
        <v>2.7</v>
      </c>
      <c r="AB383" t="n">
        <v>2.7</v>
      </c>
      <c r="AC383" t="n">
        <v>2.7</v>
      </c>
      <c r="AD383" t="n">
        <v>2.7</v>
      </c>
      <c r="AE383" t="n">
        <v>2.7</v>
      </c>
      <c r="AF383" t="n">
        <v>2.7</v>
      </c>
      <c r="AG383" t="n">
        <v>2.7</v>
      </c>
      <c r="AH383" t="n">
        <v>2.7</v>
      </c>
      <c r="AI383" t="n">
        <v>2.7</v>
      </c>
    </row>
    <row r="384">
      <c r="A384" t="inlineStr">
        <is>
          <t>Dominica_2022_January</t>
        </is>
      </c>
      <c r="B384" s="2" t="n"/>
      <c r="C384" s="3" t="inlineStr">
        <is>
          <t>SM.22.7, Sup.2</t>
        </is>
      </c>
      <c r="D384" s="4" t="inlineStr">
        <is>
          <t>Dominica</t>
        </is>
      </c>
      <c r="E384" s="4" t="inlineStr">
        <is>
          <t>DMA</t>
        </is>
      </c>
      <c r="F384" s="10" t="n">
        <v>44562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Dominica_2022_January</t>
        </is>
      </c>
      <c r="B385" s="2" t="n"/>
      <c r="C385" s="3" t="inlineStr">
        <is>
          <t>SM.22.7, Sup.2</t>
        </is>
      </c>
      <c r="D385" s="4" t="inlineStr">
        <is>
          <t>Dominica</t>
        </is>
      </c>
      <c r="E385" s="4" t="inlineStr">
        <is>
          <t>DMA</t>
        </is>
      </c>
      <c r="F385" s="10" t="n">
        <v>44562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Dominica_2022_January</t>
        </is>
      </c>
      <c r="B386" s="2" t="n"/>
      <c r="C386" s="3" t="inlineStr">
        <is>
          <t>SM.22.7, Sup.2</t>
        </is>
      </c>
      <c r="D386" s="4" t="inlineStr">
        <is>
          <t>Dominica</t>
        </is>
      </c>
      <c r="E386" s="4" t="inlineStr">
        <is>
          <t>DMA</t>
        </is>
      </c>
      <c r="F386" s="10" t="n">
        <v>44562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Dominica_2022_January</t>
        </is>
      </c>
      <c r="B387" s="2" t="n"/>
      <c r="C387" s="3" t="inlineStr">
        <is>
          <t>SM.22.7, Sup.2</t>
        </is>
      </c>
      <c r="D387" s="4" t="inlineStr">
        <is>
          <t>Dominica</t>
        </is>
      </c>
      <c r="E387" s="4" t="inlineStr">
        <is>
          <t>DMA</t>
        </is>
      </c>
      <c r="F387" s="10" t="n">
        <v>44562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17.89688982301665</v>
      </c>
      <c r="P387" t="n">
        <v>36.34331461239061</v>
      </c>
      <c r="Q387" t="n">
        <v>28.69171093916321</v>
      </c>
      <c r="R387" t="n">
        <v>25.14530485279399</v>
      </c>
      <c r="S387" t="n">
        <v>23.87876040026166</v>
      </c>
      <c r="T387" t="n">
        <v>24.85171605171337</v>
      </c>
      <c r="U387" t="n">
        <v>19.98790899559473</v>
      </c>
      <c r="V387" t="n">
        <v>13.62129771408028</v>
      </c>
      <c r="W387" t="n">
        <v>8.836930302411</v>
      </c>
      <c r="X387" t="n">
        <v>7.976185295779532</v>
      </c>
      <c r="Y387" t="n">
        <v>8.457528960592676</v>
      </c>
      <c r="Z387" t="n">
        <v>7.948349403266783</v>
      </c>
      <c r="AA387" t="n">
        <v>8.096966164458411</v>
      </c>
      <c r="AB387" t="n">
        <v>8.131315793744594</v>
      </c>
      <c r="AC387" t="n">
        <v>8.414602981560268</v>
      </c>
      <c r="AD387" t="n">
        <v>8.767014000541856</v>
      </c>
      <c r="AE387" t="n">
        <v>9.229105004133132</v>
      </c>
      <c r="AF387" t="n">
        <v>9.935706848446898</v>
      </c>
      <c r="AG387" t="n">
        <v>10.26734933666071</v>
      </c>
      <c r="AH387" t="n">
        <v>10.55734782565098</v>
      </c>
      <c r="AI387" t="n">
        <v>10.97041431092281</v>
      </c>
      <c r="BI387" t="inlineStr">
        <is>
          <t>PV_NEW_DIS_GE</t>
        </is>
      </c>
    </row>
    <row r="388">
      <c r="A388" t="inlineStr">
        <is>
          <t>Dominica_2022_January</t>
        </is>
      </c>
      <c r="B388" s="2" t="n"/>
      <c r="C388" s="3" t="inlineStr">
        <is>
          <t>SM.22.7, Sup.2</t>
        </is>
      </c>
      <c r="D388" s="4" t="inlineStr">
        <is>
          <t>Dominica</t>
        </is>
      </c>
      <c r="E388" s="4" t="inlineStr">
        <is>
          <t>DMA</t>
        </is>
      </c>
      <c r="F388" s="10" t="n">
        <v>44562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50.68710139031518</v>
      </c>
      <c r="P388" t="n">
        <v>53.62018996038654</v>
      </c>
      <c r="Q388" t="n">
        <v>53.08398907852946</v>
      </c>
      <c r="R388" t="n">
        <v>52.87715590021977</v>
      </c>
      <c r="S388" t="n">
        <v>52.87130867528681</v>
      </c>
      <c r="T388" t="n">
        <v>52.87656377977883</v>
      </c>
      <c r="U388" t="n">
        <v>52.21659984588356</v>
      </c>
      <c r="V388" t="n">
        <v>50.66150623219961</v>
      </c>
      <c r="W388" t="n">
        <v>47.72430345445773</v>
      </c>
      <c r="X388" t="n">
        <v>46.46774981455022</v>
      </c>
      <c r="Y388" t="n">
        <v>46.56082891351454</v>
      </c>
      <c r="Z388" t="n">
        <v>45.70614479929986</v>
      </c>
      <c r="AA388" t="n">
        <v>45.66974769442279</v>
      </c>
      <c r="AB388" t="n">
        <v>45.3888796302875</v>
      </c>
      <c r="AC388" t="n">
        <v>45.28501390864929</v>
      </c>
      <c r="AD388" t="n">
        <v>45.20911931625682</v>
      </c>
      <c r="AE388" t="n">
        <v>45.18220847527417</v>
      </c>
      <c r="AF388" t="n">
        <v>45.26178443726823</v>
      </c>
      <c r="AG388" t="n">
        <v>45.14360055854491</v>
      </c>
      <c r="AH388" t="n">
        <v>45.06111418389652</v>
      </c>
      <c r="AI388" t="n">
        <v>45.05965696432074</v>
      </c>
      <c r="BI388" t="inlineStr">
        <is>
          <t>NEW_DIS_GE_PCT</t>
        </is>
      </c>
    </row>
    <row r="389">
      <c r="A389" t="inlineStr">
        <is>
          <t>Dominica_2022_January</t>
        </is>
      </c>
      <c r="B389" s="2" t="n"/>
      <c r="C389" s="3" t="inlineStr">
        <is>
          <t>SM.22.7, Sup.2</t>
        </is>
      </c>
      <c r="D389" s="4" t="inlineStr">
        <is>
          <t>Dominica</t>
        </is>
      </c>
      <c r="E389" s="4" t="inlineStr">
        <is>
          <t>DMA</t>
        </is>
      </c>
      <c r="F389" s="10" t="n">
        <v>44562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18.39562253702901</v>
      </c>
      <c r="P389" t="n">
        <v>42.01689122146129</v>
      </c>
      <c r="Q389" t="n">
        <v>32.46376749055298</v>
      </c>
      <c r="R389" t="n">
        <v>28.21587343167051</v>
      </c>
      <c r="S389" t="n">
        <v>26.78838042004836</v>
      </c>
      <c r="T389" t="n">
        <v>27.88577095066536</v>
      </c>
      <c r="U389" t="n">
        <v>21.84232688365928</v>
      </c>
      <c r="V389" t="n">
        <v>13.98655302045085</v>
      </c>
      <c r="W389" t="n">
        <v>8.067541347645964</v>
      </c>
      <c r="X389" t="n">
        <v>6.923590574182836</v>
      </c>
      <c r="Y389" t="n">
        <v>7.368930897673257</v>
      </c>
      <c r="Z389" t="n">
        <v>6.691151464529923</v>
      </c>
      <c r="AA389" t="n">
        <v>6.806270652697371</v>
      </c>
      <c r="AB389" t="n">
        <v>6.75817143650503</v>
      </c>
      <c r="AC389" t="n">
        <v>6.964370098157722</v>
      </c>
      <c r="AD389" t="n">
        <v>7.233849448150779</v>
      </c>
      <c r="AE389" t="n">
        <v>7.606861472134523</v>
      </c>
      <c r="AF389" t="n">
        <v>8.215609825477657</v>
      </c>
      <c r="AG389" t="n">
        <v>8.449426538537644</v>
      </c>
      <c r="AH389" t="n">
        <v>8.659182813484131</v>
      </c>
      <c r="AI389" t="n">
        <v>8.997452114298493</v>
      </c>
      <c r="BI389" t="inlineStr">
        <is>
          <t>NEW_DIS_GE_USD</t>
        </is>
      </c>
    </row>
    <row r="390">
      <c r="A390" t="inlineStr">
        <is>
          <t>Dominica_2022_January</t>
        </is>
      </c>
      <c r="B390" s="2" t="n"/>
      <c r="C390" s="3" t="inlineStr">
        <is>
          <t>SM.22.7, Sup.2</t>
        </is>
      </c>
      <c r="D390" s="4" t="inlineStr">
        <is>
          <t>Dominica</t>
        </is>
      </c>
      <c r="E390" s="4" t="inlineStr">
        <is>
          <t>DMA</t>
        </is>
      </c>
      <c r="F390" s="10" t="n">
        <v>44562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</v>
      </c>
      <c r="R390" t="n">
        <v>5.000000000000001</v>
      </c>
      <c r="S390" t="n">
        <v>5.000000000000001</v>
      </c>
      <c r="T390" t="n">
        <v>5</v>
      </c>
      <c r="U390" t="n">
        <v>5.000000000000001</v>
      </c>
      <c r="V390" t="n">
        <v>5</v>
      </c>
      <c r="W390" t="n">
        <v>5</v>
      </c>
      <c r="X390" t="n">
        <v>5</v>
      </c>
      <c r="Y390" t="n">
        <v>5.000000000000002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Dominica_2022_January</t>
        </is>
      </c>
      <c r="B391" s="2" t="n"/>
      <c r="C391" s="3" t="inlineStr">
        <is>
          <t>SM.22.7, Sup.2</t>
        </is>
      </c>
      <c r="D391" s="4" t="inlineStr">
        <is>
          <t>Dominica</t>
        </is>
      </c>
      <c r="E391" s="4" t="inlineStr">
        <is>
          <t>DMA</t>
        </is>
      </c>
      <c r="F391" s="10" t="n">
        <v>44562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Dominica_2022_January</t>
        </is>
      </c>
      <c r="B392" s="2" t="n"/>
      <c r="C392" s="3" t="inlineStr">
        <is>
          <t>SM.22.7, Sup.2</t>
        </is>
      </c>
      <c r="D392" s="4" t="inlineStr">
        <is>
          <t>Dominica</t>
        </is>
      </c>
      <c r="E392" s="4" t="inlineStr">
        <is>
          <t>DMA</t>
        </is>
      </c>
      <c r="F392" s="10" t="n">
        <v>44562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Dominica_2022_January</t>
        </is>
      </c>
      <c r="B393" s="2" t="n"/>
      <c r="C393" s="3" t="inlineStr">
        <is>
          <t>SM.22.7, Sup.2</t>
        </is>
      </c>
      <c r="D393" s="4" t="inlineStr">
        <is>
          <t>Dominica</t>
        </is>
      </c>
      <c r="E393" s="4" t="inlineStr">
        <is>
          <t>DMA</t>
        </is>
      </c>
      <c r="F393" s="10" t="n">
        <v>44562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Dominica_2022_January</t>
        </is>
      </c>
      <c r="B394" s="2" t="n"/>
      <c r="C394" s="3" t="inlineStr">
        <is>
          <t>SM.22.7, Sup.2</t>
        </is>
      </c>
      <c r="D394" s="4" t="inlineStr">
        <is>
          <t>Dominica</t>
        </is>
      </c>
      <c r="E394" s="4" t="inlineStr">
        <is>
          <t>DMA</t>
        </is>
      </c>
      <c r="F394" s="10" t="n">
        <v>44562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Dominica_2022_January</t>
        </is>
      </c>
      <c r="B395" s="2" t="n"/>
      <c r="C395" s="3" t="inlineStr">
        <is>
          <t>SM.22.7, Sup.2</t>
        </is>
      </c>
      <c r="D395" s="4" t="inlineStr">
        <is>
          <t>Dominica</t>
        </is>
      </c>
      <c r="E395" s="4" t="inlineStr">
        <is>
          <t>DMA</t>
        </is>
      </c>
      <c r="F395" s="10" t="n">
        <v>44562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Dominica_2022_January</t>
        </is>
      </c>
      <c r="B396" s="2" t="n"/>
      <c r="C396" s="3" t="inlineStr">
        <is>
          <t>SM.22.7, Sup.2</t>
        </is>
      </c>
      <c r="D396" s="4" t="inlineStr">
        <is>
          <t>Dominica</t>
        </is>
      </c>
      <c r="E396" s="4" t="inlineStr">
        <is>
          <t>DMA</t>
        </is>
      </c>
      <c r="F396" s="10" t="n">
        <v>44562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Dominica_2022_January</t>
        </is>
      </c>
      <c r="B397" s="2" t="n"/>
      <c r="C397" s="3" t="inlineStr">
        <is>
          <t>SM.22.7, Sup.2</t>
        </is>
      </c>
      <c r="D397" s="4" t="inlineStr">
        <is>
          <t>Dominica</t>
        </is>
      </c>
      <c r="E397" s="4" t="inlineStr">
        <is>
          <t>DMA</t>
        </is>
      </c>
      <c r="F397" s="10" t="n">
        <v>44562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22.01033673899706</v>
      </c>
      <c r="P397" t="n">
        <v>67.6021730677669</v>
      </c>
      <c r="Q397" t="n">
        <v>50</v>
      </c>
      <c r="R397" t="n">
        <v>42.5559761462496</v>
      </c>
      <c r="S397" t="n">
        <v>40.42295247371372</v>
      </c>
      <c r="T397" t="n">
        <v>42.07017183078783</v>
      </c>
      <c r="U397" t="n">
        <v>30.67742387326371</v>
      </c>
      <c r="V397" t="n">
        <v>16.12531663842273</v>
      </c>
      <c r="W397" t="n">
        <v>5.02488672634026</v>
      </c>
      <c r="X397" t="n">
        <v>2.61135659901107</v>
      </c>
      <c r="Y397" t="n">
        <v>3.148055854227934</v>
      </c>
      <c r="Z397" t="n">
        <v>1.574215357381005</v>
      </c>
      <c r="AA397" t="n">
        <v>1.466566671475781</v>
      </c>
      <c r="AB397" t="n">
        <v>1.050023323288424</v>
      </c>
      <c r="AC397" t="n">
        <v>1.11221484709249</v>
      </c>
      <c r="AD397" t="n">
        <v>0.915672249979935</v>
      </c>
      <c r="AE397" t="n">
        <v>0.8862050371018563</v>
      </c>
      <c r="AF397" t="n">
        <v>1.285636398782452</v>
      </c>
      <c r="AG397" t="n">
        <v>0.8742344508222529</v>
      </c>
      <c r="AH397" t="n">
        <v>0.66977020299791</v>
      </c>
      <c r="AI397" t="n">
        <v>0.693413046713202</v>
      </c>
    </row>
    <row r="398">
      <c r="A398" t="inlineStr">
        <is>
          <t>Dominica_2022_January</t>
        </is>
      </c>
      <c r="B398" s="2" t="n"/>
      <c r="C398" s="3" t="inlineStr">
        <is>
          <t>SM.22.7, Sup.2</t>
        </is>
      </c>
      <c r="D398" s="4" t="inlineStr">
        <is>
          <t>Dominica</t>
        </is>
      </c>
      <c r="E398" s="4" t="inlineStr">
        <is>
          <t>DMA</t>
        </is>
      </c>
      <c r="F398" s="10" t="n">
        <v>44562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Dominica_2022_January</t>
        </is>
      </c>
      <c r="B399" s="2" t="n"/>
      <c r="C399" s="3" t="inlineStr">
        <is>
          <t>SM.22.7, Sup.2</t>
        </is>
      </c>
      <c r="D399" s="4" t="inlineStr">
        <is>
          <t>Dominica</t>
        </is>
      </c>
      <c r="E399" s="4" t="inlineStr">
        <is>
          <t>DMA</t>
        </is>
      </c>
      <c r="F399" s="10" t="n">
        <v>44562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Dominica_2022_January</t>
        </is>
      </c>
      <c r="B400" s="2" t="n"/>
      <c r="C400" s="3" t="inlineStr">
        <is>
          <t>SM.22.7, Sup.2</t>
        </is>
      </c>
      <c r="D400" s="4" t="inlineStr">
        <is>
          <t>Dominica</t>
        </is>
      </c>
      <c r="E400" s="4" t="inlineStr">
        <is>
          <t>DMA</t>
        </is>
      </c>
      <c r="F400" s="10" t="n">
        <v>44562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small economy</t>
        </is>
      </c>
      <c r="O400" t="n">
        <v>15</v>
      </c>
      <c r="P400" t="n">
        <v>47.6</v>
      </c>
      <c r="Q400" t="n">
        <v>35</v>
      </c>
      <c r="R400" t="n">
        <v>29.7891833023747</v>
      </c>
      <c r="S400" t="n">
        <v>28.2365238399536</v>
      </c>
      <c r="T400" t="n">
        <v>29.4294416239426</v>
      </c>
      <c r="U400" t="n">
        <v>21.4741967112846</v>
      </c>
      <c r="V400" t="n">
        <v>11.2253554420598</v>
      </c>
      <c r="W400" t="n">
        <v>3.51742070843818</v>
      </c>
      <c r="X400" t="n">
        <v>1.82794961930775</v>
      </c>
      <c r="Y400" t="n">
        <v>1.89247606086578</v>
      </c>
      <c r="Z400" t="n">
        <v>0.979640143959263</v>
      </c>
      <c r="AA400" t="n">
        <v>1.0142213760254</v>
      </c>
      <c r="AB400" t="n">
        <v>0.7350163263018969</v>
      </c>
      <c r="AC400" t="n">
        <v>0.5326736476877471</v>
      </c>
      <c r="AD400" t="n">
        <v>0.551476992099255</v>
      </c>
      <c r="AE400" t="n">
        <v>0.5709440933205699</v>
      </c>
      <c r="AF400" t="n">
        <v>0.591098381923029</v>
      </c>
      <c r="AG400" t="n">
        <v>0.611964115575577</v>
      </c>
      <c r="AH400" t="n">
        <v>0.506853126593013</v>
      </c>
      <c r="AI400" t="n">
        <v>0.524745008323504</v>
      </c>
    </row>
    <row r="401">
      <c r="A401" t="inlineStr">
        <is>
          <t>Dominica_2022_January</t>
        </is>
      </c>
      <c r="B401" s="2" t="n"/>
      <c r="C401" s="3" t="inlineStr">
        <is>
          <t>SM.22.7, Sup.2</t>
        </is>
      </c>
      <c r="D401" s="4" t="inlineStr">
        <is>
          <t>Dominica</t>
        </is>
      </c>
      <c r="E401" s="4" t="inlineStr">
        <is>
          <t>DMA</t>
        </is>
      </c>
      <c r="F401" s="10" t="n">
        <v>44562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Dominica_2022_January</t>
        </is>
      </c>
      <c r="B402" s="2" t="n"/>
      <c r="C402" s="3" t="inlineStr">
        <is>
          <t>SM.22.7, Sup.2</t>
        </is>
      </c>
      <c r="D402" s="4" t="inlineStr">
        <is>
          <t>Dominica</t>
        </is>
      </c>
      <c r="E402" s="4" t="inlineStr">
        <is>
          <t>DMA</t>
        </is>
      </c>
      <c r="F402" s="10" t="n">
        <v>44562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CDB</t>
        </is>
      </c>
      <c r="O402" t="n">
        <v>7</v>
      </c>
      <c r="P402" t="n">
        <v>20</v>
      </c>
      <c r="Q402" t="n">
        <v>15</v>
      </c>
      <c r="R402" t="n">
        <v>12.7667928438749</v>
      </c>
      <c r="S402" t="n">
        <v>12.1013673599801</v>
      </c>
      <c r="T402" t="n">
        <v>12.6126178388326</v>
      </c>
      <c r="U402" t="n">
        <v>9.203227161979109</v>
      </c>
      <c r="V402" t="n">
        <v>4.81086661802563</v>
      </c>
      <c r="W402" t="n">
        <v>1.50746601790208</v>
      </c>
      <c r="X402" t="n">
        <v>0.78340697970332</v>
      </c>
      <c r="Y402" t="n">
        <v>0.811061168942476</v>
      </c>
      <c r="Z402" t="n">
        <v>0.419845775982542</v>
      </c>
      <c r="AA402" t="n">
        <v>0.434666304010886</v>
      </c>
      <c r="AB402" t="n">
        <v>0.315006996986527</v>
      </c>
      <c r="AC402" t="n">
        <v>0.228288706151892</v>
      </c>
      <c r="AD402" t="n">
        <v>0.236347282328252</v>
      </c>
      <c r="AE402" t="n">
        <v>0.244690325708816</v>
      </c>
      <c r="AF402" t="n">
        <v>0.253327877967012</v>
      </c>
      <c r="AG402" t="n">
        <v>0.262270335246676</v>
      </c>
      <c r="AH402" t="n">
        <v>0.162917076404897</v>
      </c>
      <c r="AI402" t="n">
        <v>0.168668038389698</v>
      </c>
    </row>
    <row r="403">
      <c r="A403" t="inlineStr">
        <is>
          <t>Dominica_2022_January</t>
        </is>
      </c>
      <c r="B403" s="2" t="n"/>
      <c r="C403" s="3" t="inlineStr">
        <is>
          <t>SM.22.7, Sup.2</t>
        </is>
      </c>
      <c r="D403" s="4" t="inlineStr">
        <is>
          <t>Dominica</t>
        </is>
      </c>
      <c r="E403" s="4" t="inlineStr">
        <is>
          <t>DMA</t>
        </is>
      </c>
      <c r="F403" s="10" t="n">
        <v>44562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MULTIRES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Dominica_2022_January</t>
        </is>
      </c>
      <c r="B404" s="2" t="n"/>
      <c r="C404" s="3" t="inlineStr">
        <is>
          <t>SM.22.7, Sup.2</t>
        </is>
      </c>
      <c r="D404" s="4" t="inlineStr">
        <is>
          <t>Dominica</t>
        </is>
      </c>
      <c r="E404" s="4" t="inlineStr">
        <is>
          <t>DMA</t>
        </is>
      </c>
      <c r="F404" s="10" t="n">
        <v>44562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Dominica_2022_January</t>
        </is>
      </c>
      <c r="B405" s="2" t="n"/>
      <c r="C405" s="3" t="inlineStr">
        <is>
          <t>SM.22.7, Sup.2</t>
        </is>
      </c>
      <c r="D405" s="4" t="inlineStr">
        <is>
          <t>Dominica</t>
        </is>
      </c>
      <c r="E405" s="4" t="inlineStr">
        <is>
          <t>DMA</t>
        </is>
      </c>
      <c r="F405" s="10" t="n">
        <v>44562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Dominica_2022_January</t>
        </is>
      </c>
      <c r="B406" s="2" t="n"/>
      <c r="C406" s="3" t="inlineStr">
        <is>
          <t>SM.22.7, Sup.2</t>
        </is>
      </c>
      <c r="D406" s="4" t="inlineStr">
        <is>
          <t>Dominica</t>
        </is>
      </c>
      <c r="E406" s="4" t="inlineStr">
        <is>
          <t>DMA</t>
        </is>
      </c>
      <c r="F406" s="10" t="n">
        <v>44562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Dominica_2022_January</t>
        </is>
      </c>
      <c r="B407" s="2" t="n"/>
      <c r="C407" s="3" t="inlineStr">
        <is>
          <t>SM.22.7, Sup.2</t>
        </is>
      </c>
      <c r="D407" s="4" t="inlineStr">
        <is>
          <t>Dominica</t>
        </is>
      </c>
      <c r="E407" s="4" t="inlineStr">
        <is>
          <t>DMA</t>
        </is>
      </c>
      <c r="F407" s="10" t="n">
        <v>44562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Dominica_2022_January</t>
        </is>
      </c>
      <c r="B408" s="2" t="n"/>
      <c r="C408" s="3" t="inlineStr">
        <is>
          <t>SM.22.7, Sup.2</t>
        </is>
      </c>
      <c r="D408" s="4" t="inlineStr">
        <is>
          <t>Dominica</t>
        </is>
      </c>
      <c r="E408" s="4" t="inlineStr">
        <is>
          <t>DMA</t>
        </is>
      </c>
      <c r="F408" s="10" t="n">
        <v>44562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Dominica_2022_January</t>
        </is>
      </c>
      <c r="B409" s="2" t="n"/>
      <c r="C409" s="3" t="inlineStr">
        <is>
          <t>SM.22.7, Sup.2</t>
        </is>
      </c>
      <c r="D409" s="4" t="inlineStr">
        <is>
          <t>Dominica</t>
        </is>
      </c>
      <c r="E409" s="4" t="inlineStr">
        <is>
          <t>DMA</t>
        </is>
      </c>
      <c r="F409" s="10" t="n">
        <v>44562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Dominica_2022_January</t>
        </is>
      </c>
      <c r="B410" s="2" t="n"/>
      <c r="C410" s="3" t="inlineStr">
        <is>
          <t>SM.22.7, Sup.2</t>
        </is>
      </c>
      <c r="D410" s="4" t="inlineStr">
        <is>
          <t>Dominica</t>
        </is>
      </c>
      <c r="E410" s="4" t="inlineStr">
        <is>
          <t>DMA</t>
        </is>
      </c>
      <c r="F410" s="10" t="n">
        <v>44562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Dominica_2022_January</t>
        </is>
      </c>
      <c r="B411" s="2" t="n"/>
      <c r="C411" s="3" t="inlineStr">
        <is>
          <t>SM.22.7, Sup.2</t>
        </is>
      </c>
      <c r="D411" s="4" t="inlineStr">
        <is>
          <t>Dominica</t>
        </is>
      </c>
      <c r="E411" s="4" t="inlineStr">
        <is>
          <t>DMA</t>
        </is>
      </c>
      <c r="F411" s="10" t="n">
        <v>44562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Dominica_2022_January</t>
        </is>
      </c>
      <c r="B412" s="2" t="n"/>
      <c r="C412" s="3" t="inlineStr">
        <is>
          <t>SM.22.7, Sup.2</t>
        </is>
      </c>
      <c r="D412" s="4" t="inlineStr">
        <is>
          <t>Dominica</t>
        </is>
      </c>
      <c r="E412" s="4" t="inlineStr">
        <is>
          <t>DMA</t>
        </is>
      </c>
      <c r="F412" s="10" t="n">
        <v>44562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Dominica_2022_January</t>
        </is>
      </c>
      <c r="B413" s="2" t="n"/>
      <c r="C413" s="3" t="inlineStr">
        <is>
          <t>SM.22.7, Sup.2</t>
        </is>
      </c>
      <c r="D413" s="4" t="inlineStr">
        <is>
          <t>Dominica</t>
        </is>
      </c>
      <c r="E413" s="4" t="inlineStr">
        <is>
          <t>DMA</t>
        </is>
      </c>
      <c r="F413" s="10" t="n">
        <v>44562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NPC2</t>
        </is>
      </c>
      <c r="O413" t="n">
        <v>0.0103367389970622</v>
      </c>
      <c r="P413" t="n">
        <v>0.00217306776689881</v>
      </c>
      <c r="Q413" t="n">
        <v>0</v>
      </c>
      <c r="R413" t="n">
        <v>0</v>
      </c>
      <c r="S413" t="n">
        <v>0.0850612737800218</v>
      </c>
      <c r="T413" t="n">
        <v>0.0281123680126269</v>
      </c>
      <c r="U413" t="n">
        <v>0</v>
      </c>
      <c r="V413" t="n">
        <v>0.08909457833729929</v>
      </c>
      <c r="W413" t="n">
        <v>0</v>
      </c>
      <c r="X413" t="n">
        <v>0</v>
      </c>
      <c r="Y413" t="n">
        <v>0.444518624419678</v>
      </c>
      <c r="Z413" t="n">
        <v>0.1747294374392</v>
      </c>
      <c r="AA413" t="n">
        <v>0.0176789914394953</v>
      </c>
      <c r="AB413" t="n">
        <v>0</v>
      </c>
      <c r="AC413" t="n">
        <v>0.351252493252851</v>
      </c>
      <c r="AD413" t="n">
        <v>0.127847975552428</v>
      </c>
      <c r="AE413" t="n">
        <v>0.0705706180724703</v>
      </c>
      <c r="AF413" t="n">
        <v>0.441210138892411</v>
      </c>
      <c r="AG413" t="n">
        <v>0</v>
      </c>
      <c r="AH413" t="n">
        <v>0</v>
      </c>
      <c r="AI413" t="n">
        <v>0</v>
      </c>
    </row>
    <row r="414">
      <c r="A414" t="inlineStr">
        <is>
          <t>Dominica_2022_January</t>
        </is>
      </c>
      <c r="B414" s="2" t="n"/>
      <c r="C414" s="3" t="inlineStr">
        <is>
          <t>SM.22.7, Sup.2</t>
        </is>
      </c>
      <c r="D414" s="4" t="inlineStr">
        <is>
          <t>Dominica</t>
        </is>
      </c>
      <c r="E414" s="4" t="inlineStr">
        <is>
          <t>DMA</t>
        </is>
      </c>
      <c r="F414" s="10" t="n">
        <v>44562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Dominica_2022_January</t>
        </is>
      </c>
      <c r="B415" s="2" t="n"/>
      <c r="C415" s="3" t="inlineStr">
        <is>
          <t>SM.22.7, Sup.2</t>
        </is>
      </c>
      <c r="D415" s="4" t="inlineStr">
        <is>
          <t>Dominica</t>
        </is>
      </c>
      <c r="E415" s="4" t="inlineStr">
        <is>
          <t>DMA</t>
        </is>
      </c>
      <c r="F415" s="10" t="n">
        <v>44562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Dominica_2022_January</t>
        </is>
      </c>
      <c r="B416" s="2" t="n"/>
      <c r="C416" s="3" t="inlineStr">
        <is>
          <t>SM.22.7, Sup.2</t>
        </is>
      </c>
      <c r="D416" s="4" t="inlineStr">
        <is>
          <t>Dominica</t>
        </is>
      </c>
      <c r="E416" s="4" t="inlineStr">
        <is>
          <t>DMA</t>
        </is>
      </c>
      <c r="F416" s="10" t="n">
        <v>44562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Dominica_2022_January</t>
        </is>
      </c>
      <c r="B417" s="2" t="n"/>
      <c r="C417" s="3" t="inlineStr">
        <is>
          <t>SM.22.7, Sup.2</t>
        </is>
      </c>
      <c r="D417" s="4" t="inlineStr">
        <is>
          <t>Dominica</t>
        </is>
      </c>
      <c r="E417" s="4" t="inlineStr">
        <is>
          <t>DMA</t>
        </is>
      </c>
      <c r="F417" s="10" t="n">
        <v>44562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Dominica_2022_January</t>
        </is>
      </c>
      <c r="B418" s="2" t="n"/>
      <c r="C418" s="3" t="inlineStr">
        <is>
          <t>SM.22.7, Sup.2</t>
        </is>
      </c>
      <c r="D418" s="4" t="inlineStr">
        <is>
          <t>Dominica</t>
        </is>
      </c>
      <c r="E418" s="4" t="inlineStr">
        <is>
          <t>DMA</t>
        </is>
      </c>
      <c r="F418" s="10" t="n">
        <v>44562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Dominica_2022_January</t>
        </is>
      </c>
      <c r="B419" s="2" t="n"/>
      <c r="C419" s="3" t="inlineStr">
        <is>
          <t>SM.22.7, Sup.2</t>
        </is>
      </c>
      <c r="D419" s="4" t="inlineStr">
        <is>
          <t>Dominica</t>
        </is>
      </c>
      <c r="E419" s="4" t="inlineStr">
        <is>
          <t>DMA</t>
        </is>
      </c>
      <c r="F419" s="10" t="n">
        <v>44562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Dominica_2022_January</t>
        </is>
      </c>
      <c r="B420" s="2" t="n"/>
      <c r="C420" s="3" t="inlineStr">
        <is>
          <t>SM.22.7, Sup.2</t>
        </is>
      </c>
      <c r="D420" s="4" t="inlineStr">
        <is>
          <t>Dominica</t>
        </is>
      </c>
      <c r="E420" s="4" t="inlineStr">
        <is>
          <t>DMA</t>
        </is>
      </c>
      <c r="F420" s="10" t="n">
        <v>44562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Dominica_2022_January</t>
        </is>
      </c>
      <c r="B421" s="2" t="n"/>
      <c r="C421" s="3" t="inlineStr">
        <is>
          <t>SM.22.7, Sup.2</t>
        </is>
      </c>
      <c r="D421" s="4" t="inlineStr">
        <is>
          <t>Dominica</t>
        </is>
      </c>
      <c r="E421" s="4" t="inlineStr">
        <is>
          <t>DMA</t>
        </is>
      </c>
      <c r="F421" s="10" t="n">
        <v>44562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Dominica_2022_January</t>
        </is>
      </c>
      <c r="B422" s="2" t="n"/>
      <c r="C422" s="3" t="inlineStr">
        <is>
          <t>SM.22.7, Sup.2</t>
        </is>
      </c>
      <c r="D422" s="4" t="inlineStr">
        <is>
          <t>Dominica</t>
        </is>
      </c>
      <c r="E422" s="4" t="inlineStr">
        <is>
          <t>DMA</t>
        </is>
      </c>
      <c r="F422" s="10" t="n">
        <v>44562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Dominica_2022_January</t>
        </is>
      </c>
      <c r="B423" s="2" t="n"/>
      <c r="C423" s="3" t="inlineStr">
        <is>
          <t>SM.22.7, Sup.2</t>
        </is>
      </c>
      <c r="D423" s="4" t="inlineStr">
        <is>
          <t>Dominica</t>
        </is>
      </c>
      <c r="E423" s="4" t="inlineStr">
        <is>
          <t>DMA</t>
        </is>
      </c>
      <c r="F423" s="10" t="n">
        <v>44562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Dominica_2022_January</t>
        </is>
      </c>
      <c r="C424" t="inlineStr">
        <is>
          <t>SM.22.7, Sup.2</t>
        </is>
      </c>
      <c r="D424" t="inlineStr">
        <is>
          <t>Dominica</t>
        </is>
      </c>
      <c r="E424" t="inlineStr">
        <is>
          <t>DMA</t>
        </is>
      </c>
      <c r="F424" s="11" t="n">
        <v>44562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Dominica_2023_May</t>
        </is>
      </c>
      <c r="B2" s="2" t="n"/>
      <c r="C2" s="3" t="inlineStr">
        <is>
          <t>SM.23.127, Sup. 1</t>
        </is>
      </c>
      <c r="D2" s="4" t="inlineStr">
        <is>
          <t>Dominica</t>
        </is>
      </c>
      <c r="E2" s="4" t="inlineStr">
        <is>
          <t>DMA</t>
        </is>
      </c>
      <c r="F2" s="10" t="n">
        <v>45047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Dominica_2023_May</t>
        </is>
      </c>
      <c r="B3" s="2" t="n"/>
      <c r="C3" s="3" t="inlineStr">
        <is>
          <t>SM.23.127, Sup. 1</t>
        </is>
      </c>
      <c r="D3" s="4" t="inlineStr">
        <is>
          <t>Dominica</t>
        </is>
      </c>
      <c r="E3" s="4" t="inlineStr">
        <is>
          <t>DMA</t>
        </is>
      </c>
      <c r="F3" s="10" t="n">
        <v>45047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Dominica_2023_May</t>
        </is>
      </c>
      <c r="B4" s="2" t="n"/>
      <c r="C4" s="3" t="inlineStr">
        <is>
          <t>SM.23.127, Sup. 1</t>
        </is>
      </c>
      <c r="D4" s="4" t="inlineStr">
        <is>
          <t>Dominica</t>
        </is>
      </c>
      <c r="E4" s="4" t="inlineStr">
        <is>
          <t>DMA</t>
        </is>
      </c>
      <c r="F4" s="10" t="n">
        <v>45047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Dominica_2023_May</t>
        </is>
      </c>
      <c r="B5" s="2" t="n"/>
      <c r="C5" s="3" t="inlineStr">
        <is>
          <t>SM.23.127, Sup. 1</t>
        </is>
      </c>
      <c r="D5" s="4" t="inlineStr">
        <is>
          <t>Dominica</t>
        </is>
      </c>
      <c r="E5" s="4" t="inlineStr">
        <is>
          <t>DMA</t>
        </is>
      </c>
      <c r="F5" s="10" t="n">
        <v>45047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Dominica_2023_May</t>
        </is>
      </c>
      <c r="B6" s="2" t="n"/>
      <c r="C6" s="3" t="inlineStr">
        <is>
          <t>SM.23.127, Sup. 1</t>
        </is>
      </c>
      <c r="D6" s="4" t="inlineStr">
        <is>
          <t>Dominica</t>
        </is>
      </c>
      <c r="E6" s="4" t="inlineStr">
        <is>
          <t>DMA</t>
        </is>
      </c>
      <c r="F6" s="10" t="n">
        <v>45047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Dominica_2023_May</t>
        </is>
      </c>
      <c r="B7" s="2" t="n"/>
      <c r="C7" s="3" t="inlineStr">
        <is>
          <t>SM.23.127, Sup. 1</t>
        </is>
      </c>
      <c r="D7" s="4" t="inlineStr">
        <is>
          <t>Dominica</t>
        </is>
      </c>
      <c r="E7" s="4" t="inlineStr">
        <is>
          <t>DMA</t>
        </is>
      </c>
      <c r="F7" s="10" t="n">
        <v>45047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Dominica_2023_May</t>
        </is>
      </c>
      <c r="B8" s="2" t="n"/>
      <c r="C8" s="3" t="inlineStr">
        <is>
          <t>SM.23.127, Sup. 1</t>
        </is>
      </c>
      <c r="D8" s="4" t="inlineStr">
        <is>
          <t>Dominica</t>
        </is>
      </c>
      <c r="E8" s="4" t="inlineStr">
        <is>
          <t>DMA</t>
        </is>
      </c>
      <c r="F8" s="10" t="n">
        <v>45047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Dominica_2023_May</t>
        </is>
      </c>
      <c r="B9" s="2" t="n"/>
      <c r="C9" s="3" t="inlineStr">
        <is>
          <t>SM.23.127, Sup. 1</t>
        </is>
      </c>
      <c r="D9" s="4" t="inlineStr">
        <is>
          <t>Dominica</t>
        </is>
      </c>
      <c r="E9" s="4" t="inlineStr">
        <is>
          <t>DMA</t>
        </is>
      </c>
      <c r="F9" s="10" t="n">
        <v>45047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Dominica_2023_May</t>
        </is>
      </c>
      <c r="B10" s="2" t="n"/>
      <c r="C10" s="3" t="inlineStr">
        <is>
          <t>SM.23.127, Sup. 1</t>
        </is>
      </c>
      <c r="D10" s="4" t="inlineStr">
        <is>
          <t>Dominica</t>
        </is>
      </c>
      <c r="E10" s="4" t="inlineStr">
        <is>
          <t>DMA</t>
        </is>
      </c>
      <c r="F10" s="10" t="n">
        <v>45047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Dominica_2023_May</t>
        </is>
      </c>
      <c r="B11" s="2" t="n"/>
      <c r="C11" s="3" t="inlineStr">
        <is>
          <t>SM.23.127, Sup. 1</t>
        </is>
      </c>
      <c r="D11" s="4" t="inlineStr">
        <is>
          <t>Dominica</t>
        </is>
      </c>
      <c r="E11" s="4" t="inlineStr">
        <is>
          <t>DMA</t>
        </is>
      </c>
      <c r="F11" s="10" t="n">
        <v>45047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12.36991207407407</v>
      </c>
      <c r="O11" t="n">
        <v>5.542763481481482</v>
      </c>
      <c r="P11" t="n">
        <v>15.56181733333328</v>
      </c>
      <c r="Q11" t="n">
        <v>16.65555497853009</v>
      </c>
      <c r="R11" t="n">
        <v>15.69314788137658</v>
      </c>
      <c r="S11" t="n">
        <v>14.74350920920856</v>
      </c>
      <c r="T11" t="n">
        <v>13.5378620154206</v>
      </c>
      <c r="U11" t="n">
        <v>12.79299200154377</v>
      </c>
      <c r="V11" t="n">
        <v>11.90915904289143</v>
      </c>
      <c r="W11" t="n">
        <v>11.32800897700529</v>
      </c>
      <c r="X11" t="n">
        <v>10.66732295598999</v>
      </c>
      <c r="Y11" t="n">
        <v>10.18235577465268</v>
      </c>
      <c r="Z11" t="n">
        <v>9.728172668447552</v>
      </c>
      <c r="AA11" t="n">
        <v>9.302523466351488</v>
      </c>
      <c r="AB11" t="n">
        <v>8.903325958246949</v>
      </c>
      <c r="AC11" t="n">
        <v>8.528653111874203</v>
      </c>
      <c r="AD11" t="n">
        <v>7.680837941819112</v>
      </c>
      <c r="AE11" t="n">
        <v>6.854112654599611</v>
      </c>
      <c r="AF11" t="n">
        <v>6.218240941290003</v>
      </c>
      <c r="AG11" t="n">
        <v>5.965021800178008</v>
      </c>
      <c r="AH11" t="n">
        <v>5.728637684513327</v>
      </c>
      <c r="AI11" t="n">
        <v>5.507874619640351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Dominica_2023_May</t>
        </is>
      </c>
      <c r="B12" s="2" t="n"/>
      <c r="C12" s="3" t="inlineStr">
        <is>
          <t>SM.23.127, Sup. 1</t>
        </is>
      </c>
      <c r="D12" s="4" t="inlineStr">
        <is>
          <t>Dominica</t>
        </is>
      </c>
      <c r="E12" s="4" t="inlineStr">
        <is>
          <t>DMA</t>
        </is>
      </c>
      <c r="F12" s="10" t="n">
        <v>45047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2.27151888888889</v>
      </c>
      <c r="O12" t="n">
        <v>0.815672222222222</v>
      </c>
      <c r="P12" t="n">
        <v>1.63134444444444</v>
      </c>
      <c r="Q12" t="n">
        <v>1.4810970714256</v>
      </c>
      <c r="R12" t="n">
        <v>1.34468753208801</v>
      </c>
      <c r="S12" t="n">
        <v>1.22084135728694</v>
      </c>
      <c r="T12" t="n">
        <v>1.10840145691533</v>
      </c>
      <c r="U12" t="n">
        <v>1.00631730925484</v>
      </c>
      <c r="V12" t="n">
        <v>0.913635145991382</v>
      </c>
      <c r="W12" t="n">
        <v>0.829489041193972</v>
      </c>
      <c r="X12" t="n">
        <v>0.753092821001641</v>
      </c>
      <c r="Y12" t="n">
        <v>0.683732718430917</v>
      </c>
      <c r="Z12" t="n">
        <v>0.620760704678013</v>
      </c>
      <c r="AA12" t="n">
        <v>0.563588434610327</v>
      </c>
      <c r="AB12" t="n">
        <v>0.51168174988021</v>
      </c>
      <c r="AC12" t="n">
        <v>0.464555688303823</v>
      </c>
      <c r="AD12" t="n">
        <v>0.421769952877862</v>
      </c>
      <c r="AE12" t="n">
        <v>0.382924798101391</v>
      </c>
      <c r="AF12" t="n">
        <v>0.347657295168803</v>
      </c>
      <c r="AG12" t="n">
        <v>0.315637941139778</v>
      </c>
      <c r="AH12" t="n">
        <v>0.286567580405827</v>
      </c>
      <c r="AI12" t="n">
        <v>0.260174609690801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Dominica_2023_May</t>
        </is>
      </c>
      <c r="B13" s="2" t="n"/>
      <c r="C13" s="3" t="inlineStr">
        <is>
          <t>SM.23.127, Sup. 1</t>
        </is>
      </c>
      <c r="D13" s="4" t="inlineStr">
        <is>
          <t>Dominica</t>
        </is>
      </c>
      <c r="E13" s="4" t="inlineStr">
        <is>
          <t>DMA</t>
        </is>
      </c>
      <c r="F13" s="10" t="n">
        <v>45047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small economy</t>
        </is>
      </c>
      <c r="N13" t="n">
        <v>1.82070981481481</v>
      </c>
      <c r="O13" t="n">
        <v>1.12772855555556</v>
      </c>
      <c r="P13" t="n">
        <v>2.52925574074074</v>
      </c>
      <c r="Q13" t="n">
        <v>3.26927281900689</v>
      </c>
      <c r="R13" t="n">
        <v>3.24638370180037</v>
      </c>
      <c r="S13" t="n">
        <v>3.22365483787202</v>
      </c>
      <c r="T13" t="n">
        <v>3.20108510524265</v>
      </c>
      <c r="U13" t="n">
        <v>3.17867338978838</v>
      </c>
      <c r="V13" t="n">
        <v>3.15641858518562</v>
      </c>
      <c r="W13" t="n">
        <v>3.13431959285646</v>
      </c>
      <c r="X13" t="n">
        <v>3.11237532191446</v>
      </c>
      <c r="Y13" t="n">
        <v>3.09058468911079</v>
      </c>
      <c r="Z13" t="n">
        <v>3.06894661878075</v>
      </c>
      <c r="AA13" t="n">
        <v>3.04746004279068</v>
      </c>
      <c r="AB13" t="n">
        <v>3.02612390048524</v>
      </c>
      <c r="AC13" t="n">
        <v>3.00493713863503</v>
      </c>
      <c r="AD13" t="n">
        <v>2.98389871138461</v>
      </c>
      <c r="AE13" t="n">
        <v>2.96300758020087</v>
      </c>
      <c r="AF13" t="n">
        <v>2.9422627138218</v>
      </c>
      <c r="AG13" t="n">
        <v>2.92166308820551</v>
      </c>
      <c r="AH13" t="n">
        <v>2.90120768647974</v>
      </c>
      <c r="AI13" t="n">
        <v>2.88089549889165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Dominica_2023_May</t>
        </is>
      </c>
      <c r="B14" s="2" t="n"/>
      <c r="C14" s="3" t="inlineStr">
        <is>
          <t>SM.23.127, Sup. 1</t>
        </is>
      </c>
      <c r="D14" s="4" t="inlineStr">
        <is>
          <t>Dominica</t>
        </is>
      </c>
      <c r="E14" s="4" t="inlineStr">
        <is>
          <t>DMA</t>
        </is>
      </c>
      <c r="F14" s="10" t="n">
        <v>45047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Dominica_2023_May</t>
        </is>
      </c>
      <c r="B15" s="2" t="n"/>
      <c r="C15" s="3" t="inlineStr">
        <is>
          <t>SM.23.127, Sup. 1</t>
        </is>
      </c>
      <c r="D15" s="4" t="inlineStr">
        <is>
          <t>Dominica</t>
        </is>
      </c>
      <c r="E15" s="4" t="inlineStr">
        <is>
          <t>DMA</t>
        </is>
      </c>
      <c r="F15" s="10" t="n">
        <v>45047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CDB</t>
        </is>
      </c>
      <c r="N15" t="n">
        <v>8.27768337037037</v>
      </c>
      <c r="O15" t="n">
        <v>3.5993627037037</v>
      </c>
      <c r="P15" t="n">
        <v>11.4012171481481</v>
      </c>
      <c r="Q15" t="n">
        <v>11.9051850880976</v>
      </c>
      <c r="R15" t="n">
        <v>11.1020766474882</v>
      </c>
      <c r="S15" t="n">
        <v>10.2990130140496</v>
      </c>
      <c r="T15" t="n">
        <v>9.22837545326262</v>
      </c>
      <c r="U15" t="n">
        <v>8.608001302500551</v>
      </c>
      <c r="V15" t="n">
        <v>7.83910531171443</v>
      </c>
      <c r="W15" t="n">
        <v>7.36420034295486</v>
      </c>
      <c r="X15" t="n">
        <v>6.80185481307389</v>
      </c>
      <c r="Y15" t="n">
        <v>6.40803836711097</v>
      </c>
      <c r="Z15" t="n">
        <v>6.03846534498879</v>
      </c>
      <c r="AA15" t="n">
        <v>5.69147498895048</v>
      </c>
      <c r="AB15" t="n">
        <v>5.3655203078815</v>
      </c>
      <c r="AC15" t="n">
        <v>5.05916028493535</v>
      </c>
      <c r="AD15" t="n">
        <v>4.27516927755664</v>
      </c>
      <c r="AE15" t="n">
        <v>3.50818027629735</v>
      </c>
      <c r="AF15" t="n">
        <v>2.9283209322994</v>
      </c>
      <c r="AG15" t="n">
        <v>2.72772077083272</v>
      </c>
      <c r="AH15" t="n">
        <v>2.54086241762776</v>
      </c>
      <c r="AI15" t="n">
        <v>2.3668045110579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Dominica_2023_May</t>
        </is>
      </c>
      <c r="B16" s="2" t="n"/>
      <c r="C16" s="3" t="inlineStr">
        <is>
          <t>SM.23.127, Sup. 1</t>
        </is>
      </c>
      <c r="D16" s="4" t="inlineStr">
        <is>
          <t>Dominica</t>
        </is>
      </c>
      <c r="E16" s="4" t="inlineStr">
        <is>
          <t>DMA</t>
        </is>
      </c>
      <c r="F16" s="10" t="n">
        <v>45047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MULTIRES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Dominica_2023_May</t>
        </is>
      </c>
      <c r="B17" s="2" t="n"/>
      <c r="C17" s="3" t="inlineStr">
        <is>
          <t>SM.23.127, Sup. 1</t>
        </is>
      </c>
      <c r="D17" s="4" t="inlineStr">
        <is>
          <t>Dominica</t>
        </is>
      </c>
      <c r="E17" s="4" t="inlineStr">
        <is>
          <t>DMA</t>
        </is>
      </c>
      <c r="F17" s="10" t="n">
        <v>45047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Dominica_2023_May</t>
        </is>
      </c>
      <c r="B18" s="2" t="n"/>
      <c r="C18" s="3" t="inlineStr">
        <is>
          <t>SM.23.127, Sup. 1</t>
        </is>
      </c>
      <c r="D18" s="4" t="inlineStr">
        <is>
          <t>Dominica</t>
        </is>
      </c>
      <c r="E18" s="4" t="inlineStr">
        <is>
          <t>DMA</t>
        </is>
      </c>
      <c r="F18" s="10" t="n">
        <v>45047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5.38245944444444</v>
      </c>
      <c r="O18" t="n">
        <v>2.44185155555556</v>
      </c>
      <c r="P18" t="n">
        <v>4.33104844444445</v>
      </c>
      <c r="Q18" t="n">
        <v>3.60212283797174</v>
      </c>
      <c r="R18" t="n">
        <v>2.40204342140321</v>
      </c>
      <c r="S18" t="n">
        <v>1.65807800801542</v>
      </c>
      <c r="T18" t="n">
        <v>0.34058778357265</v>
      </c>
      <c r="U18" t="n">
        <v>0.135370011069774</v>
      </c>
      <c r="V18" t="n">
        <v>0.0471680191791677</v>
      </c>
      <c r="W18" t="n">
        <v>0.0291977079318206</v>
      </c>
      <c r="X18" t="n">
        <v>0.0196917288381497</v>
      </c>
      <c r="Y18" t="n">
        <v>0.0143589216175144</v>
      </c>
      <c r="Z18" t="n">
        <v>0.0111318135355507</v>
      </c>
      <c r="AA18" t="n">
        <v>0.00900603053325977</v>
      </c>
      <c r="AB18" t="n">
        <v>0.00748753141317771</v>
      </c>
      <c r="AC18" t="n">
        <v>0.00632845655903225</v>
      </c>
      <c r="AD18" t="n">
        <v>0.00540051068687841</v>
      </c>
      <c r="AE18" t="n">
        <v>0.0046340767983124</v>
      </c>
      <c r="AF18" t="n">
        <v>0.00398882334103456</v>
      </c>
      <c r="AG18" t="n">
        <v>0.00343943552563042</v>
      </c>
      <c r="AH18" t="n">
        <v>0.00296862787154017</v>
      </c>
      <c r="AI18" t="n">
        <v>0.00256142904343282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Dominica_2023_May</t>
        </is>
      </c>
      <c r="B19" s="2" t="n"/>
      <c r="C19" s="3" t="inlineStr">
        <is>
          <t>SM.23.127, Sup. 1</t>
        </is>
      </c>
      <c r="D19" s="4" t="inlineStr">
        <is>
          <t>Dominica</t>
        </is>
      </c>
      <c r="E19" s="4" t="inlineStr">
        <is>
          <t>DMA</t>
        </is>
      </c>
      <c r="F19" s="10" t="n">
        <v>45047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5.38245944444444</v>
      </c>
      <c r="O19" t="n">
        <v>2.44185155555556</v>
      </c>
      <c r="P19" t="n">
        <v>4.33104844444445</v>
      </c>
      <c r="Q19" t="n">
        <v>3.60212283797174</v>
      </c>
      <c r="R19" t="n">
        <v>2.40204342140321</v>
      </c>
      <c r="S19" t="n">
        <v>1.65807800801542</v>
      </c>
      <c r="T19" t="n">
        <v>0.34058778357265</v>
      </c>
      <c r="U19" t="n">
        <v>0.135370011069774</v>
      </c>
      <c r="V19" t="n">
        <v>0.0471680191791677</v>
      </c>
      <c r="W19" t="n">
        <v>0.0291977079318206</v>
      </c>
      <c r="X19" t="n">
        <v>0.0196917288381497</v>
      </c>
      <c r="Y19" t="n">
        <v>0.0143589216175144</v>
      </c>
      <c r="Z19" t="n">
        <v>0.0111318135355507</v>
      </c>
      <c r="AA19" t="n">
        <v>0.00900603053325977</v>
      </c>
      <c r="AB19" t="n">
        <v>0.00748753141317771</v>
      </c>
      <c r="AC19" t="n">
        <v>0.00632845655903225</v>
      </c>
      <c r="AD19" t="n">
        <v>0.00540051068687841</v>
      </c>
      <c r="AE19" t="n">
        <v>0.0046340767983124</v>
      </c>
      <c r="AF19" t="n">
        <v>0.00398882334103456</v>
      </c>
      <c r="AG19" t="n">
        <v>0.00343943552563042</v>
      </c>
      <c r="AH19" t="n">
        <v>0.00296862787154017</v>
      </c>
      <c r="AI19" t="n">
        <v>0.00256142904343282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Dominica_2023_May</t>
        </is>
      </c>
      <c r="B20" s="2" t="n"/>
      <c r="C20" s="3" t="inlineStr">
        <is>
          <t>SM.23.127, Sup. 1</t>
        </is>
      </c>
      <c r="D20" s="4" t="inlineStr">
        <is>
          <t>Dominica</t>
        </is>
      </c>
      <c r="E20" s="4" t="inlineStr">
        <is>
          <t>DMA</t>
        </is>
      </c>
      <c r="F20" s="10" t="n">
        <v>45047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Dominica_2023_May</t>
        </is>
      </c>
      <c r="B21" s="2" t="n"/>
      <c r="C21" s="3" t="inlineStr">
        <is>
          <t>SM.23.127, Sup. 1</t>
        </is>
      </c>
      <c r="D21" s="4" t="inlineStr">
        <is>
          <t>Dominica</t>
        </is>
      </c>
      <c r="E21" s="4" t="inlineStr">
        <is>
          <t>DMA</t>
        </is>
      </c>
      <c r="F21" s="10" t="n">
        <v>45047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Dominica_2023_May</t>
        </is>
      </c>
      <c r="B22" s="2" t="n"/>
      <c r="C22" s="3" t="inlineStr">
        <is>
          <t>SM.23.127, Sup. 1</t>
        </is>
      </c>
      <c r="D22" s="4" t="inlineStr">
        <is>
          <t>Dominica</t>
        </is>
      </c>
      <c r="E22" s="4" t="inlineStr">
        <is>
          <t>DMA</t>
        </is>
      </c>
      <c r="F22" s="10" t="n">
        <v>45047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4.140268856528149</v>
      </c>
      <c r="O22" t="n">
        <v>3.289058948382651</v>
      </c>
      <c r="P22" t="n">
        <v>8.674274410607531</v>
      </c>
      <c r="Q22" t="n">
        <v>6.572083227667795</v>
      </c>
      <c r="R22" t="n">
        <v>5.442404305071969</v>
      </c>
      <c r="S22" t="n">
        <v>4.551109564587362</v>
      </c>
      <c r="T22" t="n">
        <v>3.844657253228994</v>
      </c>
      <c r="U22" t="n">
        <v>3.285790250606254</v>
      </c>
      <c r="V22" t="n">
        <v>2.738839716920053</v>
      </c>
      <c r="W22" t="n">
        <v>2.355973797836032</v>
      </c>
      <c r="X22" t="n">
        <v>2.042886008495027</v>
      </c>
      <c r="Y22" t="n">
        <v>1.783196248238937</v>
      </c>
      <c r="Z22" t="n">
        <v>1.564036463892303</v>
      </c>
      <c r="AA22" t="n">
        <v>1.374412114199007</v>
      </c>
      <c r="AB22" t="n">
        <v>1.225940617129655</v>
      </c>
      <c r="AC22" t="n">
        <v>1.100346247000801</v>
      </c>
      <c r="AD22" t="n">
        <v>0.9931809360916287</v>
      </c>
      <c r="AE22" t="n">
        <v>0.901316547297207</v>
      </c>
      <c r="AF22" t="n">
        <v>-1.177213079670177</v>
      </c>
      <c r="AG22" t="n">
        <v>-1.243875638578546</v>
      </c>
      <c r="AH22" t="n">
        <v>0.6985907866117659</v>
      </c>
      <c r="AI22" t="n">
        <v>0.6483011372040003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Dominica_2023_May</t>
        </is>
      </c>
      <c r="B23" s="2" t="n"/>
      <c r="C23" s="3" t="inlineStr">
        <is>
          <t>SM.23.127, Sup. 1</t>
        </is>
      </c>
      <c r="D23" s="4" t="inlineStr">
        <is>
          <t>Dominica</t>
        </is>
      </c>
      <c r="E23" s="4" t="inlineStr">
        <is>
          <t>DMA</t>
        </is>
      </c>
      <c r="F23" s="10" t="n">
        <v>45047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1.58636577777778</v>
      </c>
      <c r="O23" t="n">
        <v>1.09498322222222</v>
      </c>
      <c r="P23" t="n">
        <v>3.58803185185185</v>
      </c>
      <c r="Q23" t="n">
        <v>2.7186550146926</v>
      </c>
      <c r="R23" t="n">
        <v>2.05992741156748</v>
      </c>
      <c r="S23" t="n">
        <v>1.56080889925156</v>
      </c>
      <c r="T23" t="n">
        <v>1.18262634222102</v>
      </c>
      <c r="U23" t="n">
        <v>0.896077070028068</v>
      </c>
      <c r="V23" t="n">
        <v>0.678958422253732</v>
      </c>
      <c r="W23" t="n">
        <v>0.514447422624974</v>
      </c>
      <c r="X23" t="n">
        <v>0.389797286506852</v>
      </c>
      <c r="Y23" t="n">
        <v>0.295349763427367</v>
      </c>
      <c r="Z23" t="n">
        <v>0.223786788097789</v>
      </c>
      <c r="AA23" t="n">
        <v>0.169563455700686</v>
      </c>
      <c r="AB23" t="n">
        <v>0.128478386742808</v>
      </c>
      <c r="AC23" t="n">
        <v>0.0973481921079284</v>
      </c>
      <c r="AD23" t="n">
        <v>0.07376081492720481</v>
      </c>
      <c r="AE23" t="n">
        <v>0.0558886374869026</v>
      </c>
      <c r="AF23" t="n">
        <v>0.042346872160036</v>
      </c>
      <c r="AG23" t="n">
        <v>0.032086264084693</v>
      </c>
      <c r="AH23" t="n">
        <v>0.0243117918844608</v>
      </c>
      <c r="AI23" t="n">
        <v>0.0184210671293236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Dominica_2023_May</t>
        </is>
      </c>
      <c r="B24" s="2" t="n"/>
      <c r="C24" s="3" t="inlineStr">
        <is>
          <t>SM.23.127, Sup. 1</t>
        </is>
      </c>
      <c r="D24" s="4" t="inlineStr">
        <is>
          <t>Dominica</t>
        </is>
      </c>
      <c r="E24" s="4" t="inlineStr">
        <is>
          <t>DMA</t>
        </is>
      </c>
      <c r="F24" s="10" t="n">
        <v>45047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Export Credit Agencies</t>
        </is>
      </c>
      <c r="N24" t="n">
        <v>1.58636577777778</v>
      </c>
      <c r="O24" t="n">
        <v>1.09498322222222</v>
      </c>
      <c r="P24" t="n">
        <v>3.58803185185185</v>
      </c>
      <c r="Q24" t="n">
        <v>2.7186550146926</v>
      </c>
      <c r="R24" t="n">
        <v>2.05992741156748</v>
      </c>
      <c r="S24" t="n">
        <v>1.56080889925156</v>
      </c>
      <c r="T24" t="n">
        <v>1.18262634222102</v>
      </c>
      <c r="U24" t="n">
        <v>0.896077070028068</v>
      </c>
      <c r="V24" t="n">
        <v>0.678958422253732</v>
      </c>
      <c r="W24" t="n">
        <v>0.514447422624974</v>
      </c>
      <c r="X24" t="n">
        <v>0.389797286506852</v>
      </c>
      <c r="Y24" t="n">
        <v>0.295349763427367</v>
      </c>
      <c r="Z24" t="n">
        <v>0.223786788097789</v>
      </c>
      <c r="AA24" t="n">
        <v>0.169563455700686</v>
      </c>
      <c r="AB24" t="n">
        <v>0.128478386742808</v>
      </c>
      <c r="AC24" t="n">
        <v>0.0973481921079284</v>
      </c>
      <c r="AD24" t="n">
        <v>0.07376081492720481</v>
      </c>
      <c r="AE24" t="n">
        <v>0.0558886374869026</v>
      </c>
      <c r="AF24" t="n">
        <v>0.042346872160036</v>
      </c>
      <c r="AG24" t="n">
        <v>0.032086264084693</v>
      </c>
      <c r="AH24" t="n">
        <v>0.0243117918844608</v>
      </c>
      <c r="AI24" t="n">
        <v>0.0184210671293236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Dominica_2023_May</t>
        </is>
      </c>
      <c r="B25" s="2" t="n"/>
      <c r="C25" s="3" t="inlineStr">
        <is>
          <t>SM.23.127, Sup. 1</t>
        </is>
      </c>
      <c r="D25" s="4" t="inlineStr">
        <is>
          <t>Dominica</t>
        </is>
      </c>
      <c r="E25" s="4" t="inlineStr">
        <is>
          <t>DMA</t>
        </is>
      </c>
      <c r="F25" s="10" t="n">
        <v>45047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Dominica_2023_May</t>
        </is>
      </c>
      <c r="B26" s="2" t="n"/>
      <c r="C26" s="3" t="inlineStr">
        <is>
          <t>SM.23.127, Sup. 1</t>
        </is>
      </c>
      <c r="D26" s="4" t="inlineStr">
        <is>
          <t>Dominica</t>
        </is>
      </c>
      <c r="E26" s="4" t="inlineStr">
        <is>
          <t>DMA</t>
        </is>
      </c>
      <c r="F26" s="10" t="n">
        <v>45047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Dominica_2023_May</t>
        </is>
      </c>
      <c r="B27" s="2" t="n"/>
      <c r="C27" s="3" t="inlineStr">
        <is>
          <t>SM.23.127, Sup. 1</t>
        </is>
      </c>
      <c r="D27" s="4" t="inlineStr">
        <is>
          <t>Dominica</t>
        </is>
      </c>
      <c r="E27" s="4" t="inlineStr">
        <is>
          <t>DMA</t>
        </is>
      </c>
      <c r="F27" s="10" t="n">
        <v>45047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Dominica_2023_May</t>
        </is>
      </c>
      <c r="B28" s="2" t="n"/>
      <c r="C28" s="3" t="inlineStr">
        <is>
          <t>SM.23.127, Sup. 1</t>
        </is>
      </c>
      <c r="D28" s="4" t="inlineStr">
        <is>
          <t>Dominica</t>
        </is>
      </c>
      <c r="E28" s="4" t="inlineStr">
        <is>
          <t>DMA</t>
        </is>
      </c>
      <c r="F28" s="10" t="n">
        <v>45047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Dominica_2023_May</t>
        </is>
      </c>
      <c r="B29" s="2" t="n"/>
      <c r="C29" s="3" t="inlineStr">
        <is>
          <t>SM.23.127, Sup. 1</t>
        </is>
      </c>
      <c r="D29" s="4" t="inlineStr">
        <is>
          <t>Dominica</t>
        </is>
      </c>
      <c r="E29" s="4" t="inlineStr">
        <is>
          <t>DMA</t>
        </is>
      </c>
      <c r="F29" s="10" t="n">
        <v>45047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2.553903078750369</v>
      </c>
      <c r="O29" t="n">
        <v>2.194075726160432</v>
      </c>
      <c r="P29" t="n">
        <v>5.086242558755681</v>
      </c>
      <c r="Q29" t="n">
        <v>3.853428212975194</v>
      </c>
      <c r="R29" t="n">
        <v>3.382476893504489</v>
      </c>
      <c r="S29" t="n">
        <v>2.990300665335802</v>
      </c>
      <c r="T29" t="n">
        <v>2.662030911007974</v>
      </c>
      <c r="U29" t="n">
        <v>2.389713180578186</v>
      </c>
      <c r="V29" t="n">
        <v>2.059881294666321</v>
      </c>
      <c r="W29" t="n">
        <v>1.841526375211058</v>
      </c>
      <c r="X29" t="n">
        <v>1.653088721988174</v>
      </c>
      <c r="Y29" t="n">
        <v>1.48784648481157</v>
      </c>
      <c r="Z29" t="n">
        <v>1.340249675794514</v>
      </c>
      <c r="AA29" t="n">
        <v>1.204848658498321</v>
      </c>
      <c r="AB29" t="n">
        <v>1.097462230386847</v>
      </c>
      <c r="AC29" t="n">
        <v>1.002998054892872</v>
      </c>
      <c r="AD29" t="n">
        <v>0.919420121164424</v>
      </c>
      <c r="AE29" t="n">
        <v>0.8454279098103044</v>
      </c>
      <c r="AF29" t="n">
        <v>-1.219559951830213</v>
      </c>
      <c r="AG29" t="n">
        <v>-1.275961902663239</v>
      </c>
      <c r="AH29" t="n">
        <v>0.6742789947273051</v>
      </c>
      <c r="AI29" t="n">
        <v>0.6298800700746767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Dominica_2023_May</t>
        </is>
      </c>
      <c r="B30" s="2" t="n"/>
      <c r="C30" s="3" t="inlineStr">
        <is>
          <t>SM.23.127, Sup. 1</t>
        </is>
      </c>
      <c r="D30" s="4" t="inlineStr">
        <is>
          <t>Dominica</t>
        </is>
      </c>
      <c r="E30" s="4" t="inlineStr">
        <is>
          <t>DMA</t>
        </is>
      </c>
      <c r="F30" s="10" t="n">
        <v>45047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NPC2</t>
        </is>
      </c>
      <c r="N30" t="n">
        <v>0.0974182222222222</v>
      </c>
      <c r="O30" t="n">
        <v>0.025729962962963</v>
      </c>
      <c r="P30" t="n">
        <v>0.0502312962962963</v>
      </c>
      <c r="Q30" t="n">
        <v>0.0390673083430259</v>
      </c>
      <c r="R30" t="n">
        <v>0.0303845350151077</v>
      </c>
      <c r="S30" t="n">
        <v>0.0236315222942436</v>
      </c>
      <c r="T30" t="n">
        <v>0.0183793777217805</v>
      </c>
      <c r="U30" t="n">
        <v>0.0142945308911465</v>
      </c>
      <c r="V30" t="n">
        <v>0.0111175479655003</v>
      </c>
      <c r="W30" t="n">
        <v>0.008646654703565839</v>
      </c>
      <c r="X30" t="n">
        <v>0.00672492151998851</v>
      </c>
      <c r="Y30" t="n">
        <v>0.00523029668703599</v>
      </c>
      <c r="Z30" t="n">
        <v>0.00406785467356152</v>
      </c>
      <c r="AA30" t="n">
        <v>0.00316376730334081</v>
      </c>
      <c r="AB30" t="n">
        <v>0.00246061483335266</v>
      </c>
      <c r="AC30" t="n">
        <v>0.00191373915259877</v>
      </c>
      <c r="AD30" t="n">
        <v>0.00148840748846471</v>
      </c>
      <c r="AE30" t="n">
        <v>0.00115760648399208</v>
      </c>
      <c r="AF30" t="n">
        <v>0.000900326545093346</v>
      </c>
      <c r="AG30" t="n">
        <v>0.000700227494411017</v>
      </c>
      <c r="AH30" t="n">
        <v>0.000544600785794109</v>
      </c>
      <c r="AI30" t="n">
        <v>0.000423562368308648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Dominica_2023_May</t>
        </is>
      </c>
      <c r="B31" s="2" t="n"/>
      <c r="C31" s="3" t="inlineStr">
        <is>
          <t>SM.23.127, Sup. 1</t>
        </is>
      </c>
      <c r="D31" s="4" t="inlineStr">
        <is>
          <t>Dominica</t>
        </is>
      </c>
      <c r="E31" s="4" t="inlineStr">
        <is>
          <t>DMA</t>
        </is>
      </c>
      <c r="F31" s="10" t="n">
        <v>45047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NPC2</t>
        </is>
      </c>
      <c r="N31" t="n">
        <v>0.342404555555556</v>
      </c>
      <c r="O31" t="n">
        <v>0.162514592592593</v>
      </c>
      <c r="P31" t="n">
        <v>0.302746296296296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Dominica_2023_May</t>
        </is>
      </c>
      <c r="B32" s="2" t="n"/>
      <c r="C32" s="3" t="inlineStr">
        <is>
          <t>SM.23.127, Sup. 1</t>
        </is>
      </c>
      <c r="D32" s="4" t="inlineStr">
        <is>
          <t>Dominica</t>
        </is>
      </c>
      <c r="E32" s="4" t="inlineStr">
        <is>
          <t>DMA</t>
        </is>
      </c>
      <c r="F32" s="10" t="n">
        <v>45047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NPC3</t>
        </is>
      </c>
      <c r="N32" t="n">
        <v>1.79198581481481</v>
      </c>
      <c r="O32" t="n">
        <v>1.90011344444444</v>
      </c>
      <c r="P32" t="n">
        <v>3.75526959259259</v>
      </c>
      <c r="Q32" t="n">
        <v>3.20879543783812</v>
      </c>
      <c r="R32" t="n">
        <v>2.74184526783396</v>
      </c>
      <c r="S32" t="n">
        <v>2.34284659722915</v>
      </c>
      <c r="T32" t="n">
        <v>2.00191099131003</v>
      </c>
      <c r="U32" t="n">
        <v>1.7105889996672</v>
      </c>
      <c r="V32" t="n">
        <v>1.4616607523932</v>
      </c>
      <c r="W32" t="n">
        <v>1.24895702912991</v>
      </c>
      <c r="X32" t="n">
        <v>1.06720636649714</v>
      </c>
      <c r="Y32" t="n">
        <v>0.911904414746323</v>
      </c>
      <c r="Z32" t="n">
        <v>0.779202305888854</v>
      </c>
      <c r="AA32" t="n">
        <v>0.665811266711992</v>
      </c>
      <c r="AB32" t="n">
        <v>0.568921112694783</v>
      </c>
      <c r="AC32" t="n">
        <v>0.486130602848268</v>
      </c>
      <c r="AD32" t="n">
        <v>0.415387929455176</v>
      </c>
      <c r="AE32" t="n">
        <v>0.354939867858749</v>
      </c>
      <c r="AF32" t="n">
        <v>0.303288326073473</v>
      </c>
      <c r="AG32" t="n">
        <v>0.25915321738119</v>
      </c>
      <c r="AH32" t="n">
        <v>0.221440735779433</v>
      </c>
      <c r="AI32" t="n">
        <v>0.189216248048386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Dominica_2023_May</t>
        </is>
      </c>
      <c r="B33" s="2" t="n"/>
      <c r="C33" s="3" t="inlineStr">
        <is>
          <t>SM.23.127, Sup. 1</t>
        </is>
      </c>
      <c r="D33" s="4" t="inlineStr">
        <is>
          <t>Dominica</t>
        </is>
      </c>
      <c r="E33" s="4" t="inlineStr">
        <is>
          <t>DMA</t>
        </is>
      </c>
      <c r="F33" s="10" t="n">
        <v>45047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0.000494486157779438</v>
      </c>
      <c r="O33" t="n">
        <v>0.0004944669011755</v>
      </c>
      <c r="P33" t="n">
        <v>0.000494447644571562</v>
      </c>
      <c r="Q33" t="n">
        <v>0.000494428387967623</v>
      </c>
      <c r="R33" t="n">
        <v>0.000494409131363685</v>
      </c>
      <c r="S33" t="n">
        <v>0.000494389874759747</v>
      </c>
      <c r="T33" t="n">
        <v>0.000494370618155808</v>
      </c>
      <c r="U33" t="n">
        <v>0.00049435136155187</v>
      </c>
      <c r="V33" t="n">
        <v>0.000494332104947932</v>
      </c>
      <c r="W33" t="n">
        <v>0.000494312848343994</v>
      </c>
      <c r="X33" t="n">
        <v>0.000494293591740055</v>
      </c>
      <c r="Y33" t="n">
        <v>0.0004942743351361171</v>
      </c>
      <c r="Z33" t="n">
        <v>0.000492348674742291</v>
      </c>
      <c r="AA33" t="n">
        <v>0.000492348674742291</v>
      </c>
      <c r="AB33" t="n">
        <v>0.000492348674742291</v>
      </c>
      <c r="AC33" t="n">
        <v>0.000492348674742291</v>
      </c>
      <c r="AD33" t="n">
        <v>0.000492348674742291</v>
      </c>
      <c r="AE33" t="n">
        <v>0.000492348674742291</v>
      </c>
      <c r="AF33" t="n">
        <v>0.000533564174841036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Dominica_2023_May</t>
        </is>
      </c>
      <c r="B34" s="2" t="n"/>
      <c r="C34" s="3" t="inlineStr">
        <is>
          <t>SM.23.127, Sup. 1</t>
        </is>
      </c>
      <c r="D34" s="4" t="inlineStr">
        <is>
          <t>Dominica</t>
        </is>
      </c>
      <c r="E34" s="4" t="inlineStr">
        <is>
          <t>DMA</t>
        </is>
      </c>
      <c r="F34" s="10" t="n">
        <v>45047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0.321600000000001</v>
      </c>
      <c r="O34" t="n">
        <v>0.10522325925926</v>
      </c>
      <c r="P34" t="n">
        <v>0.977500925925927</v>
      </c>
      <c r="Q34" t="n">
        <v>0.605071038406081</v>
      </c>
      <c r="R34" t="n">
        <v>0.609752681524058</v>
      </c>
      <c r="S34" t="n">
        <v>0.623328155937649</v>
      </c>
      <c r="T34" t="n">
        <v>0.641246171358007</v>
      </c>
      <c r="U34" t="n">
        <v>0.664335298658288</v>
      </c>
      <c r="V34" t="n">
        <v>0.586608662202672</v>
      </c>
      <c r="W34" t="n">
        <v>0.583428378529238</v>
      </c>
      <c r="X34" t="n">
        <v>0.578663140379306</v>
      </c>
      <c r="Y34" t="n">
        <v>0.5702174990430749</v>
      </c>
      <c r="Z34" t="n">
        <v>0.556487166557356</v>
      </c>
      <c r="AA34" t="n">
        <v>0.535381275808246</v>
      </c>
      <c r="AB34" t="n">
        <v>0.525588154183969</v>
      </c>
      <c r="AC34" t="n">
        <v>0.514461364217263</v>
      </c>
      <c r="AD34" t="n">
        <v>0.502051435546041</v>
      </c>
      <c r="AE34" t="n">
        <v>0.488838086792821</v>
      </c>
      <c r="AF34" t="n">
        <v>-1.52428216862362</v>
      </c>
      <c r="AG34" t="n">
        <v>-1.53581534753884</v>
      </c>
      <c r="AH34" t="n">
        <v>0.452293658162078</v>
      </c>
      <c r="AI34" t="n">
        <v>0.440240259657982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Dominica_2023_May</t>
        </is>
      </c>
      <c r="B35" s="2" t="n"/>
      <c r="C35" s="3" t="inlineStr">
        <is>
          <t>SM.23.127, Sup. 1</t>
        </is>
      </c>
      <c r="D35" s="4" t="inlineStr">
        <is>
          <t>Dominica</t>
        </is>
      </c>
      <c r="E35" s="4" t="inlineStr">
        <is>
          <t>DMA</t>
        </is>
      </c>
      <c r="F35" s="10" t="n">
        <v>45047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4.87146819259007</v>
      </c>
      <c r="O35" t="n">
        <v>3.64651556561577</v>
      </c>
      <c r="P35" t="n">
        <v>5.05071934604886</v>
      </c>
      <c r="Q35" t="n">
        <v>5.61054802267405</v>
      </c>
      <c r="R35" t="n">
        <v>4.61719000030747</v>
      </c>
      <c r="S35" t="n">
        <v>4.39762033694653</v>
      </c>
      <c r="T35" t="n">
        <v>4.25484111590757</v>
      </c>
      <c r="U35" t="n">
        <v>4.39355735797973</v>
      </c>
      <c r="V35" t="n">
        <v>4.26500515278471</v>
      </c>
      <c r="W35" t="n">
        <v>4.00487572640636</v>
      </c>
      <c r="X35" t="n">
        <v>3.8908826560656</v>
      </c>
      <c r="Y35" t="n">
        <v>3.79752443598605</v>
      </c>
      <c r="Z35" t="n">
        <v>3.82896891299429</v>
      </c>
      <c r="AA35" t="n">
        <v>2.02493094299751</v>
      </c>
      <c r="AB35" t="n">
        <v>0.57017038217058</v>
      </c>
      <c r="AC35" t="n">
        <v>0.537826132962544</v>
      </c>
      <c r="AD35" t="n">
        <v>0.507316686980956</v>
      </c>
      <c r="AE35" t="n">
        <v>0.478537960719096</v>
      </c>
      <c r="AF35" t="n">
        <v>0.451391775050734</v>
      </c>
      <c r="AG35" t="n">
        <v>0.425785520290327</v>
      </c>
      <c r="AH35" t="n">
        <v>0.401631840253465</v>
      </c>
      <c r="AI35" t="n">
        <v>0.378848334239724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Dominica_2023_May</t>
        </is>
      </c>
      <c r="B36" s="2" t="n"/>
      <c r="C36" s="3" t="inlineStr">
        <is>
          <t>SM.23.127, Sup. 1</t>
        </is>
      </c>
      <c r="D36" s="4" t="inlineStr">
        <is>
          <t>Dominica</t>
        </is>
      </c>
      <c r="E36" s="4" t="inlineStr">
        <is>
          <t>DMA</t>
        </is>
      </c>
      <c r="F36" s="10" t="n">
        <v>45047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Dominica_2023_May</t>
        </is>
      </c>
      <c r="B37" s="2" t="n"/>
      <c r="C37" s="3" t="inlineStr">
        <is>
          <t>SM.23.127, Sup. 1</t>
        </is>
      </c>
      <c r="D37" s="4" t="inlineStr">
        <is>
          <t>Dominica</t>
        </is>
      </c>
      <c r="E37" s="4" t="inlineStr">
        <is>
          <t>DMA</t>
        </is>
      </c>
      <c r="F37" s="10" t="n">
        <v>45047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Commecial Bank</t>
        </is>
      </c>
      <c r="N37" t="n">
        <v>4.87146819259007</v>
      </c>
      <c r="O37" t="n">
        <v>3.64651556561577</v>
      </c>
      <c r="P37" t="n">
        <v>5.05071934604886</v>
      </c>
      <c r="Q37" t="n">
        <v>5.61054802267405</v>
      </c>
      <c r="R37" t="n">
        <v>4.61719000030747</v>
      </c>
      <c r="S37" t="n">
        <v>4.39762033694653</v>
      </c>
      <c r="T37" t="n">
        <v>4.25484111590757</v>
      </c>
      <c r="U37" t="n">
        <v>4.39355735797973</v>
      </c>
      <c r="V37" t="n">
        <v>4.26500515278471</v>
      </c>
      <c r="W37" t="n">
        <v>4.00487572640636</v>
      </c>
      <c r="X37" t="n">
        <v>3.8908826560656</v>
      </c>
      <c r="Y37" t="n">
        <v>3.79752443598605</v>
      </c>
      <c r="Z37" t="n">
        <v>3.82896891299429</v>
      </c>
      <c r="AA37" t="n">
        <v>2.02493094299751</v>
      </c>
      <c r="AB37" t="n">
        <v>0.57017038217058</v>
      </c>
      <c r="AC37" t="n">
        <v>0.537826132962544</v>
      </c>
      <c r="AD37" t="n">
        <v>0.507316686980956</v>
      </c>
      <c r="AE37" t="n">
        <v>0.478537960719096</v>
      </c>
      <c r="AF37" t="n">
        <v>0.451391775050734</v>
      </c>
      <c r="AG37" t="n">
        <v>0.425785520290327</v>
      </c>
      <c r="AH37" t="n">
        <v>0.401631840253465</v>
      </c>
      <c r="AI37" t="n">
        <v>0.378848334239724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Dominica_2023_May</t>
        </is>
      </c>
      <c r="B38" s="2" t="n"/>
      <c r="C38" s="3" t="inlineStr">
        <is>
          <t>SM.23.127, Sup. 1</t>
        </is>
      </c>
      <c r="D38" s="4" t="inlineStr">
        <is>
          <t>Dominica</t>
        </is>
      </c>
      <c r="E38" s="4" t="inlineStr">
        <is>
          <t>DMA</t>
        </is>
      </c>
      <c r="F38" s="10" t="n">
        <v>45047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Dominica_2023_May</t>
        </is>
      </c>
      <c r="B39" s="2" t="n"/>
      <c r="C39" s="3" t="inlineStr">
        <is>
          <t>SM.23.127, Sup. 1</t>
        </is>
      </c>
      <c r="D39" s="4" t="inlineStr">
        <is>
          <t>Dominica</t>
        </is>
      </c>
      <c r="E39" s="4" t="inlineStr">
        <is>
          <t>DMA</t>
        </is>
      </c>
      <c r="F39" s="10" t="n">
        <v>45047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Dominica_2023_May</t>
        </is>
      </c>
      <c r="B40" s="2" t="n"/>
      <c r="C40" s="3" t="inlineStr">
        <is>
          <t>SM.23.127, Sup. 1</t>
        </is>
      </c>
      <c r="D40" s="4" t="inlineStr">
        <is>
          <t>Dominica</t>
        </is>
      </c>
      <c r="E40" s="4" t="inlineStr">
        <is>
          <t>DMA</t>
        </is>
      </c>
      <c r="F40" s="10" t="n">
        <v>45047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Dominica_2023_May</t>
        </is>
      </c>
      <c r="B41" s="2" t="n"/>
      <c r="C41" s="3" t="inlineStr">
        <is>
          <t>SM.23.127, Sup. 1</t>
        </is>
      </c>
      <c r="D41" s="4" t="inlineStr">
        <is>
          <t>Dominica</t>
        </is>
      </c>
      <c r="E41" s="4" t="inlineStr">
        <is>
          <t>DMA</t>
        </is>
      </c>
      <c r="F41" s="10" t="n">
        <v>45047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Dominica_2023_May</t>
        </is>
      </c>
      <c r="B42" s="2" t="n"/>
      <c r="C42" s="3" t="inlineStr">
        <is>
          <t>SM.23.127, Sup. 1</t>
        </is>
      </c>
      <c r="D42" s="4" t="inlineStr">
        <is>
          <t>Dominica</t>
        </is>
      </c>
      <c r="E42" s="4" t="inlineStr">
        <is>
          <t>DMA</t>
        </is>
      </c>
      <c r="F42" s="10" t="n">
        <v>45047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26.76410856763673</v>
      </c>
      <c r="O42" t="n">
        <v>14.92018955103546</v>
      </c>
      <c r="P42" t="n">
        <v>33.61785953443412</v>
      </c>
      <c r="Q42" t="n">
        <v>32.44030906684368</v>
      </c>
      <c r="R42" t="n">
        <v>28.15478560815923</v>
      </c>
      <c r="S42" t="n">
        <v>25.35031711875787</v>
      </c>
      <c r="T42" t="n">
        <v>21.97794816812981</v>
      </c>
      <c r="U42" t="n">
        <v>20.60770962119953</v>
      </c>
      <c r="V42" t="n">
        <v>18.96017193177536</v>
      </c>
      <c r="W42" t="n">
        <v>17.7180562091795</v>
      </c>
      <c r="X42" t="n">
        <v>16.62078334938877</v>
      </c>
      <c r="Y42" t="n">
        <v>15.77743538049518</v>
      </c>
      <c r="Z42" t="n">
        <v>15.13230985886969</v>
      </c>
      <c r="AA42" t="n">
        <v>12.71087255408127</v>
      </c>
      <c r="AB42" t="n">
        <v>10.70692448896036</v>
      </c>
      <c r="AC42" t="n">
        <v>10.17315394839658</v>
      </c>
      <c r="AD42" t="n">
        <v>9.186736075578576</v>
      </c>
      <c r="AE42" t="n">
        <v>8.238601239414226</v>
      </c>
      <c r="AF42" t="n">
        <v>5.496408460011594</v>
      </c>
      <c r="AG42" t="n">
        <v>5.150371117415419</v>
      </c>
      <c r="AH42" t="n">
        <v>6.831828939250098</v>
      </c>
      <c r="AI42" t="n">
        <v>6.537585520127508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Dominica_2023_May</t>
        </is>
      </c>
      <c r="B43" s="2" t="n"/>
      <c r="C43" s="3" t="inlineStr">
        <is>
          <t>SM.23.127, Sup. 1</t>
        </is>
      </c>
      <c r="D43" s="4" t="inlineStr">
        <is>
          <t>Dominica</t>
        </is>
      </c>
      <c r="E43" s="4" t="inlineStr">
        <is>
          <t>DMA</t>
        </is>
      </c>
      <c r="F43" s="10" t="n">
        <v>45047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18.08511343189878</v>
      </c>
      <c r="O43" t="n">
        <v>11.30507166039381</v>
      </c>
      <c r="P43" t="n">
        <v>25.52684566039381</v>
      </c>
      <c r="Q43" t="n">
        <v>24.02525239648941</v>
      </c>
      <c r="R43" t="n">
        <v>20.28400716957863</v>
      </c>
      <c r="S43" t="n">
        <v>18.12359417877467</v>
      </c>
      <c r="T43" t="n">
        <v>15.52355638777615</v>
      </c>
      <c r="U43" t="n">
        <v>14.10181460319574</v>
      </c>
      <c r="V43" t="n">
        <v>11.78633907808611</v>
      </c>
      <c r="W43" t="n">
        <v>10.07618443951311</v>
      </c>
      <c r="X43" t="n">
        <v>9.055553412936296</v>
      </c>
      <c r="Y43" t="n">
        <v>7.171263440603221</v>
      </c>
      <c r="Z43" t="n">
        <v>6.684669853832629</v>
      </c>
      <c r="AA43" t="n">
        <v>4.528248749954777</v>
      </c>
      <c r="AB43" t="n">
        <v>3.220158742823185</v>
      </c>
      <c r="AC43" t="n">
        <v>2.85359112755711</v>
      </c>
      <c r="AD43" t="n">
        <v>3.355123842892851</v>
      </c>
      <c r="AE43" t="n">
        <v>2.558198452789518</v>
      </c>
      <c r="AF43" t="n">
        <v>1.947452258222592</v>
      </c>
      <c r="AG43" t="n">
        <v>1.699930696176925</v>
      </c>
      <c r="AH43" t="n">
        <v>1.510915782135444</v>
      </c>
      <c r="AI43" t="n">
        <v>1.338173772322963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Dominica_2023_May</t>
        </is>
      </c>
      <c r="B44" s="2" t="n"/>
      <c r="C44" s="3" t="inlineStr">
        <is>
          <t>SM.23.127, Sup. 1</t>
        </is>
      </c>
      <c r="D44" s="4" t="inlineStr">
        <is>
          <t>Dominica</t>
        </is>
      </c>
      <c r="E44" s="4" t="inlineStr">
        <is>
          <t>DMA</t>
        </is>
      </c>
      <c r="F44" s="10" t="n">
        <v>45047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8.678995135737956</v>
      </c>
      <c r="O44" t="n">
        <v>3.615117890641649</v>
      </c>
      <c r="P44" t="n">
        <v>8.091013874040303</v>
      </c>
      <c r="Q44" t="n">
        <v>8.415056670354275</v>
      </c>
      <c r="R44" t="n">
        <v>7.870778438580597</v>
      </c>
      <c r="S44" t="n">
        <v>7.226722939983205</v>
      </c>
      <c r="T44" t="n">
        <v>6.454391780353665</v>
      </c>
      <c r="U44" t="n">
        <v>6.505895018003793</v>
      </c>
      <c r="V44" t="n">
        <v>7.173832853689253</v>
      </c>
      <c r="W44" t="n">
        <v>7.641871769666395</v>
      </c>
      <c r="X44" t="n">
        <v>7.56522993645247</v>
      </c>
      <c r="Y44" t="n">
        <v>8.606171939891958</v>
      </c>
      <c r="Z44" t="n">
        <v>8.447640005037066</v>
      </c>
      <c r="AA44" t="n">
        <v>8.182623804126489</v>
      </c>
      <c r="AB44" t="n">
        <v>7.486765746137178</v>
      </c>
      <c r="AC44" t="n">
        <v>7.319562820839468</v>
      </c>
      <c r="AD44" t="n">
        <v>5.831612232685725</v>
      </c>
      <c r="AE44" t="n">
        <v>5.680402786624708</v>
      </c>
      <c r="AF44" t="n">
        <v>3.548956201789002</v>
      </c>
      <c r="AG44" t="n">
        <v>3.450440421238494</v>
      </c>
      <c r="AH44" t="n">
        <v>5.320913157114654</v>
      </c>
      <c r="AI44" t="n">
        <v>5.199411747804545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Dominica_2023_May</t>
        </is>
      </c>
      <c r="B45" s="2" t="n"/>
      <c r="C45" s="3" t="inlineStr">
        <is>
          <t>SM.23.127, Sup. 1</t>
        </is>
      </c>
      <c r="D45" s="4" t="inlineStr">
        <is>
          <t>Dominica</t>
        </is>
      </c>
      <c r="E45" s="4" t="inlineStr">
        <is>
          <t>DMA</t>
        </is>
      </c>
      <c r="F45" s="10" t="n">
        <v>45047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407.075642519048</v>
      </c>
      <c r="O45" t="n">
        <v>395.7705708586542</v>
      </c>
      <c r="P45" t="n">
        <v>370.2437251982604</v>
      </c>
      <c r="Q45" t="n">
        <v>346.218472801771</v>
      </c>
      <c r="R45" t="n">
        <v>325.9344656321924</v>
      </c>
      <c r="S45" t="n">
        <v>307.8108714534177</v>
      </c>
      <c r="T45" t="n">
        <v>292.2873150656416</v>
      </c>
      <c r="U45" t="n">
        <v>278.1855004624458</v>
      </c>
      <c r="V45" t="n">
        <v>266.3991613843597</v>
      </c>
      <c r="W45" t="n">
        <v>256.3229769448466</v>
      </c>
      <c r="X45" t="n">
        <v>247.2674235319103</v>
      </c>
      <c r="Y45" t="n">
        <v>240.0961600913071</v>
      </c>
      <c r="Z45" t="n">
        <v>233.4114902374745</v>
      </c>
      <c r="AA45" t="n">
        <v>228.8832414875197</v>
      </c>
      <c r="AB45" t="n">
        <v>225.6630827446966</v>
      </c>
      <c r="AC45" t="n">
        <v>222.8094916171395</v>
      </c>
      <c r="AD45" t="n">
        <v>219.4543677742466</v>
      </c>
      <c r="AE45" t="n">
        <v>216.8961693214571</v>
      </c>
      <c r="AF45" t="n">
        <v>214.9487170632345</v>
      </c>
      <c r="AG45" t="n">
        <v>213.2487863670576</v>
      </c>
      <c r="AH45" t="n">
        <v>211.7378705849221</v>
      </c>
      <c r="AI45" t="n">
        <v>210.3996968125992</v>
      </c>
      <c r="AJ45" t="n">
        <v>210.3996968125992</v>
      </c>
      <c r="AK45" t="n">
        <v>210.3996968125992</v>
      </c>
      <c r="AL45" t="n">
        <v>210.3996968125992</v>
      </c>
      <c r="AM45" t="n">
        <v>210.3996968125992</v>
      </c>
      <c r="AN45" t="n">
        <v>210.3996968125992</v>
      </c>
      <c r="AO45" t="n">
        <v>210.3996968125992</v>
      </c>
      <c r="AP45" t="n">
        <v>210.3996968125992</v>
      </c>
      <c r="AQ45" t="n">
        <v>210.3996968125992</v>
      </c>
      <c r="AR45" t="n">
        <v>210.3996968125992</v>
      </c>
      <c r="AS45" t="n">
        <v>210.3996968125992</v>
      </c>
      <c r="AT45" t="n">
        <v>210.3996968125992</v>
      </c>
      <c r="AU45" t="n">
        <v>210.3996968125992</v>
      </c>
      <c r="AV45" t="n">
        <v>210.3996968125992</v>
      </c>
      <c r="AW45" t="n">
        <v>210.3996968125992</v>
      </c>
      <c r="AX45" t="n">
        <v>210.3996968125992</v>
      </c>
      <c r="AY45" t="n">
        <v>210.3996968125992</v>
      </c>
      <c r="AZ45" t="n">
        <v>210.3996968125992</v>
      </c>
      <c r="BA45" t="n">
        <v>210.3996968125992</v>
      </c>
      <c r="BB45" t="n">
        <v>210.3996968125992</v>
      </c>
      <c r="BC45" t="n">
        <v>210.3996968125992</v>
      </c>
      <c r="BD45" t="n">
        <v>210.3996968125992</v>
      </c>
      <c r="BE45" t="n">
        <v>210.3996968125992</v>
      </c>
      <c r="BF45" t="n">
        <v>210.3996968125992</v>
      </c>
      <c r="BG45" t="n">
        <v>210.3996968125992</v>
      </c>
    </row>
    <row r="46">
      <c r="A46" t="inlineStr">
        <is>
          <t>Dominica_2023_May</t>
        </is>
      </c>
      <c r="B46" s="2" t="n"/>
      <c r="C46" s="3" t="inlineStr">
        <is>
          <t>SM.23.127, Sup. 1</t>
        </is>
      </c>
      <c r="D46" s="4" t="inlineStr">
        <is>
          <t>Dominica</t>
        </is>
      </c>
      <c r="E46" s="4" t="inlineStr">
        <is>
          <t>DMA</t>
        </is>
      </c>
      <c r="F46" s="10" t="n">
        <v>45047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210.3996968125991</v>
      </c>
    </row>
    <row r="47">
      <c r="A47" t="inlineStr">
        <is>
          <t>Dominica_2023_May</t>
        </is>
      </c>
      <c r="B47" s="2" t="n"/>
      <c r="C47" s="3" t="inlineStr">
        <is>
          <t>SM.23.127, Sup. 1</t>
        </is>
      </c>
      <c r="D47" s="4" t="inlineStr">
        <is>
          <t>Dominica</t>
        </is>
      </c>
      <c r="E47" s="4" t="inlineStr">
        <is>
          <t>DMA</t>
        </is>
      </c>
      <c r="F47" s="10" t="n">
        <v>45047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Dominica_2023_May</t>
        </is>
      </c>
      <c r="B48" s="2" t="n"/>
      <c r="C48" s="3" t="inlineStr">
        <is>
          <t>SM.23.127, Sup. 1</t>
        </is>
      </c>
      <c r="D48" s="4" t="inlineStr">
        <is>
          <t>Dominica</t>
        </is>
      </c>
      <c r="E48" s="4" t="inlineStr">
        <is>
          <t>DMA</t>
        </is>
      </c>
      <c r="F48" s="10" t="n">
        <v>45047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Dominica_2023_May</t>
        </is>
      </c>
      <c r="B49" s="2" t="n"/>
      <c r="C49" s="3" t="inlineStr">
        <is>
          <t>SM.23.127, Sup. 1</t>
        </is>
      </c>
      <c r="D49" s="4" t="inlineStr">
        <is>
          <t>Dominica</t>
        </is>
      </c>
      <c r="E49" s="4" t="inlineStr">
        <is>
          <t>DMA</t>
        </is>
      </c>
      <c r="F49" s="10" t="n">
        <v>45047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Dominica_2023_May</t>
        </is>
      </c>
      <c r="B50" s="2" t="n"/>
      <c r="C50" s="3" t="inlineStr">
        <is>
          <t>SM.23.127, Sup. 1</t>
        </is>
      </c>
      <c r="D50" s="4" t="inlineStr">
        <is>
          <t>Dominica</t>
        </is>
      </c>
      <c r="E50" s="4" t="inlineStr">
        <is>
          <t>DMA</t>
        </is>
      </c>
      <c r="F50" s="10" t="n">
        <v>45047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Dominica_2023_May</t>
        </is>
      </c>
      <c r="B51" s="2" t="n"/>
      <c r="C51" s="3" t="inlineStr">
        <is>
          <t>SM.23.127, Sup. 1</t>
        </is>
      </c>
      <c r="D51" s="4" t="inlineStr">
        <is>
          <t>Dominica</t>
        </is>
      </c>
      <c r="E51" s="4" t="inlineStr">
        <is>
          <t>DMA</t>
        </is>
      </c>
      <c r="F51" s="10" t="n">
        <v>45047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Dominica_2023_May</t>
        </is>
      </c>
      <c r="B52" s="2" t="n"/>
      <c r="C52" s="3" t="inlineStr">
        <is>
          <t>SM.23.127, Sup. 1</t>
        </is>
      </c>
      <c r="D52" s="4" t="inlineStr">
        <is>
          <t>Dominica</t>
        </is>
      </c>
      <c r="E52" s="4" t="inlineStr">
        <is>
          <t>DMA</t>
        </is>
      </c>
      <c r="F52" s="10" t="n">
        <v>45047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 held by residents</t>
        </is>
      </c>
    </row>
    <row r="53">
      <c r="A53" t="inlineStr">
        <is>
          <t>Dominica_2023_May</t>
        </is>
      </c>
      <c r="B53" s="2" t="n"/>
      <c r="C53" s="3" t="inlineStr">
        <is>
          <t>SM.23.127, Sup. 1</t>
        </is>
      </c>
      <c r="D53" s="4" t="inlineStr">
        <is>
          <t>Dominica</t>
        </is>
      </c>
      <c r="E53" s="4" t="inlineStr">
        <is>
          <t>DMA</t>
        </is>
      </c>
      <c r="F53" s="10" t="n">
        <v>45047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Dominica_2023_May</t>
        </is>
      </c>
      <c r="B54" s="2" t="n"/>
      <c r="C54" s="3" t="inlineStr">
        <is>
          <t>SM.23.127, Sup. 1</t>
        </is>
      </c>
      <c r="D54" s="4" t="inlineStr">
        <is>
          <t>Dominica</t>
        </is>
      </c>
      <c r="E54" s="4" t="inlineStr">
        <is>
          <t>DMA</t>
        </is>
      </c>
      <c r="F54" s="10" t="n">
        <v>45047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Dominica_2023_May</t>
        </is>
      </c>
      <c r="B55" s="2" t="n"/>
      <c r="C55" s="3" t="inlineStr">
        <is>
          <t>SM.23.127, Sup. 1</t>
        </is>
      </c>
      <c r="D55" s="4" t="inlineStr">
        <is>
          <t>Dominica</t>
        </is>
      </c>
      <c r="E55" s="4" t="inlineStr">
        <is>
          <t>DMA</t>
        </is>
      </c>
      <c r="F55" s="10" t="n">
        <v>45047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Dominica_2023_May</t>
        </is>
      </c>
      <c r="B56" s="2" t="n"/>
      <c r="C56" s="3" t="inlineStr">
        <is>
          <t>SM.23.127, Sup. 1</t>
        </is>
      </c>
      <c r="D56" s="4" t="inlineStr">
        <is>
          <t>Dominica</t>
        </is>
      </c>
      <c r="E56" s="4" t="inlineStr">
        <is>
          <t>DMA</t>
        </is>
      </c>
      <c r="F56" s="10" t="n">
        <v>45047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Dominica_2023_May</t>
        </is>
      </c>
      <c r="B57" s="2" t="n"/>
      <c r="C57" s="3" t="inlineStr">
        <is>
          <t>SM.23.127, Sup. 1</t>
        </is>
      </c>
      <c r="D57" s="4" t="inlineStr">
        <is>
          <t>Dominica</t>
        </is>
      </c>
      <c r="E57" s="4" t="inlineStr">
        <is>
          <t>DMA</t>
        </is>
      </c>
      <c r="F57" s="10" t="n">
        <v>45047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Dominica_2023_May</t>
        </is>
      </c>
      <c r="B58" s="2" t="n"/>
      <c r="C58" s="3" t="inlineStr">
        <is>
          <t>SM.23.127, Sup. 1</t>
        </is>
      </c>
      <c r="D58" s="4" t="inlineStr">
        <is>
          <t>Dominica</t>
        </is>
      </c>
      <c r="E58" s="4" t="inlineStr">
        <is>
          <t>DMA</t>
        </is>
      </c>
      <c r="F58" s="10" t="n">
        <v>45047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Dominica_2023_May</t>
        </is>
      </c>
      <c r="B59" s="2" t="n"/>
      <c r="C59" s="3" t="inlineStr">
        <is>
          <t>SM.23.127, Sup. 1</t>
        </is>
      </c>
      <c r="D59" s="4" t="inlineStr">
        <is>
          <t>Dominica</t>
        </is>
      </c>
      <c r="E59" s="4" t="inlineStr">
        <is>
          <t>DMA</t>
        </is>
      </c>
      <c r="F59" s="10" t="n">
        <v>45047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Dominica_2023_May</t>
        </is>
      </c>
      <c r="B60" s="2" t="n"/>
      <c r="C60" s="3" t="inlineStr">
        <is>
          <t>SM.23.127, Sup. 1</t>
        </is>
      </c>
      <c r="D60" s="4" t="inlineStr">
        <is>
          <t>Dominica</t>
        </is>
      </c>
      <c r="E60" s="4" t="inlineStr">
        <is>
          <t>DMA</t>
        </is>
      </c>
      <c r="F60" s="10" t="n">
        <v>45047</v>
      </c>
      <c r="G60" s="4" t="inlineStr">
        <is>
          <t>2018gn</t>
        </is>
      </c>
      <c r="H60" s="4" t="n">
        <v>2022</v>
      </c>
      <c r="I60" s="5" t="n"/>
      <c r="O60" t="n">
        <v>30.5236934830633</v>
      </c>
      <c r="P60" t="n">
        <v>68.9224832830633</v>
      </c>
      <c r="Q60" t="n">
        <v>64.86818147052141</v>
      </c>
      <c r="R60" t="n">
        <v>54.7668193578623</v>
      </c>
      <c r="S60" t="n">
        <v>48.9337042826916</v>
      </c>
      <c r="T60" t="n">
        <v>41.9136022469956</v>
      </c>
      <c r="U60" t="n">
        <v>42.08316088716607</v>
      </c>
      <c r="V60" t="n">
        <v>37.79206556093843</v>
      </c>
      <c r="W60" t="n">
        <v>35.33781744829746</v>
      </c>
      <c r="X60" t="n">
        <v>34.84809883311382</v>
      </c>
      <c r="Y60" t="n">
        <v>32.4772454880065</v>
      </c>
      <c r="Z60" t="n">
        <v>36.3350339106352</v>
      </c>
      <c r="AA60" t="n">
        <v>35.9079929627782</v>
      </c>
      <c r="AB60" t="n">
        <v>39.32125317819271</v>
      </c>
      <c r="AC60" t="n">
        <v>45.36324937044134</v>
      </c>
      <c r="AD60" t="n">
        <v>96.3681852498754</v>
      </c>
      <c r="AE60" t="n">
        <v>100.061685801056</v>
      </c>
      <c r="AF60" t="n">
        <v>104.3878806147408</v>
      </c>
      <c r="AG60" t="n">
        <v>108.1683308486244</v>
      </c>
      <c r="AH60" t="n">
        <v>109.9510724070479</v>
      </c>
      <c r="AI60" t="n">
        <v>3.613069185272</v>
      </c>
    </row>
    <row r="61">
      <c r="A61" t="inlineStr">
        <is>
          <t>Dominica_2023_May</t>
        </is>
      </c>
      <c r="B61" s="2" t="n"/>
      <c r="C61" s="3" t="inlineStr">
        <is>
          <t>SM.23.127, Sup. 1</t>
        </is>
      </c>
      <c r="D61" s="4" t="inlineStr">
        <is>
          <t>Dominica</t>
        </is>
      </c>
      <c r="E61" s="4" t="inlineStr">
        <is>
          <t>DMA</t>
        </is>
      </c>
      <c r="F61" s="10" t="n">
        <v>45047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26.76410856763673</v>
      </c>
      <c r="O61" t="n">
        <v>14.92018955103546</v>
      </c>
      <c r="P61" t="n">
        <v>33.61785953443412</v>
      </c>
      <c r="Q61" t="n">
        <v>32.44030906684368</v>
      </c>
      <c r="R61" t="n">
        <v>28.15478560815923</v>
      </c>
      <c r="S61" t="n">
        <v>25.35031711875787</v>
      </c>
      <c r="T61" t="n">
        <v>21.97794816812981</v>
      </c>
      <c r="U61" t="n">
        <v>20.60770962119953</v>
      </c>
      <c r="V61" t="n">
        <v>18.96017193177536</v>
      </c>
      <c r="W61" t="n">
        <v>17.7180562091795</v>
      </c>
      <c r="X61" t="n">
        <v>16.62078334938877</v>
      </c>
      <c r="Y61" t="n">
        <v>15.77743538049518</v>
      </c>
      <c r="Z61" t="n">
        <v>15.13230985886969</v>
      </c>
      <c r="AA61" t="n">
        <v>12.71087255408127</v>
      </c>
      <c r="AB61" t="n">
        <v>10.70692448896036</v>
      </c>
      <c r="AC61" t="n">
        <v>10.17315394839658</v>
      </c>
      <c r="AD61" t="n">
        <v>9.186736075578576</v>
      </c>
      <c r="AE61" t="n">
        <v>8.238601239414226</v>
      </c>
      <c r="AF61" t="n">
        <v>5.496408460011594</v>
      </c>
      <c r="AG61" t="n">
        <v>5.150371117415419</v>
      </c>
      <c r="AH61" t="n">
        <v>6.831828939250098</v>
      </c>
      <c r="AI61" t="n">
        <v>6.537585520127508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Dominica_2023_May</t>
        </is>
      </c>
      <c r="B62" s="2" t="n"/>
      <c r="C62" s="3" t="inlineStr">
        <is>
          <t>SM.23.127, Sup. 1</t>
        </is>
      </c>
      <c r="D62" s="4" t="inlineStr">
        <is>
          <t>Dominica</t>
        </is>
      </c>
      <c r="E62" s="4" t="inlineStr">
        <is>
          <t>DMA</t>
        </is>
      </c>
      <c r="F62" s="10" t="n">
        <v>45047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18.08511343189878</v>
      </c>
      <c r="O62" t="n">
        <v>11.30507166039381</v>
      </c>
      <c r="P62" t="n">
        <v>25.52684566039381</v>
      </c>
      <c r="Q62" t="n">
        <v>24.02525239648941</v>
      </c>
      <c r="R62" t="n">
        <v>20.28400716957863</v>
      </c>
      <c r="S62" t="n">
        <v>18.12359417877467</v>
      </c>
      <c r="T62" t="n">
        <v>15.52355638777615</v>
      </c>
      <c r="U62" t="n">
        <v>14.10181460319574</v>
      </c>
      <c r="V62" t="n">
        <v>11.78633907808611</v>
      </c>
      <c r="W62" t="n">
        <v>10.07618443951311</v>
      </c>
      <c r="X62" t="n">
        <v>9.055553412936296</v>
      </c>
      <c r="Y62" t="n">
        <v>7.171263440603221</v>
      </c>
      <c r="Z62" t="n">
        <v>6.684669853832629</v>
      </c>
      <c r="AA62" t="n">
        <v>4.528248749954777</v>
      </c>
      <c r="AB62" t="n">
        <v>3.220158742823185</v>
      </c>
      <c r="AC62" t="n">
        <v>2.85359112755711</v>
      </c>
      <c r="AD62" t="n">
        <v>3.355123842892851</v>
      </c>
      <c r="AE62" t="n">
        <v>2.558198452789518</v>
      </c>
      <c r="AF62" t="n">
        <v>1.947452258222592</v>
      </c>
      <c r="AG62" t="n">
        <v>1.699930696176925</v>
      </c>
      <c r="AH62" t="n">
        <v>1.510915782135444</v>
      </c>
      <c r="AI62" t="n">
        <v>1.338173772322963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Dominica_2023_May</t>
        </is>
      </c>
      <c r="B63" s="2" t="n"/>
      <c r="C63" s="3" t="inlineStr">
        <is>
          <t>SM.23.127, Sup. 1</t>
        </is>
      </c>
      <c r="D63" s="4" t="inlineStr">
        <is>
          <t>Dominica</t>
        </is>
      </c>
      <c r="E63" s="4" t="inlineStr">
        <is>
          <t>DMA</t>
        </is>
      </c>
      <c r="F63" s="10" t="n">
        <v>45047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8.678995135737956</v>
      </c>
      <c r="O63" t="n">
        <v>3.615117890641649</v>
      </c>
      <c r="P63" t="n">
        <v>8.091013874040303</v>
      </c>
      <c r="Q63" t="n">
        <v>8.415056670354275</v>
      </c>
      <c r="R63" t="n">
        <v>7.870778438580597</v>
      </c>
      <c r="S63" t="n">
        <v>7.226722939983205</v>
      </c>
      <c r="T63" t="n">
        <v>6.454391780353665</v>
      </c>
      <c r="U63" t="n">
        <v>6.505895018003793</v>
      </c>
      <c r="V63" t="n">
        <v>7.173832853689253</v>
      </c>
      <c r="W63" t="n">
        <v>7.641871769666395</v>
      </c>
      <c r="X63" t="n">
        <v>7.56522993645247</v>
      </c>
      <c r="Y63" t="n">
        <v>8.606171939891958</v>
      </c>
      <c r="Z63" t="n">
        <v>8.447640005037066</v>
      </c>
      <c r="AA63" t="n">
        <v>8.182623804126489</v>
      </c>
      <c r="AB63" t="n">
        <v>7.486765746137178</v>
      </c>
      <c r="AC63" t="n">
        <v>7.319562820839468</v>
      </c>
      <c r="AD63" t="n">
        <v>5.831612232685725</v>
      </c>
      <c r="AE63" t="n">
        <v>5.680402786624708</v>
      </c>
      <c r="AF63" t="n">
        <v>3.548956201789002</v>
      </c>
      <c r="AG63" t="n">
        <v>3.450440421238494</v>
      </c>
      <c r="AH63" t="n">
        <v>5.320913157114654</v>
      </c>
      <c r="AI63" t="n">
        <v>5.199411747804545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Dominica_2023_May</t>
        </is>
      </c>
      <c r="B64" s="2" t="n"/>
      <c r="C64" s="3" t="inlineStr">
        <is>
          <t>SM.23.127, Sup. 1</t>
        </is>
      </c>
      <c r="D64" s="4" t="inlineStr">
        <is>
          <t>Dominica</t>
        </is>
      </c>
      <c r="E64" s="4" t="inlineStr">
        <is>
          <t>DMA</t>
        </is>
      </c>
      <c r="F64" s="10" t="n">
        <v>45047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Dominica_2023_May</t>
        </is>
      </c>
      <c r="B65" s="2" t="n"/>
      <c r="C65" s="3" t="inlineStr">
        <is>
          <t>SM.23.127, Sup. 1</t>
        </is>
      </c>
      <c r="D65" s="4" t="inlineStr">
        <is>
          <t>Dominica</t>
        </is>
      </c>
      <c r="E65" s="4" t="inlineStr">
        <is>
          <t>DMA</t>
        </is>
      </c>
      <c r="F65" s="10" t="n">
        <v>45047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Dominica_2023_May</t>
        </is>
      </c>
      <c r="B66" s="2" t="n"/>
      <c r="C66" s="3" t="inlineStr">
        <is>
          <t>SM.23.127, Sup. 1</t>
        </is>
      </c>
      <c r="D66" s="4" t="inlineStr">
        <is>
          <t>Dominica</t>
        </is>
      </c>
      <c r="E66" s="4" t="inlineStr">
        <is>
          <t>DMA</t>
        </is>
      </c>
      <c r="F66" s="10" t="n">
        <v>45047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Dominica_2023_May</t>
        </is>
      </c>
      <c r="B67" s="2" t="n"/>
      <c r="C67" s="3" t="inlineStr">
        <is>
          <t>SM.23.127, Sup. 1</t>
        </is>
      </c>
      <c r="D67" s="4" t="inlineStr">
        <is>
          <t>Dominica</t>
        </is>
      </c>
      <c r="E67" s="4" t="inlineStr">
        <is>
          <t>DMA</t>
        </is>
      </c>
      <c r="F67" s="10" t="n">
        <v>45047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407.075642519048</v>
      </c>
      <c r="O67" t="n">
        <v>395.7705708586542</v>
      </c>
      <c r="P67" t="n">
        <v>370.2437251982604</v>
      </c>
      <c r="Q67" t="n">
        <v>346.218472801771</v>
      </c>
      <c r="R67" t="n">
        <v>325.9344656321924</v>
      </c>
      <c r="S67" t="n">
        <v>307.8108714534177</v>
      </c>
      <c r="T67" t="n">
        <v>292.2873150656416</v>
      </c>
      <c r="U67" t="n">
        <v>278.1855004624458</v>
      </c>
      <c r="V67" t="n">
        <v>266.3991613843597</v>
      </c>
      <c r="W67" t="n">
        <v>256.3229769448466</v>
      </c>
      <c r="X67" t="n">
        <v>247.2674235319103</v>
      </c>
      <c r="Y67" t="n">
        <v>240.0961600913071</v>
      </c>
      <c r="Z67" t="n">
        <v>233.4114902374745</v>
      </c>
      <c r="AA67" t="n">
        <v>228.8832414875197</v>
      </c>
      <c r="AB67" t="n">
        <v>225.6630827446966</v>
      </c>
      <c r="AC67" t="n">
        <v>222.8094916171395</v>
      </c>
      <c r="AD67" t="n">
        <v>219.4543677742466</v>
      </c>
      <c r="AE67" t="n">
        <v>216.8961693214571</v>
      </c>
      <c r="AF67" t="n">
        <v>214.9487170632345</v>
      </c>
      <c r="AG67" t="n">
        <v>213.2487863670576</v>
      </c>
      <c r="AH67" t="n">
        <v>211.7378705849221</v>
      </c>
      <c r="AI67" t="n">
        <v>210.3996968125992</v>
      </c>
      <c r="AJ67" t="n">
        <v>210.3996968125992</v>
      </c>
      <c r="AK67" t="n">
        <v>210.3996968125992</v>
      </c>
      <c r="AL67" t="n">
        <v>210.3996968125992</v>
      </c>
      <c r="AM67" t="n">
        <v>210.3996968125992</v>
      </c>
      <c r="AN67" t="n">
        <v>210.3996968125992</v>
      </c>
      <c r="AO67" t="n">
        <v>210.3996968125992</v>
      </c>
      <c r="AP67" t="n">
        <v>210.3996968125992</v>
      </c>
      <c r="AQ67" t="n">
        <v>210.3996968125992</v>
      </c>
      <c r="AR67" t="n">
        <v>210.3996968125992</v>
      </c>
      <c r="AS67" t="n">
        <v>210.3996968125992</v>
      </c>
      <c r="AT67" t="n">
        <v>210.3996968125992</v>
      </c>
      <c r="AU67" t="n">
        <v>210.3996968125992</v>
      </c>
      <c r="AV67" t="n">
        <v>210.3996968125992</v>
      </c>
      <c r="AW67" t="n">
        <v>210.3996968125992</v>
      </c>
      <c r="AX67" t="n">
        <v>210.3996968125992</v>
      </c>
      <c r="AY67" t="n">
        <v>210.3996968125992</v>
      </c>
      <c r="AZ67" t="n">
        <v>210.3996968125992</v>
      </c>
      <c r="BA67" t="n">
        <v>210.3996968125992</v>
      </c>
      <c r="BB67" t="n">
        <v>210.3996968125992</v>
      </c>
      <c r="BC67" t="n">
        <v>210.3996968125992</v>
      </c>
      <c r="BD67" t="n">
        <v>210.3996968125992</v>
      </c>
      <c r="BE67" t="n">
        <v>210.3996968125992</v>
      </c>
      <c r="BF67" t="n">
        <v>210.3996968125992</v>
      </c>
      <c r="BG67" t="n">
        <v>210.3996968125992</v>
      </c>
      <c r="BI67" t="inlineStr">
        <is>
          <t>OLD_MLT_CHG</t>
        </is>
      </c>
    </row>
    <row r="68">
      <c r="A68" t="inlineStr">
        <is>
          <t>Dominica_2023_May</t>
        </is>
      </c>
      <c r="B68" s="2" t="n"/>
      <c r="C68" s="3" t="inlineStr">
        <is>
          <t>SM.23.127, Sup. 1</t>
        </is>
      </c>
      <c r="D68" s="4" t="inlineStr">
        <is>
          <t>Dominica</t>
        </is>
      </c>
      <c r="E68" s="4" t="inlineStr">
        <is>
          <t>DMA</t>
        </is>
      </c>
      <c r="F68" s="10" t="n">
        <v>45047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Dominica_2023_May</t>
        </is>
      </c>
      <c r="B69" s="2" t="n"/>
      <c r="C69" s="3" t="inlineStr">
        <is>
          <t>SM.23.127, Sup. 1</t>
        </is>
      </c>
      <c r="D69" s="4" t="inlineStr">
        <is>
          <t>Dominica</t>
        </is>
      </c>
      <c r="E69" s="4" t="inlineStr">
        <is>
          <t>DMA</t>
        </is>
      </c>
      <c r="F69" s="10" t="n">
        <v>45047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Dominica_2023_May</t>
        </is>
      </c>
      <c r="B70" s="2" t="n"/>
      <c r="C70" s="3" t="inlineStr">
        <is>
          <t>SM.23.127, Sup. 1</t>
        </is>
      </c>
      <c r="D70" s="4" t="inlineStr">
        <is>
          <t>Dominica</t>
        </is>
      </c>
      <c r="E70" s="4" t="inlineStr">
        <is>
          <t>DMA</t>
        </is>
      </c>
      <c r="F70" s="10" t="n">
        <v>45047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Dominica_2023_May</t>
        </is>
      </c>
      <c r="B71" s="2" t="n"/>
      <c r="C71" s="3" t="inlineStr">
        <is>
          <t>SM.23.127, Sup. 1</t>
        </is>
      </c>
      <c r="D71" s="4" t="inlineStr">
        <is>
          <t>Dominica</t>
        </is>
      </c>
      <c r="E71" s="4" t="inlineStr">
        <is>
          <t>DMA</t>
        </is>
      </c>
      <c r="F71" s="10" t="n">
        <v>45047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20.5185185185185</v>
      </c>
      <c r="P71" t="n">
        <v>31.4501076296296</v>
      </c>
      <c r="Q71" t="n">
        <v>42.3805050059774</v>
      </c>
      <c r="R71" t="n">
        <v>40.5763997233391</v>
      </c>
      <c r="S71" t="n">
        <v>37.17988460304</v>
      </c>
      <c r="T71" t="n">
        <v>39.5600141162469</v>
      </c>
      <c r="U71" t="n">
        <v>41.4224436904058</v>
      </c>
      <c r="V71" t="n">
        <v>43.3504198037509</v>
      </c>
      <c r="W71" t="n">
        <v>27.15109268578329</v>
      </c>
      <c r="X71" t="n">
        <v>102.0700801854746</v>
      </c>
      <c r="Y71" t="n">
        <v>10.96065594433922</v>
      </c>
      <c r="Z71" t="n">
        <v>5.70173319698646</v>
      </c>
      <c r="AA71" t="n">
        <v>3.87775757687262</v>
      </c>
      <c r="AB71" t="n">
        <v>2.76968656194869</v>
      </c>
      <c r="AC71" t="n">
        <v>1.960502575795155</v>
      </c>
      <c r="AD71" t="n">
        <v>1.752219597704527</v>
      </c>
      <c r="AE71" t="n">
        <v>1.733278734088102</v>
      </c>
      <c r="AF71" t="n">
        <v>1.775296494903622</v>
      </c>
      <c r="AG71" t="n">
        <v>1.838277016430549</v>
      </c>
      <c r="AH71" t="n">
        <v>1.909815018470311</v>
      </c>
      <c r="AI71" t="n">
        <v>1.986119213414664</v>
      </c>
      <c r="BI71" t="inlineStr">
        <is>
          <t>NEW_ML</t>
        </is>
      </c>
    </row>
    <row r="72">
      <c r="A72" t="inlineStr">
        <is>
          <t>Dominica_2023_May</t>
        </is>
      </c>
      <c r="B72" s="2" t="n"/>
      <c r="C72" s="3" t="inlineStr">
        <is>
          <t>SM.23.127, Sup. 1</t>
        </is>
      </c>
      <c r="D72" s="4" t="inlineStr">
        <is>
          <t>Dominica</t>
        </is>
      </c>
      <c r="E72" s="4" t="inlineStr">
        <is>
          <t>DMA</t>
        </is>
      </c>
      <c r="F72" s="10" t="n">
        <v>45047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-3.7037037037037e-07</v>
      </c>
      <c r="BI72" t="inlineStr">
        <is>
          <t>NEW_IMF</t>
        </is>
      </c>
    </row>
    <row r="73">
      <c r="A73" t="inlineStr">
        <is>
          <t>Dominica_2023_May</t>
        </is>
      </c>
      <c r="B73" s="2" t="n"/>
      <c r="C73" s="3" t="inlineStr">
        <is>
          <t>SM.23.127, Sup. 1</t>
        </is>
      </c>
      <c r="D73" s="4" t="inlineStr">
        <is>
          <t>Dominica</t>
        </is>
      </c>
      <c r="E73" s="4" t="inlineStr">
        <is>
          <t>DMA</t>
        </is>
      </c>
      <c r="F73" s="10" t="n">
        <v>45047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small economy</t>
        </is>
      </c>
      <c r="O73" t="n">
        <v>16.5185185185185</v>
      </c>
      <c r="P73" t="n">
        <v>19.820478</v>
      </c>
      <c r="Q73" t="n">
        <v>29.9728590740741</v>
      </c>
      <c r="R73" t="n">
        <v>27.4747591388889</v>
      </c>
      <c r="S73" t="n">
        <v>23.4466536828704</v>
      </c>
      <c r="T73" t="n">
        <v>25.1786874739583</v>
      </c>
      <c r="U73" t="n">
        <v>26.3640645077533</v>
      </c>
      <c r="V73" t="n">
        <v>27.591159823557</v>
      </c>
      <c r="W73" t="n">
        <v>17.2808046858369</v>
      </c>
      <c r="X73" t="n">
        <v>10.7943691973865</v>
      </c>
      <c r="Y73" t="n">
        <v>5.61523097526179</v>
      </c>
      <c r="Z73" t="n">
        <v>2.9210431403909</v>
      </c>
      <c r="AA73" t="n">
        <v>2.4312426158397</v>
      </c>
      <c r="AB73" t="n">
        <v>1.26473240315702</v>
      </c>
      <c r="AC73" t="n">
        <v>0.394748275924625</v>
      </c>
      <c r="AD73" t="n">
        <v>0.123208831335777</v>
      </c>
      <c r="AE73" t="n">
        <v>0.0384559402661619</v>
      </c>
      <c r="AF73" t="n">
        <v>0.0120028680227015</v>
      </c>
      <c r="AG73" t="n">
        <v>0.00374633515064925</v>
      </c>
      <c r="AH73" t="n">
        <v>0.00116930612204059</v>
      </c>
      <c r="AI73" t="n">
        <v>0.000364593454824143</v>
      </c>
      <c r="BI73" t="inlineStr">
        <is>
          <t>NEW_IDA</t>
        </is>
      </c>
    </row>
    <row r="74">
      <c r="A74" t="inlineStr">
        <is>
          <t>Dominica_2023_May</t>
        </is>
      </c>
      <c r="B74" s="2" t="n"/>
      <c r="C74" s="3" t="inlineStr">
        <is>
          <t>SM.23.127, Sup. 1</t>
        </is>
      </c>
      <c r="D74" s="4" t="inlineStr">
        <is>
          <t>Dominica</t>
        </is>
      </c>
      <c r="E74" s="4" t="inlineStr">
        <is>
          <t>DMA</t>
        </is>
      </c>
      <c r="F74" s="10" t="n">
        <v>45047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Dominica_2023_May</t>
        </is>
      </c>
      <c r="B75" s="2" t="n"/>
      <c r="C75" s="3" t="inlineStr">
        <is>
          <t>SM.23.127, Sup. 1</t>
        </is>
      </c>
      <c r="D75" s="4" t="inlineStr">
        <is>
          <t>Dominica</t>
        </is>
      </c>
      <c r="E75" s="4" t="inlineStr">
        <is>
          <t>DMA</t>
        </is>
      </c>
      <c r="F75" s="10" t="n">
        <v>45047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CDB</t>
        </is>
      </c>
      <c r="O75" t="n">
        <v>4</v>
      </c>
      <c r="P75" t="n">
        <v>11.6296296296296</v>
      </c>
      <c r="Q75" t="n">
        <v>12.4076459319033</v>
      </c>
      <c r="R75" t="n">
        <v>13.1016405844502</v>
      </c>
      <c r="S75" t="n">
        <v>13.7332309201696</v>
      </c>
      <c r="T75" t="n">
        <v>14.3813266422886</v>
      </c>
      <c r="U75" t="n">
        <v>15.0583791826525</v>
      </c>
      <c r="V75" t="n">
        <v>15.7592599801939</v>
      </c>
      <c r="W75" t="n">
        <v>9.87028799994639</v>
      </c>
      <c r="X75" t="n">
        <v>10.2757109880881</v>
      </c>
      <c r="Y75" t="n">
        <v>5.34542496907743</v>
      </c>
      <c r="Z75" t="n">
        <v>2.78069005659556</v>
      </c>
      <c r="AA75" t="n">
        <v>1.44651496103292</v>
      </c>
      <c r="AB75" t="n">
        <v>1.50495415879167</v>
      </c>
      <c r="AC75" t="n">
        <v>1.56575429987053</v>
      </c>
      <c r="AD75" t="n">
        <v>1.62901076636875</v>
      </c>
      <c r="AE75" t="n">
        <v>1.69482279382194</v>
      </c>
      <c r="AF75" t="n">
        <v>1.76329362688092</v>
      </c>
      <c r="AG75" t="n">
        <v>1.8345306812799</v>
      </c>
      <c r="AH75" t="n">
        <v>1.90864571234827</v>
      </c>
      <c r="AI75" t="n">
        <v>1.98575499033021</v>
      </c>
      <c r="BI75" t="inlineStr">
        <is>
          <t>NEW_OTHERS1</t>
        </is>
      </c>
    </row>
    <row r="76">
      <c r="A76" t="inlineStr">
        <is>
          <t>Dominica_2023_May</t>
        </is>
      </c>
      <c r="B76" s="2" t="n"/>
      <c r="C76" s="3" t="inlineStr">
        <is>
          <t>SM.23.127, Sup. 1</t>
        </is>
      </c>
      <c r="D76" s="4" t="inlineStr">
        <is>
          <t>Dominica</t>
        </is>
      </c>
      <c r="E76" s="4" t="inlineStr">
        <is>
          <t>DMA</t>
        </is>
      </c>
      <c r="F76" s="10" t="n">
        <v>45047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MULTIRES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Dominica_2023_May</t>
        </is>
      </c>
      <c r="B77" s="2" t="n"/>
      <c r="C77" s="3" t="inlineStr">
        <is>
          <t>SM.23.127, Sup. 1</t>
        </is>
      </c>
      <c r="D77" s="4" t="inlineStr">
        <is>
          <t>Dominica</t>
        </is>
      </c>
      <c r="E77" s="4" t="inlineStr">
        <is>
          <t>DMA</t>
        </is>
      </c>
      <c r="F77" s="10" t="n">
        <v>45047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Dominica_2023_May</t>
        </is>
      </c>
      <c r="B78" s="2" t="n"/>
      <c r="C78" s="3" t="inlineStr">
        <is>
          <t>SM.23.127, Sup. 1</t>
        </is>
      </c>
      <c r="D78" s="4" t="inlineStr">
        <is>
          <t>Dominica</t>
        </is>
      </c>
      <c r="E78" s="4" t="inlineStr">
        <is>
          <t>DMA</t>
        </is>
      </c>
      <c r="F78" s="10" t="n">
        <v>45047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3.80757488892977</v>
      </c>
      <c r="P78" t="n">
        <v>4.53037695084438</v>
      </c>
      <c r="Q78" t="n">
        <v>4.47130213942568</v>
      </c>
      <c r="R78" t="n">
        <v>4.11586801704401</v>
      </c>
      <c r="S78" t="n">
        <v>4.24636262521037</v>
      </c>
      <c r="T78" t="n">
        <v>4.23423915447896</v>
      </c>
      <c r="U78" t="n">
        <v>4.31957200758884</v>
      </c>
      <c r="V78" t="n">
        <v>4.27741101893777</v>
      </c>
      <c r="W78" t="n">
        <v>4.23863279484022</v>
      </c>
      <c r="X78" t="n">
        <v>4.26318575039942</v>
      </c>
      <c r="Y78" t="n">
        <v>4.26655037543716</v>
      </c>
      <c r="Z78" t="n">
        <v>4.27303187623282</v>
      </c>
      <c r="AA78" t="n">
        <v>4.26373925524475</v>
      </c>
      <c r="AB78" t="n">
        <v>4.26101645646852</v>
      </c>
      <c r="AC78" t="n">
        <v>4.26550089143577</v>
      </c>
      <c r="AD78" t="n">
        <v>4.26596777096382</v>
      </c>
      <c r="AE78" t="n">
        <v>4.26585125006913</v>
      </c>
      <c r="AF78" t="n">
        <v>4.2644151248364</v>
      </c>
      <c r="AG78" t="n">
        <v>4.26455029875463</v>
      </c>
      <c r="AH78" t="n">
        <v>4.26525706721198</v>
      </c>
      <c r="AI78" t="n">
        <v>4.26520830236721</v>
      </c>
    </row>
    <row r="79">
      <c r="A79" t="inlineStr">
        <is>
          <t>Dominica_2023_May</t>
        </is>
      </c>
      <c r="B79" s="2" t="n"/>
      <c r="C79" s="3" t="inlineStr">
        <is>
          <t>SM.23.127, Sup. 1</t>
        </is>
      </c>
      <c r="D79" s="4" t="inlineStr">
        <is>
          <t>Dominica</t>
        </is>
      </c>
      <c r="E79" s="4" t="inlineStr">
        <is>
          <t>DMA</t>
        </is>
      </c>
      <c r="F79" s="10" t="n">
        <v>45047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3.80757488892977</v>
      </c>
      <c r="P79" t="n">
        <v>4.53037695084438</v>
      </c>
      <c r="Q79" t="n">
        <v>4.47130213942568</v>
      </c>
      <c r="R79" t="n">
        <v>4.11586801704401</v>
      </c>
      <c r="S79" t="n">
        <v>4.24636262521037</v>
      </c>
      <c r="T79" t="n">
        <v>4.23423915447896</v>
      </c>
      <c r="U79" t="n">
        <v>4.31957200758884</v>
      </c>
      <c r="V79" t="n">
        <v>4.27741101893777</v>
      </c>
      <c r="W79" t="n">
        <v>4.23863279484022</v>
      </c>
      <c r="X79" t="n">
        <v>4.26318575039942</v>
      </c>
      <c r="Y79" t="n">
        <v>4.26655037543716</v>
      </c>
      <c r="Z79" t="n">
        <v>4.27303187623282</v>
      </c>
      <c r="AA79" t="n">
        <v>4.26373925524475</v>
      </c>
      <c r="AB79" t="n">
        <v>4.26101645646852</v>
      </c>
      <c r="AC79" t="n">
        <v>4.26550089143577</v>
      </c>
      <c r="AD79" t="n">
        <v>4.26596777096382</v>
      </c>
      <c r="AE79" t="n">
        <v>4.26585125006913</v>
      </c>
      <c r="AF79" t="n">
        <v>4.2644151248364</v>
      </c>
      <c r="AG79" t="n">
        <v>4.26455029875463</v>
      </c>
      <c r="AH79" t="n">
        <v>4.26525706721198</v>
      </c>
      <c r="AI79" t="n">
        <v>4.26520830236721</v>
      </c>
    </row>
    <row r="80">
      <c r="A80" t="inlineStr">
        <is>
          <t>Dominica_2023_May</t>
        </is>
      </c>
      <c r="B80" s="2" t="n"/>
      <c r="C80" s="3" t="inlineStr">
        <is>
          <t>SM.23.127, Sup. 1</t>
        </is>
      </c>
      <c r="D80" s="4" t="inlineStr">
        <is>
          <t>Dominica</t>
        </is>
      </c>
      <c r="E80" s="4" t="inlineStr">
        <is>
          <t>DMA</t>
        </is>
      </c>
      <c r="F80" s="10" t="n">
        <v>45047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Dominica_2023_May</t>
        </is>
      </c>
      <c r="B81" s="2" t="n"/>
      <c r="C81" s="3" t="inlineStr">
        <is>
          <t>SM.23.127, Sup. 1</t>
        </is>
      </c>
      <c r="D81" s="4" t="inlineStr">
        <is>
          <t>Dominica</t>
        </is>
      </c>
      <c r="E81" s="4" t="inlineStr">
        <is>
          <t>DMA</t>
        </is>
      </c>
      <c r="F81" s="10" t="n">
        <v>45047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Dominica_2023_May</t>
        </is>
      </c>
      <c r="B82" s="2" t="n"/>
      <c r="C82" s="3" t="inlineStr">
        <is>
          <t>SM.23.127, Sup. 1</t>
        </is>
      </c>
      <c r="D82" s="4" t="inlineStr">
        <is>
          <t>Dominica</t>
        </is>
      </c>
      <c r="E82" s="4" t="inlineStr">
        <is>
          <t>DMA</t>
        </is>
      </c>
      <c r="F82" s="10" t="n">
        <v>45047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4.06819332997302</v>
      </c>
      <c r="T82" t="n">
        <v>5.38591242256415</v>
      </c>
      <c r="U82" t="n">
        <v>4.69400041450792</v>
      </c>
      <c r="V82" t="n">
        <v>4.26007333164553</v>
      </c>
      <c r="W82" t="n">
        <v>3.89896796572633</v>
      </c>
      <c r="X82" t="n">
        <v>3.53332630571518</v>
      </c>
      <c r="Y82" t="n">
        <v>3.33052743632542</v>
      </c>
      <c r="Z82" t="n">
        <v>0.987227761609449</v>
      </c>
      <c r="AA82" t="n">
        <v>1.70880492643116</v>
      </c>
      <c r="AB82" t="n">
        <v>2.2151136060707</v>
      </c>
      <c r="AC82" t="n">
        <v>2.57981395419167</v>
      </c>
      <c r="AD82" t="n">
        <v>2.85121906163552</v>
      </c>
      <c r="AE82" t="n">
        <v>3.06236587408103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Dominica_2023_May</t>
        </is>
      </c>
      <c r="B83" s="2" t="n"/>
      <c r="C83" s="3" t="inlineStr">
        <is>
          <t>SM.23.127, Sup. 1</t>
        </is>
      </c>
      <c r="D83" s="4" t="inlineStr">
        <is>
          <t>Dominica</t>
        </is>
      </c>
      <c r="E83" s="4" t="inlineStr">
        <is>
          <t>DMA</t>
        </is>
      </c>
      <c r="F83" s="10" t="n">
        <v>45047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Dominica_2023_May</t>
        </is>
      </c>
      <c r="B84" s="2" t="n"/>
      <c r="C84" s="3" t="inlineStr">
        <is>
          <t>SM.23.127, Sup. 1</t>
        </is>
      </c>
      <c r="D84" s="4" t="inlineStr">
        <is>
          <t>Dominica</t>
        </is>
      </c>
      <c r="E84" s="4" t="inlineStr">
        <is>
          <t>DMA</t>
        </is>
      </c>
      <c r="F84" s="10" t="n">
        <v>45047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Dominica_2023_May</t>
        </is>
      </c>
      <c r="B85" s="2" t="n"/>
      <c r="C85" s="3" t="inlineStr">
        <is>
          <t>SM.23.127, Sup. 1</t>
        </is>
      </c>
      <c r="D85" s="4" t="inlineStr">
        <is>
          <t>Dominica</t>
        </is>
      </c>
      <c r="E85" s="4" t="inlineStr">
        <is>
          <t>DMA</t>
        </is>
      </c>
      <c r="F85" s="10" t="n">
        <v>45047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Dominica_2023_May</t>
        </is>
      </c>
      <c r="B86" s="2" t="n"/>
      <c r="C86" s="3" t="inlineStr">
        <is>
          <t>SM.23.127, Sup. 1</t>
        </is>
      </c>
      <c r="D86" s="4" t="inlineStr">
        <is>
          <t>Dominica</t>
        </is>
      </c>
      <c r="E86" s="4" t="inlineStr">
        <is>
          <t>DMA</t>
        </is>
      </c>
      <c r="F86" s="10" t="n">
        <v>45047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Dominica_2023_May</t>
        </is>
      </c>
      <c r="B87" s="2" t="n"/>
      <c r="C87" s="3" t="inlineStr">
        <is>
          <t>SM.23.127, Sup. 1</t>
        </is>
      </c>
      <c r="D87" s="4" t="inlineStr">
        <is>
          <t>Dominica</t>
        </is>
      </c>
      <c r="E87" s="4" t="inlineStr">
        <is>
          <t>DMA</t>
        </is>
      </c>
      <c r="F87" s="10" t="n">
        <v>45047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Dominica_2023_May</t>
        </is>
      </c>
      <c r="B88" s="2" t="n"/>
      <c r="C88" s="3" t="inlineStr">
        <is>
          <t>SM.23.127, Sup. 1</t>
        </is>
      </c>
      <c r="D88" s="4" t="inlineStr">
        <is>
          <t>Dominica</t>
        </is>
      </c>
      <c r="E88" s="4" t="inlineStr">
        <is>
          <t>DMA</t>
        </is>
      </c>
      <c r="F88" s="10" t="n">
        <v>45047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Dominica_2023_May</t>
        </is>
      </c>
      <c r="B89" s="2" t="n"/>
      <c r="C89" s="3" t="inlineStr">
        <is>
          <t>SM.23.127, Sup. 1</t>
        </is>
      </c>
      <c r="D89" s="4" t="inlineStr">
        <is>
          <t>Dominica</t>
        </is>
      </c>
      <c r="E89" s="4" t="inlineStr">
        <is>
          <t>DMA</t>
        </is>
      </c>
      <c r="F89" s="10" t="n">
        <v>45047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4.06819332997302</v>
      </c>
      <c r="T89" t="n">
        <v>5.38591242256415</v>
      </c>
      <c r="U89" t="n">
        <v>4.69400041450792</v>
      </c>
      <c r="V89" t="n">
        <v>4.26007333164553</v>
      </c>
      <c r="W89" t="n">
        <v>3.89896796572633</v>
      </c>
      <c r="X89" t="n">
        <v>3.53332630571518</v>
      </c>
      <c r="Y89" t="n">
        <v>3.33052743632542</v>
      </c>
      <c r="Z89" t="n">
        <v>0.987227761609449</v>
      </c>
      <c r="AA89" t="n">
        <v>1.70880492643116</v>
      </c>
      <c r="AB89" t="n">
        <v>2.2151136060707</v>
      </c>
      <c r="AC89" t="n">
        <v>2.57981395419167</v>
      </c>
      <c r="AD89" t="n">
        <v>2.85121906163552</v>
      </c>
      <c r="AE89" t="n">
        <v>3.06236587408103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Dominica_2023_May</t>
        </is>
      </c>
      <c r="B90" s="2" t="n"/>
      <c r="C90" s="3" t="inlineStr">
        <is>
          <t>SM.23.127, Sup. 1</t>
        </is>
      </c>
      <c r="D90" s="4" t="inlineStr">
        <is>
          <t>Dominica</t>
        </is>
      </c>
      <c r="E90" s="4" t="inlineStr">
        <is>
          <t>DMA</t>
        </is>
      </c>
      <c r="F90" s="10" t="n">
        <v>45047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NPC2</t>
        </is>
      </c>
      <c r="O90" t="n">
        <v>0</v>
      </c>
      <c r="P90" t="n">
        <v>0</v>
      </c>
      <c r="Q90" t="n">
        <v>0</v>
      </c>
      <c r="R90" t="n">
        <v>0</v>
      </c>
      <c r="S90" t="n">
        <v>4.06819332997302</v>
      </c>
      <c r="T90" t="n">
        <v>5.38591242256415</v>
      </c>
      <c r="U90" t="n">
        <v>4.69400041450792</v>
      </c>
      <c r="V90" t="n">
        <v>4.26007333164553</v>
      </c>
      <c r="W90" t="n">
        <v>3.89896796572633</v>
      </c>
      <c r="X90" t="n">
        <v>3.53332630571518</v>
      </c>
      <c r="Y90" t="n">
        <v>3.33052743632542</v>
      </c>
      <c r="Z90" t="n">
        <v>0.987227761609449</v>
      </c>
      <c r="AA90" t="n">
        <v>1.70880492643116</v>
      </c>
      <c r="AB90" t="n">
        <v>2.2151136060707</v>
      </c>
      <c r="AC90" t="n">
        <v>2.57981395419167</v>
      </c>
      <c r="AD90" t="n">
        <v>2.85121906163552</v>
      </c>
      <c r="AE90" t="n">
        <v>3.06236587408103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Dominica_2023_May</t>
        </is>
      </c>
      <c r="B91" s="2" t="n"/>
      <c r="C91" s="3" t="inlineStr">
        <is>
          <t>SM.23.127, Sup. 1</t>
        </is>
      </c>
      <c r="D91" s="4" t="inlineStr">
        <is>
          <t>Dominica</t>
        </is>
      </c>
      <c r="E91" s="4" t="inlineStr">
        <is>
          <t>DMA</t>
        </is>
      </c>
      <c r="F91" s="10" t="n">
        <v>45047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Dominica_2023_May</t>
        </is>
      </c>
      <c r="B92" s="2" t="n"/>
      <c r="C92" s="3" t="inlineStr">
        <is>
          <t>SM.23.127, Sup. 1</t>
        </is>
      </c>
      <c r="D92" s="4" t="inlineStr">
        <is>
          <t>Dominica</t>
        </is>
      </c>
      <c r="E92" s="4" t="inlineStr">
        <is>
          <t>DMA</t>
        </is>
      </c>
      <c r="F92" s="10" t="n">
        <v>45047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Dominica_2023_May</t>
        </is>
      </c>
      <c r="B93" s="2" t="n"/>
      <c r="C93" s="3" t="inlineStr">
        <is>
          <t>SM.23.127, Sup. 1</t>
        </is>
      </c>
      <c r="D93" s="4" t="inlineStr">
        <is>
          <t>Dominica</t>
        </is>
      </c>
      <c r="E93" s="4" t="inlineStr">
        <is>
          <t>DMA</t>
        </is>
      </c>
      <c r="F93" s="10" t="n">
        <v>45047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Dominica_2023_May</t>
        </is>
      </c>
      <c r="B94" s="2" t="n"/>
      <c r="C94" s="3" t="inlineStr">
        <is>
          <t>SM.23.127, Sup. 1</t>
        </is>
      </c>
      <c r="D94" s="4" t="inlineStr">
        <is>
          <t>Dominica</t>
        </is>
      </c>
      <c r="E94" s="4" t="inlineStr">
        <is>
          <t>DMA</t>
        </is>
      </c>
      <c r="F94" s="10" t="n">
        <v>45047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Dominica_2023_May</t>
        </is>
      </c>
      <c r="B95" s="2" t="n"/>
      <c r="C95" s="3" t="inlineStr">
        <is>
          <t>SM.23.127, Sup. 1</t>
        </is>
      </c>
      <c r="D95" s="4" t="inlineStr">
        <is>
          <t>Dominica</t>
        </is>
      </c>
      <c r="E95" s="4" t="inlineStr">
        <is>
          <t>DMA</t>
        </is>
      </c>
      <c r="F95" s="10" t="n">
        <v>45047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3.81286650279468</v>
      </c>
      <c r="S95" t="n">
        <v>5.45372019787327</v>
      </c>
      <c r="T95" t="n">
        <v>5.38803443854121</v>
      </c>
      <c r="U95" t="n">
        <v>5.99462469986993</v>
      </c>
      <c r="V95" t="n">
        <v>6.84553947589991</v>
      </c>
      <c r="W95" t="n">
        <v>7.42080945113443</v>
      </c>
      <c r="X95" t="n">
        <v>7.84369355051343</v>
      </c>
      <c r="Y95" t="n">
        <v>8.420952424755651</v>
      </c>
      <c r="Z95" t="n">
        <v>2.71965353852068</v>
      </c>
      <c r="AA95" t="n">
        <v>4.90379106069888</v>
      </c>
      <c r="AB95" t="n">
        <v>5.80118127926005</v>
      </c>
      <c r="AC95" t="n">
        <v>6.17217402639004</v>
      </c>
      <c r="AD95" t="n">
        <v>6.50154473838926</v>
      </c>
      <c r="AE95" t="n">
        <v>6.81263570907088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Dominica_2023_May</t>
        </is>
      </c>
      <c r="B96" s="2" t="n"/>
      <c r="C96" s="3" t="inlineStr">
        <is>
          <t>SM.23.127, Sup. 1</t>
        </is>
      </c>
      <c r="D96" s="4" t="inlineStr">
        <is>
          <t>Dominica</t>
        </is>
      </c>
      <c r="E96" s="4" t="inlineStr">
        <is>
          <t>DMA</t>
        </is>
      </c>
      <c r="F96" s="10" t="n">
        <v>45047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Dominica_2023_May</t>
        </is>
      </c>
      <c r="B97" s="2" t="n"/>
      <c r="C97" s="3" t="inlineStr">
        <is>
          <t>SM.23.127, Sup. 1</t>
        </is>
      </c>
      <c r="D97" s="4" t="inlineStr">
        <is>
          <t>Dominica</t>
        </is>
      </c>
      <c r="E97" s="4" t="inlineStr">
        <is>
          <t>DMA</t>
        </is>
      </c>
      <c r="F97" s="10" t="n">
        <v>45047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3.81286650279468</v>
      </c>
      <c r="S97" t="n">
        <v>5.45372019787327</v>
      </c>
      <c r="T97" t="n">
        <v>5.38803443854121</v>
      </c>
      <c r="U97" t="n">
        <v>5.99462469986993</v>
      </c>
      <c r="V97" t="n">
        <v>6.84553947589991</v>
      </c>
      <c r="W97" t="n">
        <v>7.42080945113443</v>
      </c>
      <c r="X97" t="n">
        <v>7.84369355051343</v>
      </c>
      <c r="Y97" t="n">
        <v>8.420952424755651</v>
      </c>
      <c r="Z97" t="n">
        <v>2.71965353852068</v>
      </c>
      <c r="AA97" t="n">
        <v>4.90379106069888</v>
      </c>
      <c r="AB97" t="n">
        <v>5.80118127926005</v>
      </c>
      <c r="AC97" t="n">
        <v>6.17217402639004</v>
      </c>
      <c r="AD97" t="n">
        <v>6.50154473838926</v>
      </c>
      <c r="AE97" t="n">
        <v>6.81263570907088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Dominica_2023_May</t>
        </is>
      </c>
      <c r="B98" s="2" t="n"/>
      <c r="C98" s="3" t="inlineStr">
        <is>
          <t>SM.23.127, Sup. 1</t>
        </is>
      </c>
      <c r="D98" s="4" t="inlineStr">
        <is>
          <t>Dominica</t>
        </is>
      </c>
      <c r="E98" s="4" t="inlineStr">
        <is>
          <t>DMA</t>
        </is>
      </c>
      <c r="F98" s="10" t="n">
        <v>45047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Dominica_2023_May</t>
        </is>
      </c>
      <c r="B99" s="2" t="n"/>
      <c r="C99" s="3" t="inlineStr">
        <is>
          <t>SM.23.127, Sup. 1</t>
        </is>
      </c>
      <c r="D99" s="4" t="inlineStr">
        <is>
          <t>Dominica</t>
        </is>
      </c>
      <c r="E99" s="4" t="inlineStr">
        <is>
          <t>DMA</t>
        </is>
      </c>
      <c r="F99" s="10" t="n">
        <v>45047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Dominica_2023_May</t>
        </is>
      </c>
      <c r="B100" s="2" t="n"/>
      <c r="C100" s="3" t="inlineStr">
        <is>
          <t>SM.23.127, Sup. 1</t>
        </is>
      </c>
      <c r="D100" s="4" t="inlineStr">
        <is>
          <t>Dominica</t>
        </is>
      </c>
      <c r="E100" s="4" t="inlineStr">
        <is>
          <t>DMA</t>
        </is>
      </c>
      <c r="F100" s="10" t="n">
        <v>45047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Dominica_2023_May</t>
        </is>
      </c>
      <c r="B101" s="2" t="n"/>
      <c r="C101" s="3" t="inlineStr">
        <is>
          <t>SM.23.127, Sup. 1</t>
        </is>
      </c>
      <c r="D101" s="4" t="inlineStr">
        <is>
          <t>Dominica</t>
        </is>
      </c>
      <c r="E101" s="4" t="inlineStr">
        <is>
          <t>DMA</t>
        </is>
      </c>
      <c r="F101" s="10" t="n">
        <v>45047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Dominica_2023_May</t>
        </is>
      </c>
      <c r="B102" s="2" t="n"/>
      <c r="C102" s="3" t="inlineStr">
        <is>
          <t>SM.23.127, Sup. 1</t>
        </is>
      </c>
      <c r="D102" s="4" t="inlineStr">
        <is>
          <t>Dominica</t>
        </is>
      </c>
      <c r="E102" s="4" t="inlineStr">
        <is>
          <t>DMA</t>
        </is>
      </c>
      <c r="F102" s="10" t="n">
        <v>45047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Dominica_2023_May</t>
        </is>
      </c>
      <c r="B103" s="2" t="n"/>
      <c r="C103" s="3" t="inlineStr">
        <is>
          <t>SM.23.127, Sup. 1</t>
        </is>
      </c>
      <c r="D103" s="4" t="inlineStr">
        <is>
          <t>Dominica</t>
        </is>
      </c>
      <c r="E103" s="4" t="inlineStr">
        <is>
          <t>DMA</t>
        </is>
      </c>
      <c r="F103" s="10" t="n">
        <v>45047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Dominica_2023_May</t>
        </is>
      </c>
      <c r="B104" s="2" t="n"/>
      <c r="C104" s="3" t="inlineStr">
        <is>
          <t>SM.23.127, Sup. 1</t>
        </is>
      </c>
      <c r="D104" s="4" t="inlineStr">
        <is>
          <t>Dominica</t>
        </is>
      </c>
      <c r="E104" s="4" t="inlineStr">
        <is>
          <t>DMA</t>
        </is>
      </c>
      <c r="F104" s="10" t="n">
        <v>45047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Dominica_2023_May</t>
        </is>
      </c>
      <c r="B105" s="2" t="n"/>
      <c r="C105" s="3" t="inlineStr">
        <is>
          <t>SM.23.127, Sup. 1</t>
        </is>
      </c>
      <c r="D105" s="4" t="inlineStr">
        <is>
          <t>Dominica</t>
        </is>
      </c>
      <c r="E105" s="4" t="inlineStr">
        <is>
          <t>DMA</t>
        </is>
      </c>
      <c r="F105" s="10" t="n">
        <v>45047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Dominica_2023_May</t>
        </is>
      </c>
      <c r="B106" s="2" t="n"/>
      <c r="C106" s="3" t="inlineStr">
        <is>
          <t>SM.23.127, Sup. 1</t>
        </is>
      </c>
      <c r="D106" s="4" t="inlineStr">
        <is>
          <t>Dominica</t>
        </is>
      </c>
      <c r="E106" s="4" t="inlineStr">
        <is>
          <t>DMA</t>
        </is>
      </c>
      <c r="F106" s="10" t="n">
        <v>45047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Dominica_2023_May</t>
        </is>
      </c>
      <c r="B107" s="2" t="n"/>
      <c r="C107" s="3" t="inlineStr">
        <is>
          <t>SM.23.127, Sup. 1</t>
        </is>
      </c>
      <c r="D107" s="4" t="inlineStr">
        <is>
          <t>Dominica</t>
        </is>
      </c>
      <c r="E107" s="4" t="inlineStr">
        <is>
          <t>DMA</t>
        </is>
      </c>
      <c r="F107" s="10" t="n">
        <v>45047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Dominica_2023_May</t>
        </is>
      </c>
      <c r="B108" s="2" t="n"/>
      <c r="C108" s="3" t="inlineStr">
        <is>
          <t>SM.23.127, Sup. 1</t>
        </is>
      </c>
      <c r="D108" s="4" t="inlineStr">
        <is>
          <t>Dominica</t>
        </is>
      </c>
      <c r="E108" s="4" t="inlineStr">
        <is>
          <t>DMA</t>
        </is>
      </c>
      <c r="F108" s="10" t="n">
        <v>45047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Dominica_2023_May</t>
        </is>
      </c>
      <c r="B109" s="2" t="n"/>
      <c r="C109" s="3" t="inlineStr">
        <is>
          <t>SM.23.127, Sup. 1</t>
        </is>
      </c>
      <c r="D109" s="4" t="inlineStr">
        <is>
          <t>Dominica</t>
        </is>
      </c>
      <c r="E109" s="4" t="inlineStr">
        <is>
          <t>DMA</t>
        </is>
      </c>
      <c r="F109" s="10" t="n">
        <v>45047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Dominica_2023_May</t>
        </is>
      </c>
      <c r="B110" s="2" t="n"/>
      <c r="C110" s="3" t="inlineStr">
        <is>
          <t>SM.23.127, Sup. 1</t>
        </is>
      </c>
      <c r="D110" s="4" t="inlineStr">
        <is>
          <t>Dominica</t>
        </is>
      </c>
      <c r="E110" s="4" t="inlineStr">
        <is>
          <t>DMA</t>
        </is>
      </c>
      <c r="F110" s="10" t="n">
        <v>45047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 held by residents</t>
        </is>
      </c>
    </row>
    <row r="111">
      <c r="A111" t="inlineStr">
        <is>
          <t>Dominica_2023_May</t>
        </is>
      </c>
      <c r="B111" s="2" t="n"/>
      <c r="C111" s="3" t="inlineStr">
        <is>
          <t>SM.23.127, Sup. 1</t>
        </is>
      </c>
      <c r="D111" s="4" t="inlineStr">
        <is>
          <t>Dominica</t>
        </is>
      </c>
      <c r="E111" s="4" t="inlineStr">
        <is>
          <t>DMA</t>
        </is>
      </c>
      <c r="F111" s="10" t="n">
        <v>45047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Dominica_2023_May</t>
        </is>
      </c>
      <c r="B112" s="2" t="n"/>
      <c r="C112" s="3" t="inlineStr">
        <is>
          <t>SM.23.127, Sup. 1</t>
        </is>
      </c>
      <c r="D112" s="4" t="inlineStr">
        <is>
          <t>Dominica</t>
        </is>
      </c>
      <c r="E112" s="4" t="inlineStr">
        <is>
          <t>DMA</t>
        </is>
      </c>
      <c r="F112" s="10" t="n">
        <v>45047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Dominica_2023_May</t>
        </is>
      </c>
      <c r="B113" s="2" t="n"/>
      <c r="C113" s="3" t="inlineStr">
        <is>
          <t>SM.23.127, Sup. 1</t>
        </is>
      </c>
      <c r="D113" s="4" t="inlineStr">
        <is>
          <t>Dominica</t>
        </is>
      </c>
      <c r="E113" s="4" t="inlineStr">
        <is>
          <t>DMA</t>
        </is>
      </c>
      <c r="F113" s="10" t="n">
        <v>45047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Dominica_2023_May</t>
        </is>
      </c>
      <c r="B114" s="2" t="n"/>
      <c r="C114" s="3" t="inlineStr">
        <is>
          <t>SM.23.127, Sup. 1</t>
        </is>
      </c>
      <c r="D114" s="4" t="inlineStr">
        <is>
          <t>Dominica</t>
        </is>
      </c>
      <c r="E114" s="4" t="inlineStr">
        <is>
          <t>DMA</t>
        </is>
      </c>
      <c r="F114" s="10" t="n">
        <v>45047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Dominica_2023_May</t>
        </is>
      </c>
      <c r="B115" s="2" t="n"/>
      <c r="C115" s="3" t="inlineStr">
        <is>
          <t>SM.23.127, Sup. 1</t>
        </is>
      </c>
      <c r="D115" s="4" t="inlineStr">
        <is>
          <t>Dominica</t>
        </is>
      </c>
      <c r="E115" s="4" t="inlineStr">
        <is>
          <t>DMA</t>
        </is>
      </c>
      <c r="F115" s="10" t="n">
        <v>45047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Dominica_2023_May</t>
        </is>
      </c>
      <c r="B116" s="2" t="n"/>
      <c r="C116" s="3" t="inlineStr">
        <is>
          <t>SM.23.127, Sup. 1</t>
        </is>
      </c>
      <c r="D116" s="4" t="inlineStr">
        <is>
          <t>Dominica</t>
        </is>
      </c>
      <c r="E116" s="4" t="inlineStr">
        <is>
          <t>DMA</t>
        </is>
      </c>
      <c r="F116" s="10" t="n">
        <v>45047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Dominica_2023_May</t>
        </is>
      </c>
      <c r="B117" s="2" t="n"/>
      <c r="C117" s="3" t="inlineStr">
        <is>
          <t>SM.23.127, Sup. 1</t>
        </is>
      </c>
      <c r="D117" s="4" t="inlineStr">
        <is>
          <t>Dominica</t>
        </is>
      </c>
      <c r="E117" s="4" t="inlineStr">
        <is>
          <t>DMA</t>
        </is>
      </c>
      <c r="F117" s="10" t="n">
        <v>45047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Dominica_2023_May</t>
        </is>
      </c>
      <c r="B118" s="2" t="n"/>
      <c r="C118" s="3" t="inlineStr">
        <is>
          <t>SM.23.127, Sup. 1</t>
        </is>
      </c>
      <c r="D118" s="4" t="inlineStr">
        <is>
          <t>Dominica</t>
        </is>
      </c>
      <c r="E118" s="4" t="inlineStr">
        <is>
          <t>DMA</t>
        </is>
      </c>
      <c r="F118" s="10" t="n">
        <v>45047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24.32609340744827</v>
      </c>
      <c r="P118" t="n">
        <v>35.98048458047398</v>
      </c>
      <c r="Q118" t="n">
        <v>46.85180714540308</v>
      </c>
      <c r="R118" t="n">
        <v>48.50513424317779</v>
      </c>
      <c r="S118" t="n">
        <v>50.94816075609667</v>
      </c>
      <c r="T118" t="n">
        <v>54.56820013183122</v>
      </c>
      <c r="U118" t="n">
        <v>56.43064081237249</v>
      </c>
      <c r="V118" t="n">
        <v>58.73344363023411</v>
      </c>
      <c r="W118" t="n">
        <v>42.70950289748427</v>
      </c>
      <c r="X118" t="n">
        <v>117.7102857921026</v>
      </c>
      <c r="Y118" t="n">
        <v>26.97868618085745</v>
      </c>
      <c r="Z118" t="n">
        <v>13.68164637334941</v>
      </c>
      <c r="AA118" t="n">
        <v>14.75409281924741</v>
      </c>
      <c r="AB118" t="n">
        <v>15.04699790374796</v>
      </c>
      <c r="AC118" t="n">
        <v>14.97799144781263</v>
      </c>
      <c r="AD118" t="n">
        <v>15.37095116869313</v>
      </c>
      <c r="AE118" t="n">
        <v>15.87413156730914</v>
      </c>
      <c r="AF118" t="n">
        <v>6.039711619740022</v>
      </c>
      <c r="AG118" t="n">
        <v>6.102827315185179</v>
      </c>
      <c r="AH118" t="n">
        <v>6.175072085682291</v>
      </c>
      <c r="AI118" t="n">
        <v>6.251327515781874</v>
      </c>
      <c r="BI118" t="inlineStr">
        <is>
          <t>NEW_MLT_ALL</t>
        </is>
      </c>
    </row>
    <row r="119">
      <c r="A119" t="inlineStr">
        <is>
          <t>Dominica_2023_May</t>
        </is>
      </c>
      <c r="B119" s="2" t="n"/>
      <c r="C119" s="3" t="inlineStr">
        <is>
          <t>SM.23.127, Sup. 1</t>
        </is>
      </c>
      <c r="D119" s="4" t="inlineStr">
        <is>
          <t>Dominica</t>
        </is>
      </c>
      <c r="E119" s="4" t="inlineStr">
        <is>
          <t>DMA</t>
        </is>
      </c>
      <c r="F119" s="10" t="n">
        <v>45047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39.67597159035303</v>
      </c>
      <c r="P119" t="n">
        <v>79.92084151282742</v>
      </c>
      <c r="Q119" t="n">
        <v>73.76238322278493</v>
      </c>
      <c r="R119" t="n">
        <v>82.02943615793623</v>
      </c>
      <c r="S119" t="n">
        <v>85.42292774675958</v>
      </c>
      <c r="T119" t="n">
        <v>88.46694903182544</v>
      </c>
      <c r="U119" t="n">
        <v>93.26851899953871</v>
      </c>
      <c r="V119" t="n">
        <v>88.92150335998622</v>
      </c>
      <c r="W119" t="n">
        <v>79.22679535555592</v>
      </c>
      <c r="X119" t="n">
        <v>67.71123797210279</v>
      </c>
      <c r="Y119" t="n">
        <v>38.55298236497197</v>
      </c>
      <c r="Z119" t="n">
        <v>24.4984831901826</v>
      </c>
      <c r="AA119" t="n">
        <v>17.62645361415018</v>
      </c>
      <c r="AB119" t="n">
        <v>11.3649841060994</v>
      </c>
      <c r="AC119" t="n">
        <v>4.40310877885617</v>
      </c>
      <c r="AD119" t="n">
        <v>29.39320622531059</v>
      </c>
      <c r="AE119" t="n">
        <v>29.87756491359574</v>
      </c>
      <c r="AF119" t="n">
        <v>30.73787421347849</v>
      </c>
      <c r="AG119" t="n">
        <v>38.21358947156902</v>
      </c>
      <c r="AH119" t="n">
        <v>43.70177777326038</v>
      </c>
      <c r="AI119" t="n">
        <v>36.49260311140475</v>
      </c>
    </row>
    <row r="120">
      <c r="A120" t="inlineStr">
        <is>
          <t>Dominica_2023_May</t>
        </is>
      </c>
      <c r="B120" s="2" t="n"/>
      <c r="C120" s="3" t="inlineStr">
        <is>
          <t>SM.23.127, Sup. 1</t>
        </is>
      </c>
      <c r="D120" s="4" t="inlineStr">
        <is>
          <t>Dominica</t>
        </is>
      </c>
      <c r="E120" s="4" t="inlineStr">
        <is>
          <t>DMA</t>
        </is>
      </c>
      <c r="F120" s="10" t="n">
        <v>45047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Dominica_2023_May</t>
        </is>
      </c>
      <c r="B121" s="2" t="n"/>
      <c r="C121" s="3" t="inlineStr">
        <is>
          <t>SM.23.127, Sup. 1</t>
        </is>
      </c>
      <c r="D121" s="4" t="inlineStr">
        <is>
          <t>Dominica</t>
        </is>
      </c>
      <c r="E121" s="4" t="inlineStr">
        <is>
          <t>DMA</t>
        </is>
      </c>
      <c r="F121" s="10" t="n">
        <v>45047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Dominica_2023_May</t>
        </is>
      </c>
      <c r="B122" s="2" t="n"/>
      <c r="C122" s="3" t="inlineStr">
        <is>
          <t>SM.23.127, Sup. 1</t>
        </is>
      </c>
      <c r="D122" s="4" t="inlineStr">
        <is>
          <t>Dominica</t>
        </is>
      </c>
      <c r="E122" s="4" t="inlineStr">
        <is>
          <t>DMA</t>
        </is>
      </c>
      <c r="F122" s="10" t="n">
        <v>45047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0.7488486327103483</v>
      </c>
      <c r="M122" t="n">
        <v>0.7488486327103483</v>
      </c>
      <c r="O122" t="n">
        <v>0.6131190348307189</v>
      </c>
      <c r="P122" t="n">
        <v>0.4502015231496161</v>
      </c>
      <c r="Q122" t="n">
        <v>0.6351720904122133</v>
      </c>
      <c r="R122" t="n">
        <v>0.5913137589997318</v>
      </c>
      <c r="S122" t="n">
        <v>0.5964225542249613</v>
      </c>
      <c r="T122" t="n">
        <v>0.6168201879800405</v>
      </c>
      <c r="U122" t="n">
        <v>0.6050341682025806</v>
      </c>
      <c r="V122" t="n">
        <v>0.6605088916733673</v>
      </c>
      <c r="W122" t="n">
        <v>0.5390790162067206</v>
      </c>
      <c r="X122" t="n">
        <v>1.738415797989096</v>
      </c>
      <c r="Y122" t="n">
        <v>0.6997820797741819</v>
      </c>
      <c r="Z122" t="n">
        <v>0.5584691210120357</v>
      </c>
      <c r="AA122" t="n">
        <v>0.8370426145962285</v>
      </c>
      <c r="AB122" t="n">
        <v>1.323978789875516</v>
      </c>
      <c r="AC122" t="n">
        <v>3.401685536305007</v>
      </c>
      <c r="AD122" t="n">
        <v>0.5229423102355246</v>
      </c>
      <c r="AE122" t="n">
        <v>0.5313060690593845</v>
      </c>
      <c r="AF122" t="n">
        <v>0.1964908691405738</v>
      </c>
      <c r="AG122" t="n">
        <v>0.1597030637419103</v>
      </c>
      <c r="AH122" t="n">
        <v>0.1413002491047539</v>
      </c>
      <c r="AI122" t="n">
        <v>0.1713039625235229</v>
      </c>
    </row>
    <row r="123">
      <c r="A123" t="inlineStr">
        <is>
          <t>Dominica_2023_May</t>
        </is>
      </c>
      <c r="B123" s="2" t="n"/>
      <c r="C123" s="3" t="inlineStr">
        <is>
          <t>SM.23.127, Sup. 1</t>
        </is>
      </c>
      <c r="D123" s="4" t="inlineStr">
        <is>
          <t>Dominica</t>
        </is>
      </c>
      <c r="E123" s="4" t="inlineStr">
        <is>
          <t>DMA</t>
        </is>
      </c>
      <c r="F123" s="10" t="n">
        <v>45047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0.2511513672896517</v>
      </c>
      <c r="M123" t="n">
        <v>0.2511513672896517</v>
      </c>
      <c r="O123" t="n">
        <v>0.3868809651692811</v>
      </c>
      <c r="P123" t="n">
        <v>0.5497984768503837</v>
      </c>
      <c r="Q123" t="n">
        <v>0.3648279095877866</v>
      </c>
      <c r="R123" t="n">
        <v>0.4086862410002682</v>
      </c>
      <c r="S123" t="n">
        <v>0.4035774457750387</v>
      </c>
      <c r="T123" t="n">
        <v>0.3831798120199595</v>
      </c>
      <c r="U123" t="n">
        <v>0.3949658317974193</v>
      </c>
      <c r="V123" t="n">
        <v>0.3394911083266327</v>
      </c>
      <c r="W123" t="n">
        <v>0.4609209837932793</v>
      </c>
      <c r="X123" t="n">
        <v>-0.7384157979890958</v>
      </c>
      <c r="Y123" t="n">
        <v>0.3002179202258181</v>
      </c>
      <c r="Z123" t="n">
        <v>0.4415308789879642</v>
      </c>
      <c r="AA123" t="n">
        <v>0.1629573854037715</v>
      </c>
      <c r="AB123" t="n">
        <v>-0.3239787898755164</v>
      </c>
      <c r="AC123" t="n">
        <v>-2.401685536305007</v>
      </c>
      <c r="AD123" t="n">
        <v>0.4770576897644753</v>
      </c>
      <c r="AE123" t="n">
        <v>0.4686939309406156</v>
      </c>
      <c r="AF123" t="n">
        <v>0.8035091308594261</v>
      </c>
      <c r="AG123" t="n">
        <v>0.8402969362580897</v>
      </c>
      <c r="AH123" t="n">
        <v>0.8586997508952461</v>
      </c>
      <c r="AI123" t="n">
        <v>0.8286960374764771</v>
      </c>
    </row>
    <row r="124">
      <c r="A124" t="inlineStr">
        <is>
          <t>Dominica_2023_May</t>
        </is>
      </c>
      <c r="B124" s="2" t="n"/>
      <c r="C124" s="3" t="inlineStr">
        <is>
          <t>SM.23.127, Sup. 1</t>
        </is>
      </c>
      <c r="D124" s="4" t="inlineStr">
        <is>
          <t>Dominica</t>
        </is>
      </c>
      <c r="E124" s="4" t="inlineStr">
        <is>
          <t>DMA</t>
        </is>
      </c>
      <c r="F124" s="10" t="n">
        <v>45047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Dominica_2023_May</t>
        </is>
      </c>
      <c r="B125" s="2" t="n"/>
      <c r="C125" s="3" t="inlineStr">
        <is>
          <t>SM.23.127, Sup. 1</t>
        </is>
      </c>
      <c r="D125" s="4" t="inlineStr">
        <is>
          <t>Dominica</t>
        </is>
      </c>
      <c r="E125" s="4" t="inlineStr">
        <is>
          <t>DMA</t>
        </is>
      </c>
      <c r="F125" s="10" t="n">
        <v>45047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Dominica_2023_May</t>
        </is>
      </c>
      <c r="B126" s="2" t="n"/>
      <c r="C126" s="3" t="inlineStr">
        <is>
          <t>SM.23.127, Sup. 1</t>
        </is>
      </c>
      <c r="D126" s="4" t="inlineStr">
        <is>
          <t>Dominica</t>
        </is>
      </c>
      <c r="E126" s="4" t="inlineStr">
        <is>
          <t>DMA</t>
        </is>
      </c>
      <c r="F126" s="10" t="n">
        <v>45047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Dominica_2023_May</t>
        </is>
      </c>
      <c r="B127" s="2" t="n"/>
      <c r="C127" s="3" t="inlineStr">
        <is>
          <t>SM.23.127, Sup. 1</t>
        </is>
      </c>
      <c r="D127" s="4" t="inlineStr">
        <is>
          <t>Dominica</t>
        </is>
      </c>
      <c r="E127" s="4" t="inlineStr">
        <is>
          <t>DMA</t>
        </is>
      </c>
      <c r="F127" s="10" t="n">
        <v>45047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1.618923536858104</v>
      </c>
      <c r="M127" t="n">
        <v>1.618923536858104</v>
      </c>
      <c r="O127" t="n">
        <v>1.436781402061537</v>
      </c>
      <c r="P127" t="n">
        <v>1.639073613169817</v>
      </c>
      <c r="Q127" t="n">
        <v>1.576367723763356</v>
      </c>
      <c r="R127" t="n">
        <v>1.713117081945591</v>
      </c>
      <c r="S127" t="n">
        <v>1.736571786508048</v>
      </c>
      <c r="T127" t="n">
        <v>1.712123320825855</v>
      </c>
      <c r="U127" t="n">
        <v>1.732922631579163</v>
      </c>
      <c r="V127" t="n">
        <v>1.755462935298687</v>
      </c>
      <c r="W127" t="n">
        <v>1.790072301944234</v>
      </c>
      <c r="X127" t="n">
        <v>0.7671317148525422</v>
      </c>
      <c r="Y127" t="n">
        <v>1.948534393490316</v>
      </c>
      <c r="Z127" t="n">
        <v>1.74232797795268</v>
      </c>
      <c r="AA127" t="n">
        <v>1.824701561687277</v>
      </c>
      <c r="AB127" t="n">
        <v>1.906081121887417</v>
      </c>
      <c r="AC127" t="n">
        <v>1.947142456759616</v>
      </c>
      <c r="AD127" t="n">
        <v>1.964868696966116</v>
      </c>
      <c r="AE127" t="n">
        <v>1.976242992287926</v>
      </c>
      <c r="AF127" t="n">
        <v>1.438481406084374</v>
      </c>
      <c r="AG127" t="n">
        <v>1.451076993267095</v>
      </c>
      <c r="AH127" t="n">
        <v>1.463686242768809</v>
      </c>
      <c r="AI127" t="n">
        <v>1.476496366878945</v>
      </c>
      <c r="BI127" t="inlineStr">
        <is>
          <t>NEW_IR_AVG</t>
        </is>
      </c>
    </row>
    <row r="128">
      <c r="A128" t="inlineStr">
        <is>
          <t>Dominica_2023_May</t>
        </is>
      </c>
      <c r="B128" s="2" t="n"/>
      <c r="C128" s="3" t="inlineStr">
        <is>
          <t>SM.23.127, Sup. 1</t>
        </is>
      </c>
      <c r="D128" s="4" t="inlineStr">
        <is>
          <t>Dominica</t>
        </is>
      </c>
      <c r="E128" s="4" t="inlineStr">
        <is>
          <t>DMA</t>
        </is>
      </c>
      <c r="F128" s="10" t="n">
        <v>45047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7.975824456249777</v>
      </c>
      <c r="O128" t="n">
        <v>9.217388746899255</v>
      </c>
      <c r="P128" t="n">
        <v>9.370439697565534</v>
      </c>
      <c r="Q128" t="n">
        <v>9.522825008056879</v>
      </c>
      <c r="R128" t="n">
        <v>8.789653795846897</v>
      </c>
      <c r="S128" t="n">
        <v>8.113573084320835</v>
      </c>
      <c r="T128" t="n">
        <v>8.131125783437026</v>
      </c>
      <c r="U128" t="n">
        <v>8.139058717083387</v>
      </c>
      <c r="V128" t="n">
        <v>8.107674101119745</v>
      </c>
      <c r="W128" t="n">
        <v>7.309823563389104</v>
      </c>
      <c r="X128" t="n">
        <v>5.561819493766302</v>
      </c>
      <c r="Y128" t="n">
        <v>5.47068702726258</v>
      </c>
      <c r="Z128" t="n">
        <v>6.089810238143049</v>
      </c>
      <c r="AA128" t="n">
        <v>4.652288522108337</v>
      </c>
      <c r="AB128" t="n">
        <v>3.992657958516673</v>
      </c>
      <c r="AC128" t="n">
        <v>3.594046649956543</v>
      </c>
      <c r="AD128" t="n">
        <v>3.455097186712183</v>
      </c>
      <c r="AE128" t="n">
        <v>3.400115006781505</v>
      </c>
      <c r="AF128" t="n">
        <v>6.469686474020791</v>
      </c>
      <c r="AG128" t="n">
        <v>6.506086377257071</v>
      </c>
      <c r="AH128" t="n">
        <v>6.546390869588767</v>
      </c>
      <c r="AI128" t="n">
        <v>6.588558253243769</v>
      </c>
      <c r="BI128" t="inlineStr">
        <is>
          <t>NEW_GP_AVG</t>
        </is>
      </c>
    </row>
    <row r="129">
      <c r="A129" t="inlineStr">
        <is>
          <t>Dominica_2023_May</t>
        </is>
      </c>
      <c r="B129" s="2" t="n"/>
      <c r="C129" s="3" t="inlineStr">
        <is>
          <t>SM.23.127, Sup. 1</t>
        </is>
      </c>
      <c r="D129" s="4" t="inlineStr">
        <is>
          <t>Dominica</t>
        </is>
      </c>
      <c r="E129" s="4" t="inlineStr">
        <is>
          <t>DMA</t>
        </is>
      </c>
      <c r="F129" s="10" t="n">
        <v>45047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30</v>
      </c>
      <c r="M129" t="n">
        <v>30.69905597211673</v>
      </c>
      <c r="O129" t="n">
        <v>35.96829021221844</v>
      </c>
      <c r="P129" t="n">
        <v>33.89257213972762</v>
      </c>
      <c r="Q129" t="n">
        <v>35.07323784424281</v>
      </c>
      <c r="R129" t="n">
        <v>32.82021536581519</v>
      </c>
      <c r="S129" t="n">
        <v>31.85924759014412</v>
      </c>
      <c r="T129" t="n">
        <v>32.20998468494517</v>
      </c>
      <c r="U129" t="n">
        <v>31.98478843356052</v>
      </c>
      <c r="V129" t="n">
        <v>31.72185774739092</v>
      </c>
      <c r="W129" t="n">
        <v>30.31967056712566</v>
      </c>
      <c r="X129" t="n">
        <v>15.69200288108038</v>
      </c>
      <c r="Y129" t="n">
        <v>26.14774822703319</v>
      </c>
      <c r="Z129" t="n">
        <v>27.91921138427168</v>
      </c>
      <c r="AA129" t="n">
        <v>25.76919163019193</v>
      </c>
      <c r="AB129" t="n">
        <v>24.19292919566375</v>
      </c>
      <c r="AC129" t="n">
        <v>23.28921478168806</v>
      </c>
      <c r="AD129" t="n">
        <v>22.99766410851536</v>
      </c>
      <c r="AE129" t="n">
        <v>22.87956600542989</v>
      </c>
      <c r="AF129" t="n">
        <v>28.56012339632999</v>
      </c>
      <c r="AG129" t="n">
        <v>28.50312165442358</v>
      </c>
      <c r="AH129" t="n">
        <v>28.4564495169828</v>
      </c>
      <c r="AI129" t="n">
        <v>28.41231777016341</v>
      </c>
      <c r="BI129" t="inlineStr">
        <is>
          <t>NEW_M_AVG</t>
        </is>
      </c>
    </row>
    <row r="130">
      <c r="A130" t="inlineStr">
        <is>
          <t>Dominica_2023_May</t>
        </is>
      </c>
      <c r="B130" s="2" t="n"/>
      <c r="C130" s="3" t="inlineStr">
        <is>
          <t>SM.23.127, Sup. 1</t>
        </is>
      </c>
      <c r="D130" s="4" t="inlineStr">
        <is>
          <t>Dominica</t>
        </is>
      </c>
      <c r="E130" s="4" t="inlineStr">
        <is>
          <t>DMA</t>
        </is>
      </c>
      <c r="F130" s="10" t="n">
        <v>45047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Dominica_2023_May</t>
        </is>
      </c>
      <c r="B131" s="2" t="n"/>
      <c r="C131" s="3" t="inlineStr">
        <is>
          <t>SM.23.127, Sup. 1</t>
        </is>
      </c>
      <c r="D131" s="4" t="inlineStr">
        <is>
          <t>Dominica</t>
        </is>
      </c>
      <c r="E131" s="4" t="inlineStr">
        <is>
          <t>DMA</t>
        </is>
      </c>
      <c r="F131" s="10" t="n">
        <v>45047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9</v>
      </c>
      <c r="P131" t="n">
        <v>9</v>
      </c>
      <c r="Q131" t="n">
        <v>9</v>
      </c>
      <c r="R131" t="n">
        <v>8</v>
      </c>
      <c r="S131" t="n">
        <v>8</v>
      </c>
      <c r="T131" t="n">
        <v>8</v>
      </c>
      <c r="U131" t="n">
        <v>8</v>
      </c>
      <c r="V131" t="n">
        <v>8</v>
      </c>
      <c r="W131" t="n">
        <v>7</v>
      </c>
      <c r="X131" t="n">
        <v>5</v>
      </c>
      <c r="Y131" t="n">
        <v>5</v>
      </c>
      <c r="Z131" t="n">
        <v>6</v>
      </c>
      <c r="AA131" t="n">
        <v>4</v>
      </c>
      <c r="AB131" t="n">
        <v>3</v>
      </c>
      <c r="AC131" t="n">
        <v>3</v>
      </c>
      <c r="AD131" t="n">
        <v>3</v>
      </c>
      <c r="AE131" t="n">
        <v>3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Dominica_2023_May</t>
        </is>
      </c>
      <c r="B132" s="2" t="n"/>
      <c r="C132" s="3" t="inlineStr">
        <is>
          <t>SM.23.127, Sup. 1</t>
        </is>
      </c>
      <c r="D132" s="4" t="inlineStr">
        <is>
          <t>Dominica</t>
        </is>
      </c>
      <c r="E132" s="4" t="inlineStr">
        <is>
          <t>DMA</t>
        </is>
      </c>
      <c r="F132" s="10" t="n">
        <v>45047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30</v>
      </c>
      <c r="O132" t="n">
        <v>35</v>
      </c>
      <c r="P132" t="n">
        <v>33</v>
      </c>
      <c r="Q132" t="n">
        <v>35</v>
      </c>
      <c r="R132" t="n">
        <v>32</v>
      </c>
      <c r="S132" t="n">
        <v>31</v>
      </c>
      <c r="T132" t="n">
        <v>32</v>
      </c>
      <c r="U132" t="n">
        <v>31</v>
      </c>
      <c r="V132" t="n">
        <v>31</v>
      </c>
      <c r="W132" t="n">
        <v>30</v>
      </c>
      <c r="X132" t="n">
        <v>15</v>
      </c>
      <c r="Y132" t="n">
        <v>26</v>
      </c>
      <c r="Z132" t="n">
        <v>27</v>
      </c>
      <c r="AA132" t="n">
        <v>25</v>
      </c>
      <c r="AB132" t="n">
        <v>24</v>
      </c>
      <c r="AC132" t="n">
        <v>23</v>
      </c>
      <c r="AD132" t="n">
        <v>22</v>
      </c>
      <c r="AE132" t="n">
        <v>22</v>
      </c>
      <c r="AF132" t="n">
        <v>28</v>
      </c>
      <c r="AG132" t="n">
        <v>28</v>
      </c>
      <c r="AH132" t="n">
        <v>28</v>
      </c>
      <c r="AI132" t="n">
        <v>28</v>
      </c>
      <c r="BI132" t="inlineStr">
        <is>
          <t>NEW_M_AVG_R</t>
        </is>
      </c>
    </row>
    <row r="133">
      <c r="A133" t="inlineStr">
        <is>
          <t>Dominica_2023_May</t>
        </is>
      </c>
      <c r="B133" s="2" t="n"/>
      <c r="C133" s="3" t="inlineStr">
        <is>
          <t>SM.23.127, Sup. 1</t>
        </is>
      </c>
      <c r="D133" s="4" t="inlineStr">
        <is>
          <t>Dominica</t>
        </is>
      </c>
      <c r="E133" s="4" t="inlineStr">
        <is>
          <t>DMA</t>
        </is>
      </c>
      <c r="F133" s="10" t="n">
        <v>45047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Dominica_2023_May</t>
        </is>
      </c>
      <c r="B134" s="2" t="n"/>
      <c r="C134" s="3" t="inlineStr">
        <is>
          <t>SM.23.127, Sup. 1</t>
        </is>
      </c>
      <c r="D134" s="4" t="inlineStr">
        <is>
          <t>Dominica</t>
        </is>
      </c>
      <c r="E134" s="4" t="inlineStr">
        <is>
          <t>DMA</t>
        </is>
      </c>
      <c r="F134" s="10" t="n">
        <v>45047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Dominica_2023_May</t>
        </is>
      </c>
      <c r="B135" s="2" t="n"/>
      <c r="C135" s="3" t="inlineStr">
        <is>
          <t>SM.23.127, Sup. 1</t>
        </is>
      </c>
      <c r="D135" s="4" t="inlineStr">
        <is>
          <t>Dominica</t>
        </is>
      </c>
      <c r="E135" s="4" t="inlineStr">
        <is>
          <t>DMA</t>
        </is>
      </c>
      <c r="F135" s="10" t="n">
        <v>45047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Dominica_2023_May</t>
        </is>
      </c>
      <c r="B136" s="2" t="n"/>
      <c r="C136" s="3" t="inlineStr">
        <is>
          <t>SM.23.127, Sup. 1</t>
        </is>
      </c>
      <c r="D136" s="4" t="inlineStr">
        <is>
          <t>Dominica</t>
        </is>
      </c>
      <c r="E136" s="4" t="inlineStr">
        <is>
          <t>DMA</t>
        </is>
      </c>
      <c r="F136" s="10" t="n">
        <v>45047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0.3495127859263346</v>
      </c>
      <c r="Q136" t="n">
        <v>0.9392594145755183</v>
      </c>
      <c r="R136" t="n">
        <v>1.677816180415506</v>
      </c>
      <c r="S136" t="n">
        <v>2.855390148282814</v>
      </c>
      <c r="T136" t="n">
        <v>4.225882176380884</v>
      </c>
      <c r="U136" t="n">
        <v>5.777851272533885</v>
      </c>
      <c r="V136" t="n">
        <v>7.441773637925099</v>
      </c>
      <c r="W136" t="n">
        <v>9.216217226007398</v>
      </c>
      <c r="X136" t="n">
        <v>10.7423920155816</v>
      </c>
      <c r="Y136" t="n">
        <v>12.55276083716635</v>
      </c>
      <c r="Z136" t="n">
        <v>14.87142351744139</v>
      </c>
      <c r="AA136" t="n">
        <v>16.94638899637195</v>
      </c>
      <c r="AB136" t="n">
        <v>19.58803645001615</v>
      </c>
      <c r="AC136" t="n">
        <v>22.22995935159829</v>
      </c>
      <c r="AD136" t="n">
        <v>40.60982777818344</v>
      </c>
      <c r="AE136" t="n">
        <v>42.6933880666429</v>
      </c>
      <c r="AF136" t="n">
        <v>44.7966026708497</v>
      </c>
      <c r="AG136" t="n">
        <v>46.06552363050693</v>
      </c>
      <c r="AH136" t="n">
        <v>46.51326546832003</v>
      </c>
      <c r="AI136" t="n">
        <v>30.52442963405722</v>
      </c>
      <c r="BI136" t="inlineStr">
        <is>
          <t>NEW_DS_TOT</t>
        </is>
      </c>
    </row>
    <row r="137">
      <c r="A137" t="inlineStr">
        <is>
          <t>Dominica_2023_May</t>
        </is>
      </c>
      <c r="B137" s="2" t="n"/>
      <c r="C137" s="3" t="inlineStr">
        <is>
          <t>SM.23.127, Sup. 1</t>
        </is>
      </c>
      <c r="D137" s="4" t="inlineStr">
        <is>
          <t>Dominica</t>
        </is>
      </c>
      <c r="E137" s="4" t="inlineStr">
        <is>
          <t>DMA</t>
        </is>
      </c>
      <c r="F137" s="10" t="n">
        <v>45047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Dominica_2023_May</t>
        </is>
      </c>
      <c r="B138" s="2" t="n"/>
      <c r="C138" s="3" t="inlineStr">
        <is>
          <t>SM.23.127, Sup. 1</t>
        </is>
      </c>
      <c r="D138" s="4" t="inlineStr">
        <is>
          <t>Dominica</t>
        </is>
      </c>
      <c r="E138" s="4" t="inlineStr">
        <is>
          <t>DMA</t>
        </is>
      </c>
      <c r="F138" s="10" t="n">
        <v>45047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0.3495127859263346</v>
      </c>
      <c r="Q138" t="n">
        <v>0.9392594145755183</v>
      </c>
      <c r="R138" t="n">
        <v>1.677816180415506</v>
      </c>
      <c r="S138" t="n">
        <v>2.508765920756025</v>
      </c>
      <c r="T138" t="n">
        <v>3.383465203592888</v>
      </c>
      <c r="U138" t="n">
        <v>4.293309991594043</v>
      </c>
      <c r="V138" t="n">
        <v>5.231051397145125</v>
      </c>
      <c r="W138" t="n">
        <v>6.204321129114042</v>
      </c>
      <c r="X138" t="n">
        <v>6.891242156994261</v>
      </c>
      <c r="Y138" t="n">
        <v>7.695414837767159</v>
      </c>
      <c r="Z138" t="n">
        <v>8.098673404372095</v>
      </c>
      <c r="AA138" t="n">
        <v>8.175381093445912</v>
      </c>
      <c r="AB138" t="n">
        <v>8.244768089804996</v>
      </c>
      <c r="AC138" t="n">
        <v>8.282347008621564</v>
      </c>
      <c r="AD138" t="n">
        <v>8.273031158159478</v>
      </c>
      <c r="AE138" t="n">
        <v>8.191702889411676</v>
      </c>
      <c r="AF138" t="n">
        <v>8.081876923612723</v>
      </c>
      <c r="AG138" t="n">
        <v>7.703109567934078</v>
      </c>
      <c r="AH138" t="n">
        <v>7.30156184043773</v>
      </c>
      <c r="AI138" t="n">
        <v>6.893689125314238</v>
      </c>
      <c r="BI138" t="inlineStr">
        <is>
          <t>NEW_DS_I</t>
        </is>
      </c>
    </row>
    <row r="139">
      <c r="A139" t="inlineStr">
        <is>
          <t>Dominica_2023_May</t>
        </is>
      </c>
      <c r="B139" s="2" t="n"/>
      <c r="C139" s="3" t="inlineStr">
        <is>
          <t>SM.23.127, Sup. 1</t>
        </is>
      </c>
      <c r="D139" s="4" t="inlineStr">
        <is>
          <t>Dominica</t>
        </is>
      </c>
      <c r="E139" s="4" t="inlineStr">
        <is>
          <t>DMA</t>
        </is>
      </c>
      <c r="F139" s="10" t="n">
        <v>45047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0.3114370370370368</v>
      </c>
      <c r="Q139" t="n">
        <v>0.8558798961777768</v>
      </c>
      <c r="R139" t="n">
        <v>1.549723640623508</v>
      </c>
      <c r="S139" t="n">
        <v>2.228941572212541</v>
      </c>
      <c r="T139" t="n">
        <v>2.872389512357522</v>
      </c>
      <c r="U139" t="n">
        <v>3.554209878081403</v>
      </c>
      <c r="V139" t="n">
        <v>4.268129383346958</v>
      </c>
      <c r="W139" t="n">
        <v>5.015277728593336</v>
      </c>
      <c r="X139" t="n">
        <v>5.483229228570707</v>
      </c>
      <c r="Y139" t="n">
        <v>6.080789928999456</v>
      </c>
      <c r="Z139" t="n">
        <v>6.286300509709744</v>
      </c>
      <c r="AA139" t="n">
        <v>6.379492545420401</v>
      </c>
      <c r="AB139" t="n">
        <v>6.405221303698355</v>
      </c>
      <c r="AC139" t="n">
        <v>6.384011881439829</v>
      </c>
      <c r="AD139" t="n">
        <v>6.319628034339689</v>
      </c>
      <c r="AE139" t="n">
        <v>6.179957270239628</v>
      </c>
      <c r="AF139" t="n">
        <v>6.006135185427502</v>
      </c>
      <c r="AG139" t="n">
        <v>5.797340305956072</v>
      </c>
      <c r="AH139" t="n">
        <v>5.552183007732148</v>
      </c>
      <c r="AI139" t="n">
        <v>5.285021975980832</v>
      </c>
      <c r="BI139" t="inlineStr">
        <is>
          <t>NEW_DS_ML</t>
        </is>
      </c>
    </row>
    <row r="140">
      <c r="A140" t="inlineStr">
        <is>
          <t>Dominica_2023_May</t>
        </is>
      </c>
      <c r="B140" s="2" t="n"/>
      <c r="C140" s="3" t="inlineStr">
        <is>
          <t>SM.23.127, Sup. 1</t>
        </is>
      </c>
      <c r="D140" s="4" t="inlineStr">
        <is>
          <t>Dominica</t>
        </is>
      </c>
      <c r="E140" s="4" t="inlineStr">
        <is>
          <t>DMA</t>
        </is>
      </c>
      <c r="F140" s="10" t="n">
        <v>45047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0.2025</v>
      </c>
      <c r="Z140" t="n">
        <v>0.2025</v>
      </c>
      <c r="AA140" t="n">
        <v>0.2025</v>
      </c>
      <c r="AB140" t="n">
        <v>0.2025</v>
      </c>
      <c r="AC140" t="n">
        <v>0.2025</v>
      </c>
      <c r="AD140" t="n">
        <v>0.2025</v>
      </c>
      <c r="AE140" t="n">
        <v>0.162</v>
      </c>
      <c r="AF140" t="n">
        <v>0.1215</v>
      </c>
      <c r="AG140" t="n">
        <v>0.08099999999999997</v>
      </c>
      <c r="AH140" t="n">
        <v>0.04049999999999998</v>
      </c>
      <c r="AI140" t="n">
        <v>0</v>
      </c>
    </row>
    <row r="141">
      <c r="A141" t="inlineStr">
        <is>
          <t>Dominica_2023_May</t>
        </is>
      </c>
      <c r="B141" s="2" t="n"/>
      <c r="C141" s="3" t="inlineStr">
        <is>
          <t>SM.23.127, Sup. 1</t>
        </is>
      </c>
      <c r="D141" s="4" t="inlineStr">
        <is>
          <t>Dominica</t>
        </is>
      </c>
      <c r="E141" s="4" t="inlineStr">
        <is>
          <t>DMA</t>
        </is>
      </c>
      <c r="F141" s="10" t="n">
        <v>45047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0.2114370370370368</v>
      </c>
      <c r="Q141" t="n">
        <v>0.4651391554370368</v>
      </c>
      <c r="R141" t="n">
        <v>0.8487917515851853</v>
      </c>
      <c r="S141" t="n">
        <v>1.200468668562963</v>
      </c>
      <c r="T141" t="n">
        <v>1.500585835703704</v>
      </c>
      <c r="U141" t="n">
        <v>1.822873035370371</v>
      </c>
      <c r="V141" t="n">
        <v>2.160333061069613</v>
      </c>
      <c r="W141" t="n">
        <v>2.513499906811143</v>
      </c>
      <c r="X141" t="n">
        <v>2.734694206789855</v>
      </c>
      <c r="Y141" t="n">
        <v>2.872862132516402</v>
      </c>
      <c r="Z141" t="n">
        <v>2.944737088999753</v>
      </c>
      <c r="AA141" t="n">
        <v>2.975078539962189</v>
      </c>
      <c r="AB141" t="n">
        <v>2.990693806930369</v>
      </c>
      <c r="AC141" t="n">
        <v>2.978589323304605</v>
      </c>
      <c r="AD141" t="n">
        <v>2.943626478951008</v>
      </c>
      <c r="AE141" t="n">
        <v>2.895184024135316</v>
      </c>
      <c r="AF141" t="n">
        <v>2.834913825658377</v>
      </c>
      <c r="AG141" t="n">
        <v>2.763056360333414</v>
      </c>
      <c r="AH141" t="n">
        <v>2.679320983196305</v>
      </c>
      <c r="AI141" t="n">
        <v>2.588179476755005</v>
      </c>
    </row>
    <row r="142">
      <c r="A142" t="inlineStr">
        <is>
          <t>Dominica_2023_May</t>
        </is>
      </c>
      <c r="B142" s="2" t="n"/>
      <c r="C142" s="3" t="inlineStr">
        <is>
          <t>SM.23.127, Sup. 1</t>
        </is>
      </c>
      <c r="D142" s="4" t="inlineStr">
        <is>
          <t>Dominica</t>
        </is>
      </c>
      <c r="E142" s="4" t="inlineStr">
        <is>
          <t>DMA</t>
        </is>
      </c>
      <c r="F142" s="10" t="n">
        <v>45047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Dominica_2023_May</t>
        </is>
      </c>
      <c r="B143" s="2" t="n"/>
      <c r="C143" s="3" t="inlineStr">
        <is>
          <t>SM.23.127, Sup. 1</t>
        </is>
      </c>
      <c r="D143" s="4" t="inlineStr">
        <is>
          <t>Dominica</t>
        </is>
      </c>
      <c r="E143" s="4" t="inlineStr">
        <is>
          <t>DMA</t>
        </is>
      </c>
      <c r="F143" s="10" t="n">
        <v>45047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CDB</t>
        </is>
      </c>
      <c r="M143" t="n">
        <v>111</v>
      </c>
      <c r="O143" t="n">
        <v>0</v>
      </c>
      <c r="P143" t="n">
        <v>0.1</v>
      </c>
      <c r="Q143" t="n">
        <v>0.39074074074074</v>
      </c>
      <c r="R143" t="n">
        <v>0.7009318890383226</v>
      </c>
      <c r="S143" t="n">
        <v>1.028472903649578</v>
      </c>
      <c r="T143" t="n">
        <v>1.371803676653818</v>
      </c>
      <c r="U143" t="n">
        <v>1.731336842711033</v>
      </c>
      <c r="V143" t="n">
        <v>2.107796322277345</v>
      </c>
      <c r="W143" t="n">
        <v>2.501777821782193</v>
      </c>
      <c r="X143" t="n">
        <v>2.748535021780853</v>
      </c>
      <c r="Y143" t="n">
        <v>3.005427796483055</v>
      </c>
      <c r="Z143" t="n">
        <v>3.139063420709991</v>
      </c>
      <c r="AA143" t="n">
        <v>3.201914005458212</v>
      </c>
      <c r="AB143" t="n">
        <v>3.212027496767986</v>
      </c>
      <c r="AC143" t="n">
        <v>3.202922558135223</v>
      </c>
      <c r="AD143" t="n">
        <v>3.173501555388681</v>
      </c>
      <c r="AE143" t="n">
        <v>3.122773246104312</v>
      </c>
      <c r="AF143" t="n">
        <v>3.049721359769125</v>
      </c>
      <c r="AG143" t="n">
        <v>2.953283945622658</v>
      </c>
      <c r="AH143" t="n">
        <v>2.832362024535843</v>
      </c>
      <c r="AI143" t="n">
        <v>2.696842499225827</v>
      </c>
    </row>
    <row r="144">
      <c r="A144" t="inlineStr">
        <is>
          <t>Dominica_2023_May</t>
        </is>
      </c>
      <c r="B144" s="2" t="n"/>
      <c r="C144" s="3" t="inlineStr">
        <is>
          <t>SM.23.127, Sup. 1</t>
        </is>
      </c>
      <c r="D144" s="4" t="inlineStr">
        <is>
          <t>Dominica</t>
        </is>
      </c>
      <c r="E144" s="4" t="inlineStr">
        <is>
          <t>DMA</t>
        </is>
      </c>
      <c r="F144" s="10" t="n">
        <v>45047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MULTIRES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Dominica_2023_May</t>
        </is>
      </c>
      <c r="B145" s="2" t="n"/>
      <c r="C145" s="3" t="inlineStr">
        <is>
          <t>SM.23.127, Sup. 1</t>
        </is>
      </c>
      <c r="D145" s="4" t="inlineStr">
        <is>
          <t>Dominica</t>
        </is>
      </c>
      <c r="E145" s="4" t="inlineStr">
        <is>
          <t>DMA</t>
        </is>
      </c>
      <c r="F145" s="10" t="n">
        <v>45047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Dominica_2023_May</t>
        </is>
      </c>
      <c r="B146" s="2" t="n"/>
      <c r="C146" s="3" t="inlineStr">
        <is>
          <t>SM.23.127, Sup. 1</t>
        </is>
      </c>
      <c r="D146" s="4" t="inlineStr">
        <is>
          <t>Dominica</t>
        </is>
      </c>
      <c r="E146" s="4" t="inlineStr">
        <is>
          <t>DMA</t>
        </is>
      </c>
      <c r="F146" s="10" t="n">
        <v>45047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0.0380757488892977</v>
      </c>
      <c r="Q146" t="n">
        <v>0.08337951839774149</v>
      </c>
      <c r="R146" t="n">
        <v>0.1280925397919983</v>
      </c>
      <c r="S146" t="n">
        <v>0.1692512199624384</v>
      </c>
      <c r="T146" t="n">
        <v>0.2117148462145421</v>
      </c>
      <c r="U146" t="n">
        <v>0.2540572377593317</v>
      </c>
      <c r="V146" t="n">
        <v>0.2957299278796482</v>
      </c>
      <c r="W146" t="n">
        <v>0.3351688573331162</v>
      </c>
      <c r="X146" t="n">
        <v>0.3724314836898385</v>
      </c>
      <c r="Y146" t="n">
        <v>0.4082932923953352</v>
      </c>
      <c r="Z146" t="n">
        <v>0.4424902023011251</v>
      </c>
      <c r="AA146" t="n">
        <v>0.4750582315530801</v>
      </c>
      <c r="AB146" t="n">
        <v>0.5058055057921188</v>
      </c>
      <c r="AC146" t="n">
        <v>0.53481458763582</v>
      </c>
      <c r="AD146" t="n">
        <v>0.5621730607112577</v>
      </c>
      <c r="AE146" t="n">
        <v>0.5878309282818162</v>
      </c>
      <c r="AF146" t="n">
        <v>0.6117810104932528</v>
      </c>
      <c r="AG146" t="n">
        <v>0.6340075187018691</v>
      </c>
      <c r="AH146" t="n">
        <v>0.6545298829475698</v>
      </c>
      <c r="AI146" t="n">
        <v>0.6733549082952566</v>
      </c>
    </row>
    <row r="147">
      <c r="A147" t="inlineStr">
        <is>
          <t>Dominica_2023_May</t>
        </is>
      </c>
      <c r="B147" s="2" t="n"/>
      <c r="C147" s="3" t="inlineStr">
        <is>
          <t>SM.23.127, Sup. 1</t>
        </is>
      </c>
      <c r="D147" s="4" t="inlineStr">
        <is>
          <t>Dominica</t>
        </is>
      </c>
      <c r="E147" s="4" t="inlineStr">
        <is>
          <t>DMA</t>
        </is>
      </c>
      <c r="F147" s="10" t="n">
        <v>45047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0.0380757488892977</v>
      </c>
      <c r="Q147" t="n">
        <v>0.08337951839774149</v>
      </c>
      <c r="R147" t="n">
        <v>0.1280925397919983</v>
      </c>
      <c r="S147" t="n">
        <v>0.1692512199624384</v>
      </c>
      <c r="T147" t="n">
        <v>0.2117148462145421</v>
      </c>
      <c r="U147" t="n">
        <v>0.2540572377593317</v>
      </c>
      <c r="V147" t="n">
        <v>0.2957299278796482</v>
      </c>
      <c r="W147" t="n">
        <v>0.3351688573331162</v>
      </c>
      <c r="X147" t="n">
        <v>0.3724314836898385</v>
      </c>
      <c r="Y147" t="n">
        <v>0.4082932923953352</v>
      </c>
      <c r="Z147" t="n">
        <v>0.4424902023011251</v>
      </c>
      <c r="AA147" t="n">
        <v>0.4750582315530801</v>
      </c>
      <c r="AB147" t="n">
        <v>0.5058055057921188</v>
      </c>
      <c r="AC147" t="n">
        <v>0.53481458763582</v>
      </c>
      <c r="AD147" t="n">
        <v>0.5621730607112577</v>
      </c>
      <c r="AE147" t="n">
        <v>0.5878309282818162</v>
      </c>
      <c r="AF147" t="n">
        <v>0.6117810104932528</v>
      </c>
      <c r="AG147" t="n">
        <v>0.6340075187018691</v>
      </c>
      <c r="AH147" t="n">
        <v>0.6545298829475698</v>
      </c>
      <c r="AI147" t="n">
        <v>0.6733549082952566</v>
      </c>
    </row>
    <row r="148">
      <c r="A148" t="inlineStr">
        <is>
          <t>Dominica_2023_May</t>
        </is>
      </c>
      <c r="B148" s="2" t="n"/>
      <c r="C148" s="3" t="inlineStr">
        <is>
          <t>SM.23.127, Sup. 1</t>
        </is>
      </c>
      <c r="D148" s="4" t="inlineStr">
        <is>
          <t>Dominica</t>
        </is>
      </c>
      <c r="E148" s="4" t="inlineStr">
        <is>
          <t>DMA</t>
        </is>
      </c>
      <c r="F148" s="10" t="n">
        <v>45047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Dominica_2023_May</t>
        </is>
      </c>
      <c r="B149" s="2" t="n"/>
      <c r="C149" s="3" t="inlineStr">
        <is>
          <t>SM.23.127, Sup. 1</t>
        </is>
      </c>
      <c r="D149" s="4" t="inlineStr">
        <is>
          <t>Dominica</t>
        </is>
      </c>
      <c r="E149" s="4" t="inlineStr">
        <is>
          <t>DMA</t>
        </is>
      </c>
      <c r="F149" s="10" t="n">
        <v>45047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Dominica_2023_May</t>
        </is>
      </c>
      <c r="B150" s="2" t="n"/>
      <c r="C150" s="3" t="inlineStr">
        <is>
          <t>SM.23.127, Sup. 1</t>
        </is>
      </c>
      <c r="D150" s="4" t="inlineStr">
        <is>
          <t>Dominica</t>
        </is>
      </c>
      <c r="E150" s="4" t="inlineStr">
        <is>
          <t>DMA</t>
        </is>
      </c>
      <c r="F150" s="10" t="n">
        <v>45047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0.0406819332997302</v>
      </c>
      <c r="U150" t="n">
        <v>0.0945410575253717</v>
      </c>
      <c r="V150" t="n">
        <v>0.1414810616704509</v>
      </c>
      <c r="W150" t="n">
        <v>0.1840817949869062</v>
      </c>
      <c r="X150" t="n">
        <v>0.2230714746441695</v>
      </c>
      <c r="Y150" t="n">
        <v>0.2584047377013213</v>
      </c>
      <c r="Z150" t="n">
        <v>0.2904772262070079</v>
      </c>
      <c r="AA150" t="n">
        <v>0.2974846232920305</v>
      </c>
      <c r="AB150" t="n">
        <v>0.3102853676572375</v>
      </c>
      <c r="AC150" t="n">
        <v>0.32685826750622</v>
      </c>
      <c r="AD150" t="n">
        <v>0.3458966653922528</v>
      </c>
      <c r="AE150" t="n">
        <v>0.3665784094115982</v>
      </c>
      <c r="AF150" t="n">
        <v>0.3883623708171184</v>
      </c>
      <c r="AG150" t="n">
        <v>0.3792235135540678</v>
      </c>
      <c r="AH150" t="n">
        <v>0.3695668366163411</v>
      </c>
      <c r="AI150" t="n">
        <v>0.3592389131313202</v>
      </c>
      <c r="BI150" t="inlineStr">
        <is>
          <t>NEW_DS_I_OB</t>
        </is>
      </c>
    </row>
    <row r="151">
      <c r="A151" t="inlineStr">
        <is>
          <t>Dominica_2023_May</t>
        </is>
      </c>
      <c r="B151" s="2" t="n"/>
      <c r="C151" s="3" t="inlineStr">
        <is>
          <t>SM.23.127, Sup. 1</t>
        </is>
      </c>
      <c r="D151" s="4" t="inlineStr">
        <is>
          <t>Dominica</t>
        </is>
      </c>
      <c r="E151" s="4" t="inlineStr">
        <is>
          <t>DMA</t>
        </is>
      </c>
      <c r="F151" s="10" t="n">
        <v>45047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Dominica_2023_May</t>
        </is>
      </c>
      <c r="B152" s="2" t="n"/>
      <c r="C152" s="3" t="inlineStr">
        <is>
          <t>SM.23.127, Sup. 1</t>
        </is>
      </c>
      <c r="D152" s="4" t="inlineStr">
        <is>
          <t>Dominica</t>
        </is>
      </c>
      <c r="E152" s="4" t="inlineStr">
        <is>
          <t>DMA</t>
        </is>
      </c>
      <c r="F152" s="10" t="n">
        <v>45047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Dominica_2023_May</t>
        </is>
      </c>
      <c r="B153" s="2" t="n"/>
      <c r="C153" s="3" t="inlineStr">
        <is>
          <t>SM.23.127, Sup. 1</t>
        </is>
      </c>
      <c r="D153" s="4" t="inlineStr">
        <is>
          <t>Dominica</t>
        </is>
      </c>
      <c r="E153" s="4" t="inlineStr">
        <is>
          <t>DMA</t>
        </is>
      </c>
      <c r="F153" s="10" t="n">
        <v>45047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Dominica_2023_May</t>
        </is>
      </c>
      <c r="B154" s="2" t="n"/>
      <c r="C154" s="3" t="inlineStr">
        <is>
          <t>SM.23.127, Sup. 1</t>
        </is>
      </c>
      <c r="D154" s="4" t="inlineStr">
        <is>
          <t>Dominica</t>
        </is>
      </c>
      <c r="E154" s="4" t="inlineStr">
        <is>
          <t>DMA</t>
        </is>
      </c>
      <c r="F154" s="10" t="n">
        <v>45047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Dominica_2023_May</t>
        </is>
      </c>
      <c r="B155" s="2" t="n"/>
      <c r="C155" s="3" t="inlineStr">
        <is>
          <t>SM.23.127, Sup. 1</t>
        </is>
      </c>
      <c r="D155" s="4" t="inlineStr">
        <is>
          <t>Dominica</t>
        </is>
      </c>
      <c r="E155" s="4" t="inlineStr">
        <is>
          <t>DMA</t>
        </is>
      </c>
      <c r="F155" s="10" t="n">
        <v>45047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Dominica_2023_May</t>
        </is>
      </c>
      <c r="B156" s="2" t="n"/>
      <c r="C156" s="3" t="inlineStr">
        <is>
          <t>SM.23.127, Sup. 1</t>
        </is>
      </c>
      <c r="D156" s="4" t="inlineStr">
        <is>
          <t>Dominica</t>
        </is>
      </c>
      <c r="E156" s="4" t="inlineStr">
        <is>
          <t>DMA</t>
        </is>
      </c>
      <c r="F156" s="10" t="n">
        <v>45047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Dominica_2023_May</t>
        </is>
      </c>
      <c r="B157" s="2" t="n"/>
      <c r="C157" s="3" t="inlineStr">
        <is>
          <t>SM.23.127, Sup. 1</t>
        </is>
      </c>
      <c r="D157" s="4" t="inlineStr">
        <is>
          <t>Dominica</t>
        </is>
      </c>
      <c r="E157" s="4" t="inlineStr">
        <is>
          <t>DMA</t>
        </is>
      </c>
      <c r="F157" s="10" t="n">
        <v>45047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0.0406819332997302</v>
      </c>
      <c r="U157" t="n">
        <v>0.0945410575253717</v>
      </c>
      <c r="V157" t="n">
        <v>0.1414810616704509</v>
      </c>
      <c r="W157" t="n">
        <v>0.1840817949869062</v>
      </c>
      <c r="X157" t="n">
        <v>0.2230714746441695</v>
      </c>
      <c r="Y157" t="n">
        <v>0.2584047377013213</v>
      </c>
      <c r="Z157" t="n">
        <v>0.2904772262070079</v>
      </c>
      <c r="AA157" t="n">
        <v>0.2974846232920305</v>
      </c>
      <c r="AB157" t="n">
        <v>0.3102853676572375</v>
      </c>
      <c r="AC157" t="n">
        <v>0.32685826750622</v>
      </c>
      <c r="AD157" t="n">
        <v>0.3458966653922528</v>
      </c>
      <c r="AE157" t="n">
        <v>0.3665784094115982</v>
      </c>
      <c r="AF157" t="n">
        <v>0.3883623708171184</v>
      </c>
      <c r="AG157" t="n">
        <v>0.3792235135540678</v>
      </c>
      <c r="AH157" t="n">
        <v>0.3695668366163411</v>
      </c>
      <c r="AI157" t="n">
        <v>0.3592389131313202</v>
      </c>
    </row>
    <row r="158">
      <c r="A158" t="inlineStr">
        <is>
          <t>Dominica_2023_May</t>
        </is>
      </c>
      <c r="B158" s="2" t="n"/>
      <c r="C158" s="3" t="inlineStr">
        <is>
          <t>SM.23.127, Sup. 1</t>
        </is>
      </c>
      <c r="D158" s="4" t="inlineStr">
        <is>
          <t>Dominica</t>
        </is>
      </c>
      <c r="E158" s="4" t="inlineStr">
        <is>
          <t>DMA</t>
        </is>
      </c>
      <c r="F158" s="10" t="n">
        <v>45047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NPC2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0.0406819332997302</v>
      </c>
      <c r="U158" t="n">
        <v>0.0945410575253717</v>
      </c>
      <c r="V158" t="n">
        <v>0.1414810616704509</v>
      </c>
      <c r="W158" t="n">
        <v>0.1840817949869062</v>
      </c>
      <c r="X158" t="n">
        <v>0.2230714746441695</v>
      </c>
      <c r="Y158" t="n">
        <v>0.2584047377013213</v>
      </c>
      <c r="Z158" t="n">
        <v>0.2904772262070079</v>
      </c>
      <c r="AA158" t="n">
        <v>0.2974846232920305</v>
      </c>
      <c r="AB158" t="n">
        <v>0.3102853676572375</v>
      </c>
      <c r="AC158" t="n">
        <v>0.32685826750622</v>
      </c>
      <c r="AD158" t="n">
        <v>0.3458966653922528</v>
      </c>
      <c r="AE158" t="n">
        <v>0.3665784094115982</v>
      </c>
      <c r="AF158" t="n">
        <v>0.3883623708171184</v>
      </c>
      <c r="AG158" t="n">
        <v>0.3792235135540678</v>
      </c>
      <c r="AH158" t="n">
        <v>0.3695668366163411</v>
      </c>
      <c r="AI158" t="n">
        <v>0.3592389131313202</v>
      </c>
    </row>
    <row r="159">
      <c r="A159" t="inlineStr">
        <is>
          <t>Dominica_2023_May</t>
        </is>
      </c>
      <c r="B159" s="2" t="n"/>
      <c r="C159" s="3" t="inlineStr">
        <is>
          <t>SM.23.127, Sup. 1</t>
        </is>
      </c>
      <c r="D159" s="4" t="inlineStr">
        <is>
          <t>Dominica</t>
        </is>
      </c>
      <c r="E159" s="4" t="inlineStr">
        <is>
          <t>DMA</t>
        </is>
      </c>
      <c r="F159" s="10" t="n">
        <v>45047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Dominica_2023_May</t>
        </is>
      </c>
      <c r="B160" s="2" t="n"/>
      <c r="C160" s="3" t="inlineStr">
        <is>
          <t>SM.23.127, Sup. 1</t>
        </is>
      </c>
      <c r="D160" s="4" t="inlineStr">
        <is>
          <t>Dominica</t>
        </is>
      </c>
      <c r="E160" s="4" t="inlineStr">
        <is>
          <t>DMA</t>
        </is>
      </c>
      <c r="F160" s="10" t="n">
        <v>45047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Dominica_2023_May</t>
        </is>
      </c>
      <c r="B161" s="2" t="n"/>
      <c r="C161" s="3" t="inlineStr">
        <is>
          <t>SM.23.127, Sup. 1</t>
        </is>
      </c>
      <c r="D161" s="4" t="inlineStr">
        <is>
          <t>Dominica</t>
        </is>
      </c>
      <c r="E161" s="4" t="inlineStr">
        <is>
          <t>DMA</t>
        </is>
      </c>
      <c r="F161" s="10" t="n">
        <v>45047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Dominica_2023_May</t>
        </is>
      </c>
      <c r="B162" s="2" t="n"/>
      <c r="C162" s="3" t="inlineStr">
        <is>
          <t>SM.23.127, Sup. 1</t>
        </is>
      </c>
      <c r="D162" s="4" t="inlineStr">
        <is>
          <t>Dominica</t>
        </is>
      </c>
      <c r="E162" s="4" t="inlineStr">
        <is>
          <t>DMA</t>
        </is>
      </c>
      <c r="F162" s="10" t="n">
        <v>45047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Dominica_2023_May</t>
        </is>
      </c>
      <c r="B163" s="2" t="n"/>
      <c r="C163" s="3" t="inlineStr">
        <is>
          <t>SM.23.127, Sup. 1</t>
        </is>
      </c>
      <c r="D163" s="4" t="inlineStr">
        <is>
          <t>Dominica</t>
        </is>
      </c>
      <c r="E163" s="4" t="inlineStr">
        <is>
          <t>DMA</t>
        </is>
      </c>
      <c r="F163" s="10" t="n">
        <v>45047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0.1105731285810457</v>
      </c>
      <c r="T163" t="n">
        <v>0.2586789117210937</v>
      </c>
      <c r="U163" t="n">
        <v>0.3905018182279369</v>
      </c>
      <c r="V163" t="n">
        <v>0.525711024248068</v>
      </c>
      <c r="W163" t="n">
        <v>0.6697927482006842</v>
      </c>
      <c r="X163" t="n">
        <v>0.8125099700895472</v>
      </c>
      <c r="Y163" t="n">
        <v>0.9479268786710467</v>
      </c>
      <c r="Z163" t="n">
        <v>1.079405466154217</v>
      </c>
      <c r="AA163" t="n">
        <v>1.023345693180399</v>
      </c>
      <c r="AB163" t="n">
        <v>1.023455912657286</v>
      </c>
      <c r="AC163" t="n">
        <v>1.036662272039695</v>
      </c>
      <c r="AD163" t="n">
        <v>1.045333397716278</v>
      </c>
      <c r="AE163" t="n">
        <v>1.057336281478634</v>
      </c>
      <c r="AF163" t="n">
        <v>1.07559835687485</v>
      </c>
      <c r="AG163" t="n">
        <v>0.892538229722069</v>
      </c>
      <c r="AH163" t="n">
        <v>0.7252821131416723</v>
      </c>
      <c r="AI163" t="n">
        <v>0.57607332790683</v>
      </c>
      <c r="BI163" t="inlineStr">
        <is>
          <t>NEW_DS_I_COM</t>
        </is>
      </c>
    </row>
    <row r="164">
      <c r="A164" t="inlineStr">
        <is>
          <t>Dominica_2023_May</t>
        </is>
      </c>
      <c r="B164" s="2" t="n"/>
      <c r="C164" s="3" t="inlineStr">
        <is>
          <t>SM.23.127, Sup. 1</t>
        </is>
      </c>
      <c r="D164" s="4" t="inlineStr">
        <is>
          <t>Dominica</t>
        </is>
      </c>
      <c r="E164" s="4" t="inlineStr">
        <is>
          <t>DMA</t>
        </is>
      </c>
      <c r="F164" s="10" t="n">
        <v>45047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Dominica_2023_May</t>
        </is>
      </c>
      <c r="B165" s="2" t="n"/>
      <c r="C165" s="3" t="inlineStr">
        <is>
          <t>SM.23.127, Sup. 1</t>
        </is>
      </c>
      <c r="D165" s="4" t="inlineStr">
        <is>
          <t>Dominica</t>
        </is>
      </c>
      <c r="E165" s="4" t="inlineStr">
        <is>
          <t>DMA</t>
        </is>
      </c>
      <c r="F165" s="10" t="n">
        <v>45047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0.1105731285810457</v>
      </c>
      <c r="T165" t="n">
        <v>0.2586789117210937</v>
      </c>
      <c r="U165" t="n">
        <v>0.3905018182279369</v>
      </c>
      <c r="V165" t="n">
        <v>0.525711024248068</v>
      </c>
      <c r="W165" t="n">
        <v>0.6697927482006842</v>
      </c>
      <c r="X165" t="n">
        <v>0.8125099700895472</v>
      </c>
      <c r="Y165" t="n">
        <v>0.9479268786710467</v>
      </c>
      <c r="Z165" t="n">
        <v>1.079405466154217</v>
      </c>
      <c r="AA165" t="n">
        <v>1.023345693180399</v>
      </c>
      <c r="AB165" t="n">
        <v>1.023455912657286</v>
      </c>
      <c r="AC165" t="n">
        <v>1.036662272039695</v>
      </c>
      <c r="AD165" t="n">
        <v>1.045333397716278</v>
      </c>
      <c r="AE165" t="n">
        <v>1.057336281478634</v>
      </c>
      <c r="AF165" t="n">
        <v>1.07559835687485</v>
      </c>
      <c r="AG165" t="n">
        <v>0.892538229722069</v>
      </c>
      <c r="AH165" t="n">
        <v>0.7252821131416723</v>
      </c>
      <c r="AI165" t="n">
        <v>0.57607332790683</v>
      </c>
    </row>
    <row r="166">
      <c r="A166" t="inlineStr">
        <is>
          <t>Dominica_2023_May</t>
        </is>
      </c>
      <c r="B166" s="2" t="n"/>
      <c r="C166" s="3" t="inlineStr">
        <is>
          <t>SM.23.127, Sup. 1</t>
        </is>
      </c>
      <c r="D166" s="4" t="inlineStr">
        <is>
          <t>Dominica</t>
        </is>
      </c>
      <c r="E166" s="4" t="inlineStr">
        <is>
          <t>DMA</t>
        </is>
      </c>
      <c r="F166" s="10" t="n">
        <v>45047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Dominica_2023_May</t>
        </is>
      </c>
      <c r="B167" s="2" t="n"/>
      <c r="C167" s="3" t="inlineStr">
        <is>
          <t>SM.23.127, Sup. 1</t>
        </is>
      </c>
      <c r="D167" s="4" t="inlineStr">
        <is>
          <t>Dominica</t>
        </is>
      </c>
      <c r="E167" s="4" t="inlineStr">
        <is>
          <t>DMA</t>
        </is>
      </c>
      <c r="F167" s="10" t="n">
        <v>45047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Dominica_2023_May</t>
        </is>
      </c>
      <c r="B168" s="2" t="n"/>
      <c r="C168" s="3" t="inlineStr">
        <is>
          <t>SM.23.127, Sup. 1</t>
        </is>
      </c>
      <c r="D168" s="4" t="inlineStr">
        <is>
          <t>Dominica</t>
        </is>
      </c>
      <c r="E168" s="4" t="inlineStr">
        <is>
          <t>DMA</t>
        </is>
      </c>
      <c r="F168" s="10" t="n">
        <v>45047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Dominica_2023_May</t>
        </is>
      </c>
      <c r="B169" s="2" t="n"/>
      <c r="C169" s="3" t="inlineStr">
        <is>
          <t>SM.23.127, Sup. 1</t>
        </is>
      </c>
      <c r="D169" s="4" t="inlineStr">
        <is>
          <t>Dominica</t>
        </is>
      </c>
      <c r="E169" s="4" t="inlineStr">
        <is>
          <t>DMA</t>
        </is>
      </c>
      <c r="F169" s="10" t="n">
        <v>45047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Dominica_2023_May</t>
        </is>
      </c>
      <c r="B170" s="2" t="n"/>
      <c r="C170" s="3" t="inlineStr">
        <is>
          <t>SM.23.127, Sup. 1</t>
        </is>
      </c>
      <c r="D170" s="4" t="inlineStr">
        <is>
          <t>Dominica</t>
        </is>
      </c>
      <c r="E170" s="4" t="inlineStr">
        <is>
          <t>DMA</t>
        </is>
      </c>
      <c r="F170" s="10" t="n">
        <v>45047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Dominica_2023_May</t>
        </is>
      </c>
      <c r="B171" s="2" t="n"/>
      <c r="C171" s="3" t="inlineStr">
        <is>
          <t>SM.23.127, Sup. 1</t>
        </is>
      </c>
      <c r="D171" s="4" t="inlineStr">
        <is>
          <t>Dominica</t>
        </is>
      </c>
      <c r="E171" s="4" t="inlineStr">
        <is>
          <t>DMA</t>
        </is>
      </c>
      <c r="F171" s="10" t="n">
        <v>45047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Dominica_2023_May</t>
        </is>
      </c>
      <c r="B172" s="2" t="n"/>
      <c r="C172" s="3" t="inlineStr">
        <is>
          <t>SM.23.127, Sup. 1</t>
        </is>
      </c>
      <c r="D172" s="4" t="inlineStr">
        <is>
          <t>Dominica</t>
        </is>
      </c>
      <c r="E172" s="4" t="inlineStr">
        <is>
          <t>DMA</t>
        </is>
      </c>
      <c r="F172" s="10" t="n">
        <v>45047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Dominica_2023_May</t>
        </is>
      </c>
      <c r="B173" s="2" t="n"/>
      <c r="C173" s="3" t="inlineStr">
        <is>
          <t>SM.23.127, Sup. 1</t>
        </is>
      </c>
      <c r="D173" s="4" t="inlineStr">
        <is>
          <t>Dominica</t>
        </is>
      </c>
      <c r="E173" s="4" t="inlineStr">
        <is>
          <t>DMA</t>
        </is>
      </c>
      <c r="F173" s="10" t="n">
        <v>45047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Dominica_2023_May</t>
        </is>
      </c>
      <c r="B174" s="2" t="n"/>
      <c r="C174" s="3" t="inlineStr">
        <is>
          <t>SM.23.127, Sup. 1</t>
        </is>
      </c>
      <c r="D174" s="4" t="inlineStr">
        <is>
          <t>Dominica</t>
        </is>
      </c>
      <c r="E174" s="4" t="inlineStr">
        <is>
          <t>DMA</t>
        </is>
      </c>
      <c r="F174" s="10" t="n">
        <v>45047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Dominica_2023_May</t>
        </is>
      </c>
      <c r="B175" s="2" t="n"/>
      <c r="C175" s="3" t="inlineStr">
        <is>
          <t>SM.23.127, Sup. 1</t>
        </is>
      </c>
      <c r="D175" s="4" t="inlineStr">
        <is>
          <t>Dominica</t>
        </is>
      </c>
      <c r="E175" s="4" t="inlineStr">
        <is>
          <t>DMA</t>
        </is>
      </c>
      <c r="F175" s="10" t="n">
        <v>45047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Dominica_2023_May</t>
        </is>
      </c>
      <c r="B176" s="2" t="n"/>
      <c r="C176" s="3" t="inlineStr">
        <is>
          <t>SM.23.127, Sup. 1</t>
        </is>
      </c>
      <c r="D176" s="4" t="inlineStr">
        <is>
          <t>Dominica</t>
        </is>
      </c>
      <c r="E176" s="4" t="inlineStr">
        <is>
          <t>DMA</t>
        </is>
      </c>
      <c r="F176" s="10" t="n">
        <v>45047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Dominica_2023_May</t>
        </is>
      </c>
      <c r="B177" s="2" t="n"/>
      <c r="C177" s="3" t="inlineStr">
        <is>
          <t>SM.23.127, Sup. 1</t>
        </is>
      </c>
      <c r="D177" s="4" t="inlineStr">
        <is>
          <t>Dominica</t>
        </is>
      </c>
      <c r="E177" s="4" t="inlineStr">
        <is>
          <t>DMA</t>
        </is>
      </c>
      <c r="F177" s="10" t="n">
        <v>45047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Dominica_2023_May</t>
        </is>
      </c>
      <c r="B178" s="2" t="n"/>
      <c r="C178" s="3" t="inlineStr">
        <is>
          <t>SM.23.127, Sup. 1</t>
        </is>
      </c>
      <c r="D178" s="4" t="inlineStr">
        <is>
          <t>Dominica</t>
        </is>
      </c>
      <c r="E178" s="4" t="inlineStr">
        <is>
          <t>DMA</t>
        </is>
      </c>
      <c r="F178" s="10" t="n">
        <v>45047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 held by residents</t>
        </is>
      </c>
    </row>
    <row r="179">
      <c r="A179" t="inlineStr">
        <is>
          <t>Dominica_2023_May</t>
        </is>
      </c>
      <c r="B179" s="2" t="n"/>
      <c r="C179" s="3" t="inlineStr">
        <is>
          <t>SM.23.127, Sup. 1</t>
        </is>
      </c>
      <c r="D179" s="4" t="inlineStr">
        <is>
          <t>Dominica</t>
        </is>
      </c>
      <c r="E179" s="4" t="inlineStr">
        <is>
          <t>DMA</t>
        </is>
      </c>
      <c r="F179" s="10" t="n">
        <v>45047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Dominica_2023_May</t>
        </is>
      </c>
      <c r="B180" s="2" t="n"/>
      <c r="C180" s="3" t="inlineStr">
        <is>
          <t>SM.23.127, Sup. 1</t>
        </is>
      </c>
      <c r="D180" s="4" t="inlineStr">
        <is>
          <t>Dominica</t>
        </is>
      </c>
      <c r="E180" s="4" t="inlineStr">
        <is>
          <t>DMA</t>
        </is>
      </c>
      <c r="F180" s="10" t="n">
        <v>45047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Dominica_2023_May</t>
        </is>
      </c>
      <c r="B181" s="2" t="n"/>
      <c r="C181" s="3" t="inlineStr">
        <is>
          <t>SM.23.127, Sup. 1</t>
        </is>
      </c>
      <c r="D181" s="4" t="inlineStr">
        <is>
          <t>Dominica</t>
        </is>
      </c>
      <c r="E181" s="4" t="inlineStr">
        <is>
          <t>DMA</t>
        </is>
      </c>
      <c r="F181" s="10" t="n">
        <v>45047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Dominica_2023_May</t>
        </is>
      </c>
      <c r="B182" s="2" t="n"/>
      <c r="C182" s="3" t="inlineStr">
        <is>
          <t>SM.23.127, Sup. 1</t>
        </is>
      </c>
      <c r="D182" s="4" t="inlineStr">
        <is>
          <t>Dominica</t>
        </is>
      </c>
      <c r="E182" s="4" t="inlineStr">
        <is>
          <t>DMA</t>
        </is>
      </c>
      <c r="F182" s="10" t="n">
        <v>45047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Dominica_2023_May</t>
        </is>
      </c>
      <c r="B183" s="2" t="n"/>
      <c r="C183" s="3" t="inlineStr">
        <is>
          <t>SM.23.127, Sup. 1</t>
        </is>
      </c>
      <c r="D183" s="4" t="inlineStr">
        <is>
          <t>Dominica</t>
        </is>
      </c>
      <c r="E183" s="4" t="inlineStr">
        <is>
          <t>DMA</t>
        </is>
      </c>
      <c r="F183" s="10" t="n">
        <v>45047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Dominica_2023_May</t>
        </is>
      </c>
      <c r="B184" s="2" t="n"/>
      <c r="C184" s="3" t="inlineStr">
        <is>
          <t>SM.23.127, Sup. 1</t>
        </is>
      </c>
      <c r="D184" s="4" t="inlineStr">
        <is>
          <t>Dominica</t>
        </is>
      </c>
      <c r="E184" s="4" t="inlineStr">
        <is>
          <t>DMA</t>
        </is>
      </c>
      <c r="F184" s="10" t="n">
        <v>45047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0.3466242275267891</v>
      </c>
      <c r="T184" t="n">
        <v>0.8424169727879955</v>
      </c>
      <c r="U184" t="n">
        <v>1.484541280939842</v>
      </c>
      <c r="V184" t="n">
        <v>2.210722240779974</v>
      </c>
      <c r="W184" t="n">
        <v>3.011896096893357</v>
      </c>
      <c r="X184" t="n">
        <v>3.851149858587338</v>
      </c>
      <c r="Y184" t="n">
        <v>4.857345999399186</v>
      </c>
      <c r="Z184" t="n">
        <v>6.772750113069298</v>
      </c>
      <c r="AA184" t="n">
        <v>8.771007902926035</v>
      </c>
      <c r="AB184" t="n">
        <v>11.34326836021115</v>
      </c>
      <c r="AC184" t="n">
        <v>13.94761234297672</v>
      </c>
      <c r="AD184" t="n">
        <v>32.33679662002396</v>
      </c>
      <c r="AE184" t="n">
        <v>34.50168517723122</v>
      </c>
      <c r="AF184" t="n">
        <v>36.71472574723698</v>
      </c>
      <c r="AG184" t="n">
        <v>38.36241406257285</v>
      </c>
      <c r="AH184" t="n">
        <v>39.2117036278823</v>
      </c>
      <c r="AI184" t="n">
        <v>23.63074050874298</v>
      </c>
      <c r="BI184" t="inlineStr">
        <is>
          <t>NEW_DP_TOT</t>
        </is>
      </c>
    </row>
    <row r="185">
      <c r="A185" t="inlineStr">
        <is>
          <t>Dominica_2023_May</t>
        </is>
      </c>
      <c r="B185" s="2" t="n"/>
      <c r="C185" s="3" t="inlineStr">
        <is>
          <t>SM.23.127, Sup. 1</t>
        </is>
      </c>
      <c r="D185" s="4" t="inlineStr">
        <is>
          <t>Dominica</t>
        </is>
      </c>
      <c r="E185" s="4" t="inlineStr">
        <is>
          <t>DMA</t>
        </is>
      </c>
      <c r="F185" s="10" t="n">
        <v>45047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0.8172839506172833</v>
      </c>
      <c r="AA185" t="n">
        <v>2.25327519259259</v>
      </c>
      <c r="AB185" t="n">
        <v>4.079546890521947</v>
      </c>
      <c r="AC185" t="n">
        <v>5.86881490078159</v>
      </c>
      <c r="AD185" t="n">
        <v>23.76591875155524</v>
      </c>
      <c r="AE185" t="n">
        <v>25.56396344350642</v>
      </c>
      <c r="AF185" t="n">
        <v>27.44665753927504</v>
      </c>
      <c r="AG185" t="n">
        <v>29.41698019873986</v>
      </c>
      <c r="AH185" t="n">
        <v>30.65102622159752</v>
      </c>
      <c r="AI185" t="n">
        <v>15.49588592738294</v>
      </c>
      <c r="BI185" t="inlineStr">
        <is>
          <t>NEW_DP_ML</t>
        </is>
      </c>
    </row>
    <row r="186">
      <c r="A186" t="inlineStr">
        <is>
          <t>Dominica_2023_May</t>
        </is>
      </c>
      <c r="B186" s="2" t="n"/>
      <c r="C186" s="3" t="inlineStr">
        <is>
          <t>SM.23.127, Sup. 1</t>
        </is>
      </c>
      <c r="D186" s="4" t="inlineStr">
        <is>
          <t>Dominica</t>
        </is>
      </c>
      <c r="E186" s="4" t="inlineStr">
        <is>
          <t>DMA</t>
        </is>
      </c>
      <c r="F186" s="10" t="n">
        <v>45047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16.2</v>
      </c>
      <c r="AE186" t="n">
        <v>16.2</v>
      </c>
      <c r="AF186" t="n">
        <v>16.2</v>
      </c>
      <c r="AG186" t="n">
        <v>16.2</v>
      </c>
      <c r="AH186" t="n">
        <v>16.2</v>
      </c>
      <c r="AI186" t="n">
        <v>0</v>
      </c>
    </row>
    <row r="187">
      <c r="A187" t="inlineStr">
        <is>
          <t>Dominica_2023_May</t>
        </is>
      </c>
      <c r="B187" s="2" t="n"/>
      <c r="C187" s="3" t="inlineStr">
        <is>
          <t>SM.23.127, Sup. 1</t>
        </is>
      </c>
      <c r="D187" s="4" t="inlineStr">
        <is>
          <t>Dominica</t>
        </is>
      </c>
      <c r="E187" s="4" t="inlineStr">
        <is>
          <t>DMA</t>
        </is>
      </c>
      <c r="F187" s="10" t="n">
        <v>45047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0.5506172839506167</v>
      </c>
      <c r="AA187" t="n">
        <v>1.211299883950617</v>
      </c>
      <c r="AB187" t="n">
        <v>2.210395186419753</v>
      </c>
      <c r="AC187" t="n">
        <v>3.126220491049383</v>
      </c>
      <c r="AD187" t="n">
        <v>3.90777561381173</v>
      </c>
      <c r="AE187" t="n">
        <v>4.747065196277006</v>
      </c>
      <c r="AF187" t="n">
        <v>5.62586734653545</v>
      </c>
      <c r="AG187" t="n">
        <v>6.54557267398735</v>
      </c>
      <c r="AH187" t="n">
        <v>7.12159949684858</v>
      </c>
      <c r="AI187" t="n">
        <v>7.48141180342813</v>
      </c>
    </row>
    <row r="188">
      <c r="A188" t="inlineStr">
        <is>
          <t>Dominica_2023_May</t>
        </is>
      </c>
      <c r="B188" s="2" t="n"/>
      <c r="C188" s="3" t="inlineStr">
        <is>
          <t>SM.23.127, Sup. 1</t>
        </is>
      </c>
      <c r="D188" s="4" t="inlineStr">
        <is>
          <t>Dominica</t>
        </is>
      </c>
      <c r="E188" s="4" t="inlineStr">
        <is>
          <t>DMA</t>
        </is>
      </c>
      <c r="F188" s="10" t="n">
        <v>45047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Dominica_2023_May</t>
        </is>
      </c>
      <c r="B189" s="2" t="n"/>
      <c r="C189" s="3" t="inlineStr">
        <is>
          <t>SM.23.127, Sup. 1</t>
        </is>
      </c>
      <c r="D189" s="4" t="inlineStr">
        <is>
          <t>Dominica</t>
        </is>
      </c>
      <c r="E189" s="4" t="inlineStr">
        <is>
          <t>DMA</t>
        </is>
      </c>
      <c r="F189" s="10" t="n">
        <v>45047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CDB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0.2666666666666667</v>
      </c>
      <c r="AA189" t="n">
        <v>1.041975308641973</v>
      </c>
      <c r="AB189" t="n">
        <v>1.869151704102193</v>
      </c>
      <c r="AC189" t="n">
        <v>2.742594409732207</v>
      </c>
      <c r="AD189" t="n">
        <v>3.658143137743514</v>
      </c>
      <c r="AE189" t="n">
        <v>4.61689824722942</v>
      </c>
      <c r="AF189" t="n">
        <v>5.620790192739587</v>
      </c>
      <c r="AG189" t="n">
        <v>6.671407524752514</v>
      </c>
      <c r="AH189" t="n">
        <v>7.32942672474894</v>
      </c>
      <c r="AI189" t="n">
        <v>8.014474123954813</v>
      </c>
    </row>
    <row r="190">
      <c r="A190" t="inlineStr">
        <is>
          <t>Dominica_2023_May</t>
        </is>
      </c>
      <c r="B190" s="2" t="n"/>
      <c r="C190" s="3" t="inlineStr">
        <is>
          <t>SM.23.127, Sup. 1</t>
        </is>
      </c>
      <c r="D190" s="4" t="inlineStr">
        <is>
          <t>Dominica</t>
        </is>
      </c>
      <c r="E190" s="4" t="inlineStr">
        <is>
          <t>DMA</t>
        </is>
      </c>
      <c r="F190" s="10" t="n">
        <v>45047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MULTIRES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Dominica_2023_May</t>
        </is>
      </c>
      <c r="B191" s="2" t="n"/>
      <c r="C191" s="3" t="inlineStr">
        <is>
          <t>SM.23.127, Sup. 1</t>
        </is>
      </c>
      <c r="D191" s="4" t="inlineStr">
        <is>
          <t>Dominica</t>
        </is>
      </c>
      <c r="E191" s="4" t="inlineStr">
        <is>
          <t>DMA</t>
        </is>
      </c>
      <c r="F191" s="10" t="n">
        <v>45047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Dominica_2023_May</t>
        </is>
      </c>
      <c r="B192" s="2" t="n"/>
      <c r="C192" s="3" t="inlineStr">
        <is>
          <t>SM.23.127, Sup. 1</t>
        </is>
      </c>
      <c r="D192" s="4" t="inlineStr">
        <is>
          <t>Dominica</t>
        </is>
      </c>
      <c r="E192" s="4" t="inlineStr">
        <is>
          <t>DMA</t>
        </is>
      </c>
      <c r="F192" s="10" t="n">
        <v>45047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0.1523029955571908</v>
      </c>
      <c r="V192" t="n">
        <v>0.333518073590966</v>
      </c>
      <c r="W192" t="n">
        <v>0.5123701591679931</v>
      </c>
      <c r="X192" t="n">
        <v>0.6770048798497535</v>
      </c>
      <c r="Y192" t="n">
        <v>0.8468593848581684</v>
      </c>
      <c r="Z192" t="n">
        <v>1.016228951037327</v>
      </c>
      <c r="AA192" t="n">
        <v>1.18901183134088</v>
      </c>
      <c r="AB192" t="n">
        <v>1.360108272098391</v>
      </c>
      <c r="AC192" t="n">
        <v>1.529653583892</v>
      </c>
      <c r="AD192" t="n">
        <v>1.700181013907977</v>
      </c>
      <c r="AE192" t="n">
        <v>1.870843028925463</v>
      </c>
      <c r="AF192" t="n">
        <v>2.041764303974776</v>
      </c>
      <c r="AG192" t="n">
        <v>2.212313874184566</v>
      </c>
      <c r="AH192" t="n">
        <v>2.382754532443307</v>
      </c>
      <c r="AI192" t="n">
        <v>2.553374568100738</v>
      </c>
    </row>
    <row r="193">
      <c r="A193" t="inlineStr">
        <is>
          <t>Dominica_2023_May</t>
        </is>
      </c>
      <c r="B193" s="2" t="n"/>
      <c r="C193" s="3" t="inlineStr">
        <is>
          <t>SM.23.127, Sup. 1</t>
        </is>
      </c>
      <c r="D193" s="4" t="inlineStr">
        <is>
          <t>Dominica</t>
        </is>
      </c>
      <c r="E193" s="4" t="inlineStr">
        <is>
          <t>DMA</t>
        </is>
      </c>
      <c r="F193" s="10" t="n">
        <v>45047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0.1523029955571908</v>
      </c>
      <c r="V193" t="n">
        <v>0.333518073590966</v>
      </c>
      <c r="W193" t="n">
        <v>0.5123701591679931</v>
      </c>
      <c r="X193" t="n">
        <v>0.6770048798497535</v>
      </c>
      <c r="Y193" t="n">
        <v>0.8468593848581684</v>
      </c>
      <c r="Z193" t="n">
        <v>1.016228951037327</v>
      </c>
      <c r="AA193" t="n">
        <v>1.18901183134088</v>
      </c>
      <c r="AB193" t="n">
        <v>1.360108272098391</v>
      </c>
      <c r="AC193" t="n">
        <v>1.529653583892</v>
      </c>
      <c r="AD193" t="n">
        <v>1.700181013907977</v>
      </c>
      <c r="AE193" t="n">
        <v>1.870843028925463</v>
      </c>
      <c r="AF193" t="n">
        <v>2.041764303974776</v>
      </c>
      <c r="AG193" t="n">
        <v>2.212313874184566</v>
      </c>
      <c r="AH193" t="n">
        <v>2.382754532443307</v>
      </c>
      <c r="AI193" t="n">
        <v>2.553374568100738</v>
      </c>
    </row>
    <row r="194">
      <c r="A194" t="inlineStr">
        <is>
          <t>Dominica_2023_May</t>
        </is>
      </c>
      <c r="B194" s="2" t="n"/>
      <c r="C194" s="3" t="inlineStr">
        <is>
          <t>SM.23.127, Sup. 1</t>
        </is>
      </c>
      <c r="D194" s="4" t="inlineStr">
        <is>
          <t>Dominica</t>
        </is>
      </c>
      <c r="E194" s="4" t="inlineStr">
        <is>
          <t>DMA</t>
        </is>
      </c>
      <c r="F194" s="10" t="n">
        <v>45047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Dominica_2023_May</t>
        </is>
      </c>
      <c r="B195" s="2" t="n"/>
      <c r="C195" s="3" t="inlineStr">
        <is>
          <t>SM.23.127, Sup. 1</t>
        </is>
      </c>
      <c r="D195" s="4" t="inlineStr">
        <is>
          <t>Dominica</t>
        </is>
      </c>
      <c r="E195" s="4" t="inlineStr">
        <is>
          <t>DMA</t>
        </is>
      </c>
      <c r="F195" s="10" t="n">
        <v>45047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Dominica_2023_May</t>
        </is>
      </c>
      <c r="B196" s="2" t="n"/>
      <c r="C196" s="3" t="inlineStr">
        <is>
          <t>SM.23.127, Sup. 1</t>
        </is>
      </c>
      <c r="D196" s="4" t="inlineStr">
        <is>
          <t>Dominica</t>
        </is>
      </c>
      <c r="E196" s="4" t="inlineStr">
        <is>
          <t>DMA</t>
        </is>
      </c>
      <c r="F196" s="10" t="n">
        <v>45047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0.1232785857567582</v>
      </c>
      <c r="Z196" t="n">
        <v>0.286488053107187</v>
      </c>
      <c r="AA196" t="n">
        <v>0.4287304899104573</v>
      </c>
      <c r="AB196" t="n">
        <v>0.5578236211724431</v>
      </c>
      <c r="AC196" t="n">
        <v>0.6759741655883924</v>
      </c>
      <c r="AD196" t="n">
        <v>0.7830446597009736</v>
      </c>
      <c r="AE196" t="n">
        <v>0.8839697335290165</v>
      </c>
      <c r="AF196" t="n">
        <v>0.9138857263050605</v>
      </c>
      <c r="AG196" t="n">
        <v>0.9656676937726714</v>
      </c>
      <c r="AH196" t="n">
        <v>1.032792348502087</v>
      </c>
      <c r="AI196" t="n">
        <v>1.110968528932137</v>
      </c>
      <c r="BI196" t="inlineStr">
        <is>
          <t>NEW_DP_OB</t>
        </is>
      </c>
    </row>
    <row r="197">
      <c r="A197" t="inlineStr">
        <is>
          <t>Dominica_2023_May</t>
        </is>
      </c>
      <c r="B197" s="2" t="n"/>
      <c r="C197" s="3" t="inlineStr">
        <is>
          <t>SM.23.127, Sup. 1</t>
        </is>
      </c>
      <c r="D197" s="4" t="inlineStr">
        <is>
          <t>Dominica</t>
        </is>
      </c>
      <c r="E197" s="4" t="inlineStr">
        <is>
          <t>DMA</t>
        </is>
      </c>
      <c r="F197" s="10" t="n">
        <v>45047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Dominica_2023_May</t>
        </is>
      </c>
      <c r="B198" s="2" t="n"/>
      <c r="C198" s="3" t="inlineStr">
        <is>
          <t>SM.23.127, Sup. 1</t>
        </is>
      </c>
      <c r="D198" s="4" t="inlineStr">
        <is>
          <t>Dominica</t>
        </is>
      </c>
      <c r="E198" s="4" t="inlineStr">
        <is>
          <t>DMA</t>
        </is>
      </c>
      <c r="F198" s="10" t="n">
        <v>45047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Dominica_2023_May</t>
        </is>
      </c>
      <c r="B199" s="2" t="n"/>
      <c r="C199" s="3" t="inlineStr">
        <is>
          <t>SM.23.127, Sup. 1</t>
        </is>
      </c>
      <c r="D199" s="4" t="inlineStr">
        <is>
          <t>Dominica</t>
        </is>
      </c>
      <c r="E199" s="4" t="inlineStr">
        <is>
          <t>DMA</t>
        </is>
      </c>
      <c r="F199" s="10" t="n">
        <v>45047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Dominica_2023_May</t>
        </is>
      </c>
      <c r="B200" s="2" t="n"/>
      <c r="C200" s="3" t="inlineStr">
        <is>
          <t>SM.23.127, Sup. 1</t>
        </is>
      </c>
      <c r="D200" s="4" t="inlineStr">
        <is>
          <t>Dominica</t>
        </is>
      </c>
      <c r="E200" s="4" t="inlineStr">
        <is>
          <t>DMA</t>
        </is>
      </c>
      <c r="F200" s="10" t="n">
        <v>45047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Dominica_2023_May</t>
        </is>
      </c>
      <c r="B201" s="2" t="n"/>
      <c r="C201" s="3" t="inlineStr">
        <is>
          <t>SM.23.127, Sup. 1</t>
        </is>
      </c>
      <c r="D201" s="4" t="inlineStr">
        <is>
          <t>Dominica</t>
        </is>
      </c>
      <c r="E201" s="4" t="inlineStr">
        <is>
          <t>DMA</t>
        </is>
      </c>
      <c r="F201" s="10" t="n">
        <v>45047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Dominica_2023_May</t>
        </is>
      </c>
      <c r="B202" s="2" t="n"/>
      <c r="C202" s="3" t="inlineStr">
        <is>
          <t>SM.23.127, Sup. 1</t>
        </is>
      </c>
      <c r="D202" s="4" t="inlineStr">
        <is>
          <t>Dominica</t>
        </is>
      </c>
      <c r="E202" s="4" t="inlineStr">
        <is>
          <t>DMA</t>
        </is>
      </c>
      <c r="F202" s="10" t="n">
        <v>45047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Dominica_2023_May</t>
        </is>
      </c>
      <c r="B203" s="2" t="n"/>
      <c r="C203" s="3" t="inlineStr">
        <is>
          <t>SM.23.127, Sup. 1</t>
        </is>
      </c>
      <c r="D203" s="4" t="inlineStr">
        <is>
          <t>Dominica</t>
        </is>
      </c>
      <c r="E203" s="4" t="inlineStr">
        <is>
          <t>DMA</t>
        </is>
      </c>
      <c r="F203" s="10" t="n">
        <v>45047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0.1232785857567582</v>
      </c>
      <c r="Z203" t="n">
        <v>0.286488053107187</v>
      </c>
      <c r="AA203" t="n">
        <v>0.4287304899104573</v>
      </c>
      <c r="AB203" t="n">
        <v>0.5578236211724431</v>
      </c>
      <c r="AC203" t="n">
        <v>0.6759741655883924</v>
      </c>
      <c r="AD203" t="n">
        <v>0.7830446597009736</v>
      </c>
      <c r="AE203" t="n">
        <v>0.8839697335290165</v>
      </c>
      <c r="AF203" t="n">
        <v>0.9138857263050605</v>
      </c>
      <c r="AG203" t="n">
        <v>0.9656676937726714</v>
      </c>
      <c r="AH203" t="n">
        <v>1.032792348502087</v>
      </c>
      <c r="AI203" t="n">
        <v>1.110968528932137</v>
      </c>
    </row>
    <row r="204">
      <c r="A204" t="inlineStr">
        <is>
          <t>Dominica_2023_May</t>
        </is>
      </c>
      <c r="B204" s="2" t="n"/>
      <c r="C204" s="3" t="inlineStr">
        <is>
          <t>SM.23.127, Sup. 1</t>
        </is>
      </c>
      <c r="D204" s="4" t="inlineStr">
        <is>
          <t>Dominica</t>
        </is>
      </c>
      <c r="E204" s="4" t="inlineStr">
        <is>
          <t>DMA</t>
        </is>
      </c>
      <c r="F204" s="10" t="n">
        <v>45047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NPC2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0.1232785857567582</v>
      </c>
      <c r="Z204" t="n">
        <v>0.286488053107187</v>
      </c>
      <c r="AA204" t="n">
        <v>0.4287304899104573</v>
      </c>
      <c r="AB204" t="n">
        <v>0.5578236211724431</v>
      </c>
      <c r="AC204" t="n">
        <v>0.6759741655883924</v>
      </c>
      <c r="AD204" t="n">
        <v>0.7830446597009736</v>
      </c>
      <c r="AE204" t="n">
        <v>0.8839697335290165</v>
      </c>
      <c r="AF204" t="n">
        <v>0.9138857263050605</v>
      </c>
      <c r="AG204" t="n">
        <v>0.9656676937726714</v>
      </c>
      <c r="AH204" t="n">
        <v>1.032792348502087</v>
      </c>
      <c r="AI204" t="n">
        <v>1.110968528932137</v>
      </c>
    </row>
    <row r="205">
      <c r="A205" t="inlineStr">
        <is>
          <t>Dominica_2023_May</t>
        </is>
      </c>
      <c r="B205" s="2" t="n"/>
      <c r="C205" s="3" t="inlineStr">
        <is>
          <t>SM.23.127, Sup. 1</t>
        </is>
      </c>
      <c r="D205" s="4" t="inlineStr">
        <is>
          <t>Dominica</t>
        </is>
      </c>
      <c r="E205" s="4" t="inlineStr">
        <is>
          <t>DMA</t>
        </is>
      </c>
      <c r="F205" s="10" t="n">
        <v>45047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Dominica_2023_May</t>
        </is>
      </c>
      <c r="B206" s="2" t="n"/>
      <c r="C206" s="3" t="inlineStr">
        <is>
          <t>SM.23.127, Sup. 1</t>
        </is>
      </c>
      <c r="D206" s="4" t="inlineStr">
        <is>
          <t>Dominica</t>
        </is>
      </c>
      <c r="E206" s="4" t="inlineStr">
        <is>
          <t>DMA</t>
        </is>
      </c>
      <c r="F206" s="10" t="n">
        <v>45047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Dominica_2023_May</t>
        </is>
      </c>
      <c r="B207" s="2" t="n"/>
      <c r="C207" s="3" t="inlineStr">
        <is>
          <t>SM.23.127, Sup. 1</t>
        </is>
      </c>
      <c r="D207" s="4" t="inlineStr">
        <is>
          <t>Dominica</t>
        </is>
      </c>
      <c r="E207" s="4" t="inlineStr">
        <is>
          <t>DMA</t>
        </is>
      </c>
      <c r="F207" s="10" t="n">
        <v>45047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Dominica_2023_May</t>
        </is>
      </c>
      <c r="B208" s="2" t="n"/>
      <c r="C208" s="3" t="inlineStr">
        <is>
          <t>SM.23.127, Sup. 1</t>
        </is>
      </c>
      <c r="D208" s="4" t="inlineStr">
        <is>
          <t>Dominica</t>
        </is>
      </c>
      <c r="E208" s="4" t="inlineStr">
        <is>
          <t>DMA</t>
        </is>
      </c>
      <c r="F208" s="10" t="n">
        <v>45047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Dominica_2023_May</t>
        </is>
      </c>
      <c r="B209" s="2" t="n"/>
      <c r="C209" s="3" t="inlineStr">
        <is>
          <t>SM.23.127, Sup. 1</t>
        </is>
      </c>
      <c r="D209" s="4" t="inlineStr">
        <is>
          <t>Dominica</t>
        </is>
      </c>
      <c r="E209" s="4" t="inlineStr">
        <is>
          <t>DMA</t>
        </is>
      </c>
      <c r="F209" s="10" t="n">
        <v>45047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0.3466242275267891</v>
      </c>
      <c r="T209" t="n">
        <v>0.8424169727879955</v>
      </c>
      <c r="U209" t="n">
        <v>1.332238285382651</v>
      </c>
      <c r="V209" t="n">
        <v>1.877204167189008</v>
      </c>
      <c r="W209" t="n">
        <v>2.499525937725363</v>
      </c>
      <c r="X209" t="n">
        <v>3.174144978737584</v>
      </c>
      <c r="Y209" t="n">
        <v>3.88720802878426</v>
      </c>
      <c r="Z209" t="n">
        <v>4.6527491583075</v>
      </c>
      <c r="AA209" t="n">
        <v>4.899990389082108</v>
      </c>
      <c r="AB209" t="n">
        <v>5.34578957641837</v>
      </c>
      <c r="AC209" t="n">
        <v>5.873169692714739</v>
      </c>
      <c r="AD209" t="n">
        <v>6.087652194859771</v>
      </c>
      <c r="AE209" t="n">
        <v>6.182908971270316</v>
      </c>
      <c r="AF209" t="n">
        <v>6.312418177682104</v>
      </c>
      <c r="AG209" t="n">
        <v>5.767452295875746</v>
      </c>
      <c r="AH209" t="n">
        <v>5.145130525339391</v>
      </c>
      <c r="AI209" t="n">
        <v>4.47051148432717</v>
      </c>
      <c r="BI209" t="inlineStr">
        <is>
          <t>NEW_DP_COM</t>
        </is>
      </c>
    </row>
    <row r="210">
      <c r="A210" t="inlineStr">
        <is>
          <t>Dominica_2023_May</t>
        </is>
      </c>
      <c r="B210" s="2" t="n"/>
      <c r="C210" s="3" t="inlineStr">
        <is>
          <t>SM.23.127, Sup. 1</t>
        </is>
      </c>
      <c r="D210" s="4" t="inlineStr">
        <is>
          <t>Dominica</t>
        </is>
      </c>
      <c r="E210" s="4" t="inlineStr">
        <is>
          <t>DMA</t>
        </is>
      </c>
      <c r="F210" s="10" t="n">
        <v>45047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Dominica_2023_May</t>
        </is>
      </c>
      <c r="B211" s="2" t="n"/>
      <c r="C211" s="3" t="inlineStr">
        <is>
          <t>SM.23.127, Sup. 1</t>
        </is>
      </c>
      <c r="D211" s="4" t="inlineStr">
        <is>
          <t>Dominica</t>
        </is>
      </c>
      <c r="E211" s="4" t="inlineStr">
        <is>
          <t>DMA</t>
        </is>
      </c>
      <c r="F211" s="10" t="n">
        <v>45047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0.3466242275267891</v>
      </c>
      <c r="T211" t="n">
        <v>0.8424169727879955</v>
      </c>
      <c r="U211" t="n">
        <v>1.332238285382651</v>
      </c>
      <c r="V211" t="n">
        <v>1.877204167189008</v>
      </c>
      <c r="W211" t="n">
        <v>2.499525937725363</v>
      </c>
      <c r="X211" t="n">
        <v>3.174144978737584</v>
      </c>
      <c r="Y211" t="n">
        <v>3.88720802878426</v>
      </c>
      <c r="Z211" t="n">
        <v>4.6527491583075</v>
      </c>
      <c r="AA211" t="n">
        <v>4.899990389082108</v>
      </c>
      <c r="AB211" t="n">
        <v>5.34578957641837</v>
      </c>
      <c r="AC211" t="n">
        <v>5.873169692714739</v>
      </c>
      <c r="AD211" t="n">
        <v>6.087652194859771</v>
      </c>
      <c r="AE211" t="n">
        <v>6.182908971270316</v>
      </c>
      <c r="AF211" t="n">
        <v>6.312418177682104</v>
      </c>
      <c r="AG211" t="n">
        <v>5.767452295875746</v>
      </c>
      <c r="AH211" t="n">
        <v>5.145130525339391</v>
      </c>
      <c r="AI211" t="n">
        <v>4.47051148432717</v>
      </c>
    </row>
    <row r="212">
      <c r="A212" t="inlineStr">
        <is>
          <t>Dominica_2023_May</t>
        </is>
      </c>
      <c r="B212" s="2" t="n"/>
      <c r="C212" s="3" t="inlineStr">
        <is>
          <t>SM.23.127, Sup. 1</t>
        </is>
      </c>
      <c r="D212" s="4" t="inlineStr">
        <is>
          <t>Dominica</t>
        </is>
      </c>
      <c r="E212" s="4" t="inlineStr">
        <is>
          <t>DMA</t>
        </is>
      </c>
      <c r="F212" s="10" t="n">
        <v>45047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Dominica_2023_May</t>
        </is>
      </c>
      <c r="B213" s="2" t="n"/>
      <c r="C213" s="3" t="inlineStr">
        <is>
          <t>SM.23.127, Sup. 1</t>
        </is>
      </c>
      <c r="D213" s="4" t="inlineStr">
        <is>
          <t>Dominica</t>
        </is>
      </c>
      <c r="E213" s="4" t="inlineStr">
        <is>
          <t>DMA</t>
        </is>
      </c>
      <c r="F213" s="10" t="n">
        <v>45047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Dominica_2023_May</t>
        </is>
      </c>
      <c r="B214" s="2" t="n"/>
      <c r="C214" s="3" t="inlineStr">
        <is>
          <t>SM.23.127, Sup. 1</t>
        </is>
      </c>
      <c r="D214" s="4" t="inlineStr">
        <is>
          <t>Dominica</t>
        </is>
      </c>
      <c r="E214" s="4" t="inlineStr">
        <is>
          <t>DMA</t>
        </is>
      </c>
      <c r="F214" s="10" t="n">
        <v>45047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Dominica_2023_May</t>
        </is>
      </c>
      <c r="B215" s="2" t="n"/>
      <c r="C215" s="3" t="inlineStr">
        <is>
          <t>SM.23.127, Sup. 1</t>
        </is>
      </c>
      <c r="D215" s="4" t="inlineStr">
        <is>
          <t>Dominica</t>
        </is>
      </c>
      <c r="E215" s="4" t="inlineStr">
        <is>
          <t>DMA</t>
        </is>
      </c>
      <c r="F215" s="10" t="n">
        <v>45047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Dominica_2023_May</t>
        </is>
      </c>
      <c r="B216" s="2" t="n"/>
      <c r="C216" s="3" t="inlineStr">
        <is>
          <t>SM.23.127, Sup. 1</t>
        </is>
      </c>
      <c r="D216" s="4" t="inlineStr">
        <is>
          <t>Dominica</t>
        </is>
      </c>
      <c r="E216" s="4" t="inlineStr">
        <is>
          <t>DMA</t>
        </is>
      </c>
      <c r="F216" s="10" t="n">
        <v>45047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Dominica_2023_May</t>
        </is>
      </c>
      <c r="B217" s="2" t="n"/>
      <c r="C217" s="3" t="inlineStr">
        <is>
          <t>SM.23.127, Sup. 1</t>
        </is>
      </c>
      <c r="D217" s="4" t="inlineStr">
        <is>
          <t>Dominica</t>
        </is>
      </c>
      <c r="E217" s="4" t="inlineStr">
        <is>
          <t>DMA</t>
        </is>
      </c>
      <c r="F217" s="10" t="n">
        <v>45047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Dominica_2023_May</t>
        </is>
      </c>
      <c r="B218" s="2" t="n"/>
      <c r="C218" s="3" t="inlineStr">
        <is>
          <t>SM.23.127, Sup. 1</t>
        </is>
      </c>
      <c r="D218" s="4" t="inlineStr">
        <is>
          <t>Dominica</t>
        </is>
      </c>
      <c r="E218" s="4" t="inlineStr">
        <is>
          <t>DMA</t>
        </is>
      </c>
      <c r="F218" s="10" t="n">
        <v>45047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Dominica_2023_May</t>
        </is>
      </c>
      <c r="B219" s="2" t="n"/>
      <c r="C219" s="3" t="inlineStr">
        <is>
          <t>SM.23.127, Sup. 1</t>
        </is>
      </c>
      <c r="D219" s="4" t="inlineStr">
        <is>
          <t>Dominica</t>
        </is>
      </c>
      <c r="E219" s="4" t="inlineStr">
        <is>
          <t>DMA</t>
        </is>
      </c>
      <c r="F219" s="10" t="n">
        <v>45047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Dominica_2023_May</t>
        </is>
      </c>
      <c r="B220" s="2" t="n"/>
      <c r="C220" s="3" t="inlineStr">
        <is>
          <t>SM.23.127, Sup. 1</t>
        </is>
      </c>
      <c r="D220" s="4" t="inlineStr">
        <is>
          <t>Dominica</t>
        </is>
      </c>
      <c r="E220" s="4" t="inlineStr">
        <is>
          <t>DMA</t>
        </is>
      </c>
      <c r="F220" s="10" t="n">
        <v>45047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Dominica_2023_May</t>
        </is>
      </c>
      <c r="B221" s="2" t="n"/>
      <c r="C221" s="3" t="inlineStr">
        <is>
          <t>SM.23.127, Sup. 1</t>
        </is>
      </c>
      <c r="D221" s="4" t="inlineStr">
        <is>
          <t>Dominica</t>
        </is>
      </c>
      <c r="E221" s="4" t="inlineStr">
        <is>
          <t>DMA</t>
        </is>
      </c>
      <c r="F221" s="10" t="n">
        <v>45047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Dominica_2023_May</t>
        </is>
      </c>
      <c r="B222" s="2" t="n"/>
      <c r="C222" s="3" t="inlineStr">
        <is>
          <t>SM.23.127, Sup. 1</t>
        </is>
      </c>
      <c r="D222" s="4" t="inlineStr">
        <is>
          <t>Dominica</t>
        </is>
      </c>
      <c r="E222" s="4" t="inlineStr">
        <is>
          <t>DMA</t>
        </is>
      </c>
      <c r="F222" s="10" t="n">
        <v>45047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Dominica_2023_May</t>
        </is>
      </c>
      <c r="B223" s="2" t="n"/>
      <c r="C223" s="3" t="inlineStr">
        <is>
          <t>SM.23.127, Sup. 1</t>
        </is>
      </c>
      <c r="D223" s="4" t="inlineStr">
        <is>
          <t>Dominica</t>
        </is>
      </c>
      <c r="E223" s="4" t="inlineStr">
        <is>
          <t>DMA</t>
        </is>
      </c>
      <c r="F223" s="10" t="n">
        <v>45047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Dominica_2023_May</t>
        </is>
      </c>
      <c r="B224" s="2" t="n"/>
      <c r="C224" s="3" t="inlineStr">
        <is>
          <t>SM.23.127, Sup. 1</t>
        </is>
      </c>
      <c r="D224" s="4" t="inlineStr">
        <is>
          <t>Dominica</t>
        </is>
      </c>
      <c r="E224" s="4" t="inlineStr">
        <is>
          <t>DMA</t>
        </is>
      </c>
      <c r="F224" s="10" t="n">
        <v>45047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</t>
        </is>
      </c>
    </row>
    <row r="225">
      <c r="A225" t="inlineStr">
        <is>
          <t>Dominica_2023_May</t>
        </is>
      </c>
      <c r="B225" s="2" t="n"/>
      <c r="C225" s="3" t="inlineStr">
        <is>
          <t>SM.23.127, Sup. 1</t>
        </is>
      </c>
      <c r="D225" s="4" t="inlineStr">
        <is>
          <t>Dominica</t>
        </is>
      </c>
      <c r="E225" s="4" t="inlineStr">
        <is>
          <t>DMA</t>
        </is>
      </c>
      <c r="F225" s="10" t="n">
        <v>45047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Dominica_2023_May</t>
        </is>
      </c>
      <c r="B226" s="2" t="n"/>
      <c r="C226" s="3" t="inlineStr">
        <is>
          <t>SM.23.127, Sup. 1</t>
        </is>
      </c>
      <c r="D226" s="4" t="inlineStr">
        <is>
          <t>Dominica</t>
        </is>
      </c>
      <c r="E226" s="4" t="inlineStr">
        <is>
          <t>DMA</t>
        </is>
      </c>
      <c r="F226" s="10" t="n">
        <v>45047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Dominica_2023_May</t>
        </is>
      </c>
      <c r="B227" s="2" t="n"/>
      <c r="C227" s="3" t="inlineStr">
        <is>
          <t>SM.23.127, Sup. 1</t>
        </is>
      </c>
      <c r="D227" s="4" t="inlineStr">
        <is>
          <t>Dominica</t>
        </is>
      </c>
      <c r="E227" s="4" t="inlineStr">
        <is>
          <t>DMA</t>
        </is>
      </c>
      <c r="F227" s="10" t="n">
        <v>45047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Dominica_2023_May</t>
        </is>
      </c>
      <c r="B228" s="2" t="n"/>
      <c r="C228" s="3" t="inlineStr">
        <is>
          <t>SM.23.127, Sup. 1</t>
        </is>
      </c>
      <c r="D228" s="4" t="inlineStr">
        <is>
          <t>Dominica</t>
        </is>
      </c>
      <c r="E228" s="4" t="inlineStr">
        <is>
          <t>DMA</t>
        </is>
      </c>
      <c r="F228" s="10" t="n">
        <v>45047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Dominica_2023_May</t>
        </is>
      </c>
      <c r="B229" s="2" t="n"/>
      <c r="C229" s="3" t="inlineStr">
        <is>
          <t>SM.23.127, Sup. 1</t>
        </is>
      </c>
      <c r="D229" s="4" t="inlineStr">
        <is>
          <t>Dominica</t>
        </is>
      </c>
      <c r="E229" s="4" t="inlineStr">
        <is>
          <t>DMA</t>
        </is>
      </c>
      <c r="F229" s="10" t="n">
        <v>45047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Dominica_2023_May</t>
        </is>
      </c>
      <c r="B230" s="2" t="n"/>
      <c r="C230" s="3" t="inlineStr">
        <is>
          <t>SM.23.127, Sup. 1</t>
        </is>
      </c>
      <c r="D230" s="4" t="inlineStr">
        <is>
          <t>Dominica</t>
        </is>
      </c>
      <c r="E230" s="4" t="inlineStr">
        <is>
          <t>DMA</t>
        </is>
      </c>
      <c r="F230" s="10" t="n">
        <v>45047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232.9941673882417</v>
      </c>
      <c r="O230" t="n">
        <v>229.7236862066183</v>
      </c>
      <c r="P230" t="n">
        <v>207.5920109825151</v>
      </c>
      <c r="Q230" t="n">
        <v>185.5313024647972</v>
      </c>
      <c r="R230" t="n">
        <v>166.6530819798778</v>
      </c>
      <c r="S230" t="n">
        <v>149.6354189601139</v>
      </c>
      <c r="T230" t="n">
        <v>135.1392417399897</v>
      </c>
      <c r="U230" t="n">
        <v>121.2884942057897</v>
      </c>
      <c r="V230" t="n">
        <v>108.3927469843038</v>
      </c>
      <c r="W230" t="n">
        <v>96.0943281243395</v>
      </c>
      <c r="X230" t="n">
        <v>84.27826118116772</v>
      </c>
      <c r="Y230" t="n">
        <v>72.71473885973093</v>
      </c>
      <c r="Z230" t="n">
        <v>61.21816594384777</v>
      </c>
      <c r="AA230" t="n">
        <v>51.56820168695889</v>
      </c>
      <c r="AB230" t="n">
        <v>43.43968728234649</v>
      </c>
      <c r="AC230" t="n">
        <v>35.43851769806723</v>
      </c>
      <c r="AD230" t="n">
        <v>28.02370750739203</v>
      </c>
      <c r="AE230" t="n">
        <v>21.1862916433474</v>
      </c>
      <c r="AF230" t="n">
        <v>16.74919776550317</v>
      </c>
      <c r="AG230" t="n">
        <v>12.43628653636291</v>
      </c>
      <c r="AH230" t="n">
        <v>6.22627192393096</v>
      </c>
      <c r="AI230" t="n">
        <v>0</v>
      </c>
      <c r="BI230" t="inlineStr">
        <is>
          <t>PV_OLD_MLT</t>
        </is>
      </c>
    </row>
    <row r="231">
      <c r="A231" t="inlineStr">
        <is>
          <t>Dominica_2023_May</t>
        </is>
      </c>
      <c r="B231" s="2" t="n"/>
      <c r="C231" s="3" t="inlineStr">
        <is>
          <t>SM.23.127, Sup. 1</t>
        </is>
      </c>
      <c r="D231" s="4" t="inlineStr">
        <is>
          <t>Dominica</t>
        </is>
      </c>
      <c r="E231" s="4" t="inlineStr">
        <is>
          <t>DMA</t>
        </is>
      </c>
      <c r="F231" s="10" t="n">
        <v>45047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Dominica_2023_May</t>
        </is>
      </c>
      <c r="B232" s="2" t="n"/>
      <c r="C232" s="3" t="inlineStr">
        <is>
          <t>SM.23.127, Sup. 1</t>
        </is>
      </c>
      <c r="D232" s="4" t="inlineStr">
        <is>
          <t>Dominica</t>
        </is>
      </c>
      <c r="E232" s="4" t="inlineStr">
        <is>
          <t>DMA</t>
        </is>
      </c>
      <c r="F232" s="10" t="n">
        <v>45047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139.8422082292873</v>
      </c>
      <c r="O232" t="n">
        <v>141.2915551592701</v>
      </c>
      <c r="P232" t="n">
        <v>132.7943155839004</v>
      </c>
      <c r="Q232" t="n">
        <v>122.7784763845653</v>
      </c>
      <c r="R232" t="n">
        <v>113.224252322417</v>
      </c>
      <c r="S232" t="n">
        <v>104.1419557293293</v>
      </c>
      <c r="T232" t="n">
        <v>95.81119150037513</v>
      </c>
      <c r="U232" t="n">
        <v>87.80875907385013</v>
      </c>
      <c r="V232" t="n">
        <v>80.29003798465121</v>
      </c>
      <c r="W232" t="n">
        <v>72.97653090687848</v>
      </c>
      <c r="X232" t="n">
        <v>65.95803449623243</v>
      </c>
      <c r="Y232" t="n">
        <v>59.07358044639137</v>
      </c>
      <c r="Z232" t="n">
        <v>52.29908680026338</v>
      </c>
      <c r="AA232" t="n">
        <v>45.61151767392506</v>
      </c>
      <c r="AB232" t="n">
        <v>38.98876759937438</v>
      </c>
      <c r="AC232" t="n">
        <v>32.40955286746889</v>
      </c>
      <c r="AD232" t="n">
        <v>26.34919256902323</v>
      </c>
      <c r="AE232" t="n">
        <v>20.81253954287478</v>
      </c>
      <c r="AF232" t="n">
        <v>15.63492557872852</v>
      </c>
      <c r="AG232" t="n">
        <v>10.45165005748693</v>
      </c>
      <c r="AH232" t="n">
        <v>5.245594875847953</v>
      </c>
      <c r="AI232" t="n">
        <v>0</v>
      </c>
      <c r="BI232" t="inlineStr">
        <is>
          <t>PV_OLD_ML</t>
        </is>
      </c>
    </row>
    <row r="233">
      <c r="A233" t="inlineStr">
        <is>
          <t>Dominica_2023_May</t>
        </is>
      </c>
      <c r="B233" s="2" t="n"/>
      <c r="C233" s="3" t="inlineStr">
        <is>
          <t>SM.23.127, Sup. 1</t>
        </is>
      </c>
      <c r="D233" s="4" t="inlineStr">
        <is>
          <t>Dominica</t>
        </is>
      </c>
      <c r="E233" s="4" t="inlineStr">
        <is>
          <t>DMA</t>
        </is>
      </c>
      <c r="F233" s="10" t="n">
        <v>45047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11.11371485871277</v>
      </c>
      <c r="O233" t="n">
        <v>10.85372837942619</v>
      </c>
      <c r="P233" t="n">
        <v>9.765070353953057</v>
      </c>
      <c r="Q233" t="n">
        <v>8.772226800225107</v>
      </c>
      <c r="R233" t="n">
        <v>7.866150608148357</v>
      </c>
      <c r="S233" t="n">
        <v>7.038616781268836</v>
      </c>
      <c r="T233" t="n">
        <v>6.282146163416947</v>
      </c>
      <c r="U233" t="n">
        <v>5.589936162332954</v>
      </c>
      <c r="V233" t="n">
        <v>4.955797824458219</v>
      </c>
      <c r="W233" t="n">
        <v>4.374098674487159</v>
      </c>
      <c r="X233" t="n">
        <v>3.839710787209877</v>
      </c>
      <c r="Y233" t="n">
        <v>3.347963608139454</v>
      </c>
      <c r="Z233" t="n">
        <v>2.894601083868413</v>
      </c>
      <c r="AA233" t="n">
        <v>2.475742703451508</v>
      </c>
      <c r="AB233" t="n">
        <v>2.087848088743873</v>
      </c>
      <c r="AC233" t="n">
        <v>1.727684804877244</v>
      </c>
      <c r="AD233" t="n">
        <v>1.392299092243244</v>
      </c>
      <c r="AE233" t="n">
        <v>1.078989248754015</v>
      </c>
      <c r="AF233" t="n">
        <v>0.7852814160229129</v>
      </c>
      <c r="AG233" t="n">
        <v>0.5089075456842805</v>
      </c>
      <c r="AH233" t="n">
        <v>0.2477853425626676</v>
      </c>
      <c r="AI233" t="n">
        <v>0</v>
      </c>
    </row>
    <row r="234">
      <c r="A234" t="inlineStr">
        <is>
          <t>Dominica_2023_May</t>
        </is>
      </c>
      <c r="B234" s="2" t="n"/>
      <c r="C234" s="3" t="inlineStr">
        <is>
          <t>SM.23.127, Sup. 1</t>
        </is>
      </c>
      <c r="D234" s="4" t="inlineStr">
        <is>
          <t>Dominica</t>
        </is>
      </c>
      <c r="E234" s="4" t="inlineStr">
        <is>
          <t>DMA</t>
        </is>
      </c>
      <c r="F234" s="10" t="n">
        <v>45047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small economy</t>
        </is>
      </c>
      <c r="N234" t="n">
        <v>37.37598704396596</v>
      </c>
      <c r="O234" t="n">
        <v>38.11705784060871</v>
      </c>
      <c r="P234" t="n">
        <v>37.4936549918984</v>
      </c>
      <c r="Q234" t="n">
        <v>36.09906492248644</v>
      </c>
      <c r="R234" t="n">
        <v>34.6576344668104</v>
      </c>
      <c r="S234" t="n">
        <v>33.16686135227889</v>
      </c>
      <c r="T234" t="n">
        <v>31.62411931465018</v>
      </c>
      <c r="U234" t="n">
        <v>30.02665189059432</v>
      </c>
      <c r="V234" t="n">
        <v>28.37156589993842</v>
      </c>
      <c r="W234" t="n">
        <v>26.65582460207888</v>
      </c>
      <c r="X234" t="n">
        <v>24.87624051026836</v>
      </c>
      <c r="Y234" t="n">
        <v>23.02946784667099</v>
      </c>
      <c r="Z234" t="n">
        <v>21.11199462022379</v>
      </c>
      <c r="AA234" t="n">
        <v>19.1201343084443</v>
      </c>
      <c r="AB234" t="n">
        <v>17.05001712338128</v>
      </c>
      <c r="AC234" t="n">
        <v>14.89758084091531</v>
      </c>
      <c r="AD234" t="n">
        <v>12.65856117157647</v>
      </c>
      <c r="AE234" t="n">
        <v>10.32848164995442</v>
      </c>
      <c r="AF234" t="n">
        <v>7.902643018630344</v>
      </c>
      <c r="AG234" t="n">
        <v>5.376112081356351</v>
      </c>
      <c r="AH234" t="n">
        <v>2.743709998944428</v>
      </c>
      <c r="AI234" t="n">
        <v>0</v>
      </c>
    </row>
    <row r="235">
      <c r="A235" t="inlineStr">
        <is>
          <t>Dominica_2023_May</t>
        </is>
      </c>
      <c r="B235" s="2" t="n"/>
      <c r="C235" s="3" t="inlineStr">
        <is>
          <t>SM.23.127, Sup. 1</t>
        </is>
      </c>
      <c r="D235" s="4" t="inlineStr">
        <is>
          <t>Dominica</t>
        </is>
      </c>
      <c r="E235" s="4" t="inlineStr">
        <is>
          <t>DMA</t>
        </is>
      </c>
      <c r="F235" s="10" t="n">
        <v>45047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Dominica_2023_May</t>
        </is>
      </c>
      <c r="B236" s="2" t="n"/>
      <c r="C236" s="3" t="inlineStr">
        <is>
          <t>SM.23.127, Sup. 1</t>
        </is>
      </c>
      <c r="D236" s="4" t="inlineStr">
        <is>
          <t>Dominica</t>
        </is>
      </c>
      <c r="E236" s="4" t="inlineStr">
        <is>
          <t>DMA</t>
        </is>
      </c>
      <c r="F236" s="10" t="n">
        <v>45047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CDB</t>
        </is>
      </c>
      <c r="N236" t="n">
        <v>91.35250632660851</v>
      </c>
      <c r="O236" t="n">
        <v>92.32076893923522</v>
      </c>
      <c r="P236" t="n">
        <v>85.53559023804891</v>
      </c>
      <c r="Q236" t="n">
        <v>77.90718466185375</v>
      </c>
      <c r="R236" t="n">
        <v>70.70046724745823</v>
      </c>
      <c r="S236" t="n">
        <v>63.93647759578157</v>
      </c>
      <c r="T236" t="n">
        <v>57.904926022308</v>
      </c>
      <c r="U236" t="n">
        <v>52.19217102092286</v>
      </c>
      <c r="V236" t="n">
        <v>46.96267426025457</v>
      </c>
      <c r="W236" t="n">
        <v>41.94660763031244</v>
      </c>
      <c r="X236" t="n">
        <v>37.24208319875419</v>
      </c>
      <c r="Y236" t="n">
        <v>32.69614899158092</v>
      </c>
      <c r="Z236" t="n">
        <v>28.29249109617118</v>
      </c>
      <c r="AA236" t="n">
        <v>24.01564066202926</v>
      </c>
      <c r="AB236" t="n">
        <v>19.85090238724923</v>
      </c>
      <c r="AC236" t="n">
        <v>15.78428722167634</v>
      </c>
      <c r="AD236" t="n">
        <v>12.29833230520352</v>
      </c>
      <c r="AE236" t="n">
        <v>9.405068644166343</v>
      </c>
      <c r="AF236" t="n">
        <v>6.947001144075259</v>
      </c>
      <c r="AG236" t="n">
        <v>4.566630430446302</v>
      </c>
      <c r="AH236" t="n">
        <v>2.254099534340857</v>
      </c>
      <c r="AI236" t="n">
        <v>0</v>
      </c>
    </row>
    <row r="237">
      <c r="A237" t="inlineStr">
        <is>
          <t>Dominica_2023_May</t>
        </is>
      </c>
      <c r="B237" s="2" t="n"/>
      <c r="C237" s="3" t="inlineStr">
        <is>
          <t>SM.23.127, Sup. 1</t>
        </is>
      </c>
      <c r="D237" s="4" t="inlineStr">
        <is>
          <t>Dominica</t>
        </is>
      </c>
      <c r="E237" s="4" t="inlineStr">
        <is>
          <t>DMA</t>
        </is>
      </c>
      <c r="F237" s="10" t="n">
        <v>45047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MULTIRES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Dominica_2023_May</t>
        </is>
      </c>
      <c r="B238" s="2" t="n"/>
      <c r="C238" s="3" t="inlineStr">
        <is>
          <t>SM.23.127, Sup. 1</t>
        </is>
      </c>
      <c r="D238" s="4" t="inlineStr">
        <is>
          <t>Dominica</t>
        </is>
      </c>
      <c r="E238" s="4" t="inlineStr">
        <is>
          <t>DMA</t>
        </is>
      </c>
      <c r="F238" s="10" t="n">
        <v>45047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Dominica_2023_May</t>
        </is>
      </c>
      <c r="B239" s="2" t="n"/>
      <c r="C239" s="3" t="inlineStr">
        <is>
          <t>SM.23.127, Sup. 1</t>
        </is>
      </c>
      <c r="D239" s="4" t="inlineStr">
        <is>
          <t>Dominica</t>
        </is>
      </c>
      <c r="E239" s="4" t="inlineStr">
        <is>
          <t>DMA</t>
        </is>
      </c>
      <c r="F239" s="10" t="n">
        <v>45047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13.08986584327168</v>
      </c>
      <c r="O239" t="n">
        <v>11.3025075798797</v>
      </c>
      <c r="P239" t="n">
        <v>7.536584514429238</v>
      </c>
      <c r="Q239" t="n">
        <v>4.311290902178961</v>
      </c>
      <c r="R239" t="n">
        <v>2.124812025884698</v>
      </c>
      <c r="S239" t="n">
        <v>0.5729746191635134</v>
      </c>
      <c r="T239" t="n">
        <v>0.2610355665490391</v>
      </c>
      <c r="U239" t="n">
        <v>0.1387173338067171</v>
      </c>
      <c r="V239" t="n">
        <v>0.09848518131788529</v>
      </c>
      <c r="W239" t="n">
        <v>0.07421173245195897</v>
      </c>
      <c r="X239" t="n">
        <v>0.05823059023640721</v>
      </c>
      <c r="Y239" t="n">
        <v>0.04678319813071317</v>
      </c>
      <c r="Z239" t="n">
        <v>0.03799054450169813</v>
      </c>
      <c r="AA239" t="n">
        <v>0.03088404119352326</v>
      </c>
      <c r="AB239" t="n">
        <v>0.02494071184002172</v>
      </c>
      <c r="AC239" t="n">
        <v>0.01985929087299056</v>
      </c>
      <c r="AD239" t="n">
        <v>0.01545174472976168</v>
      </c>
      <c r="AE239" t="n">
        <v>0.01159025516793736</v>
      </c>
      <c r="AF239" t="n">
        <v>0.008180944585299674</v>
      </c>
      <c r="AG239" t="n">
        <v>0.005150556288934239</v>
      </c>
      <c r="AH239" t="n">
        <v>0.002439456231840781</v>
      </c>
      <c r="AI239" t="n">
        <v>0</v>
      </c>
    </row>
    <row r="240">
      <c r="A240" t="inlineStr">
        <is>
          <t>Dominica_2023_May</t>
        </is>
      </c>
      <c r="B240" s="2" t="n"/>
      <c r="C240" s="3" t="inlineStr">
        <is>
          <t>SM.23.127, Sup. 1</t>
        </is>
      </c>
      <c r="D240" s="4" t="inlineStr">
        <is>
          <t>Dominica</t>
        </is>
      </c>
      <c r="E240" s="4" t="inlineStr">
        <is>
          <t>DMA</t>
        </is>
      </c>
      <c r="F240" s="10" t="n">
        <v>45047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13.08986584327168</v>
      </c>
      <c r="O240" t="n">
        <v>11.3025075798797</v>
      </c>
      <c r="P240" t="n">
        <v>7.536584514429238</v>
      </c>
      <c r="Q240" t="n">
        <v>4.311290902178961</v>
      </c>
      <c r="R240" t="n">
        <v>2.124812025884698</v>
      </c>
      <c r="S240" t="n">
        <v>0.5729746191635134</v>
      </c>
      <c r="T240" t="n">
        <v>0.2610355665490391</v>
      </c>
      <c r="U240" t="n">
        <v>0.1387173338067171</v>
      </c>
      <c r="V240" t="n">
        <v>0.09848518131788529</v>
      </c>
      <c r="W240" t="n">
        <v>0.07421173245195897</v>
      </c>
      <c r="X240" t="n">
        <v>0.05823059023640721</v>
      </c>
      <c r="Y240" t="n">
        <v>0.04678319813071317</v>
      </c>
      <c r="Z240" t="n">
        <v>0.03799054450169813</v>
      </c>
      <c r="AA240" t="n">
        <v>0.03088404119352326</v>
      </c>
      <c r="AB240" t="n">
        <v>0.02494071184002172</v>
      </c>
      <c r="AC240" t="n">
        <v>0.01985929087299056</v>
      </c>
      <c r="AD240" t="n">
        <v>0.01545174472976168</v>
      </c>
      <c r="AE240" t="n">
        <v>0.01159025516793736</v>
      </c>
      <c r="AF240" t="n">
        <v>0.008180944585299674</v>
      </c>
      <c r="AG240" t="n">
        <v>0.005150556288934239</v>
      </c>
      <c r="AH240" t="n">
        <v>0.002439456231840781</v>
      </c>
      <c r="AI240" t="n">
        <v>0</v>
      </c>
    </row>
    <row r="241">
      <c r="A241" t="inlineStr">
        <is>
          <t>Dominica_2023_May</t>
        </is>
      </c>
      <c r="B241" s="2" t="n"/>
      <c r="C241" s="3" t="inlineStr">
        <is>
          <t>SM.23.127, Sup. 1</t>
        </is>
      </c>
      <c r="D241" s="4" t="inlineStr">
        <is>
          <t>Dominica</t>
        </is>
      </c>
      <c r="E241" s="4" t="inlineStr">
        <is>
          <t>DMA</t>
        </is>
      </c>
      <c r="F241" s="10" t="n">
        <v>45047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Dominica_2023_May</t>
        </is>
      </c>
      <c r="B242" s="2" t="n"/>
      <c r="C242" s="3" t="inlineStr">
        <is>
          <t>SM.23.127, Sup. 1</t>
        </is>
      </c>
      <c r="D242" s="4" t="inlineStr">
        <is>
          <t>Dominica</t>
        </is>
      </c>
      <c r="E242" s="4" t="inlineStr">
        <is>
          <t>DMA</t>
        </is>
      </c>
      <c r="F242" s="10" t="n">
        <v>45047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Dominica_2023_May</t>
        </is>
      </c>
      <c r="B243" s="2" t="n"/>
      <c r="C243" s="3" t="inlineStr">
        <is>
          <t>SM.23.127, Sup. 1</t>
        </is>
      </c>
      <c r="D243" s="4" t="inlineStr">
        <is>
          <t>Dominica</t>
        </is>
      </c>
      <c r="E243" s="4" t="inlineStr">
        <is>
          <t>DMA</t>
        </is>
      </c>
      <c r="F243" s="10" t="n">
        <v>45047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38.70523231034899</v>
      </c>
      <c r="O243" t="n">
        <v>37.35143497748379</v>
      </c>
      <c r="P243" t="n">
        <v>30.54473231575045</v>
      </c>
      <c r="Q243" t="n">
        <v>25.49988570387018</v>
      </c>
      <c r="R243" t="n">
        <v>21.33247568399172</v>
      </c>
      <c r="S243" t="n">
        <v>17.84798990360395</v>
      </c>
      <c r="T243" t="n">
        <v>14.89573214555515</v>
      </c>
      <c r="U243" t="n">
        <v>12.35472850222666</v>
      </c>
      <c r="V243" t="n">
        <v>10.23362521041794</v>
      </c>
      <c r="W243" t="n">
        <v>8.389332673102805</v>
      </c>
      <c r="X243" t="n">
        <v>6.76591329826292</v>
      </c>
      <c r="Y243" t="n">
        <v>5.321012714937129</v>
      </c>
      <c r="Z243" t="n">
        <v>4.023026886791683</v>
      </c>
      <c r="AA243" t="n">
        <v>2.84976611693226</v>
      </c>
      <c r="AB243" t="n">
        <v>1.766313805649218</v>
      </c>
      <c r="AC243" t="n">
        <v>0.7542832489308781</v>
      </c>
      <c r="AD243" t="n">
        <v>-0.2011835247142071</v>
      </c>
      <c r="AE243" t="n">
        <v>-1.112559248247124</v>
      </c>
      <c r="AF243" t="n">
        <v>0.009025869010696422</v>
      </c>
      <c r="AG243" t="n">
        <v>1.253352801039777</v>
      </c>
      <c r="AH243" t="n">
        <v>0.6174296544800002</v>
      </c>
      <c r="AI243" t="n">
        <v>0</v>
      </c>
      <c r="BI243" t="inlineStr">
        <is>
          <t>PV_OLD_OB</t>
        </is>
      </c>
    </row>
    <row r="244">
      <c r="A244" t="inlineStr">
        <is>
          <t>Dominica_2023_May</t>
        </is>
      </c>
      <c r="B244" s="2" t="n"/>
      <c r="C244" s="3" t="inlineStr">
        <is>
          <t>SM.23.127, Sup. 1</t>
        </is>
      </c>
      <c r="D244" s="4" t="inlineStr">
        <is>
          <t>Dominica</t>
        </is>
      </c>
      <c r="E244" s="4" t="inlineStr">
        <is>
          <t>DMA</t>
        </is>
      </c>
      <c r="F244" s="10" t="n">
        <v>45047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12.71637498509033</v>
      </c>
      <c r="O244" t="n">
        <v>12.25721051212263</v>
      </c>
      <c r="P244" t="n">
        <v>9.28203918587691</v>
      </c>
      <c r="Q244" t="n">
        <v>7.027486130478155</v>
      </c>
      <c r="R244" t="n">
        <v>5.318933025434587</v>
      </c>
      <c r="S244" t="n">
        <v>4.024070777454756</v>
      </c>
      <c r="T244" t="n">
        <v>3.042647974106473</v>
      </c>
      <c r="U244" t="n">
        <v>2.298703302783729</v>
      </c>
      <c r="V244" t="n">
        <v>1.734680045669183</v>
      </c>
      <c r="W244" t="n">
        <v>1.306966625327669</v>
      </c>
      <c r="X244" t="n">
        <v>0.9825176700871999</v>
      </c>
      <c r="Y244" t="n">
        <v>0.7362937901641933</v>
      </c>
      <c r="Z244" t="n">
        <v>0.5493216915746137</v>
      </c>
      <c r="AA244" t="n">
        <v>0.4072243204526584</v>
      </c>
      <c r="AB244" t="n">
        <v>0.2991071497324834</v>
      </c>
      <c r="AC244" t="n">
        <v>0.2167143151111792</v>
      </c>
      <c r="AD244" t="n">
        <v>0.1537892159395333</v>
      </c>
      <c r="AE244" t="n">
        <v>0.1055900392496074</v>
      </c>
      <c r="AF244" t="n">
        <v>0.0685226690520518</v>
      </c>
      <c r="AG244" t="n">
        <v>0.03986253841996139</v>
      </c>
      <c r="AH244" t="n">
        <v>0.01754387345649867</v>
      </c>
      <c r="AI244" t="n">
        <v>0</v>
      </c>
    </row>
    <row r="245">
      <c r="A245" t="inlineStr">
        <is>
          <t>Dominica_2023_May</t>
        </is>
      </c>
      <c r="B245" s="2" t="n"/>
      <c r="C245" s="3" t="inlineStr">
        <is>
          <t>SM.23.127, Sup. 1</t>
        </is>
      </c>
      <c r="D245" s="4" t="inlineStr">
        <is>
          <t>Dominica</t>
        </is>
      </c>
      <c r="E245" s="4" t="inlineStr">
        <is>
          <t>DMA</t>
        </is>
      </c>
      <c r="F245" s="10" t="n">
        <v>45047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Export Credit Agencies</t>
        </is>
      </c>
      <c r="N245" t="n">
        <v>12.71637498509033</v>
      </c>
      <c r="O245" t="n">
        <v>12.25721051212263</v>
      </c>
      <c r="P245" t="n">
        <v>9.28203918587691</v>
      </c>
      <c r="Q245" t="n">
        <v>7.027486130478155</v>
      </c>
      <c r="R245" t="n">
        <v>5.318933025434587</v>
      </c>
      <c r="S245" t="n">
        <v>4.024070777454756</v>
      </c>
      <c r="T245" t="n">
        <v>3.042647974106473</v>
      </c>
      <c r="U245" t="n">
        <v>2.298703302783729</v>
      </c>
      <c r="V245" t="n">
        <v>1.734680045669183</v>
      </c>
      <c r="W245" t="n">
        <v>1.306966625327669</v>
      </c>
      <c r="X245" t="n">
        <v>0.9825176700871999</v>
      </c>
      <c r="Y245" t="n">
        <v>0.7362937901641933</v>
      </c>
      <c r="Z245" t="n">
        <v>0.5493216915746137</v>
      </c>
      <c r="AA245" t="n">
        <v>0.4072243204526584</v>
      </c>
      <c r="AB245" t="n">
        <v>0.2991071497324834</v>
      </c>
      <c r="AC245" t="n">
        <v>0.2167143151111792</v>
      </c>
      <c r="AD245" t="n">
        <v>0.1537892159395333</v>
      </c>
      <c r="AE245" t="n">
        <v>0.1055900392496074</v>
      </c>
      <c r="AF245" t="n">
        <v>0.0685226690520518</v>
      </c>
      <c r="AG245" t="n">
        <v>0.03986253841996139</v>
      </c>
      <c r="AH245" t="n">
        <v>0.01754387345649867</v>
      </c>
      <c r="AI245" t="n">
        <v>0</v>
      </c>
    </row>
    <row r="246">
      <c r="A246" t="inlineStr">
        <is>
          <t>Dominica_2023_May</t>
        </is>
      </c>
      <c r="B246" s="2" t="n"/>
      <c r="C246" s="3" t="inlineStr">
        <is>
          <t>SM.23.127, Sup. 1</t>
        </is>
      </c>
      <c r="D246" s="4" t="inlineStr">
        <is>
          <t>Dominica</t>
        </is>
      </c>
      <c r="E246" s="4" t="inlineStr">
        <is>
          <t>DMA</t>
        </is>
      </c>
      <c r="F246" s="10" t="n">
        <v>45047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Dominica_2023_May</t>
        </is>
      </c>
      <c r="B247" s="2" t="n"/>
      <c r="C247" s="3" t="inlineStr">
        <is>
          <t>SM.23.127, Sup. 1</t>
        </is>
      </c>
      <c r="D247" s="4" t="inlineStr">
        <is>
          <t>Dominica</t>
        </is>
      </c>
      <c r="E247" s="4" t="inlineStr">
        <is>
          <t>DMA</t>
        </is>
      </c>
      <c r="F247" s="10" t="n">
        <v>45047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Dominica_2023_May</t>
        </is>
      </c>
      <c r="B248" s="2" t="n"/>
      <c r="C248" s="3" t="inlineStr">
        <is>
          <t>SM.23.127, Sup. 1</t>
        </is>
      </c>
      <c r="D248" s="4" t="inlineStr">
        <is>
          <t>Dominica</t>
        </is>
      </c>
      <c r="E248" s="4" t="inlineStr">
        <is>
          <t>DMA</t>
        </is>
      </c>
      <c r="F248" s="10" t="n">
        <v>45047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Dominica_2023_May</t>
        </is>
      </c>
      <c r="B249" s="2" t="n"/>
      <c r="C249" s="3" t="inlineStr">
        <is>
          <t>SM.23.127, Sup. 1</t>
        </is>
      </c>
      <c r="D249" s="4" t="inlineStr">
        <is>
          <t>Dominica</t>
        </is>
      </c>
      <c r="E249" s="4" t="inlineStr">
        <is>
          <t>DMA</t>
        </is>
      </c>
      <c r="F249" s="10" t="n">
        <v>45047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Dominica_2023_May</t>
        </is>
      </c>
      <c r="B250" s="2" t="n"/>
      <c r="C250" s="3" t="inlineStr">
        <is>
          <t>SM.23.127, Sup. 1</t>
        </is>
      </c>
      <c r="D250" s="4" t="inlineStr">
        <is>
          <t>Dominica</t>
        </is>
      </c>
      <c r="E250" s="4" t="inlineStr">
        <is>
          <t>DMA</t>
        </is>
      </c>
      <c r="F250" s="10" t="n">
        <v>45047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25.98885732525866</v>
      </c>
      <c r="O250" t="n">
        <v>25.09422446536116</v>
      </c>
      <c r="P250" t="n">
        <v>21.26269312987354</v>
      </c>
      <c r="Q250" t="n">
        <v>18.47239957339202</v>
      </c>
      <c r="R250" t="n">
        <v>16.01354265855714</v>
      </c>
      <c r="S250" t="n">
        <v>13.82391912614919</v>
      </c>
      <c r="T250" t="n">
        <v>11.85308417144868</v>
      </c>
      <c r="U250" t="n">
        <v>10.05602519944293</v>
      </c>
      <c r="V250" t="n">
        <v>8.498945164748756</v>
      </c>
      <c r="W250" t="n">
        <v>7.082366047775137</v>
      </c>
      <c r="X250" t="n">
        <v>5.78339562817572</v>
      </c>
      <c r="Y250" t="n">
        <v>4.584718924772935</v>
      </c>
      <c r="Z250" t="n">
        <v>3.473705195217069</v>
      </c>
      <c r="AA250" t="n">
        <v>2.442541796479601</v>
      </c>
      <c r="AB250" t="n">
        <v>1.467206655916734</v>
      </c>
      <c r="AC250" t="n">
        <v>0.5375689338196988</v>
      </c>
      <c r="AD250" t="n">
        <v>-0.3549727406537404</v>
      </c>
      <c r="AE250" t="n">
        <v>-1.218149287496731</v>
      </c>
      <c r="AF250" t="n">
        <v>-0.05949680004135538</v>
      </c>
      <c r="AG250" t="n">
        <v>1.213490262619816</v>
      </c>
      <c r="AH250" t="n">
        <v>0.5998857810235015</v>
      </c>
      <c r="AI250" t="n">
        <v>0</v>
      </c>
    </row>
    <row r="251">
      <c r="A251" t="inlineStr">
        <is>
          <t>Dominica_2023_May</t>
        </is>
      </c>
      <c r="B251" s="2" t="n"/>
      <c r="C251" s="3" t="inlineStr">
        <is>
          <t>SM.23.127, Sup. 1</t>
        </is>
      </c>
      <c r="D251" s="4" t="inlineStr">
        <is>
          <t>Dominica</t>
        </is>
      </c>
      <c r="E251" s="4" t="inlineStr">
        <is>
          <t>DMA</t>
        </is>
      </c>
      <c r="F251" s="10" t="n">
        <v>45047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NPC2</t>
        </is>
      </c>
      <c r="N251" t="n">
        <v>0.1997877307570094</v>
      </c>
      <c r="O251" t="n">
        <v>0.1840471543318969</v>
      </c>
      <c r="P251" t="n">
        <v>0.1430182157521954</v>
      </c>
      <c r="Q251" t="n">
        <v>0.1111018181967793</v>
      </c>
      <c r="R251" t="n">
        <v>0.08627237409151062</v>
      </c>
      <c r="S251" t="n">
        <v>0.06695447050184251</v>
      </c>
      <c r="T251" t="n">
        <v>0.05192281630515418</v>
      </c>
      <c r="U251" t="n">
        <v>0.04022442622926538</v>
      </c>
      <c r="V251" t="n">
        <v>0.03111809957522836</v>
      </c>
      <c r="W251" t="n">
        <v>0.02402734985042393</v>
      </c>
      <c r="X251" t="n">
        <v>0.01850379582295663</v>
      </c>
      <c r="Y251" t="n">
        <v>0.01419868892706846</v>
      </c>
      <c r="Z251" t="n">
        <v>0.01084076869986036</v>
      </c>
      <c r="AA251" t="n">
        <v>0.008219039831512573</v>
      </c>
      <c r="AB251" t="n">
        <v>0.006169376989735542</v>
      </c>
      <c r="AC251" t="n">
        <v>0.004564106686623551</v>
      </c>
      <c r="AD251" t="n">
        <v>0.003303904532490017</v>
      </c>
      <c r="AE251" t="n">
        <v>0.002311493275122438</v>
      </c>
      <c r="AF251" t="n">
        <v>0.001526741393785214</v>
      </c>
      <c r="AG251" t="n">
        <v>0.000902850969063458</v>
      </c>
      <c r="AH251" t="n">
        <v>0.0004033927317225219</v>
      </c>
      <c r="AI251" t="n">
        <v>0</v>
      </c>
    </row>
    <row r="252">
      <c r="A252" t="inlineStr">
        <is>
          <t>Dominica_2023_May</t>
        </is>
      </c>
      <c r="B252" s="2" t="n"/>
      <c r="C252" s="3" t="inlineStr">
        <is>
          <t>SM.23.127, Sup. 1</t>
        </is>
      </c>
      <c r="D252" s="4" t="inlineStr">
        <is>
          <t>Dominica</t>
        </is>
      </c>
      <c r="E252" s="4" t="inlineStr">
        <is>
          <t>DMA</t>
        </is>
      </c>
      <c r="F252" s="10" t="n">
        <v>45047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NPC2</t>
        </is>
      </c>
      <c r="N252" t="n">
        <v>0.4293756177038718</v>
      </c>
      <c r="O252" t="n">
        <v>0.2883298059964724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Dominica_2023_May</t>
        </is>
      </c>
      <c r="B253" s="2" t="n"/>
      <c r="C253" s="3" t="inlineStr">
        <is>
          <t>SM.23.127, Sup. 1</t>
        </is>
      </c>
      <c r="D253" s="4" t="inlineStr">
        <is>
          <t>Dominica</t>
        </is>
      </c>
      <c r="E253" s="4" t="inlineStr">
        <is>
          <t>DMA</t>
        </is>
      </c>
      <c r="F253" s="10" t="n">
        <v>45047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NPC3</t>
        </is>
      </c>
      <c r="N253" t="n">
        <v>19.80460898641651</v>
      </c>
      <c r="O253" t="n">
        <v>18.89472599129289</v>
      </c>
      <c r="P253" t="n">
        <v>16.08419269826495</v>
      </c>
      <c r="Q253" t="n">
        <v>13.67960689534008</v>
      </c>
      <c r="R253" t="n">
        <v>11.62174197227312</v>
      </c>
      <c r="S253" t="n">
        <v>9.859982473657626</v>
      </c>
      <c r="T253" t="n">
        <v>8.351070606030483</v>
      </c>
      <c r="U253" t="n">
        <v>7.058035136664806</v>
      </c>
      <c r="V253" t="n">
        <v>5.949276141104847</v>
      </c>
      <c r="W253" t="n">
        <v>4.997782919030181</v>
      </c>
      <c r="X253" t="n">
        <v>4.180465698484549</v>
      </c>
      <c r="Y253" t="n">
        <v>3.477584568662453</v>
      </c>
      <c r="Z253" t="n">
        <v>2.872261491206723</v>
      </c>
      <c r="AA253" t="n">
        <v>2.350063299055067</v>
      </c>
      <c r="AB253" t="n">
        <v>1.898645351313037</v>
      </c>
      <c r="AC253" t="n">
        <v>1.507447016030421</v>
      </c>
      <c r="AD253" t="n">
        <v>1.167431437376766</v>
      </c>
      <c r="AE253" t="n">
        <v>0.8708631413868556</v>
      </c>
      <c r="AF253" t="n">
        <v>0.6111179723827255</v>
      </c>
      <c r="AG253" t="n">
        <v>0.3825206536206718</v>
      </c>
      <c r="AH253" t="n">
        <v>0.1802059505222724</v>
      </c>
      <c r="AI253" t="n">
        <v>0</v>
      </c>
    </row>
    <row r="254">
      <c r="A254" t="inlineStr">
        <is>
          <t>Dominica_2023_May</t>
        </is>
      </c>
      <c r="B254" s="2" t="n"/>
      <c r="C254" s="3" t="inlineStr">
        <is>
          <t>SM.23.127, Sup. 1</t>
        </is>
      </c>
      <c r="D254" s="4" t="inlineStr">
        <is>
          <t>Dominica</t>
        </is>
      </c>
      <c r="E254" s="4" t="inlineStr">
        <is>
          <t>DMA</t>
        </is>
      </c>
      <c r="F254" s="10" t="n">
        <v>45047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0.005789351277233993</v>
      </c>
      <c r="O254" t="n">
        <v>0.005584351939920193</v>
      </c>
      <c r="P254" t="n">
        <v>0.005369121892344642</v>
      </c>
      <c r="Q254" t="n">
        <v>0.00514314959899425</v>
      </c>
      <c r="R254" t="n">
        <v>0.004905897947580279</v>
      </c>
      <c r="S254" t="n">
        <v>0.004656802970199546</v>
      </c>
      <c r="T254" t="n">
        <v>0.004395272500553716</v>
      </c>
      <c r="U254" t="n">
        <v>0.004120684764029533</v>
      </c>
      <c r="V254" t="n">
        <v>0.003832386897283077</v>
      </c>
      <c r="W254" t="n">
        <v>0.003529693393803237</v>
      </c>
      <c r="X254" t="n">
        <v>0.003211884471753344</v>
      </c>
      <c r="Y254" t="n">
        <v>0.002878204360204894</v>
      </c>
      <c r="Z254" t="n">
        <v>0.002529765903472848</v>
      </c>
      <c r="AA254" t="n">
        <v>0.0021639055239042</v>
      </c>
      <c r="AB254" t="n">
        <v>0.001779752125357119</v>
      </c>
      <c r="AC254" t="n">
        <v>0.001376391056882684</v>
      </c>
      <c r="AD254" t="n">
        <v>0.0009528619349845272</v>
      </c>
      <c r="AE254" t="n">
        <v>0.0005081563569914628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Dominica_2023_May</t>
        </is>
      </c>
      <c r="B255" s="2" t="n"/>
      <c r="C255" s="3" t="inlineStr">
        <is>
          <t>SM.23.127, Sup. 1</t>
        </is>
      </c>
      <c r="D255" s="4" t="inlineStr">
        <is>
          <t>Dominica</t>
        </is>
      </c>
      <c r="E255" s="4" t="inlineStr">
        <is>
          <t>DMA</t>
        </is>
      </c>
      <c r="F255" s="10" t="n">
        <v>45047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5.549295639104038</v>
      </c>
      <c r="O255" t="n">
        <v>5.721537161799979</v>
      </c>
      <c r="P255" t="n">
        <v>5.030113093964051</v>
      </c>
      <c r="Q255" t="n">
        <v>4.676547710256173</v>
      </c>
      <c r="R255" t="n">
        <v>4.300622414244925</v>
      </c>
      <c r="S255" t="n">
        <v>3.892325379019523</v>
      </c>
      <c r="T255" t="n">
        <v>3.445695476612491</v>
      </c>
      <c r="U255" t="n">
        <v>2.953644951784828</v>
      </c>
      <c r="V255" t="n">
        <v>2.514718537171397</v>
      </c>
      <c r="W255" t="n">
        <v>2.057026085500729</v>
      </c>
      <c r="X255" t="n">
        <v>1.58121424939646</v>
      </c>
      <c r="Y255" t="n">
        <v>1.090057462823208</v>
      </c>
      <c r="Z255" t="n">
        <v>0.5880731694070132</v>
      </c>
      <c r="AA255" t="n">
        <v>0.08209555206911748</v>
      </c>
      <c r="AB255" t="n">
        <v>-0.4393878245113957</v>
      </c>
      <c r="AC255" t="n">
        <v>-0.9758185799542284</v>
      </c>
      <c r="AD255" t="n">
        <v>-1.526660944497981</v>
      </c>
      <c r="AE255" t="n">
        <v>-2.091832078515701</v>
      </c>
      <c r="AF255" t="n">
        <v>-0.672141513817866</v>
      </c>
      <c r="AG255" t="n">
        <v>0.8300667580300806</v>
      </c>
      <c r="AH255" t="n">
        <v>0.4192764377695067</v>
      </c>
      <c r="AI255" t="n">
        <v>0</v>
      </c>
    </row>
    <row r="256">
      <c r="A256" t="inlineStr">
        <is>
          <t>Dominica_2023_May</t>
        </is>
      </c>
      <c r="B256" s="2" t="n"/>
      <c r="C256" s="3" t="inlineStr">
        <is>
          <t>SM.23.127, Sup. 1</t>
        </is>
      </c>
      <c r="D256" s="4" t="inlineStr">
        <is>
          <t>Dominica</t>
        </is>
      </c>
      <c r="E256" s="4" t="inlineStr">
        <is>
          <t>DMA</t>
        </is>
      </c>
      <c r="F256" s="10" t="n">
        <v>45047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41.35686100533373</v>
      </c>
      <c r="O256" t="n">
        <v>39.77818848998466</v>
      </c>
      <c r="P256" t="n">
        <v>36.71637856843503</v>
      </c>
      <c r="Q256" t="n">
        <v>32.94164947418273</v>
      </c>
      <c r="R256" t="n">
        <v>29.9715419475844</v>
      </c>
      <c r="S256" t="n">
        <v>27.0724987080171</v>
      </c>
      <c r="T256" t="n">
        <v>24.17128252751038</v>
      </c>
      <c r="U256" t="n">
        <v>20.98628929590617</v>
      </c>
      <c r="V256" t="n">
        <v>17.77059860791677</v>
      </c>
      <c r="W256" t="n">
        <v>14.65425281190626</v>
      </c>
      <c r="X256" t="n">
        <v>11.49608279643596</v>
      </c>
      <c r="Y256" t="n">
        <v>8.273362500271711</v>
      </c>
      <c r="Z256" t="n">
        <v>4.858061712291009</v>
      </c>
      <c r="AA256" t="n">
        <v>3.076033854908049</v>
      </c>
      <c r="AB256" t="n">
        <v>2.659665165482872</v>
      </c>
      <c r="AC256" t="n">
        <v>2.254822290794471</v>
      </c>
      <c r="AD256" t="n">
        <v>1.860246718353239</v>
      </c>
      <c r="AE256" t="n">
        <v>1.474721093551805</v>
      </c>
      <c r="AF256" t="n">
        <v>1.097065373178661</v>
      </c>
      <c r="AG256" t="n">
        <v>0.7261331215472674</v>
      </c>
      <c r="AH256" t="n">
        <v>0.3608079373711657</v>
      </c>
      <c r="AI256" t="n">
        <v>0</v>
      </c>
      <c r="BI256" t="inlineStr">
        <is>
          <t>PV_OLD_COM</t>
        </is>
      </c>
    </row>
    <row r="257">
      <c r="A257" t="inlineStr">
        <is>
          <t>Dominica_2023_May</t>
        </is>
      </c>
      <c r="B257" s="2" t="n"/>
      <c r="C257" s="3" t="inlineStr">
        <is>
          <t>SM.23.127, Sup. 1</t>
        </is>
      </c>
      <c r="D257" s="4" t="inlineStr">
        <is>
          <t>Dominica</t>
        </is>
      </c>
      <c r="E257" s="4" t="inlineStr">
        <is>
          <t>DMA</t>
        </is>
      </c>
      <c r="F257" s="10" t="n">
        <v>45047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Dominica_2023_May</t>
        </is>
      </c>
      <c r="B258" s="2" t="n"/>
      <c r="C258" s="3" t="inlineStr">
        <is>
          <t>SM.23.127, Sup. 1</t>
        </is>
      </c>
      <c r="D258" s="4" t="inlineStr">
        <is>
          <t>Dominica</t>
        </is>
      </c>
      <c r="E258" s="4" t="inlineStr">
        <is>
          <t>DMA</t>
        </is>
      </c>
      <c r="F258" s="10" t="n">
        <v>45047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Commecial Bank</t>
        </is>
      </c>
      <c r="N258" t="n">
        <v>41.35686100533373</v>
      </c>
      <c r="O258" t="n">
        <v>39.77818848998466</v>
      </c>
      <c r="P258" t="n">
        <v>36.71637856843503</v>
      </c>
      <c r="Q258" t="n">
        <v>32.94164947418273</v>
      </c>
      <c r="R258" t="n">
        <v>29.9715419475844</v>
      </c>
      <c r="S258" t="n">
        <v>27.0724987080171</v>
      </c>
      <c r="T258" t="n">
        <v>24.17128252751038</v>
      </c>
      <c r="U258" t="n">
        <v>20.98628929590617</v>
      </c>
      <c r="V258" t="n">
        <v>17.77059860791677</v>
      </c>
      <c r="W258" t="n">
        <v>14.65425281190626</v>
      </c>
      <c r="X258" t="n">
        <v>11.49608279643596</v>
      </c>
      <c r="Y258" t="n">
        <v>8.273362500271711</v>
      </c>
      <c r="Z258" t="n">
        <v>4.858061712291009</v>
      </c>
      <c r="AA258" t="n">
        <v>3.076033854908049</v>
      </c>
      <c r="AB258" t="n">
        <v>2.659665165482872</v>
      </c>
      <c r="AC258" t="n">
        <v>2.254822290794471</v>
      </c>
      <c r="AD258" t="n">
        <v>1.860246718353239</v>
      </c>
      <c r="AE258" t="n">
        <v>1.474721093551805</v>
      </c>
      <c r="AF258" t="n">
        <v>1.097065373178661</v>
      </c>
      <c r="AG258" t="n">
        <v>0.7261331215472674</v>
      </c>
      <c r="AH258" t="n">
        <v>0.3608079373711657</v>
      </c>
      <c r="AI258" t="n">
        <v>0</v>
      </c>
    </row>
    <row r="259">
      <c r="A259" t="inlineStr">
        <is>
          <t>Dominica_2023_May</t>
        </is>
      </c>
      <c r="B259" s="2" t="n"/>
      <c r="C259" s="3" t="inlineStr">
        <is>
          <t>SM.23.127, Sup. 1</t>
        </is>
      </c>
      <c r="D259" s="4" t="inlineStr">
        <is>
          <t>Dominica</t>
        </is>
      </c>
      <c r="E259" s="4" t="inlineStr">
        <is>
          <t>DMA</t>
        </is>
      </c>
      <c r="F259" s="10" t="n">
        <v>45047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Dominica_2023_May</t>
        </is>
      </c>
      <c r="B260" s="2" t="n"/>
      <c r="C260" s="3" t="inlineStr">
        <is>
          <t>SM.23.127, Sup. 1</t>
        </is>
      </c>
      <c r="D260" s="4" t="inlineStr">
        <is>
          <t>Dominica</t>
        </is>
      </c>
      <c r="E260" s="4" t="inlineStr">
        <is>
          <t>DMA</t>
        </is>
      </c>
      <c r="F260" s="10" t="n">
        <v>45047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Dominica_2023_May</t>
        </is>
      </c>
      <c r="B261" s="2" t="n"/>
      <c r="C261" s="3" t="inlineStr">
        <is>
          <t>SM.23.127, Sup. 1</t>
        </is>
      </c>
      <c r="D261" s="4" t="inlineStr">
        <is>
          <t>Dominica</t>
        </is>
      </c>
      <c r="E261" s="4" t="inlineStr">
        <is>
          <t>DMA</t>
        </is>
      </c>
      <c r="F261" s="10" t="n">
        <v>45047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Dominica_2023_May</t>
        </is>
      </c>
      <c r="B262" s="2" t="n"/>
      <c r="C262" s="3" t="inlineStr">
        <is>
          <t>SM.23.127, Sup. 1</t>
        </is>
      </c>
      <c r="D262" s="4" t="inlineStr">
        <is>
          <t>Dominica</t>
        </is>
      </c>
      <c r="E262" s="4" t="inlineStr">
        <is>
          <t>DMA</t>
        </is>
      </c>
      <c r="F262" s="10" t="n">
        <v>45047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Dominica_2023_May</t>
        </is>
      </c>
      <c r="B263" s="2" t="n"/>
      <c r="C263" s="3" t="inlineStr">
        <is>
          <t>SM.23.127, Sup. 1</t>
        </is>
      </c>
      <c r="D263" s="4" t="inlineStr">
        <is>
          <t>Dominica</t>
        </is>
      </c>
      <c r="E263" s="4" t="inlineStr">
        <is>
          <t>DMA</t>
        </is>
      </c>
      <c r="F263" s="10" t="n">
        <v>45047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Dominica_2023_May</t>
        </is>
      </c>
      <c r="B264" s="2" t="n"/>
      <c r="C264" s="3" t="inlineStr">
        <is>
          <t>SM.23.127, Sup. 1</t>
        </is>
      </c>
      <c r="D264" s="4" t="inlineStr">
        <is>
          <t>Dominica</t>
        </is>
      </c>
      <c r="E264" s="4" t="inlineStr">
        <is>
          <t>DMA</t>
        </is>
      </c>
      <c r="F264" s="10" t="n">
        <v>45047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Dominica_2023_May</t>
        </is>
      </c>
      <c r="B265" s="2" t="n"/>
      <c r="C265" s="3" t="inlineStr">
        <is>
          <t>SM.23.127, Sup. 1</t>
        </is>
      </c>
      <c r="D265" s="4" t="inlineStr">
        <is>
          <t>Dominica</t>
        </is>
      </c>
      <c r="E265" s="4" t="inlineStr">
        <is>
          <t>DMA</t>
        </is>
      </c>
      <c r="F265" s="10" t="n">
        <v>45047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Dominica_2023_May</t>
        </is>
      </c>
      <c r="B266" s="2" t="n"/>
      <c r="C266" s="3" t="inlineStr">
        <is>
          <t>SM.23.127, Sup. 1</t>
        </is>
      </c>
      <c r="D266" s="4" t="inlineStr">
        <is>
          <t>Dominica</t>
        </is>
      </c>
      <c r="E266" s="4" t="inlineStr">
        <is>
          <t>DMA</t>
        </is>
      </c>
      <c r="F266" s="10" t="n">
        <v>45047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Dominica_2023_May</t>
        </is>
      </c>
      <c r="B267" s="2" t="n"/>
      <c r="C267" s="3" t="inlineStr">
        <is>
          <t>SM.23.127, Sup. 1</t>
        </is>
      </c>
      <c r="D267" s="4" t="inlineStr">
        <is>
          <t>Dominica</t>
        </is>
      </c>
      <c r="E267" s="4" t="inlineStr">
        <is>
          <t>DMA</t>
        </is>
      </c>
      <c r="F267" s="10" t="n">
        <v>45047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12.65951641460785</v>
      </c>
      <c r="P267" t="n">
        <v>32.97763889205638</v>
      </c>
      <c r="Q267" t="n">
        <v>58.97772555499486</v>
      </c>
      <c r="R267" t="n">
        <v>88.09279920114191</v>
      </c>
      <c r="S267" t="n">
        <v>119.6521508049245</v>
      </c>
      <c r="T267" t="n">
        <v>153.2868039644036</v>
      </c>
      <c r="U267" t="n">
        <v>188.3290483469804</v>
      </c>
      <c r="V267" t="n">
        <v>225.0523989016678</v>
      </c>
      <c r="W267" t="n">
        <v>253.1468952049436</v>
      </c>
      <c r="X267" t="n">
        <v>334.8495949916641</v>
      </c>
      <c r="Y267" t="n">
        <v>357.0602635243296</v>
      </c>
      <c r="Z267" t="n">
        <v>368.6870318813456</v>
      </c>
      <c r="AA267" t="n">
        <v>379.959307642152</v>
      </c>
      <c r="AB267" t="n">
        <v>389.709968957726</v>
      </c>
      <c r="AC267" t="n">
        <v>397.4629804022871</v>
      </c>
      <c r="AD267" t="n">
        <v>387.5747471623264</v>
      </c>
      <c r="AE267" t="n">
        <v>375.5013470942133</v>
      </c>
      <c r="AF267" t="n">
        <v>353.1014131093779</v>
      </c>
      <c r="AG267" t="n">
        <v>328.3595358787343</v>
      </c>
      <c r="AH267" t="n">
        <v>301.9848124096789</v>
      </c>
      <c r="AI267" t="n">
        <v>290.33471929597</v>
      </c>
      <c r="BI267" t="inlineStr">
        <is>
          <t>PV_NEW_MLT</t>
        </is>
      </c>
    </row>
    <row r="268">
      <c r="A268" t="inlineStr">
        <is>
          <t>Dominica_2023_May</t>
        </is>
      </c>
      <c r="B268" s="2" t="n"/>
      <c r="C268" s="3" t="inlineStr">
        <is>
          <t>SM.23.127, Sup. 1</t>
        </is>
      </c>
      <c r="D268" s="4" t="inlineStr">
        <is>
          <t>Dominica</t>
        </is>
      </c>
      <c r="E268" s="4" t="inlineStr">
        <is>
          <t>DMA</t>
        </is>
      </c>
      <c r="F268" s="10" t="n">
        <v>45047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10.55249897736716</v>
      </c>
      <c r="P268" t="n">
        <v>28.29634817391953</v>
      </c>
      <c r="Q268" t="n">
        <v>51.67144219579234</v>
      </c>
      <c r="R268" t="n">
        <v>74.85094658682279</v>
      </c>
      <c r="S268" t="n">
        <v>97.08178235697764</v>
      </c>
      <c r="T268" t="n">
        <v>121.0500972250907</v>
      </c>
      <c r="U268" t="n">
        <v>146.5701062547341</v>
      </c>
      <c r="V268" t="n">
        <v>173.7237243881696</v>
      </c>
      <c r="W268" t="n">
        <v>192.4846332790841</v>
      </c>
      <c r="X268" t="n">
        <v>265.2365797723422</v>
      </c>
      <c r="Y268" t="n">
        <v>278.8442163043351</v>
      </c>
      <c r="Z268" t="n">
        <v>289.0259586495443</v>
      </c>
      <c r="AA268" t="n">
        <v>297.0087267129435</v>
      </c>
      <c r="AB268" t="n">
        <v>303.0363013183955</v>
      </c>
      <c r="AC268" t="n">
        <v>307.234821858536</v>
      </c>
      <c r="AD268" t="n">
        <v>293.7289892289742</v>
      </c>
      <c r="AE268" t="n">
        <v>277.8968542486373</v>
      </c>
      <c r="AF268" t="n">
        <v>259.6006840829276</v>
      </c>
      <c r="AG268" t="n">
        <v>238.6750772401384</v>
      </c>
      <c r="AH268" t="n">
        <v>215.7658996833878</v>
      </c>
      <c r="AI268" t="n">
        <v>207.1881222545567</v>
      </c>
      <c r="BI268" t="inlineStr">
        <is>
          <t>PV_NEW_ML</t>
        </is>
      </c>
    </row>
    <row r="269">
      <c r="A269" t="inlineStr">
        <is>
          <t>Dominica_2023_May</t>
        </is>
      </c>
      <c r="B269" s="2" t="n"/>
      <c r="C269" s="3" t="inlineStr">
        <is>
          <t>SM.23.127, Sup. 1</t>
        </is>
      </c>
      <c r="D269" s="4" t="inlineStr">
        <is>
          <t>Dominica</t>
        </is>
      </c>
      <c r="E269" s="4" t="inlineStr">
        <is>
          <t>DMA</t>
        </is>
      </c>
      <c r="F269" s="10" t="n">
        <v>45047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56.25685459914595</v>
      </c>
      <c r="Y269" t="n">
        <v>58.86719732910325</v>
      </c>
      <c r="Z269" t="n">
        <v>61.60805719555842</v>
      </c>
      <c r="AA269" t="n">
        <v>64.48596005533634</v>
      </c>
      <c r="AB269" t="n">
        <v>67.50775805810315</v>
      </c>
      <c r="AC269" t="n">
        <v>70.68064596100831</v>
      </c>
      <c r="AD269" t="n">
        <v>57.81217825905873</v>
      </c>
      <c r="AE269" t="n">
        <v>44.34078717201167</v>
      </c>
      <c r="AF269" t="n">
        <v>30.23632653061226</v>
      </c>
      <c r="AG269" t="n">
        <v>15.46714285714287</v>
      </c>
      <c r="AH269" t="n">
        <v>1.77635683940025e-14</v>
      </c>
      <c r="AI269" t="n">
        <v>-2.572329699131635e-07</v>
      </c>
    </row>
    <row r="270">
      <c r="A270" t="inlineStr">
        <is>
          <t>Dominica_2023_May</t>
        </is>
      </c>
      <c r="B270" s="2" t="n"/>
      <c r="C270" s="3" t="inlineStr">
        <is>
          <t>SM.23.127, Sup. 1</t>
        </is>
      </c>
      <c r="D270" s="4" t="inlineStr">
        <is>
          <t>Dominica</t>
        </is>
      </c>
      <c r="E270" s="4" t="inlineStr">
        <is>
          <t>DMA</t>
        </is>
      </c>
      <c r="F270" s="10" t="n">
        <v>45047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7.702871025785834</v>
      </c>
      <c r="P270" t="n">
        <v>17.11920940997642</v>
      </c>
      <c r="Q270" t="n">
        <v>31.48689356917382</v>
      </c>
      <c r="R270" t="n">
        <v>45.02440211265627</v>
      </c>
      <c r="S270" t="n">
        <v>57.00873388884332</v>
      </c>
      <c r="T270" t="n">
        <v>70.09984241503177</v>
      </c>
      <c r="U270" t="n">
        <v>84.07598099078405</v>
      </c>
      <c r="V270" t="n">
        <v>98.98568224935005</v>
      </c>
      <c r="W270" t="n">
        <v>109.4798047114045</v>
      </c>
      <c r="X270" t="n">
        <v>117.2527018854067</v>
      </c>
      <c r="Y270" t="n">
        <v>122.8609542182949</v>
      </c>
      <c r="Z270" t="n">
        <v>126.870780519089</v>
      </c>
      <c r="AA270" t="n">
        <v>130.1616716237306</v>
      </c>
      <c r="AB270" t="n">
        <v>132.0584328164069</v>
      </c>
      <c r="AC270" t="n">
        <v>132.7406225947604</v>
      </c>
      <c r="AD270" t="n">
        <v>132.5837060418242</v>
      </c>
      <c r="AE270" t="n">
        <v>131.5885747939004</v>
      </c>
      <c r="AF270" t="n">
        <v>129.7128195064613</v>
      </c>
      <c r="AG270" t="n">
        <v>126.8915784283719</v>
      </c>
      <c r="AH270" t="n">
        <v>123.4357821374243</v>
      </c>
      <c r="AI270" t="n">
        <v>119.5381499803494</v>
      </c>
    </row>
    <row r="271">
      <c r="A271" t="inlineStr">
        <is>
          <t>Dominica_2023_May</t>
        </is>
      </c>
      <c r="B271" s="2" t="n"/>
      <c r="C271" s="3" t="inlineStr">
        <is>
          <t>SM.23.127, Sup. 1</t>
        </is>
      </c>
      <c r="D271" s="4" t="inlineStr">
        <is>
          <t>Dominica</t>
        </is>
      </c>
      <c r="E271" s="4" t="inlineStr">
        <is>
          <t>DMA</t>
        </is>
      </c>
      <c r="F271" s="10" t="n">
        <v>45047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Dominica_2023_May</t>
        </is>
      </c>
      <c r="B272" s="2" t="n"/>
      <c r="C272" s="3" t="inlineStr">
        <is>
          <t>SM.23.127, Sup. 1</t>
        </is>
      </c>
      <c r="D272" s="4" t="inlineStr">
        <is>
          <t>Dominica</t>
        </is>
      </c>
      <c r="E272" s="4" t="inlineStr">
        <is>
          <t>DMA</t>
        </is>
      </c>
      <c r="F272" s="10" t="n">
        <v>45047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CDB</t>
        </is>
      </c>
      <c r="M272" t="n">
        <v>109</v>
      </c>
      <c r="O272" t="n">
        <v>2.849627951581325</v>
      </c>
      <c r="P272" t="n">
        <v>11.17713876394311</v>
      </c>
      <c r="Q272" t="n">
        <v>20.18454862661851</v>
      </c>
      <c r="R272" t="n">
        <v>29.82654447416651</v>
      </c>
      <c r="S272" t="n">
        <v>40.07304846813432</v>
      </c>
      <c r="T272" t="n">
        <v>50.95025481005892</v>
      </c>
      <c r="U272" t="n">
        <v>62.49412526395005</v>
      </c>
      <c r="V272" t="n">
        <v>74.73804213881959</v>
      </c>
      <c r="W272" t="n">
        <v>83.00482856767962</v>
      </c>
      <c r="X272" t="n">
        <v>91.72702328778955</v>
      </c>
      <c r="Y272" t="n">
        <v>97.11606475693694</v>
      </c>
      <c r="Z272" t="n">
        <v>100.5471209348969</v>
      </c>
      <c r="AA272" t="n">
        <v>102.3610950338765</v>
      </c>
      <c r="AB272" t="n">
        <v>103.4701104438855</v>
      </c>
      <c r="AC272" t="n">
        <v>103.8135533027673</v>
      </c>
      <c r="AD272" t="n">
        <v>103.3331049280913</v>
      </c>
      <c r="AE272" t="n">
        <v>101.9674922827252</v>
      </c>
      <c r="AF272" t="n">
        <v>99.651538045854</v>
      </c>
      <c r="AG272" t="n">
        <v>96.31635595462372</v>
      </c>
      <c r="AH272" t="n">
        <v>92.33011754596349</v>
      </c>
      <c r="AI272" t="n">
        <v>87.6499725314403</v>
      </c>
    </row>
    <row r="273">
      <c r="A273" t="inlineStr">
        <is>
          <t>Dominica_2023_May</t>
        </is>
      </c>
      <c r="B273" s="2" t="n"/>
      <c r="C273" s="3" t="inlineStr">
        <is>
          <t>SM.23.127, Sup. 1</t>
        </is>
      </c>
      <c r="D273" s="4" t="inlineStr">
        <is>
          <t>Dominica</t>
        </is>
      </c>
      <c r="E273" s="4" t="inlineStr">
        <is>
          <t>DMA</t>
        </is>
      </c>
      <c r="F273" s="10" t="n">
        <v>45047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MULTIRES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Dominica_2023_May</t>
        </is>
      </c>
      <c r="B274" s="2" t="n"/>
      <c r="C274" s="3" t="inlineStr">
        <is>
          <t>SM.23.127, Sup. 1</t>
        </is>
      </c>
      <c r="D274" s="4" t="inlineStr">
        <is>
          <t>Dominica</t>
        </is>
      </c>
      <c r="E274" s="4" t="inlineStr">
        <is>
          <t>DMA</t>
        </is>
      </c>
      <c r="F274" s="10" t="n">
        <v>45047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Dominica_2023_May</t>
        </is>
      </c>
      <c r="B275" s="2" t="n"/>
      <c r="C275" s="3" t="inlineStr">
        <is>
          <t>SM.23.127, Sup. 1</t>
        </is>
      </c>
      <c r="D275" s="4" t="inlineStr">
        <is>
          <t>Dominica</t>
        </is>
      </c>
      <c r="E275" s="4" t="inlineStr">
        <is>
          <t>DMA</t>
        </is>
      </c>
      <c r="F275" s="10" t="n">
        <v>45047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2.10701743724069</v>
      </c>
      <c r="P275" t="n">
        <v>4.68129071813685</v>
      </c>
      <c r="Q275" t="n">
        <v>7.306283359202526</v>
      </c>
      <c r="R275" t="n">
        <v>9.821124189689368</v>
      </c>
      <c r="S275" t="n">
        <v>12.49276085873491</v>
      </c>
      <c r="T275" t="n">
        <v>15.24880690718969</v>
      </c>
      <c r="U275" t="n">
        <v>17.99523095386362</v>
      </c>
      <c r="V275" t="n">
        <v>20.63275759005868</v>
      </c>
      <c r="W275" t="n">
        <v>23.16241063631621</v>
      </c>
      <c r="X275" t="n">
        <v>25.6302359840355</v>
      </c>
      <c r="Y275" t="n">
        <v>28.01759818541073</v>
      </c>
      <c r="Z275" t="n">
        <v>30.32434872243534</v>
      </c>
      <c r="AA275" t="n">
        <v>32.53594357094931</v>
      </c>
      <c r="AB275" t="n">
        <v>34.65476771763116</v>
      </c>
      <c r="AC275" t="n">
        <v>36.6834602530143</v>
      </c>
      <c r="AD275" t="n">
        <v>38.61595987161778</v>
      </c>
      <c r="AE275" t="n">
        <v>40.44870010879238</v>
      </c>
      <c r="AF275" t="n">
        <v>42.17741128450666</v>
      </c>
      <c r="AG275" t="n">
        <v>43.7998567424795</v>
      </c>
      <c r="AH275" t="n">
        <v>45.31285255896842</v>
      </c>
      <c r="AI275" t="n">
        <v>46.71202612002194</v>
      </c>
    </row>
    <row r="276">
      <c r="A276" t="inlineStr">
        <is>
          <t>Dominica_2023_May</t>
        </is>
      </c>
      <c r="B276" s="2" t="n"/>
      <c r="C276" s="3" t="inlineStr">
        <is>
          <t>SM.23.127, Sup. 1</t>
        </is>
      </c>
      <c r="D276" s="4" t="inlineStr">
        <is>
          <t>Dominica</t>
        </is>
      </c>
      <c r="E276" s="4" t="inlineStr">
        <is>
          <t>DMA</t>
        </is>
      </c>
      <c r="F276" s="10" t="n">
        <v>45047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2.10701743724069</v>
      </c>
      <c r="P276" t="n">
        <v>4.68129071813685</v>
      </c>
      <c r="Q276" t="n">
        <v>7.306283359202526</v>
      </c>
      <c r="R276" t="n">
        <v>9.821124189689368</v>
      </c>
      <c r="S276" t="n">
        <v>12.49276085873491</v>
      </c>
      <c r="T276" t="n">
        <v>15.24880690718969</v>
      </c>
      <c r="U276" t="n">
        <v>17.99523095386362</v>
      </c>
      <c r="V276" t="n">
        <v>20.63275759005868</v>
      </c>
      <c r="W276" t="n">
        <v>23.16241063631621</v>
      </c>
      <c r="X276" t="n">
        <v>25.6302359840355</v>
      </c>
      <c r="Y276" t="n">
        <v>28.01759818541073</v>
      </c>
      <c r="Z276" t="n">
        <v>30.32434872243534</v>
      </c>
      <c r="AA276" t="n">
        <v>32.53594357094931</v>
      </c>
      <c r="AB276" t="n">
        <v>34.65476771763116</v>
      </c>
      <c r="AC276" t="n">
        <v>36.6834602530143</v>
      </c>
      <c r="AD276" t="n">
        <v>38.61595987161778</v>
      </c>
      <c r="AE276" t="n">
        <v>40.44870010879238</v>
      </c>
      <c r="AF276" t="n">
        <v>42.17741128450666</v>
      </c>
      <c r="AG276" t="n">
        <v>43.7998567424795</v>
      </c>
      <c r="AH276" t="n">
        <v>45.31285255896842</v>
      </c>
      <c r="AI276" t="n">
        <v>46.71202612002194</v>
      </c>
    </row>
    <row r="277">
      <c r="A277" t="inlineStr">
        <is>
          <t>Dominica_2023_May</t>
        </is>
      </c>
      <c r="B277" s="2" t="n"/>
      <c r="C277" s="3" t="inlineStr">
        <is>
          <t>SM.23.127, Sup. 1</t>
        </is>
      </c>
      <c r="D277" s="4" t="inlineStr">
        <is>
          <t>Dominica</t>
        </is>
      </c>
      <c r="E277" s="4" t="inlineStr">
        <is>
          <t>DMA</t>
        </is>
      </c>
      <c r="F277" s="10" t="n">
        <v>45047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Dominica_2023_May</t>
        </is>
      </c>
      <c r="B278" s="2" t="n"/>
      <c r="C278" s="3" t="inlineStr">
        <is>
          <t>SM.23.127, Sup. 1</t>
        </is>
      </c>
      <c r="D278" s="4" t="inlineStr">
        <is>
          <t>Dominica</t>
        </is>
      </c>
      <c r="E278" s="4" t="inlineStr">
        <is>
          <t>DMA</t>
        </is>
      </c>
      <c r="F278" s="10" t="n">
        <v>45047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Dominica_2023_May</t>
        </is>
      </c>
      <c r="B279" s="2" t="n"/>
      <c r="C279" s="3" t="inlineStr">
        <is>
          <t>SM.23.127, Sup. 1</t>
        </is>
      </c>
      <c r="D279" s="4" t="inlineStr">
        <is>
          <t>Dominica</t>
        </is>
      </c>
      <c r="E279" s="4" t="inlineStr">
        <is>
          <t>DMA</t>
        </is>
      </c>
      <c r="F279" s="10" t="n">
        <v>45047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2.05021322309962</v>
      </c>
      <c r="T279" t="n">
        <v>4.826334997414087</v>
      </c>
      <c r="U279" t="n">
        <v>7.338706652998232</v>
      </c>
      <c r="V279" t="n">
        <v>9.711074299889363</v>
      </c>
      <c r="W279" t="n">
        <v>11.97747635752806</v>
      </c>
      <c r="X279" t="n">
        <v>14.13393948207843</v>
      </c>
      <c r="Y279" t="n">
        <v>16.13741107117621</v>
      </c>
      <c r="Z279" t="n">
        <v>16.86484122855517</v>
      </c>
      <c r="AA279" t="n">
        <v>17.84304024302789</v>
      </c>
      <c r="AB279" t="n">
        <v>18.98341546530735</v>
      </c>
      <c r="AC279" t="n">
        <v>20.22988097570179</v>
      </c>
      <c r="AD279" t="n">
        <v>21.54933862204087</v>
      </c>
      <c r="AE279" t="n">
        <v>22.91957221846182</v>
      </c>
      <c r="AF279" t="n">
        <v>22.76330273226273</v>
      </c>
      <c r="AG279" t="n">
        <v>22.55657666154913</v>
      </c>
      <c r="AH279" t="n">
        <v>22.28204630950816</v>
      </c>
      <c r="AI279" t="n">
        <v>21.92594118292012</v>
      </c>
      <c r="BI279" t="inlineStr">
        <is>
          <t>PV_NEW_OB</t>
        </is>
      </c>
    </row>
    <row r="280">
      <c r="A280" t="inlineStr">
        <is>
          <t>Dominica_2023_May</t>
        </is>
      </c>
      <c r="B280" s="2" t="n"/>
      <c r="C280" s="3" t="inlineStr">
        <is>
          <t>SM.23.127, Sup. 1</t>
        </is>
      </c>
      <c r="D280" s="4" t="inlineStr">
        <is>
          <t>Dominica</t>
        </is>
      </c>
      <c r="E280" s="4" t="inlineStr">
        <is>
          <t>DMA</t>
        </is>
      </c>
      <c r="F280" s="10" t="n">
        <v>45047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Dominica_2023_May</t>
        </is>
      </c>
      <c r="B281" s="2" t="n"/>
      <c r="C281" s="3" t="inlineStr">
        <is>
          <t>SM.23.127, Sup. 1</t>
        </is>
      </c>
      <c r="D281" s="4" t="inlineStr">
        <is>
          <t>Dominica</t>
        </is>
      </c>
      <c r="E281" s="4" t="inlineStr">
        <is>
          <t>DMA</t>
        </is>
      </c>
      <c r="F281" s="10" t="n">
        <v>45047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Dominica_2023_May</t>
        </is>
      </c>
      <c r="B282" s="2" t="n"/>
      <c r="C282" s="3" t="inlineStr">
        <is>
          <t>SM.23.127, Sup. 1</t>
        </is>
      </c>
      <c r="D282" s="4" t="inlineStr">
        <is>
          <t>Dominica</t>
        </is>
      </c>
      <c r="E282" s="4" t="inlineStr">
        <is>
          <t>DMA</t>
        </is>
      </c>
      <c r="F282" s="10" t="n">
        <v>45047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Dominica_2023_May</t>
        </is>
      </c>
      <c r="B283" s="2" t="n"/>
      <c r="C283" s="3" t="inlineStr">
        <is>
          <t>SM.23.127, Sup. 1</t>
        </is>
      </c>
      <c r="D283" s="4" t="inlineStr">
        <is>
          <t>Dominica</t>
        </is>
      </c>
      <c r="E283" s="4" t="inlineStr">
        <is>
          <t>DMA</t>
        </is>
      </c>
      <c r="F283" s="10" t="n">
        <v>45047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Dominica_2023_May</t>
        </is>
      </c>
      <c r="B284" s="2" t="n"/>
      <c r="C284" s="3" t="inlineStr">
        <is>
          <t>SM.23.127, Sup. 1</t>
        </is>
      </c>
      <c r="D284" s="4" t="inlineStr">
        <is>
          <t>Dominica</t>
        </is>
      </c>
      <c r="E284" s="4" t="inlineStr">
        <is>
          <t>DMA</t>
        </is>
      </c>
      <c r="F284" s="10" t="n">
        <v>45047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Dominica_2023_May</t>
        </is>
      </c>
      <c r="B285" s="2" t="n"/>
      <c r="C285" s="3" t="inlineStr">
        <is>
          <t>SM.23.127, Sup. 1</t>
        </is>
      </c>
      <c r="D285" s="4" t="inlineStr">
        <is>
          <t>Dominica</t>
        </is>
      </c>
      <c r="E285" s="4" t="inlineStr">
        <is>
          <t>DMA</t>
        </is>
      </c>
      <c r="F285" s="10" t="n">
        <v>45047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Dominica_2023_May</t>
        </is>
      </c>
      <c r="B286" s="2" t="n"/>
      <c r="C286" s="3" t="inlineStr">
        <is>
          <t>SM.23.127, Sup. 1</t>
        </is>
      </c>
      <c r="D286" s="4" t="inlineStr">
        <is>
          <t>Dominica</t>
        </is>
      </c>
      <c r="E286" s="4" t="inlineStr">
        <is>
          <t>DMA</t>
        </is>
      </c>
      <c r="F286" s="10" t="n">
        <v>45047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2.05021322309962</v>
      </c>
      <c r="T286" t="n">
        <v>4.826334997414087</v>
      </c>
      <c r="U286" t="n">
        <v>7.338706652998232</v>
      </c>
      <c r="V286" t="n">
        <v>9.711074299889363</v>
      </c>
      <c r="W286" t="n">
        <v>11.97747635752806</v>
      </c>
      <c r="X286" t="n">
        <v>14.13393948207843</v>
      </c>
      <c r="Y286" t="n">
        <v>16.13741107117621</v>
      </c>
      <c r="Z286" t="n">
        <v>16.86484122855517</v>
      </c>
      <c r="AA286" t="n">
        <v>17.84304024302789</v>
      </c>
      <c r="AB286" t="n">
        <v>18.98341546530735</v>
      </c>
      <c r="AC286" t="n">
        <v>20.22988097570179</v>
      </c>
      <c r="AD286" t="n">
        <v>21.54933862204087</v>
      </c>
      <c r="AE286" t="n">
        <v>22.91957221846182</v>
      </c>
      <c r="AF286" t="n">
        <v>22.76330273226273</v>
      </c>
      <c r="AG286" t="n">
        <v>22.55657666154913</v>
      </c>
      <c r="AH286" t="n">
        <v>22.28204630950816</v>
      </c>
      <c r="AI286" t="n">
        <v>21.92594118292012</v>
      </c>
    </row>
    <row r="287">
      <c r="A287" t="inlineStr">
        <is>
          <t>Dominica_2023_May</t>
        </is>
      </c>
      <c r="B287" s="2" t="n"/>
      <c r="C287" s="3" t="inlineStr">
        <is>
          <t>SM.23.127, Sup. 1</t>
        </is>
      </c>
      <c r="D287" s="4" t="inlineStr">
        <is>
          <t>Dominica</t>
        </is>
      </c>
      <c r="E287" s="4" t="inlineStr">
        <is>
          <t>DMA</t>
        </is>
      </c>
      <c r="F287" s="10" t="n">
        <v>45047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NPC2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2.05021322309962</v>
      </c>
      <c r="T287" t="n">
        <v>4.826334997414087</v>
      </c>
      <c r="U287" t="n">
        <v>7.338706652998232</v>
      </c>
      <c r="V287" t="n">
        <v>9.711074299889363</v>
      </c>
      <c r="W287" t="n">
        <v>11.97747635752806</v>
      </c>
      <c r="X287" t="n">
        <v>14.13393948207843</v>
      </c>
      <c r="Y287" t="n">
        <v>16.13741107117621</v>
      </c>
      <c r="Z287" t="n">
        <v>16.86484122855517</v>
      </c>
      <c r="AA287" t="n">
        <v>17.84304024302789</v>
      </c>
      <c r="AB287" t="n">
        <v>18.98341546530735</v>
      </c>
      <c r="AC287" t="n">
        <v>20.22988097570179</v>
      </c>
      <c r="AD287" t="n">
        <v>21.54933862204087</v>
      </c>
      <c r="AE287" t="n">
        <v>22.91957221846182</v>
      </c>
      <c r="AF287" t="n">
        <v>22.76330273226273</v>
      </c>
      <c r="AG287" t="n">
        <v>22.55657666154913</v>
      </c>
      <c r="AH287" t="n">
        <v>22.28204630950816</v>
      </c>
      <c r="AI287" t="n">
        <v>21.92594118292012</v>
      </c>
    </row>
    <row r="288">
      <c r="A288" t="inlineStr">
        <is>
          <t>Dominica_2023_May</t>
        </is>
      </c>
      <c r="B288" s="2" t="n"/>
      <c r="C288" s="3" t="inlineStr">
        <is>
          <t>SM.23.127, Sup. 1</t>
        </is>
      </c>
      <c r="D288" s="4" t="inlineStr">
        <is>
          <t>Dominica</t>
        </is>
      </c>
      <c r="E288" s="4" t="inlineStr">
        <is>
          <t>DMA</t>
        </is>
      </c>
      <c r="F288" s="10" t="n">
        <v>45047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Dominica_2023_May</t>
        </is>
      </c>
      <c r="B289" s="2" t="n"/>
      <c r="C289" s="3" t="inlineStr">
        <is>
          <t>SM.23.127, Sup. 1</t>
        </is>
      </c>
      <c r="D289" s="4" t="inlineStr">
        <is>
          <t>Dominica</t>
        </is>
      </c>
      <c r="E289" s="4" t="inlineStr">
        <is>
          <t>DMA</t>
        </is>
      </c>
      <c r="F289" s="10" t="n">
        <v>45047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Dominica_2023_May</t>
        </is>
      </c>
      <c r="B290" s="2" t="n"/>
      <c r="C290" s="3" t="inlineStr">
        <is>
          <t>SM.23.127, Sup. 1</t>
        </is>
      </c>
      <c r="D290" s="4" t="inlineStr">
        <is>
          <t>Dominica</t>
        </is>
      </c>
      <c r="E290" s="4" t="inlineStr">
        <is>
          <t>DMA</t>
        </is>
      </c>
      <c r="F290" s="10" t="n">
        <v>45047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Dominica_2023_May</t>
        </is>
      </c>
      <c r="B291" s="2" t="n"/>
      <c r="C291" s="3" t="inlineStr">
        <is>
          <t>SM.23.127, Sup. 1</t>
        </is>
      </c>
      <c r="D291" s="4" t="inlineStr">
        <is>
          <t>Dominica</t>
        </is>
      </c>
      <c r="E291" s="4" t="inlineStr">
        <is>
          <t>DMA</t>
        </is>
      </c>
      <c r="F291" s="10" t="n">
        <v>45047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Dominica_2023_May</t>
        </is>
      </c>
      <c r="B292" s="2" t="n"/>
      <c r="C292" s="3" t="inlineStr">
        <is>
          <t>SM.23.127, Sup. 1</t>
        </is>
      </c>
      <c r="D292" s="4" t="inlineStr">
        <is>
          <t>Dominica</t>
        </is>
      </c>
      <c r="E292" s="4" t="inlineStr">
        <is>
          <t>DMA</t>
        </is>
      </c>
      <c r="F292" s="10" t="n">
        <v>45047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3.420728424629754</v>
      </c>
      <c r="S292" t="n">
        <v>8.02739436611234</v>
      </c>
      <c r="T292" t="n">
        <v>12.16156483470915</v>
      </c>
      <c r="U292" t="n">
        <v>16.42500448538438</v>
      </c>
      <c r="V292" t="n">
        <v>20.9848426235501</v>
      </c>
      <c r="W292" t="n">
        <v>25.52237493201531</v>
      </c>
      <c r="X292" t="n">
        <v>29.84883975320799</v>
      </c>
      <c r="Y292" t="n">
        <v>34.06103796340754</v>
      </c>
      <c r="Z292" t="n">
        <v>32.47188328081081</v>
      </c>
      <c r="AA292" t="n">
        <v>32.57159711523134</v>
      </c>
      <c r="AB292" t="n">
        <v>33.03548445639192</v>
      </c>
      <c r="AC292" t="n">
        <v>33.31481731503506</v>
      </c>
      <c r="AD292" t="n">
        <v>33.68045943969354</v>
      </c>
      <c r="AE292" t="n">
        <v>34.23622051832184</v>
      </c>
      <c r="AF292" t="n">
        <v>28.56001500968098</v>
      </c>
      <c r="AG292" t="n">
        <v>23.32802523456721</v>
      </c>
      <c r="AH292" t="n">
        <v>18.62401385781451</v>
      </c>
      <c r="AI292" t="n">
        <v>14.50862973847124</v>
      </c>
      <c r="BI292" t="inlineStr">
        <is>
          <t>PV_NEW_COM</t>
        </is>
      </c>
    </row>
    <row r="293">
      <c r="A293" t="inlineStr">
        <is>
          <t>Dominica_2023_May</t>
        </is>
      </c>
      <c r="B293" s="2" t="n"/>
      <c r="C293" s="3" t="inlineStr">
        <is>
          <t>SM.23.127, Sup. 1</t>
        </is>
      </c>
      <c r="D293" s="4" t="inlineStr">
        <is>
          <t>Dominica</t>
        </is>
      </c>
      <c r="E293" s="4" t="inlineStr">
        <is>
          <t>DMA</t>
        </is>
      </c>
      <c r="F293" s="10" t="n">
        <v>45047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Dominica_2023_May</t>
        </is>
      </c>
      <c r="B294" s="2" t="n"/>
      <c r="C294" s="3" t="inlineStr">
        <is>
          <t>SM.23.127, Sup. 1</t>
        </is>
      </c>
      <c r="D294" s="4" t="inlineStr">
        <is>
          <t>Dominica</t>
        </is>
      </c>
      <c r="E294" s="4" t="inlineStr">
        <is>
          <t>DMA</t>
        </is>
      </c>
      <c r="F294" s="10" t="n">
        <v>45047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3.420728424629754</v>
      </c>
      <c r="S294" t="n">
        <v>8.02739436611234</v>
      </c>
      <c r="T294" t="n">
        <v>12.16156483470915</v>
      </c>
      <c r="U294" t="n">
        <v>16.42500448538438</v>
      </c>
      <c r="V294" t="n">
        <v>20.9848426235501</v>
      </c>
      <c r="W294" t="n">
        <v>25.52237493201531</v>
      </c>
      <c r="X294" t="n">
        <v>29.84883975320799</v>
      </c>
      <c r="Y294" t="n">
        <v>34.06103796340754</v>
      </c>
      <c r="Z294" t="n">
        <v>32.47188328081081</v>
      </c>
      <c r="AA294" t="n">
        <v>32.57159711523134</v>
      </c>
      <c r="AB294" t="n">
        <v>33.03548445639192</v>
      </c>
      <c r="AC294" t="n">
        <v>33.31481731503506</v>
      </c>
      <c r="AD294" t="n">
        <v>33.68045943969354</v>
      </c>
      <c r="AE294" t="n">
        <v>34.23622051832184</v>
      </c>
      <c r="AF294" t="n">
        <v>28.56001500968098</v>
      </c>
      <c r="AG294" t="n">
        <v>23.32802523456721</v>
      </c>
      <c r="AH294" t="n">
        <v>18.62401385781451</v>
      </c>
      <c r="AI294" t="n">
        <v>14.50862973847124</v>
      </c>
    </row>
    <row r="295">
      <c r="A295" t="inlineStr">
        <is>
          <t>Dominica_2023_May</t>
        </is>
      </c>
      <c r="B295" s="2" t="n"/>
      <c r="C295" s="3" t="inlineStr">
        <is>
          <t>SM.23.127, Sup. 1</t>
        </is>
      </c>
      <c r="D295" s="4" t="inlineStr">
        <is>
          <t>Dominica</t>
        </is>
      </c>
      <c r="E295" s="4" t="inlineStr">
        <is>
          <t>DMA</t>
        </is>
      </c>
      <c r="F295" s="10" t="n">
        <v>45047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Dominica_2023_May</t>
        </is>
      </c>
      <c r="B296" s="2" t="n"/>
      <c r="C296" s="3" t="inlineStr">
        <is>
          <t>SM.23.127, Sup. 1</t>
        </is>
      </c>
      <c r="D296" s="4" t="inlineStr">
        <is>
          <t>Dominica</t>
        </is>
      </c>
      <c r="E296" s="4" t="inlineStr">
        <is>
          <t>DMA</t>
        </is>
      </c>
      <c r="F296" s="10" t="n">
        <v>45047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Dominica_2023_May</t>
        </is>
      </c>
      <c r="B297" s="2" t="n"/>
      <c r="C297" s="3" t="inlineStr">
        <is>
          <t>SM.23.127, Sup. 1</t>
        </is>
      </c>
      <c r="D297" s="4" t="inlineStr">
        <is>
          <t>Dominica</t>
        </is>
      </c>
      <c r="E297" s="4" t="inlineStr">
        <is>
          <t>DMA</t>
        </is>
      </c>
      <c r="F297" s="10" t="n">
        <v>45047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Dominica_2023_May</t>
        </is>
      </c>
      <c r="B298" s="2" t="n"/>
      <c r="C298" s="3" t="inlineStr">
        <is>
          <t>SM.23.127, Sup. 1</t>
        </is>
      </c>
      <c r="D298" s="4" t="inlineStr">
        <is>
          <t>Dominica</t>
        </is>
      </c>
      <c r="E298" s="4" t="inlineStr">
        <is>
          <t>DMA</t>
        </is>
      </c>
      <c r="F298" s="10" t="n">
        <v>45047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Dominica_2023_May</t>
        </is>
      </c>
      <c r="B299" s="2" t="n"/>
      <c r="C299" s="3" t="inlineStr">
        <is>
          <t>SM.23.127, Sup. 1</t>
        </is>
      </c>
      <c r="D299" s="4" t="inlineStr">
        <is>
          <t>Dominica</t>
        </is>
      </c>
      <c r="E299" s="4" t="inlineStr">
        <is>
          <t>DMA</t>
        </is>
      </c>
      <c r="F299" s="10" t="n">
        <v>45047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Dominica_2023_May</t>
        </is>
      </c>
      <c r="B300" s="2" t="n"/>
      <c r="C300" s="3" t="inlineStr">
        <is>
          <t>SM.23.127, Sup. 1</t>
        </is>
      </c>
      <c r="D300" s="4" t="inlineStr">
        <is>
          <t>Dominica</t>
        </is>
      </c>
      <c r="E300" s="4" t="inlineStr">
        <is>
          <t>DMA</t>
        </is>
      </c>
      <c r="F300" s="10" t="n">
        <v>45047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Dominica_2023_May</t>
        </is>
      </c>
      <c r="B301" s="2" t="n"/>
      <c r="C301" s="3" t="inlineStr">
        <is>
          <t>SM.23.127, Sup. 1</t>
        </is>
      </c>
      <c r="D301" s="4" t="inlineStr">
        <is>
          <t>Dominica</t>
        </is>
      </c>
      <c r="E301" s="4" t="inlineStr">
        <is>
          <t>DMA</t>
        </is>
      </c>
      <c r="F301" s="10" t="n">
        <v>45047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Dominica_2023_May</t>
        </is>
      </c>
      <c r="B302" s="2" t="n"/>
      <c r="C302" s="3" t="inlineStr">
        <is>
          <t>SM.23.127, Sup. 1</t>
        </is>
      </c>
      <c r="D302" s="4" t="inlineStr">
        <is>
          <t>Dominica</t>
        </is>
      </c>
      <c r="E302" s="4" t="inlineStr">
        <is>
          <t>DMA</t>
        </is>
      </c>
      <c r="F302" s="10" t="n">
        <v>45047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Dominica_2023_May</t>
        </is>
      </c>
      <c r="B303" s="2" t="n"/>
      <c r="C303" s="3" t="inlineStr">
        <is>
          <t>SM.23.127, Sup. 1</t>
        </is>
      </c>
      <c r="D303" s="4" t="inlineStr">
        <is>
          <t>Dominica</t>
        </is>
      </c>
      <c r="E303" s="4" t="inlineStr">
        <is>
          <t>DMA</t>
        </is>
      </c>
      <c r="F303" s="10" t="n">
        <v>45047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Dominica_2023_May</t>
        </is>
      </c>
      <c r="B304" s="2" t="n"/>
      <c r="C304" s="3" t="inlineStr">
        <is>
          <t>SM.23.127, Sup. 1</t>
        </is>
      </c>
      <c r="D304" s="4" t="inlineStr">
        <is>
          <t>Dominica</t>
        </is>
      </c>
      <c r="E304" s="4" t="inlineStr">
        <is>
          <t>DMA</t>
        </is>
      </c>
      <c r="F304" s="10" t="n">
        <v>45047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Dominica_2023_May</t>
        </is>
      </c>
      <c r="B305" s="2" t="n"/>
      <c r="C305" s="3" t="inlineStr">
        <is>
          <t>SM.23.127, Sup. 1</t>
        </is>
      </c>
      <c r="D305" s="4" t="inlineStr">
        <is>
          <t>Dominica</t>
        </is>
      </c>
      <c r="E305" s="4" t="inlineStr">
        <is>
          <t>DMA</t>
        </is>
      </c>
      <c r="F305" s="10" t="n">
        <v>45047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Dominica_2023_May</t>
        </is>
      </c>
      <c r="B306" s="2" t="n"/>
      <c r="C306" s="3" t="inlineStr">
        <is>
          <t>SM.23.127, Sup. 1</t>
        </is>
      </c>
      <c r="D306" s="4" t="inlineStr">
        <is>
          <t>Dominica</t>
        </is>
      </c>
      <c r="E306" s="4" t="inlineStr">
        <is>
          <t>DMA</t>
        </is>
      </c>
      <c r="F306" s="10" t="n">
        <v>45047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Dominica_2023_May</t>
        </is>
      </c>
      <c r="B307" s="2" t="n"/>
      <c r="C307" s="3" t="inlineStr">
        <is>
          <t>SM.23.127, Sup. 1</t>
        </is>
      </c>
      <c r="D307" s="4" t="inlineStr">
        <is>
          <t>Dominica</t>
        </is>
      </c>
      <c r="E307" s="4" t="inlineStr">
        <is>
          <t>DMA</t>
        </is>
      </c>
      <c r="F307" s="10" t="n">
        <v>45047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 held by residents</t>
        </is>
      </c>
    </row>
    <row r="308">
      <c r="A308" t="inlineStr">
        <is>
          <t>Dominica_2023_May</t>
        </is>
      </c>
      <c r="B308" s="2" t="n"/>
      <c r="C308" s="3" t="inlineStr">
        <is>
          <t>SM.23.127, Sup. 1</t>
        </is>
      </c>
      <c r="D308" s="4" t="inlineStr">
        <is>
          <t>Dominica</t>
        </is>
      </c>
      <c r="E308" s="4" t="inlineStr">
        <is>
          <t>DMA</t>
        </is>
      </c>
      <c r="F308" s="10" t="n">
        <v>45047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Dominica_2023_May</t>
        </is>
      </c>
      <c r="B309" s="2" t="n"/>
      <c r="C309" s="3" t="inlineStr">
        <is>
          <t>SM.23.127, Sup. 1</t>
        </is>
      </c>
      <c r="D309" s="4" t="inlineStr">
        <is>
          <t>Dominica</t>
        </is>
      </c>
      <c r="E309" s="4" t="inlineStr">
        <is>
          <t>DMA</t>
        </is>
      </c>
      <c r="F309" s="10" t="n">
        <v>45047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Dominica_2023_May</t>
        </is>
      </c>
      <c r="B310" s="2" t="n"/>
      <c r="C310" s="3" t="inlineStr">
        <is>
          <t>SM.23.127, Sup. 1</t>
        </is>
      </c>
      <c r="D310" s="4" t="inlineStr">
        <is>
          <t>Dominica</t>
        </is>
      </c>
      <c r="E310" s="4" t="inlineStr">
        <is>
          <t>DMA</t>
        </is>
      </c>
      <c r="F310" s="10" t="n">
        <v>45047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Dominica_2023_May</t>
        </is>
      </c>
      <c r="B311" s="2" t="n"/>
      <c r="C311" s="3" t="inlineStr">
        <is>
          <t>SM.23.127, Sup. 1</t>
        </is>
      </c>
      <c r="D311" s="4" t="inlineStr">
        <is>
          <t>Dominica</t>
        </is>
      </c>
      <c r="E311" s="4" t="inlineStr">
        <is>
          <t>DMA</t>
        </is>
      </c>
      <c r="F311" s="10" t="n">
        <v>45047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Dominica_2023_May</t>
        </is>
      </c>
      <c r="B312" s="2" t="n"/>
      <c r="C312" s="3" t="inlineStr">
        <is>
          <t>SM.23.127, Sup. 1</t>
        </is>
      </c>
      <c r="D312" s="4" t="inlineStr">
        <is>
          <t>Dominica</t>
        </is>
      </c>
      <c r="E312" s="4" t="inlineStr">
        <is>
          <t>DMA</t>
        </is>
      </c>
      <c r="F312" s="10" t="n">
        <v>45047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Dominica_2023_May</t>
        </is>
      </c>
      <c r="B313" s="2" t="n"/>
      <c r="C313" s="3" t="inlineStr">
        <is>
          <t>SM.23.127, Sup. 1</t>
        </is>
      </c>
      <c r="D313" s="4" t="inlineStr">
        <is>
          <t>Dominica</t>
        </is>
      </c>
      <c r="E313" s="4" t="inlineStr">
        <is>
          <t>DMA</t>
        </is>
      </c>
      <c r="F313" s="10" t="n">
        <v>45047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24.32609340744827</v>
      </c>
      <c r="P313" t="n">
        <v>60.30657798792225</v>
      </c>
      <c r="Q313" t="n">
        <v>107.1583851333253</v>
      </c>
      <c r="R313" t="n">
        <v>155.6635193765031</v>
      </c>
      <c r="S313" t="n">
        <v>206.265055905073</v>
      </c>
      <c r="T313" t="n">
        <v>259.9908390641162</v>
      </c>
      <c r="U313" t="n">
        <v>314.936938595549</v>
      </c>
      <c r="V313" t="n">
        <v>371.459659985003</v>
      </c>
      <c r="W313" t="n">
        <v>411.1572667855939</v>
      </c>
      <c r="X313" t="n">
        <v>525.0164027191092</v>
      </c>
      <c r="Y313" t="n">
        <v>547.1377429005676</v>
      </c>
      <c r="Z313" t="n">
        <v>554.0466391608476</v>
      </c>
      <c r="AA313" t="n">
        <v>560.0297240771689</v>
      </c>
      <c r="AB313" t="n">
        <v>563.7334536207056</v>
      </c>
      <c r="AC313" t="n">
        <v>564.7638327255416</v>
      </c>
      <c r="AD313" t="n">
        <v>547.7979872742108</v>
      </c>
      <c r="AE313" t="n">
        <v>529.1704336642887</v>
      </c>
      <c r="AF313" t="n">
        <v>498.4954195367918</v>
      </c>
      <c r="AG313" t="n">
        <v>466.235832789404</v>
      </c>
      <c r="AH313" t="n">
        <v>433.1992012472041</v>
      </c>
      <c r="AI313" t="n">
        <v>415.819788254243</v>
      </c>
      <c r="BI313" t="inlineStr">
        <is>
          <t>NOM_NEW_MLT</t>
        </is>
      </c>
    </row>
    <row r="314">
      <c r="A314" t="inlineStr">
        <is>
          <t>Dominica_2023_May</t>
        </is>
      </c>
      <c r="B314" s="2" t="n"/>
      <c r="C314" s="3" t="inlineStr">
        <is>
          <t>SM.23.127, Sup. 1</t>
        </is>
      </c>
      <c r="D314" s="4" t="inlineStr">
        <is>
          <t>Dominica</t>
        </is>
      </c>
      <c r="E314" s="4" t="inlineStr">
        <is>
          <t>DMA</t>
        </is>
      </c>
      <c r="F314" s="10" t="n">
        <v>45047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20.5185185185185</v>
      </c>
      <c r="P314" t="n">
        <v>51.9686261481481</v>
      </c>
      <c r="Q314" t="n">
        <v>94.3491311541255</v>
      </c>
      <c r="R314" t="n">
        <v>134.9255308774646</v>
      </c>
      <c r="S314" t="n">
        <v>172.1054154805046</v>
      </c>
      <c r="T314" t="n">
        <v>211.6654295967515</v>
      </c>
      <c r="U314" t="n">
        <v>253.0878732871573</v>
      </c>
      <c r="V314" t="n">
        <v>296.4382930909082</v>
      </c>
      <c r="W314" t="n">
        <v>323.5893857766915</v>
      </c>
      <c r="X314" t="n">
        <v>425.6594659621661</v>
      </c>
      <c r="Y314" t="n">
        <v>436.6201219065053</v>
      </c>
      <c r="Z314" t="n">
        <v>441.5045711528745</v>
      </c>
      <c r="AA314" t="n">
        <v>443.1290535371544</v>
      </c>
      <c r="AB314" t="n">
        <v>441.8191932085812</v>
      </c>
      <c r="AC314" t="n">
        <v>437.9108808835948</v>
      </c>
      <c r="AD314" t="n">
        <v>415.897181729744</v>
      </c>
      <c r="AE314" t="n">
        <v>392.0664970203258</v>
      </c>
      <c r="AF314" t="n">
        <v>366.3951359759543</v>
      </c>
      <c r="AG314" t="n">
        <v>338.816432793645</v>
      </c>
      <c r="AH314" t="n">
        <v>310.0752215905178</v>
      </c>
      <c r="AI314" t="n">
        <v>296.5654548765496</v>
      </c>
      <c r="BI314" t="inlineStr">
        <is>
          <t>NOM_NEW_ML</t>
        </is>
      </c>
    </row>
    <row r="315">
      <c r="A315" t="inlineStr">
        <is>
          <t>Dominica_2023_May</t>
        </is>
      </c>
      <c r="B315" s="2" t="n"/>
      <c r="C315" s="3" t="inlineStr">
        <is>
          <t>SM.23.127, Sup. 1</t>
        </is>
      </c>
      <c r="D315" s="4" t="inlineStr">
        <is>
          <t>Dominica</t>
        </is>
      </c>
      <c r="E315" s="4" t="inlineStr">
        <is>
          <t>DMA</t>
        </is>
      </c>
      <c r="F315" s="10" t="n">
        <v>45047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81</v>
      </c>
      <c r="Y315" t="n">
        <v>81</v>
      </c>
      <c r="Z315" t="n">
        <v>81</v>
      </c>
      <c r="AA315" t="n">
        <v>81</v>
      </c>
      <c r="AB315" t="n">
        <v>81</v>
      </c>
      <c r="AC315" t="n">
        <v>81</v>
      </c>
      <c r="AD315" t="n">
        <v>64.8</v>
      </c>
      <c r="AE315" t="n">
        <v>48.59999999999999</v>
      </c>
      <c r="AF315" t="n">
        <v>32.39999999999999</v>
      </c>
      <c r="AG315" t="n">
        <v>16.19999999999999</v>
      </c>
      <c r="AH315" t="n">
        <v>0</v>
      </c>
      <c r="AI315" t="n">
        <v>-3.7037037037037e-07</v>
      </c>
    </row>
    <row r="316">
      <c r="A316" t="inlineStr">
        <is>
          <t>Dominica_2023_May</t>
        </is>
      </c>
      <c r="B316" s="2" t="n"/>
      <c r="C316" s="3" t="inlineStr">
        <is>
          <t>SM.23.127, Sup. 1</t>
        </is>
      </c>
      <c r="D316" s="4" t="inlineStr">
        <is>
          <t>Dominica</t>
        </is>
      </c>
      <c r="E316" s="4" t="inlineStr">
        <is>
          <t>DMA</t>
        </is>
      </c>
      <c r="F316" s="10" t="n">
        <v>45047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16.5185185185185</v>
      </c>
      <c r="P316" t="n">
        <v>36.3389965185185</v>
      </c>
      <c r="Q316" t="n">
        <v>66.31185559259259</v>
      </c>
      <c r="R316" t="n">
        <v>93.78661473148149</v>
      </c>
      <c r="S316" t="n">
        <v>117.2332684143519</v>
      </c>
      <c r="T316" t="n">
        <v>142.4119558883102</v>
      </c>
      <c r="U316" t="n">
        <v>168.7760203960635</v>
      </c>
      <c r="V316" t="n">
        <v>196.3671802196205</v>
      </c>
      <c r="W316" t="n">
        <v>213.6479849054574</v>
      </c>
      <c r="X316" t="n">
        <v>224.4423541028439</v>
      </c>
      <c r="Y316" t="n">
        <v>230.0575850781057</v>
      </c>
      <c r="Z316" t="n">
        <v>232.428010934546</v>
      </c>
      <c r="AA316" t="n">
        <v>233.647953666435</v>
      </c>
      <c r="AB316" t="n">
        <v>232.7022908831723</v>
      </c>
      <c r="AC316" t="n">
        <v>229.9708186680475</v>
      </c>
      <c r="AD316" t="n">
        <v>226.1862518855716</v>
      </c>
      <c r="AE316" t="n">
        <v>221.4776426295607</v>
      </c>
      <c r="AF316" t="n">
        <v>215.863778151048</v>
      </c>
      <c r="AG316" t="n">
        <v>209.3219518122113</v>
      </c>
      <c r="AH316" t="n">
        <v>202.2015216214847</v>
      </c>
      <c r="AI316" t="n">
        <v>194.7204744115114</v>
      </c>
    </row>
    <row r="317">
      <c r="A317" t="inlineStr">
        <is>
          <t>Dominica_2023_May</t>
        </is>
      </c>
      <c r="B317" s="2" t="n"/>
      <c r="C317" s="3" t="inlineStr">
        <is>
          <t>SM.23.127, Sup. 1</t>
        </is>
      </c>
      <c r="D317" s="4" t="inlineStr">
        <is>
          <t>Dominica</t>
        </is>
      </c>
      <c r="E317" s="4" t="inlineStr">
        <is>
          <t>DMA</t>
        </is>
      </c>
      <c r="F317" s="10" t="n">
        <v>45047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Dominica_2023_May</t>
        </is>
      </c>
      <c r="B318" s="2" t="n"/>
      <c r="C318" s="3" t="inlineStr">
        <is>
          <t>SM.23.127, Sup. 1</t>
        </is>
      </c>
      <c r="D318" s="4" t="inlineStr">
        <is>
          <t>Dominica</t>
        </is>
      </c>
      <c r="E318" s="4" t="inlineStr">
        <is>
          <t>DMA</t>
        </is>
      </c>
      <c r="F318" s="10" t="n">
        <v>45047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CDB</t>
        </is>
      </c>
      <c r="M318" t="n">
        <v>108</v>
      </c>
      <c r="O318" t="n">
        <v>4</v>
      </c>
      <c r="P318" t="n">
        <v>15.6296296296296</v>
      </c>
      <c r="Q318" t="n">
        <v>28.0372755615329</v>
      </c>
      <c r="R318" t="n">
        <v>41.1389161459831</v>
      </c>
      <c r="S318" t="n">
        <v>54.87214706615271</v>
      </c>
      <c r="T318" t="n">
        <v>69.25347370844131</v>
      </c>
      <c r="U318" t="n">
        <v>84.31185289109381</v>
      </c>
      <c r="V318" t="n">
        <v>100.0711128712877</v>
      </c>
      <c r="W318" t="n">
        <v>109.9414008712341</v>
      </c>
      <c r="X318" t="n">
        <v>120.2171118593222</v>
      </c>
      <c r="Y318" t="n">
        <v>125.5625368283996</v>
      </c>
      <c r="Z318" t="n">
        <v>128.0765602183285</v>
      </c>
      <c r="AA318" t="n">
        <v>128.4810998707194</v>
      </c>
      <c r="AB318" t="n">
        <v>128.1169023254089</v>
      </c>
      <c r="AC318" t="n">
        <v>126.9400622155472</v>
      </c>
      <c r="AD318" t="n">
        <v>124.9109298441725</v>
      </c>
      <c r="AE318" t="n">
        <v>121.988854390765</v>
      </c>
      <c r="AF318" t="n">
        <v>118.1313578249063</v>
      </c>
      <c r="AG318" t="n">
        <v>113.2944809814337</v>
      </c>
      <c r="AH318" t="n">
        <v>107.8736999690331</v>
      </c>
      <c r="AI318" t="n">
        <v>101.8449808354084</v>
      </c>
    </row>
    <row r="319">
      <c r="A319" t="inlineStr">
        <is>
          <t>Dominica_2023_May</t>
        </is>
      </c>
      <c r="B319" s="2" t="n"/>
      <c r="C319" s="3" t="inlineStr">
        <is>
          <t>SM.23.127, Sup. 1</t>
        </is>
      </c>
      <c r="D319" s="4" t="inlineStr">
        <is>
          <t>Dominica</t>
        </is>
      </c>
      <c r="E319" s="4" t="inlineStr">
        <is>
          <t>DMA</t>
        </is>
      </c>
      <c r="F319" s="10" t="n">
        <v>45047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MULTIRES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Dominica_2023_May</t>
        </is>
      </c>
      <c r="B320" s="2" t="n"/>
      <c r="C320" s="3" t="inlineStr">
        <is>
          <t>SM.23.127, Sup. 1</t>
        </is>
      </c>
      <c r="D320" s="4" t="inlineStr">
        <is>
          <t>Dominica</t>
        </is>
      </c>
      <c r="E320" s="4" t="inlineStr">
        <is>
          <t>DMA</t>
        </is>
      </c>
      <c r="F320" s="10" t="n">
        <v>45047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Dominica_2023_May</t>
        </is>
      </c>
      <c r="B321" s="2" t="n"/>
      <c r="C321" s="3" t="inlineStr">
        <is>
          <t>SM.23.127, Sup. 1</t>
        </is>
      </c>
      <c r="D321" s="4" t="inlineStr">
        <is>
          <t>Dominica</t>
        </is>
      </c>
      <c r="E321" s="4" t="inlineStr">
        <is>
          <t>DMA</t>
        </is>
      </c>
      <c r="F321" s="10" t="n">
        <v>45047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3.80757488892977</v>
      </c>
      <c r="P321" t="n">
        <v>8.337951839774149</v>
      </c>
      <c r="Q321" t="n">
        <v>12.80925397919983</v>
      </c>
      <c r="R321" t="n">
        <v>16.92512199624384</v>
      </c>
      <c r="S321" t="n">
        <v>21.17148462145421</v>
      </c>
      <c r="T321" t="n">
        <v>25.40572377593317</v>
      </c>
      <c r="U321" t="n">
        <v>29.57299278796482</v>
      </c>
      <c r="V321" t="n">
        <v>33.51688573331163</v>
      </c>
      <c r="W321" t="n">
        <v>37.24314836898385</v>
      </c>
      <c r="X321" t="n">
        <v>40.82932923953352</v>
      </c>
      <c r="Y321" t="n">
        <v>44.24902023011251</v>
      </c>
      <c r="Z321" t="n">
        <v>47.50582315530801</v>
      </c>
      <c r="AA321" t="n">
        <v>50.58055057921188</v>
      </c>
      <c r="AB321" t="n">
        <v>53.481458763582</v>
      </c>
      <c r="AC321" t="n">
        <v>56.21730607112578</v>
      </c>
      <c r="AD321" t="n">
        <v>58.78309282818162</v>
      </c>
      <c r="AE321" t="n">
        <v>61.17810104932529</v>
      </c>
      <c r="AF321" t="n">
        <v>63.40075187018691</v>
      </c>
      <c r="AG321" t="n">
        <v>65.45298829475698</v>
      </c>
      <c r="AH321" t="n">
        <v>67.33549082952565</v>
      </c>
      <c r="AI321" t="n">
        <v>69.04732456379213</v>
      </c>
    </row>
    <row r="322">
      <c r="A322" t="inlineStr">
        <is>
          <t>Dominica_2023_May</t>
        </is>
      </c>
      <c r="B322" s="2" t="n"/>
      <c r="C322" s="3" t="inlineStr">
        <is>
          <t>SM.23.127, Sup. 1</t>
        </is>
      </c>
      <c r="D322" s="4" t="inlineStr">
        <is>
          <t>Dominica</t>
        </is>
      </c>
      <c r="E322" s="4" t="inlineStr">
        <is>
          <t>DMA</t>
        </is>
      </c>
      <c r="F322" s="10" t="n">
        <v>45047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3.80757488892977</v>
      </c>
      <c r="P322" t="n">
        <v>8.337951839774149</v>
      </c>
      <c r="Q322" t="n">
        <v>12.80925397919983</v>
      </c>
      <c r="R322" t="n">
        <v>16.92512199624384</v>
      </c>
      <c r="S322" t="n">
        <v>21.17148462145421</v>
      </c>
      <c r="T322" t="n">
        <v>25.40572377593317</v>
      </c>
      <c r="U322" t="n">
        <v>29.57299278796482</v>
      </c>
      <c r="V322" t="n">
        <v>33.51688573331163</v>
      </c>
      <c r="W322" t="n">
        <v>37.24314836898385</v>
      </c>
      <c r="X322" t="n">
        <v>40.82932923953352</v>
      </c>
      <c r="Y322" t="n">
        <v>44.24902023011251</v>
      </c>
      <c r="Z322" t="n">
        <v>47.50582315530801</v>
      </c>
      <c r="AA322" t="n">
        <v>50.58055057921188</v>
      </c>
      <c r="AB322" t="n">
        <v>53.481458763582</v>
      </c>
      <c r="AC322" t="n">
        <v>56.21730607112578</v>
      </c>
      <c r="AD322" t="n">
        <v>58.78309282818162</v>
      </c>
      <c r="AE322" t="n">
        <v>61.17810104932529</v>
      </c>
      <c r="AF322" t="n">
        <v>63.40075187018691</v>
      </c>
      <c r="AG322" t="n">
        <v>65.45298829475698</v>
      </c>
      <c r="AH322" t="n">
        <v>67.33549082952565</v>
      </c>
      <c r="AI322" t="n">
        <v>69.04732456379213</v>
      </c>
    </row>
    <row r="323">
      <c r="A323" t="inlineStr">
        <is>
          <t>Dominica_2023_May</t>
        </is>
      </c>
      <c r="B323" s="2" t="n"/>
      <c r="C323" s="3" t="inlineStr">
        <is>
          <t>SM.23.127, Sup. 1</t>
        </is>
      </c>
      <c r="D323" s="4" t="inlineStr">
        <is>
          <t>Dominica</t>
        </is>
      </c>
      <c r="E323" s="4" t="inlineStr">
        <is>
          <t>DMA</t>
        </is>
      </c>
      <c r="F323" s="10" t="n">
        <v>45047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Dominica_2023_May</t>
        </is>
      </c>
      <c r="B324" s="2" t="n"/>
      <c r="C324" s="3" t="inlineStr">
        <is>
          <t>SM.23.127, Sup. 1</t>
        </is>
      </c>
      <c r="D324" s="4" t="inlineStr">
        <is>
          <t>Dominica</t>
        </is>
      </c>
      <c r="E324" s="4" t="inlineStr">
        <is>
          <t>DMA</t>
        </is>
      </c>
      <c r="F324" s="10" t="n">
        <v>45047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Dominica_2023_May</t>
        </is>
      </c>
      <c r="B325" s="2" t="n"/>
      <c r="C325" s="3" t="inlineStr">
        <is>
          <t>SM.23.127, Sup. 1</t>
        </is>
      </c>
      <c r="D325" s="4" t="inlineStr">
        <is>
          <t>Dominica</t>
        </is>
      </c>
      <c r="E325" s="4" t="inlineStr">
        <is>
          <t>DMA</t>
        </is>
      </c>
      <c r="F325" s="10" t="n">
        <v>45047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4.06819332997302</v>
      </c>
      <c r="T325" t="n">
        <v>9.454105752537171</v>
      </c>
      <c r="U325" t="n">
        <v>14.14810616704509</v>
      </c>
      <c r="V325" t="n">
        <v>18.40817949869062</v>
      </c>
      <c r="W325" t="n">
        <v>22.30714746441695</v>
      </c>
      <c r="X325" t="n">
        <v>25.84047377013213</v>
      </c>
      <c r="Y325" t="n">
        <v>29.04772262070079</v>
      </c>
      <c r="Z325" t="n">
        <v>29.74846232920305</v>
      </c>
      <c r="AA325" t="n">
        <v>31.02853676572375</v>
      </c>
      <c r="AB325" t="n">
        <v>32.68582675062201</v>
      </c>
      <c r="AC325" t="n">
        <v>34.58966653922528</v>
      </c>
      <c r="AD325" t="n">
        <v>36.65784094115983</v>
      </c>
      <c r="AE325" t="n">
        <v>38.83623708171184</v>
      </c>
      <c r="AF325" t="n">
        <v>37.92235135540678</v>
      </c>
      <c r="AG325" t="n">
        <v>36.95668366163411</v>
      </c>
      <c r="AH325" t="n">
        <v>35.92389131313202</v>
      </c>
      <c r="AI325" t="n">
        <v>34.81292278419988</v>
      </c>
      <c r="BI325" t="inlineStr">
        <is>
          <t>NOM_NEW_OB</t>
        </is>
      </c>
    </row>
    <row r="326">
      <c r="A326" t="inlineStr">
        <is>
          <t>Dominica_2023_May</t>
        </is>
      </c>
      <c r="B326" s="2" t="n"/>
      <c r="C326" s="3" t="inlineStr">
        <is>
          <t>SM.23.127, Sup. 1</t>
        </is>
      </c>
      <c r="D326" s="4" t="inlineStr">
        <is>
          <t>Dominica</t>
        </is>
      </c>
      <c r="E326" s="4" t="inlineStr">
        <is>
          <t>DMA</t>
        </is>
      </c>
      <c r="F326" s="10" t="n">
        <v>45047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Dominica_2023_May</t>
        </is>
      </c>
      <c r="B327" s="2" t="n"/>
      <c r="C327" s="3" t="inlineStr">
        <is>
          <t>SM.23.127, Sup. 1</t>
        </is>
      </c>
      <c r="D327" s="4" t="inlineStr">
        <is>
          <t>Dominica</t>
        </is>
      </c>
      <c r="E327" s="4" t="inlineStr">
        <is>
          <t>DMA</t>
        </is>
      </c>
      <c r="F327" s="10" t="n">
        <v>45047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Dominica_2023_May</t>
        </is>
      </c>
      <c r="B328" s="2" t="n"/>
      <c r="C328" s="3" t="inlineStr">
        <is>
          <t>SM.23.127, Sup. 1</t>
        </is>
      </c>
      <c r="D328" s="4" t="inlineStr">
        <is>
          <t>Dominica</t>
        </is>
      </c>
      <c r="E328" s="4" t="inlineStr">
        <is>
          <t>DMA</t>
        </is>
      </c>
      <c r="F328" s="10" t="n">
        <v>45047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Dominica_2023_May</t>
        </is>
      </c>
      <c r="B329" s="2" t="n"/>
      <c r="C329" s="3" t="inlineStr">
        <is>
          <t>SM.23.127, Sup. 1</t>
        </is>
      </c>
      <c r="D329" s="4" t="inlineStr">
        <is>
          <t>Dominica</t>
        </is>
      </c>
      <c r="E329" s="4" t="inlineStr">
        <is>
          <t>DMA</t>
        </is>
      </c>
      <c r="F329" s="10" t="n">
        <v>45047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Dominica_2023_May</t>
        </is>
      </c>
      <c r="B330" s="2" t="n"/>
      <c r="C330" s="3" t="inlineStr">
        <is>
          <t>SM.23.127, Sup. 1</t>
        </is>
      </c>
      <c r="D330" s="4" t="inlineStr">
        <is>
          <t>Dominica</t>
        </is>
      </c>
      <c r="E330" s="4" t="inlineStr">
        <is>
          <t>DMA</t>
        </is>
      </c>
      <c r="F330" s="10" t="n">
        <v>45047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Dominica_2023_May</t>
        </is>
      </c>
      <c r="B331" s="2" t="n"/>
      <c r="C331" s="3" t="inlineStr">
        <is>
          <t>SM.23.127, Sup. 1</t>
        </is>
      </c>
      <c r="D331" s="4" t="inlineStr">
        <is>
          <t>Dominica</t>
        </is>
      </c>
      <c r="E331" s="4" t="inlineStr">
        <is>
          <t>DMA</t>
        </is>
      </c>
      <c r="F331" s="10" t="n">
        <v>45047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Dominica_2023_May</t>
        </is>
      </c>
      <c r="B332" s="2" t="n"/>
      <c r="C332" s="3" t="inlineStr">
        <is>
          <t>SM.23.127, Sup. 1</t>
        </is>
      </c>
      <c r="D332" s="4" t="inlineStr">
        <is>
          <t>Dominica</t>
        </is>
      </c>
      <c r="E332" s="4" t="inlineStr">
        <is>
          <t>DMA</t>
        </is>
      </c>
      <c r="F332" s="10" t="n">
        <v>45047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4.06819332997302</v>
      </c>
      <c r="T332" t="n">
        <v>9.454105752537171</v>
      </c>
      <c r="U332" t="n">
        <v>14.14810616704509</v>
      </c>
      <c r="V332" t="n">
        <v>18.40817949869062</v>
      </c>
      <c r="W332" t="n">
        <v>22.30714746441695</v>
      </c>
      <c r="X332" t="n">
        <v>25.84047377013213</v>
      </c>
      <c r="Y332" t="n">
        <v>29.04772262070079</v>
      </c>
      <c r="Z332" t="n">
        <v>29.74846232920305</v>
      </c>
      <c r="AA332" t="n">
        <v>31.02853676572375</v>
      </c>
      <c r="AB332" t="n">
        <v>32.68582675062201</v>
      </c>
      <c r="AC332" t="n">
        <v>34.58966653922528</v>
      </c>
      <c r="AD332" t="n">
        <v>36.65784094115983</v>
      </c>
      <c r="AE332" t="n">
        <v>38.83623708171184</v>
      </c>
      <c r="AF332" t="n">
        <v>37.92235135540678</v>
      </c>
      <c r="AG332" t="n">
        <v>36.95668366163411</v>
      </c>
      <c r="AH332" t="n">
        <v>35.92389131313202</v>
      </c>
      <c r="AI332" t="n">
        <v>34.81292278419988</v>
      </c>
    </row>
    <row r="333">
      <c r="A333" t="inlineStr">
        <is>
          <t>Dominica_2023_May</t>
        </is>
      </c>
      <c r="B333" s="2" t="n"/>
      <c r="C333" s="3" t="inlineStr">
        <is>
          <t>SM.23.127, Sup. 1</t>
        </is>
      </c>
      <c r="D333" s="4" t="inlineStr">
        <is>
          <t>Dominica</t>
        </is>
      </c>
      <c r="E333" s="4" t="inlineStr">
        <is>
          <t>DMA</t>
        </is>
      </c>
      <c r="F333" s="10" t="n">
        <v>45047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NPC2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4.06819332997302</v>
      </c>
      <c r="T333" t="n">
        <v>9.454105752537171</v>
      </c>
      <c r="U333" t="n">
        <v>14.14810616704509</v>
      </c>
      <c r="V333" t="n">
        <v>18.40817949869062</v>
      </c>
      <c r="W333" t="n">
        <v>22.30714746441695</v>
      </c>
      <c r="X333" t="n">
        <v>25.84047377013213</v>
      </c>
      <c r="Y333" t="n">
        <v>29.04772262070079</v>
      </c>
      <c r="Z333" t="n">
        <v>29.74846232920305</v>
      </c>
      <c r="AA333" t="n">
        <v>31.02853676572375</v>
      </c>
      <c r="AB333" t="n">
        <v>32.68582675062201</v>
      </c>
      <c r="AC333" t="n">
        <v>34.58966653922528</v>
      </c>
      <c r="AD333" t="n">
        <v>36.65784094115983</v>
      </c>
      <c r="AE333" t="n">
        <v>38.83623708171184</v>
      </c>
      <c r="AF333" t="n">
        <v>37.92235135540678</v>
      </c>
      <c r="AG333" t="n">
        <v>36.95668366163411</v>
      </c>
      <c r="AH333" t="n">
        <v>35.92389131313202</v>
      </c>
      <c r="AI333" t="n">
        <v>34.81292278419988</v>
      </c>
    </row>
    <row r="334">
      <c r="A334" t="inlineStr">
        <is>
          <t>Dominica_2023_May</t>
        </is>
      </c>
      <c r="B334" s="2" t="n"/>
      <c r="C334" s="3" t="inlineStr">
        <is>
          <t>SM.23.127, Sup. 1</t>
        </is>
      </c>
      <c r="D334" s="4" t="inlineStr">
        <is>
          <t>Dominica</t>
        </is>
      </c>
      <c r="E334" s="4" t="inlineStr">
        <is>
          <t>DMA</t>
        </is>
      </c>
      <c r="F334" s="10" t="n">
        <v>45047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Dominica_2023_May</t>
        </is>
      </c>
      <c r="B335" s="2" t="n"/>
      <c r="C335" s="3" t="inlineStr">
        <is>
          <t>SM.23.127, Sup. 1</t>
        </is>
      </c>
      <c r="D335" s="4" t="inlineStr">
        <is>
          <t>Dominica</t>
        </is>
      </c>
      <c r="E335" s="4" t="inlineStr">
        <is>
          <t>DMA</t>
        </is>
      </c>
      <c r="F335" s="10" t="n">
        <v>45047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Dominica_2023_May</t>
        </is>
      </c>
      <c r="B336" s="2" t="n"/>
      <c r="C336" s="3" t="inlineStr">
        <is>
          <t>SM.23.127, Sup. 1</t>
        </is>
      </c>
      <c r="D336" s="4" t="inlineStr">
        <is>
          <t>Dominica</t>
        </is>
      </c>
      <c r="E336" s="4" t="inlineStr">
        <is>
          <t>DMA</t>
        </is>
      </c>
      <c r="F336" s="10" t="n">
        <v>45047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Dominica_2023_May</t>
        </is>
      </c>
      <c r="B337" s="2" t="n"/>
      <c r="C337" s="3" t="inlineStr">
        <is>
          <t>SM.23.127, Sup. 1</t>
        </is>
      </c>
      <c r="D337" s="4" t="inlineStr">
        <is>
          <t>Dominica</t>
        </is>
      </c>
      <c r="E337" s="4" t="inlineStr">
        <is>
          <t>DMA</t>
        </is>
      </c>
      <c r="F337" s="10" t="n">
        <v>45047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Dominica_2023_May</t>
        </is>
      </c>
      <c r="B338" s="2" t="n"/>
      <c r="C338" s="3" t="inlineStr">
        <is>
          <t>SM.23.127, Sup. 1</t>
        </is>
      </c>
      <c r="D338" s="4" t="inlineStr">
        <is>
          <t>Dominica</t>
        </is>
      </c>
      <c r="E338" s="4" t="inlineStr">
        <is>
          <t>DMA</t>
        </is>
      </c>
      <c r="F338" s="10" t="n">
        <v>45047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3.81286650279468</v>
      </c>
      <c r="S338" t="n">
        <v>8.919962473141162</v>
      </c>
      <c r="T338" t="n">
        <v>13.46557993889438</v>
      </c>
      <c r="U338" t="n">
        <v>18.12796635338166</v>
      </c>
      <c r="V338" t="n">
        <v>23.09630166209256</v>
      </c>
      <c r="W338" t="n">
        <v>28.01758517550163</v>
      </c>
      <c r="X338" t="n">
        <v>32.68713374727747</v>
      </c>
      <c r="Y338" t="n">
        <v>37.22087814324887</v>
      </c>
      <c r="Z338" t="n">
        <v>35.28778252346205</v>
      </c>
      <c r="AA338" t="n">
        <v>35.29158319507882</v>
      </c>
      <c r="AB338" t="n">
        <v>35.7469748979205</v>
      </c>
      <c r="AC338" t="n">
        <v>36.0459792315958</v>
      </c>
      <c r="AD338" t="n">
        <v>36.45987177512529</v>
      </c>
      <c r="AE338" t="n">
        <v>37.08959851292586</v>
      </c>
      <c r="AF338" t="n">
        <v>30.77718033524376</v>
      </c>
      <c r="AG338" t="n">
        <v>25.00972803936801</v>
      </c>
      <c r="AH338" t="n">
        <v>19.86459751402862</v>
      </c>
      <c r="AI338" t="n">
        <v>15.39408602970145</v>
      </c>
      <c r="BI338" t="inlineStr">
        <is>
          <t>NOM_NEW_COM</t>
        </is>
      </c>
    </row>
    <row r="339">
      <c r="A339" t="inlineStr">
        <is>
          <t>Dominica_2023_May</t>
        </is>
      </c>
      <c r="B339" s="2" t="n"/>
      <c r="C339" s="3" t="inlineStr">
        <is>
          <t>SM.23.127, Sup. 1</t>
        </is>
      </c>
      <c r="D339" s="4" t="inlineStr">
        <is>
          <t>Dominica</t>
        </is>
      </c>
      <c r="E339" s="4" t="inlineStr">
        <is>
          <t>DMA</t>
        </is>
      </c>
      <c r="F339" s="10" t="n">
        <v>45047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Dominica_2023_May</t>
        </is>
      </c>
      <c r="B340" s="2" t="n"/>
      <c r="C340" s="3" t="inlineStr">
        <is>
          <t>SM.23.127, Sup. 1</t>
        </is>
      </c>
      <c r="D340" s="4" t="inlineStr">
        <is>
          <t>Dominica</t>
        </is>
      </c>
      <c r="E340" s="4" t="inlineStr">
        <is>
          <t>DMA</t>
        </is>
      </c>
      <c r="F340" s="10" t="n">
        <v>45047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3.81286650279468</v>
      </c>
      <c r="S340" t="n">
        <v>8.919962473141162</v>
      </c>
      <c r="T340" t="n">
        <v>13.46557993889438</v>
      </c>
      <c r="U340" t="n">
        <v>18.12796635338166</v>
      </c>
      <c r="V340" t="n">
        <v>23.09630166209256</v>
      </c>
      <c r="W340" t="n">
        <v>28.01758517550163</v>
      </c>
      <c r="X340" t="n">
        <v>32.68713374727747</v>
      </c>
      <c r="Y340" t="n">
        <v>37.22087814324887</v>
      </c>
      <c r="Z340" t="n">
        <v>35.28778252346205</v>
      </c>
      <c r="AA340" t="n">
        <v>35.29158319507882</v>
      </c>
      <c r="AB340" t="n">
        <v>35.7469748979205</v>
      </c>
      <c r="AC340" t="n">
        <v>36.0459792315958</v>
      </c>
      <c r="AD340" t="n">
        <v>36.45987177512529</v>
      </c>
      <c r="AE340" t="n">
        <v>37.08959851292586</v>
      </c>
      <c r="AF340" t="n">
        <v>30.77718033524376</v>
      </c>
      <c r="AG340" t="n">
        <v>25.00972803936801</v>
      </c>
      <c r="AH340" t="n">
        <v>19.86459751402862</v>
      </c>
      <c r="AI340" t="n">
        <v>15.39408602970145</v>
      </c>
    </row>
    <row r="341">
      <c r="A341" t="inlineStr">
        <is>
          <t>Dominica_2023_May</t>
        </is>
      </c>
      <c r="B341" s="2" t="n"/>
      <c r="C341" s="3" t="inlineStr">
        <is>
          <t>SM.23.127, Sup. 1</t>
        </is>
      </c>
      <c r="D341" s="4" t="inlineStr">
        <is>
          <t>Dominica</t>
        </is>
      </c>
      <c r="E341" s="4" t="inlineStr">
        <is>
          <t>DMA</t>
        </is>
      </c>
      <c r="F341" s="10" t="n">
        <v>45047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Dominica_2023_May</t>
        </is>
      </c>
      <c r="B342" s="2" t="n"/>
      <c r="C342" s="3" t="inlineStr">
        <is>
          <t>SM.23.127, Sup. 1</t>
        </is>
      </c>
      <c r="D342" s="4" t="inlineStr">
        <is>
          <t>Dominica</t>
        </is>
      </c>
      <c r="E342" s="4" t="inlineStr">
        <is>
          <t>DMA</t>
        </is>
      </c>
      <c r="F342" s="10" t="n">
        <v>45047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Dominica_2023_May</t>
        </is>
      </c>
      <c r="B343" s="2" t="n"/>
      <c r="C343" s="3" t="inlineStr">
        <is>
          <t>SM.23.127, Sup. 1</t>
        </is>
      </c>
      <c r="D343" s="4" t="inlineStr">
        <is>
          <t>Dominica</t>
        </is>
      </c>
      <c r="E343" s="4" t="inlineStr">
        <is>
          <t>DMA</t>
        </is>
      </c>
      <c r="F343" s="10" t="n">
        <v>45047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Dominica_2023_May</t>
        </is>
      </c>
      <c r="B344" s="2" t="n"/>
      <c r="C344" s="3" t="inlineStr">
        <is>
          <t>SM.23.127, Sup. 1</t>
        </is>
      </c>
      <c r="D344" s="4" t="inlineStr">
        <is>
          <t>Dominica</t>
        </is>
      </c>
      <c r="E344" s="4" t="inlineStr">
        <is>
          <t>DMA</t>
        </is>
      </c>
      <c r="F344" s="10" t="n">
        <v>45047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Dominica_2023_May</t>
        </is>
      </c>
      <c r="B345" s="2" t="n"/>
      <c r="C345" s="3" t="inlineStr">
        <is>
          <t>SM.23.127, Sup. 1</t>
        </is>
      </c>
      <c r="D345" s="4" t="inlineStr">
        <is>
          <t>Dominica</t>
        </is>
      </c>
      <c r="E345" s="4" t="inlineStr">
        <is>
          <t>DMA</t>
        </is>
      </c>
      <c r="F345" s="10" t="n">
        <v>45047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Dominica_2023_May</t>
        </is>
      </c>
      <c r="B346" s="2" t="n"/>
      <c r="C346" s="3" t="inlineStr">
        <is>
          <t>SM.23.127, Sup. 1</t>
        </is>
      </c>
      <c r="D346" s="4" t="inlineStr">
        <is>
          <t>Dominica</t>
        </is>
      </c>
      <c r="E346" s="4" t="inlineStr">
        <is>
          <t>DMA</t>
        </is>
      </c>
      <c r="F346" s="10" t="n">
        <v>45047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Dominica_2023_May</t>
        </is>
      </c>
      <c r="B347" s="2" t="n"/>
      <c r="C347" s="3" t="inlineStr">
        <is>
          <t>SM.23.127, Sup. 1</t>
        </is>
      </c>
      <c r="D347" s="4" t="inlineStr">
        <is>
          <t>Dominica</t>
        </is>
      </c>
      <c r="E347" s="4" t="inlineStr">
        <is>
          <t>DMA</t>
        </is>
      </c>
      <c r="F347" s="10" t="n">
        <v>45047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Dominica_2023_May</t>
        </is>
      </c>
      <c r="B348" s="2" t="n"/>
      <c r="C348" s="3" t="inlineStr">
        <is>
          <t>SM.23.127, Sup. 1</t>
        </is>
      </c>
      <c r="D348" s="4" t="inlineStr">
        <is>
          <t>Dominica</t>
        </is>
      </c>
      <c r="E348" s="4" t="inlineStr">
        <is>
          <t>DMA</t>
        </is>
      </c>
      <c r="F348" s="10" t="n">
        <v>45047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Dominica_2023_May</t>
        </is>
      </c>
      <c r="B349" s="2" t="n"/>
      <c r="C349" s="3" t="inlineStr">
        <is>
          <t>SM.23.127, Sup. 1</t>
        </is>
      </c>
      <c r="D349" s="4" t="inlineStr">
        <is>
          <t>Dominica</t>
        </is>
      </c>
      <c r="E349" s="4" t="inlineStr">
        <is>
          <t>DMA</t>
        </is>
      </c>
      <c r="F349" s="10" t="n">
        <v>45047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Dominica_2023_May</t>
        </is>
      </c>
      <c r="B350" s="2" t="n"/>
      <c r="C350" s="3" t="inlineStr">
        <is>
          <t>SM.23.127, Sup. 1</t>
        </is>
      </c>
      <c r="D350" s="4" t="inlineStr">
        <is>
          <t>Dominica</t>
        </is>
      </c>
      <c r="E350" s="4" t="inlineStr">
        <is>
          <t>DMA</t>
        </is>
      </c>
      <c r="F350" s="10" t="n">
        <v>45047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Dominica_2023_May</t>
        </is>
      </c>
      <c r="B351" s="2" t="n"/>
      <c r="C351" s="3" t="inlineStr">
        <is>
          <t>SM.23.127, Sup. 1</t>
        </is>
      </c>
      <c r="D351" s="4" t="inlineStr">
        <is>
          <t>Dominica</t>
        </is>
      </c>
      <c r="E351" s="4" t="inlineStr">
        <is>
          <t>DMA</t>
        </is>
      </c>
      <c r="F351" s="10" t="n">
        <v>45047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Dominica_2023_May</t>
        </is>
      </c>
      <c r="B352" s="2" t="n"/>
      <c r="C352" s="3" t="inlineStr">
        <is>
          <t>SM.23.127, Sup. 1</t>
        </is>
      </c>
      <c r="D352" s="4" t="inlineStr">
        <is>
          <t>Dominica</t>
        </is>
      </c>
      <c r="E352" s="4" t="inlineStr">
        <is>
          <t>DMA</t>
        </is>
      </c>
      <c r="F352" s="10" t="n">
        <v>45047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Dominica_2023_May</t>
        </is>
      </c>
      <c r="B353" s="2" t="n"/>
      <c r="C353" s="3" t="inlineStr">
        <is>
          <t>SM.23.127, Sup. 1</t>
        </is>
      </c>
      <c r="D353" s="4" t="inlineStr">
        <is>
          <t>Dominica</t>
        </is>
      </c>
      <c r="E353" s="4" t="inlineStr">
        <is>
          <t>DMA</t>
        </is>
      </c>
      <c r="F353" s="10" t="n">
        <v>45047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 held by residents</t>
        </is>
      </c>
    </row>
    <row r="354">
      <c r="A354" t="inlineStr">
        <is>
          <t>Dominica_2023_May</t>
        </is>
      </c>
      <c r="B354" s="2" t="n"/>
      <c r="C354" s="3" t="inlineStr">
        <is>
          <t>SM.23.127, Sup. 1</t>
        </is>
      </c>
      <c r="D354" s="4" t="inlineStr">
        <is>
          <t>Dominica</t>
        </is>
      </c>
      <c r="E354" s="4" t="inlineStr">
        <is>
          <t>DMA</t>
        </is>
      </c>
      <c r="F354" s="10" t="n">
        <v>45047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Dominica_2023_May</t>
        </is>
      </c>
      <c r="B355" s="2" t="n"/>
      <c r="C355" s="3" t="inlineStr">
        <is>
          <t>SM.23.127, Sup. 1</t>
        </is>
      </c>
      <c r="D355" s="4" t="inlineStr">
        <is>
          <t>Dominica</t>
        </is>
      </c>
      <c r="E355" s="4" t="inlineStr">
        <is>
          <t>DMA</t>
        </is>
      </c>
      <c r="F355" s="10" t="n">
        <v>45047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Dominica_2023_May</t>
        </is>
      </c>
      <c r="B356" s="2" t="n"/>
      <c r="C356" s="3" t="inlineStr">
        <is>
          <t>SM.23.127, Sup. 1</t>
        </is>
      </c>
      <c r="D356" s="4" t="inlineStr">
        <is>
          <t>Dominica</t>
        </is>
      </c>
      <c r="E356" s="4" t="inlineStr">
        <is>
          <t>DMA</t>
        </is>
      </c>
      <c r="F356" s="10" t="n">
        <v>45047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Dominica_2023_May</t>
        </is>
      </c>
      <c r="B357" s="2" t="n"/>
      <c r="C357" s="3" t="inlineStr">
        <is>
          <t>SM.23.127, Sup. 1</t>
        </is>
      </c>
      <c r="D357" s="4" t="inlineStr">
        <is>
          <t>Dominica</t>
        </is>
      </c>
      <c r="E357" s="4" t="inlineStr">
        <is>
          <t>DMA</t>
        </is>
      </c>
      <c r="F357" s="10" t="n">
        <v>45047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Dominica_2023_May</t>
        </is>
      </c>
      <c r="B358" s="2" t="n"/>
      <c r="C358" s="3" t="inlineStr">
        <is>
          <t>SM.23.127, Sup. 1</t>
        </is>
      </c>
      <c r="D358" s="4" t="inlineStr">
        <is>
          <t>Dominica</t>
        </is>
      </c>
      <c r="E358" s="4" t="inlineStr">
        <is>
          <t>DMA</t>
        </is>
      </c>
      <c r="F358" s="10" t="n">
        <v>45047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Dominica_2023_May</t>
        </is>
      </c>
      <c r="B359" s="2" t="n"/>
      <c r="C359" s="3" t="inlineStr">
        <is>
          <t>SM.23.127, Sup. 1</t>
        </is>
      </c>
      <c r="D359" s="4" t="inlineStr">
        <is>
          <t>Dominica</t>
        </is>
      </c>
      <c r="E359" s="4" t="inlineStr">
        <is>
          <t>DMA</t>
        </is>
      </c>
      <c r="F359" s="10" t="n">
        <v>45047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Dominica_2023_May</t>
        </is>
      </c>
      <c r="B360" s="2" t="n"/>
      <c r="C360" s="3" t="inlineStr">
        <is>
          <t>SM.23.127, Sup. 1</t>
        </is>
      </c>
      <c r="D360" s="4" t="inlineStr">
        <is>
          <t>Dominica</t>
        </is>
      </c>
      <c r="E360" s="4" t="inlineStr">
        <is>
          <t>DMA</t>
        </is>
      </c>
      <c r="F360" s="10" t="n">
        <v>45047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Dominica_2023_May</t>
        </is>
      </c>
      <c r="B361" s="2" t="n"/>
      <c r="C361" s="3" t="inlineStr">
        <is>
          <t>SM.23.127, Sup. 1</t>
        </is>
      </c>
      <c r="D361" s="4" t="inlineStr">
        <is>
          <t>Dominica</t>
        </is>
      </c>
      <c r="E361" s="4" t="inlineStr">
        <is>
          <t>DMA</t>
        </is>
      </c>
      <c r="F361" s="10" t="n">
        <v>45047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Dominica_2023_May</t>
        </is>
      </c>
      <c r="B362" s="2" t="n"/>
      <c r="C362" s="3" t="inlineStr">
        <is>
          <t>SM.23.127, Sup. 1</t>
        </is>
      </c>
      <c r="D362" s="4" t="inlineStr">
        <is>
          <t>Dominica</t>
        </is>
      </c>
      <c r="E362" s="4" t="inlineStr">
        <is>
          <t>DMA</t>
        </is>
      </c>
      <c r="F362" s="10" t="n">
        <v>45047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Dominica_2023_May</t>
        </is>
      </c>
      <c r="B363" s="2" t="n"/>
      <c r="C363" s="3" t="inlineStr">
        <is>
          <t>SM.23.127, Sup. 1</t>
        </is>
      </c>
      <c r="D363" s="4" t="inlineStr">
        <is>
          <t>Dominica</t>
        </is>
      </c>
      <c r="E363" s="4" t="inlineStr">
        <is>
          <t>DMA</t>
        </is>
      </c>
      <c r="F363" s="10" t="n">
        <v>45047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Dominica_2023_May</t>
        </is>
      </c>
      <c r="B364" s="2" t="n"/>
      <c r="C364" s="3" t="inlineStr">
        <is>
          <t>SM.23.127, Sup. 1</t>
        </is>
      </c>
      <c r="D364" s="4" t="inlineStr">
        <is>
          <t>Dominica</t>
        </is>
      </c>
      <c r="E364" s="4" t="inlineStr">
        <is>
          <t>DMA</t>
        </is>
      </c>
      <c r="F364" s="10" t="n">
        <v>45047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Dominica_2023_May</t>
        </is>
      </c>
      <c r="B365" s="2" t="n"/>
      <c r="C365" s="3" t="inlineStr">
        <is>
          <t>SM.23.127, Sup. 1</t>
        </is>
      </c>
      <c r="D365" s="4" t="inlineStr">
        <is>
          <t>Dominica</t>
        </is>
      </c>
      <c r="E365" s="4" t="inlineStr">
        <is>
          <t>DMA</t>
        </is>
      </c>
      <c r="F365" s="10" t="n">
        <v>45047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Dominica_2023_May</t>
        </is>
      </c>
      <c r="B366" s="2" t="n"/>
      <c r="C366" s="3" t="inlineStr">
        <is>
          <t>SM.23.127, Sup. 1</t>
        </is>
      </c>
      <c r="D366" s="4" t="inlineStr">
        <is>
          <t>Dominica</t>
        </is>
      </c>
      <c r="E366" s="4" t="inlineStr">
        <is>
          <t>DMA</t>
        </is>
      </c>
      <c r="F366" s="10" t="n">
        <v>45047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Dominica_2023_May</t>
        </is>
      </c>
      <c r="B367" s="2" t="n"/>
      <c r="C367" s="3" t="inlineStr">
        <is>
          <t>SM.23.127, Sup. 1</t>
        </is>
      </c>
      <c r="D367" s="4" t="inlineStr">
        <is>
          <t>Dominica</t>
        </is>
      </c>
      <c r="E367" s="4" t="inlineStr">
        <is>
          <t>DMA</t>
        </is>
      </c>
      <c r="F367" s="10" t="n">
        <v>45047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Dominica_2023_May</t>
        </is>
      </c>
      <c r="B368" s="2" t="n"/>
      <c r="C368" s="3" t="inlineStr">
        <is>
          <t>SM.23.127, Sup. 1</t>
        </is>
      </c>
      <c r="D368" s="4" t="inlineStr">
        <is>
          <t>Dominica</t>
        </is>
      </c>
      <c r="E368" s="4" t="inlineStr">
        <is>
          <t>DMA</t>
        </is>
      </c>
      <c r="F368" s="10" t="n">
        <v>45047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Dominica_2023_May</t>
        </is>
      </c>
      <c r="B369" s="2" t="n"/>
      <c r="C369" s="3" t="inlineStr">
        <is>
          <t>SM.23.127, Sup. 1</t>
        </is>
      </c>
      <c r="D369" s="4" t="inlineStr">
        <is>
          <t>Dominica</t>
        </is>
      </c>
      <c r="E369" s="4" t="inlineStr">
        <is>
          <t>DMA</t>
        </is>
      </c>
      <c r="F369" s="10" t="n">
        <v>45047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Dominica_2023_May</t>
        </is>
      </c>
      <c r="B370" s="2" t="n"/>
      <c r="C370" s="3" t="inlineStr">
        <is>
          <t>SM.23.127, Sup. 1</t>
        </is>
      </c>
      <c r="D370" s="4" t="inlineStr">
        <is>
          <t>Dominica</t>
        </is>
      </c>
      <c r="E370" s="4" t="inlineStr">
        <is>
          <t>DMA</t>
        </is>
      </c>
      <c r="F370" s="10" t="n">
        <v>45047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0.06850068852590427</v>
      </c>
      <c r="O370" t="n">
        <v>0.07150953765596529</v>
      </c>
      <c r="P370" t="n">
        <v>0.07432859238483361</v>
      </c>
      <c r="Q370" t="n">
        <v>0.07643637558874125</v>
      </c>
      <c r="R370" t="n">
        <v>0.07771547431256913</v>
      </c>
      <c r="S370" t="n">
        <v>0.07819247511486369</v>
      </c>
      <c r="T370" t="n">
        <v>0.07819247511486369</v>
      </c>
      <c r="U370" t="n">
        <v>0.07819247511486369</v>
      </c>
      <c r="V370" t="n">
        <v>0.07819247511486369</v>
      </c>
      <c r="W370" t="n">
        <v>0.07819247511486369</v>
      </c>
      <c r="X370" t="n">
        <v>0.07819247511486369</v>
      </c>
      <c r="Y370" t="n">
        <v>0.07819247511486369</v>
      </c>
      <c r="Z370" t="n">
        <v>0.07819247511486369</v>
      </c>
      <c r="AA370" t="n">
        <v>0.07819247511486369</v>
      </c>
      <c r="AB370" t="n">
        <v>0.07819247511486369</v>
      </c>
      <c r="AC370" t="n">
        <v>0.07819247511486369</v>
      </c>
      <c r="AD370" t="n">
        <v>0.07819247511486369</v>
      </c>
      <c r="AE370" t="n">
        <v>0.07819247511486369</v>
      </c>
      <c r="AF370" t="n">
        <v>0.07819247511486369</v>
      </c>
      <c r="AG370" t="n">
        <v>0.07819247511486369</v>
      </c>
      <c r="AH370" t="n">
        <v>0.07819247511486369</v>
      </c>
      <c r="AI370" t="n">
        <v>0.07819247511486369</v>
      </c>
      <c r="BI370" t="inlineStr">
        <is>
          <t>PV_SDR</t>
        </is>
      </c>
    </row>
    <row r="371">
      <c r="A371" t="inlineStr">
        <is>
          <t>Dominica_2023_May</t>
        </is>
      </c>
      <c r="B371" s="2" t="n"/>
      <c r="C371" s="3" t="inlineStr">
        <is>
          <t>SM.23.127, Sup. 1</t>
        </is>
      </c>
      <c r="D371" s="4" t="inlineStr">
        <is>
          <t>Dominica</t>
        </is>
      </c>
      <c r="E371" s="4" t="inlineStr">
        <is>
          <t>DMA</t>
        </is>
      </c>
      <c r="F371" s="10" t="n">
        <v>45047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233.0626680767676</v>
      </c>
      <c r="O371" t="n">
        <v>242.4547121588821</v>
      </c>
      <c r="P371" t="n">
        <v>240.6439784669563</v>
      </c>
      <c r="Q371" t="n">
        <v>244.5854643953808</v>
      </c>
      <c r="R371" t="n">
        <v>254.8235966553323</v>
      </c>
      <c r="S371" t="n">
        <v>269.3657622401532</v>
      </c>
      <c r="T371" t="n">
        <v>288.5042381795081</v>
      </c>
      <c r="U371" t="n">
        <v>309.6957350278849</v>
      </c>
      <c r="V371" t="n">
        <v>333.5233383610864</v>
      </c>
      <c r="W371" t="n">
        <v>349.319415804398</v>
      </c>
      <c r="X371" t="n">
        <v>419.2060486479467</v>
      </c>
      <c r="Y371" t="n">
        <v>429.8531948591753</v>
      </c>
      <c r="Z371" t="n">
        <v>429.9833903003083</v>
      </c>
      <c r="AA371" t="n">
        <v>431.6057018042258</v>
      </c>
      <c r="AB371" t="n">
        <v>433.2278487151873</v>
      </c>
      <c r="AC371" t="n">
        <v>432.9796905754692</v>
      </c>
      <c r="AD371" t="n">
        <v>415.6766471448333</v>
      </c>
      <c r="AE371" t="n">
        <v>396.7658312126756</v>
      </c>
      <c r="AF371" t="n">
        <v>369.928803349996</v>
      </c>
      <c r="AG371" t="n">
        <v>340.874014890212</v>
      </c>
      <c r="AH371" t="n">
        <v>308.2892768087247</v>
      </c>
      <c r="AI371" t="n">
        <v>290.4129117710849</v>
      </c>
      <c r="BI371" t="inlineStr">
        <is>
          <t>PV_D_TOT</t>
        </is>
      </c>
    </row>
    <row r="372">
      <c r="A372" t="inlineStr">
        <is>
          <t>Dominica_2023_May</t>
        </is>
      </c>
      <c r="B372" s="2" t="n"/>
      <c r="C372" s="3" t="inlineStr">
        <is>
          <t>SM.23.127, Sup. 1</t>
        </is>
      </c>
      <c r="D372" s="4" t="inlineStr">
        <is>
          <t>Dominica</t>
        </is>
      </c>
      <c r="E372" s="4" t="inlineStr">
        <is>
          <t>DMA</t>
        </is>
      </c>
      <c r="F372" s="10" t="n">
        <v>45047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Dominica_2023_May</t>
        </is>
      </c>
      <c r="B373" s="2" t="n"/>
      <c r="C373" s="3" t="inlineStr">
        <is>
          <t>SM.23.127, Sup. 1</t>
        </is>
      </c>
      <c r="D373" s="4" t="inlineStr">
        <is>
          <t>Dominica</t>
        </is>
      </c>
      <c r="E373" s="4" t="inlineStr">
        <is>
          <t>DMA</t>
        </is>
      </c>
      <c r="F373" s="10" t="n">
        <v>45047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-5.684341886080801e-14</v>
      </c>
      <c r="T373" t="n">
        <v>-5.684341886080801e-14</v>
      </c>
      <c r="U373" t="n">
        <v>5.684341886080801e-14</v>
      </c>
      <c r="V373" t="n">
        <v>0</v>
      </c>
      <c r="W373" t="n">
        <v>5.684341886080801e-14</v>
      </c>
      <c r="X373" t="n">
        <v>2.842170943040401e-14</v>
      </c>
      <c r="Y373" t="n">
        <v>-5.684341886080801e-14</v>
      </c>
      <c r="Z373" t="n">
        <v>-2.842170943040401e-14</v>
      </c>
      <c r="AA373" t="n">
        <v>0</v>
      </c>
      <c r="AB373" t="n">
        <v>0</v>
      </c>
      <c r="AC373" t="n">
        <v>-2.842170943040401e-14</v>
      </c>
      <c r="AD373" t="n">
        <v>2.842170943040401e-14</v>
      </c>
      <c r="AE373" t="n">
        <v>-5.684341886080801e-14</v>
      </c>
      <c r="AF373" t="n">
        <v>0</v>
      </c>
      <c r="AG373" t="n">
        <v>0</v>
      </c>
      <c r="AH373" t="n">
        <v>0</v>
      </c>
      <c r="AI373" t="n">
        <v>-2.842170943040401e-14</v>
      </c>
    </row>
    <row r="374">
      <c r="A374" t="inlineStr">
        <is>
          <t>Dominica_2023_May</t>
        </is>
      </c>
      <c r="B374" s="2" t="n"/>
      <c r="C374" s="3" t="inlineStr">
        <is>
          <t>SM.23.127, Sup. 1</t>
        </is>
      </c>
      <c r="D374" s="4" t="inlineStr">
        <is>
          <t>Dominica</t>
        </is>
      </c>
      <c r="E374" s="4" t="inlineStr">
        <is>
          <t>DMA</t>
        </is>
      </c>
      <c r="F374" s="10" t="n">
        <v>45047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26.76410856763673</v>
      </c>
      <c r="O374" t="n">
        <v>14.9206057363317</v>
      </c>
      <c r="P374" t="n">
        <v>33.96812874251438</v>
      </c>
      <c r="Q374" t="n">
        <v>33.38117712783453</v>
      </c>
      <c r="R374" t="n">
        <v>29.83514450863034</v>
      </c>
      <c r="S374" t="n">
        <v>28.20911603995402</v>
      </c>
      <c r="T374" t="n">
        <v>26.20773996826644</v>
      </c>
      <c r="U374" t="n">
        <v>26.38947051748916</v>
      </c>
      <c r="V374" t="n">
        <v>26.4058551934562</v>
      </c>
      <c r="W374" t="n">
        <v>26.93818305894264</v>
      </c>
      <c r="X374" t="n">
        <v>27.36708498872611</v>
      </c>
      <c r="Y374" t="n">
        <v>28.33410584141727</v>
      </c>
      <c r="Z374" t="n">
        <v>30.00764300006683</v>
      </c>
      <c r="AA374" t="n">
        <v>29.66117117420895</v>
      </c>
      <c r="AB374" t="n">
        <v>30.29887056273225</v>
      </c>
      <c r="AC374" t="n">
        <v>32.4070229237506</v>
      </c>
      <c r="AD374" t="n">
        <v>49.80047347751776</v>
      </c>
      <c r="AE374" t="n">
        <v>50.93589892981286</v>
      </c>
      <c r="AF374" t="n">
        <v>50.29692075461703</v>
      </c>
      <c r="AG374" t="n">
        <v>51.21980437167809</v>
      </c>
      <c r="AH374" t="n">
        <v>53.34900403132587</v>
      </c>
      <c r="AI374" t="n">
        <v>37.06592477794047</v>
      </c>
      <c r="BI374" t="inlineStr">
        <is>
          <t>DS_TOT</t>
        </is>
      </c>
    </row>
    <row r="375">
      <c r="A375" t="inlineStr">
        <is>
          <t>Dominica_2023_May</t>
        </is>
      </c>
      <c r="B375" s="2" t="n"/>
      <c r="C375" s="3" t="inlineStr">
        <is>
          <t>SM.23.127, Sup. 1</t>
        </is>
      </c>
      <c r="D375" s="4" t="inlineStr">
        <is>
          <t>Dominica</t>
        </is>
      </c>
      <c r="E375" s="4" t="inlineStr">
        <is>
          <t>DMA</t>
        </is>
      </c>
      <c r="F375" s="10" t="n">
        <v>45047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18.08511343189878</v>
      </c>
      <c r="O375" t="n">
        <v>11.30507166039381</v>
      </c>
      <c r="P375" t="n">
        <v>25.52684566039381</v>
      </c>
      <c r="Q375" t="n">
        <v>24.02525239648941</v>
      </c>
      <c r="R375" t="n">
        <v>20.28400716957863</v>
      </c>
      <c r="S375" t="n">
        <v>18.47021840630146</v>
      </c>
      <c r="T375" t="n">
        <v>16.36597336056414</v>
      </c>
      <c r="U375" t="n">
        <v>15.58635588413558</v>
      </c>
      <c r="V375" t="n">
        <v>13.99706131886608</v>
      </c>
      <c r="W375" t="n">
        <v>13.08808053640647</v>
      </c>
      <c r="X375" t="n">
        <v>12.90670327152363</v>
      </c>
      <c r="Y375" t="n">
        <v>12.02860944000241</v>
      </c>
      <c r="Z375" t="n">
        <v>13.45741996690193</v>
      </c>
      <c r="AA375" t="n">
        <v>13.29925665288081</v>
      </c>
      <c r="AB375" t="n">
        <v>14.56342710303434</v>
      </c>
      <c r="AC375" t="n">
        <v>16.80120347053383</v>
      </c>
      <c r="AD375" t="n">
        <v>35.69192046291681</v>
      </c>
      <c r="AE375" t="n">
        <v>37.05988363002074</v>
      </c>
      <c r="AF375" t="n">
        <v>38.66217800545957</v>
      </c>
      <c r="AG375" t="n">
        <v>40.06234475874978</v>
      </c>
      <c r="AH375" t="n">
        <v>40.72261941001774</v>
      </c>
      <c r="AI375" t="n">
        <v>24.96891428106595</v>
      </c>
      <c r="BI375" t="inlineStr">
        <is>
          <t>DS_TOT_P</t>
        </is>
      </c>
    </row>
    <row r="376">
      <c r="A376" t="inlineStr">
        <is>
          <t>Dominica_2023_May</t>
        </is>
      </c>
      <c r="B376" s="2" t="n"/>
      <c r="C376" s="3" t="inlineStr">
        <is>
          <t>SM.23.127, Sup. 1</t>
        </is>
      </c>
      <c r="D376" s="4" t="inlineStr">
        <is>
          <t>Dominica</t>
        </is>
      </c>
      <c r="E376" s="4" t="inlineStr">
        <is>
          <t>DMA</t>
        </is>
      </c>
      <c r="F376" s="10" t="n">
        <v>45047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8.678995135737956</v>
      </c>
      <c r="O376" t="n">
        <v>3.615534075937883</v>
      </c>
      <c r="P376" t="n">
        <v>8.441283082120568</v>
      </c>
      <c r="Q376" t="n">
        <v>9.355924731345128</v>
      </c>
      <c r="R376" t="n">
        <v>9.551137339051714</v>
      </c>
      <c r="S376" t="n">
        <v>9.738897633652563</v>
      </c>
      <c r="T376" t="n">
        <v>9.841766607702295</v>
      </c>
      <c r="U376" t="n">
        <v>10.80311463335358</v>
      </c>
      <c r="V376" t="n">
        <v>12.40879387459012</v>
      </c>
      <c r="W376" t="n">
        <v>13.85010252253618</v>
      </c>
      <c r="X376" t="n">
        <v>14.46038171720247</v>
      </c>
      <c r="Y376" t="n">
        <v>16.30549640141486</v>
      </c>
      <c r="Z376" t="n">
        <v>16.5502230331649</v>
      </c>
      <c r="AA376" t="n">
        <v>16.36191452132814</v>
      </c>
      <c r="AB376" t="n">
        <v>15.73544345969792</v>
      </c>
      <c r="AC376" t="n">
        <v>15.60581945321677</v>
      </c>
      <c r="AD376" t="n">
        <v>14.10855301460095</v>
      </c>
      <c r="AE376" t="n">
        <v>13.87601529979213</v>
      </c>
      <c r="AF376" t="n">
        <v>11.63474274915747</v>
      </c>
      <c r="AG376" t="n">
        <v>11.15745961292831</v>
      </c>
      <c r="AH376" t="n">
        <v>12.62638462130813</v>
      </c>
      <c r="AI376" t="n">
        <v>12.09701049687452</v>
      </c>
      <c r="BI376" t="inlineStr">
        <is>
          <t>DS_TOT_I</t>
        </is>
      </c>
    </row>
    <row r="377">
      <c r="A377" t="inlineStr">
        <is>
          <t>Dominica_2023_May</t>
        </is>
      </c>
      <c r="B377" s="2" t="n"/>
      <c r="C377" s="3" t="inlineStr">
        <is>
          <t>SM.23.127, Sup. 1</t>
        </is>
      </c>
      <c r="D377" s="4" t="inlineStr">
        <is>
          <t>Dominica</t>
        </is>
      </c>
      <c r="E377" s="4" t="inlineStr">
        <is>
          <t>DMA</t>
        </is>
      </c>
      <c r="F377" s="10" t="n">
        <v>45047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Dominica_2023_May</t>
        </is>
      </c>
      <c r="B378" s="2" t="n"/>
      <c r="C378" s="3" t="inlineStr">
        <is>
          <t>SM.23.127, Sup. 1</t>
        </is>
      </c>
      <c r="D378" s="4" t="inlineStr">
        <is>
          <t>Dominica</t>
        </is>
      </c>
      <c r="E378" s="4" t="inlineStr">
        <is>
          <t>DMA</t>
        </is>
      </c>
      <c r="F378" s="10" t="n">
        <v>45047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407.075642519048</v>
      </c>
      <c r="O378" t="n">
        <v>420.0966642661025</v>
      </c>
      <c r="P378" t="n">
        <v>430.5503031861826</v>
      </c>
      <c r="Q378" t="n">
        <v>453.3768579350963</v>
      </c>
      <c r="R378" t="n">
        <v>481.5979850086955</v>
      </c>
      <c r="S378" t="n">
        <v>514.0759273584906</v>
      </c>
      <c r="T378" t="n">
        <v>552.2781541297577</v>
      </c>
      <c r="U378" t="n">
        <v>593.1224390579948</v>
      </c>
      <c r="V378" t="n">
        <v>637.8588213693628</v>
      </c>
      <c r="W378" t="n">
        <v>667.4802437304406</v>
      </c>
      <c r="X378" t="n">
        <v>772.2838262510196</v>
      </c>
      <c r="Y378" t="n">
        <v>787.2339029918746</v>
      </c>
      <c r="Z378" t="n">
        <v>787.4581293983221</v>
      </c>
      <c r="AA378" t="n">
        <v>788.9129655646886</v>
      </c>
      <c r="AB378" t="n">
        <v>789.3965363654022</v>
      </c>
      <c r="AC378" t="n">
        <v>787.5733243426811</v>
      </c>
      <c r="AD378" t="n">
        <v>767.2523550484574</v>
      </c>
      <c r="AE378" t="n">
        <v>746.0666029857457</v>
      </c>
      <c r="AF378" t="n">
        <v>713.4441366000262</v>
      </c>
      <c r="AG378" t="n">
        <v>679.4846191564616</v>
      </c>
      <c r="AH378" t="n">
        <v>644.9370718321262</v>
      </c>
      <c r="AI378" t="n">
        <v>626.2194850668421</v>
      </c>
    </row>
    <row r="379">
      <c r="A379" t="inlineStr">
        <is>
          <t>Dominica_2023_May</t>
        </is>
      </c>
      <c r="B379" s="2" t="n"/>
      <c r="C379" s="3" t="inlineStr">
        <is>
          <t>SM.23.127, Sup. 1</t>
        </is>
      </c>
      <c r="D379" s="4" t="inlineStr">
        <is>
          <t>Dominica</t>
        </is>
      </c>
      <c r="E379" s="4" t="inlineStr">
        <is>
          <t>DMA</t>
        </is>
      </c>
      <c r="F379" s="10" t="n">
        <v>45047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407.075642519048</v>
      </c>
      <c r="O379" t="n">
        <v>420.0966642661024</v>
      </c>
      <c r="P379" t="n">
        <v>430.5503031861826</v>
      </c>
      <c r="Q379" t="n">
        <v>453.3768579350963</v>
      </c>
      <c r="R379" t="n">
        <v>481.5979850086955</v>
      </c>
      <c r="S379" t="n">
        <v>514.0759273584907</v>
      </c>
      <c r="T379" t="n">
        <v>552.2781541297578</v>
      </c>
      <c r="U379" t="n">
        <v>593.1224390579947</v>
      </c>
      <c r="V379" t="n">
        <v>637.8588213693628</v>
      </c>
      <c r="W379" t="n">
        <v>667.4802437304405</v>
      </c>
      <c r="X379" t="n">
        <v>772.2838262510195</v>
      </c>
      <c r="Y379" t="n">
        <v>787.2339029918747</v>
      </c>
      <c r="Z379" t="n">
        <v>787.4581293983222</v>
      </c>
      <c r="AA379" t="n">
        <v>788.9129655646885</v>
      </c>
      <c r="AB379" t="n">
        <v>789.3965363654023</v>
      </c>
      <c r="AC379" t="n">
        <v>787.5733243426811</v>
      </c>
      <c r="AD379" t="n">
        <v>767.2523550484574</v>
      </c>
      <c r="AE379" t="n">
        <v>746.0666029857457</v>
      </c>
      <c r="AF379" t="n">
        <v>713.4441366000264</v>
      </c>
      <c r="AG379" t="n">
        <v>679.4846191564617</v>
      </c>
      <c r="AH379" t="n">
        <v>644.9370718321262</v>
      </c>
      <c r="AI379" t="n">
        <v>626.2194850668421</v>
      </c>
    </row>
    <row r="380">
      <c r="A380" t="inlineStr">
        <is>
          <t>Dominica_2023_May</t>
        </is>
      </c>
      <c r="B380" s="2" t="n"/>
      <c r="C380" s="3" t="inlineStr">
        <is>
          <t>SM.23.127, Sup. 1</t>
        </is>
      </c>
      <c r="D380" s="4" t="inlineStr">
        <is>
          <t>Dominica</t>
        </is>
      </c>
      <c r="E380" s="4" t="inlineStr">
        <is>
          <t>DMA</t>
        </is>
      </c>
      <c r="F380" s="10" t="n">
        <v>45047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Dominica_2023_May</t>
        </is>
      </c>
      <c r="B381" s="2" t="n"/>
      <c r="C381" s="3" t="inlineStr">
        <is>
          <t>SM.23.127, Sup. 1</t>
        </is>
      </c>
      <c r="D381" s="4" t="inlineStr">
        <is>
          <t>Dominica</t>
        </is>
      </c>
      <c r="E381" s="4" t="inlineStr">
        <is>
          <t>DMA</t>
        </is>
      </c>
      <c r="F381" s="10" t="n">
        <v>45047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Dominica_2023_May</t>
        </is>
      </c>
      <c r="B382" s="2" t="n"/>
      <c r="C382" s="3" t="inlineStr">
        <is>
          <t>SM.23.127, Sup. 1</t>
        </is>
      </c>
      <c r="D382" s="4" t="inlineStr">
        <is>
          <t>Dominica</t>
        </is>
      </c>
      <c r="E382" s="4" t="inlineStr">
        <is>
          <t>DMA</t>
        </is>
      </c>
      <c r="F382" s="10" t="n">
        <v>45047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2.7</v>
      </c>
      <c r="O382" t="n">
        <v>2.7</v>
      </c>
      <c r="P382" t="n">
        <v>2.7</v>
      </c>
      <c r="Q382" t="n">
        <v>2.7</v>
      </c>
      <c r="R382" t="n">
        <v>2.7</v>
      </c>
      <c r="S382" t="n">
        <v>2.7</v>
      </c>
      <c r="T382" t="n">
        <v>2.7</v>
      </c>
      <c r="U382" t="n">
        <v>2.7</v>
      </c>
      <c r="V382" t="n">
        <v>2.7</v>
      </c>
      <c r="W382" t="n">
        <v>2.7</v>
      </c>
      <c r="X382" t="n">
        <v>2.7</v>
      </c>
      <c r="Y382" t="n">
        <v>2.7</v>
      </c>
      <c r="Z382" t="n">
        <v>2.7</v>
      </c>
      <c r="AA382" t="n">
        <v>2.7</v>
      </c>
      <c r="AB382" t="n">
        <v>2.7</v>
      </c>
      <c r="AC382" t="n">
        <v>2.7</v>
      </c>
      <c r="AD382" t="n">
        <v>2.7</v>
      </c>
      <c r="AE382" t="n">
        <v>2.7</v>
      </c>
      <c r="AF382" t="n">
        <v>2.7</v>
      </c>
      <c r="AG382" t="n">
        <v>2.7</v>
      </c>
      <c r="AH382" t="n">
        <v>2.7</v>
      </c>
      <c r="AI382" t="n">
        <v>3.7</v>
      </c>
    </row>
    <row r="383">
      <c r="A383" t="inlineStr">
        <is>
          <t>Dominica_2023_May</t>
        </is>
      </c>
      <c r="B383" s="2" t="n"/>
      <c r="C383" s="3" t="inlineStr">
        <is>
          <t>SM.23.127, Sup. 1</t>
        </is>
      </c>
      <c r="D383" s="4" t="inlineStr">
        <is>
          <t>Dominica</t>
        </is>
      </c>
      <c r="E383" s="4" t="inlineStr">
        <is>
          <t>DMA</t>
        </is>
      </c>
      <c r="F383" s="10" t="n">
        <v>45047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2.7</v>
      </c>
      <c r="O383" t="n">
        <v>2.7</v>
      </c>
      <c r="P383" t="n">
        <v>2.7</v>
      </c>
      <c r="Q383" t="n">
        <v>2.7</v>
      </c>
      <c r="R383" t="n">
        <v>2.7</v>
      </c>
      <c r="S383" t="n">
        <v>2.7</v>
      </c>
      <c r="T383" t="n">
        <v>2.7</v>
      </c>
      <c r="U383" t="n">
        <v>2.7</v>
      </c>
      <c r="V383" t="n">
        <v>2.7</v>
      </c>
      <c r="W383" t="n">
        <v>2.7</v>
      </c>
      <c r="X383" t="n">
        <v>2.7</v>
      </c>
      <c r="Y383" t="n">
        <v>2.7</v>
      </c>
      <c r="Z383" t="n">
        <v>2.7</v>
      </c>
      <c r="AA383" t="n">
        <v>2.7</v>
      </c>
      <c r="AB383" t="n">
        <v>2.7</v>
      </c>
      <c r="AC383" t="n">
        <v>2.7</v>
      </c>
      <c r="AD383" t="n">
        <v>2.7</v>
      </c>
      <c r="AE383" t="n">
        <v>2.7</v>
      </c>
      <c r="AF383" t="n">
        <v>2.7</v>
      </c>
      <c r="AG383" t="n">
        <v>2.7</v>
      </c>
      <c r="AH383" t="n">
        <v>2.7</v>
      </c>
      <c r="AI383" t="n">
        <v>3.7</v>
      </c>
    </row>
    <row r="384">
      <c r="A384" t="inlineStr">
        <is>
          <t>Dominica_2023_May</t>
        </is>
      </c>
      <c r="B384" s="2" t="n"/>
      <c r="C384" s="3" t="inlineStr">
        <is>
          <t>SM.23.127, Sup. 1</t>
        </is>
      </c>
      <c r="D384" s="4" t="inlineStr">
        <is>
          <t>Dominica</t>
        </is>
      </c>
      <c r="E384" s="4" t="inlineStr">
        <is>
          <t>DMA</t>
        </is>
      </c>
      <c r="F384" s="10" t="n">
        <v>45047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Dominica_2023_May</t>
        </is>
      </c>
      <c r="B385" s="2" t="n"/>
      <c r="C385" s="3" t="inlineStr">
        <is>
          <t>SM.23.127, Sup. 1</t>
        </is>
      </c>
      <c r="D385" s="4" t="inlineStr">
        <is>
          <t>Dominica</t>
        </is>
      </c>
      <c r="E385" s="4" t="inlineStr">
        <is>
          <t>DMA</t>
        </is>
      </c>
      <c r="F385" s="10" t="n">
        <v>45047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Dominica_2023_May</t>
        </is>
      </c>
      <c r="B386" s="2" t="n"/>
      <c r="C386" s="3" t="inlineStr">
        <is>
          <t>SM.23.127, Sup. 1</t>
        </is>
      </c>
      <c r="D386" s="4" t="inlineStr">
        <is>
          <t>Dominica</t>
        </is>
      </c>
      <c r="E386" s="4" t="inlineStr">
        <is>
          <t>DMA</t>
        </is>
      </c>
      <c r="F386" s="10" t="n">
        <v>45047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Dominica_2023_May</t>
        </is>
      </c>
      <c r="B387" s="2" t="n"/>
      <c r="C387" s="3" t="inlineStr">
        <is>
          <t>SM.23.127, Sup. 1</t>
        </is>
      </c>
      <c r="D387" s="4" t="inlineStr">
        <is>
          <t>Dominica</t>
        </is>
      </c>
      <c r="E387" s="4" t="inlineStr">
        <is>
          <t>DMA</t>
        </is>
      </c>
      <c r="F387" s="10" t="n">
        <v>45047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12.65951641460785</v>
      </c>
      <c r="P387" t="n">
        <v>20.03465944264447</v>
      </c>
      <c r="Q387" t="n">
        <v>25.29046413291118</v>
      </c>
      <c r="R387" t="n">
        <v>27.8440035488128</v>
      </c>
      <c r="S387" t="n">
        <v>30.01010179200832</v>
      </c>
      <c r="T387" t="n">
        <v>31.87792779561376</v>
      </c>
      <c r="U387" t="n">
        <v>33.15575545689042</v>
      </c>
      <c r="V387" t="n">
        <v>34.74867177526352</v>
      </c>
      <c r="W387" t="n">
        <v>26.05809358419987</v>
      </c>
      <c r="X387" t="n">
        <v>79.78774704205489</v>
      </c>
      <c r="Y387" t="n">
        <v>18.0209496202485</v>
      </c>
      <c r="Z387" t="n">
        <v>8.645178698240958</v>
      </c>
      <c r="AA387" t="n">
        <v>9.784313163111097</v>
      </c>
      <c r="AB387" t="n">
        <v>10.34073238348247</v>
      </c>
      <c r="AC387" t="n">
        <v>10.49747234827313</v>
      </c>
      <c r="AD387" t="n">
        <v>10.8484455181083</v>
      </c>
      <c r="AE387" t="n">
        <v>11.2412506404135</v>
      </c>
      <c r="AF387" t="n">
        <v>3.621601331303594</v>
      </c>
      <c r="AG387" t="n">
        <v>3.668575744394396</v>
      </c>
      <c r="AH387" t="n">
        <v>3.720565205327865</v>
      </c>
      <c r="AI387" t="n">
        <v>3.720565205327865</v>
      </c>
      <c r="BI387" t="inlineStr">
        <is>
          <t>PV_NEW_DIS_GE</t>
        </is>
      </c>
    </row>
    <row r="388">
      <c r="A388" t="inlineStr">
        <is>
          <t>Dominica_2023_May</t>
        </is>
      </c>
      <c r="B388" s="2" t="n"/>
      <c r="C388" s="3" t="inlineStr">
        <is>
          <t>SM.23.127, Sup. 1</t>
        </is>
      </c>
      <c r="D388" s="4" t="inlineStr">
        <is>
          <t>Dominica</t>
        </is>
      </c>
      <c r="E388" s="4" t="inlineStr">
        <is>
          <t>DMA</t>
        </is>
      </c>
      <c r="F388" s="10" t="n">
        <v>45047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47.95910628735931</v>
      </c>
      <c r="P388" t="n">
        <v>44.31798327275183</v>
      </c>
      <c r="Q388" t="n">
        <v>46.02030172620015</v>
      </c>
      <c r="R388" t="n">
        <v>42.59576025659791</v>
      </c>
      <c r="S388" t="n">
        <v>41.09679064632929</v>
      </c>
      <c r="T388" t="n">
        <v>41.58149303330524</v>
      </c>
      <c r="U388" t="n">
        <v>41.24511970875763</v>
      </c>
      <c r="V388" t="n">
        <v>40.83665178219516</v>
      </c>
      <c r="W388" t="n">
        <v>38.98759803702896</v>
      </c>
      <c r="X388" t="n">
        <v>32.21684366396469</v>
      </c>
      <c r="Y388" t="n">
        <v>33.20301255798309</v>
      </c>
      <c r="Z388" t="n">
        <v>36.81185390757524</v>
      </c>
      <c r="AA388" t="n">
        <v>33.68407476502384</v>
      </c>
      <c r="AB388" t="n">
        <v>31.27710623986487</v>
      </c>
      <c r="AC388" t="n">
        <v>29.91401827909198</v>
      </c>
      <c r="AD388" t="n">
        <v>29.42241895736463</v>
      </c>
      <c r="AE388" t="n">
        <v>29.18509845563145</v>
      </c>
      <c r="AF388" t="n">
        <v>40.03685011272965</v>
      </c>
      <c r="AG388" t="n">
        <v>39.8872759308432</v>
      </c>
      <c r="AH388" t="n">
        <v>39.748635259587</v>
      </c>
      <c r="AI388" t="n">
        <v>39.748635259587</v>
      </c>
      <c r="BI388" t="inlineStr">
        <is>
          <t>NEW_DIS_GE_PCT</t>
        </is>
      </c>
    </row>
    <row r="389">
      <c r="A389" t="inlineStr">
        <is>
          <t>Dominica_2023_May</t>
        </is>
      </c>
      <c r="B389" s="2" t="n"/>
      <c r="C389" s="3" t="inlineStr">
        <is>
          <t>SM.23.127, Sup. 1</t>
        </is>
      </c>
      <c r="D389" s="4" t="inlineStr">
        <is>
          <t>Dominica</t>
        </is>
      </c>
      <c r="E389" s="4" t="inlineStr">
        <is>
          <t>DMA</t>
        </is>
      </c>
      <c r="F389" s="10" t="n">
        <v>45047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11.66657699284042</v>
      </c>
      <c r="P389" t="n">
        <v>15.94582513782951</v>
      </c>
      <c r="Q389" t="n">
        <v>21.5613430124919</v>
      </c>
      <c r="R389" t="n">
        <v>20.66113069436499</v>
      </c>
      <c r="S389" t="n">
        <v>20.93805896408834</v>
      </c>
      <c r="T389" t="n">
        <v>22.69027233621746</v>
      </c>
      <c r="U389" t="n">
        <v>23.27488535548207</v>
      </c>
      <c r="V389" t="n">
        <v>23.98477185497059</v>
      </c>
      <c r="W389" t="n">
        <v>16.6514093132844</v>
      </c>
      <c r="X389" t="n">
        <v>37.92253875004775</v>
      </c>
      <c r="Y389" t="n">
        <v>8.957736560608948</v>
      </c>
      <c r="Z389" t="n">
        <v>5.036467675108451</v>
      </c>
      <c r="AA389" t="n">
        <v>4.969779656136311</v>
      </c>
      <c r="AB389" t="n">
        <v>4.70626552026549</v>
      </c>
      <c r="AC389" t="n">
        <v>4.480519099539505</v>
      </c>
      <c r="AD389" t="n">
        <v>4.522505650584827</v>
      </c>
      <c r="AE389" t="n">
        <v>4.632880926895646</v>
      </c>
      <c r="AF389" t="n">
        <v>2.418110288436429</v>
      </c>
      <c r="AG389" t="n">
        <v>2.434251570790782</v>
      </c>
      <c r="AH389" t="n">
        <v>2.454506880354425</v>
      </c>
      <c r="AI389" t="n">
        <v>2.454506880354425</v>
      </c>
      <c r="BI389" t="inlineStr">
        <is>
          <t>NEW_DIS_GE_USD</t>
        </is>
      </c>
    </row>
    <row r="390">
      <c r="A390" t="inlineStr">
        <is>
          <t>Dominica_2023_May</t>
        </is>
      </c>
      <c r="B390" s="2" t="n"/>
      <c r="C390" s="3" t="inlineStr">
        <is>
          <t>SM.23.127, Sup. 1</t>
        </is>
      </c>
      <c r="D390" s="4" t="inlineStr">
        <is>
          <t>Dominica</t>
        </is>
      </c>
      <c r="E390" s="4" t="inlineStr">
        <is>
          <t>DMA</t>
        </is>
      </c>
      <c r="F390" s="10" t="n">
        <v>45047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5.000000000000001</v>
      </c>
      <c r="R390" t="n">
        <v>5</v>
      </c>
      <c r="S390" t="n">
        <v>5</v>
      </c>
      <c r="T390" t="n">
        <v>5.000000000000001</v>
      </c>
      <c r="U390" t="n">
        <v>5.000000000000002</v>
      </c>
      <c r="V390" t="n">
        <v>5.000000000000001</v>
      </c>
      <c r="W390" t="n">
        <v>5</v>
      </c>
      <c r="X390" t="n">
        <v>4.999999999999999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5.000000000000001</v>
      </c>
      <c r="AH390" t="n">
        <v>5.000000000000001</v>
      </c>
      <c r="AI390" t="n">
        <v>5.000000000000001</v>
      </c>
      <c r="BI390" t="inlineStr">
        <is>
          <t>DIS_RATE_AVG</t>
        </is>
      </c>
    </row>
    <row r="391">
      <c r="A391" t="inlineStr">
        <is>
          <t>Dominica_2023_May</t>
        </is>
      </c>
      <c r="B391" s="2" t="n"/>
      <c r="C391" s="3" t="inlineStr">
        <is>
          <t>SM.23.127, Sup. 1</t>
        </is>
      </c>
      <c r="D391" s="4" t="inlineStr">
        <is>
          <t>Dominica</t>
        </is>
      </c>
      <c r="E391" s="4" t="inlineStr">
        <is>
          <t>DMA</t>
        </is>
      </c>
      <c r="F391" s="10" t="n">
        <v>45047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Dominica_2023_May</t>
        </is>
      </c>
      <c r="B392" s="2" t="n"/>
      <c r="C392" s="3" t="inlineStr">
        <is>
          <t>SM.23.127, Sup. 1</t>
        </is>
      </c>
      <c r="D392" s="4" t="inlineStr">
        <is>
          <t>Dominica</t>
        </is>
      </c>
      <c r="E392" s="4" t="inlineStr">
        <is>
          <t>DMA</t>
        </is>
      </c>
      <c r="F392" s="10" t="n">
        <v>45047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Dominica_2023_May</t>
        </is>
      </c>
      <c r="B393" s="2" t="n"/>
      <c r="C393" s="3" t="inlineStr">
        <is>
          <t>SM.23.127, Sup. 1</t>
        </is>
      </c>
      <c r="D393" s="4" t="inlineStr">
        <is>
          <t>Dominica</t>
        </is>
      </c>
      <c r="E393" s="4" t="inlineStr">
        <is>
          <t>DMA</t>
        </is>
      </c>
      <c r="F393" s="10" t="n">
        <v>45047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Dominica_2023_May</t>
        </is>
      </c>
      <c r="B394" s="2" t="n"/>
      <c r="C394" s="3" t="inlineStr">
        <is>
          <t>SM.23.127, Sup. 1</t>
        </is>
      </c>
      <c r="D394" s="4" t="inlineStr">
        <is>
          <t>Dominica</t>
        </is>
      </c>
      <c r="E394" s="4" t="inlineStr">
        <is>
          <t>DMA</t>
        </is>
      </c>
      <c r="F394" s="10" t="n">
        <v>45047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Dominica_2023_May</t>
        </is>
      </c>
      <c r="B395" s="2" t="n"/>
      <c r="C395" s="3" t="inlineStr">
        <is>
          <t>SM.23.127, Sup. 1</t>
        </is>
      </c>
      <c r="D395" s="4" t="inlineStr">
        <is>
          <t>Dominica</t>
        </is>
      </c>
      <c r="E395" s="4" t="inlineStr">
        <is>
          <t>DMA</t>
        </is>
      </c>
      <c r="F395" s="10" t="n">
        <v>45047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Dominica_2023_May</t>
        </is>
      </c>
      <c r="B396" s="2" t="n"/>
      <c r="C396" s="3" t="inlineStr">
        <is>
          <t>SM.23.127, Sup. 1</t>
        </is>
      </c>
      <c r="D396" s="4" t="inlineStr">
        <is>
          <t>Dominica</t>
        </is>
      </c>
      <c r="E396" s="4" t="inlineStr">
        <is>
          <t>DMA</t>
        </is>
      </c>
      <c r="F396" s="10" t="n">
        <v>45047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Dominica_2023_May</t>
        </is>
      </c>
      <c r="B397" s="2" t="n"/>
      <c r="C397" s="3" t="inlineStr">
        <is>
          <t>SM.23.127, Sup. 1</t>
        </is>
      </c>
      <c r="D397" s="4" t="inlineStr">
        <is>
          <t>Dominica</t>
        </is>
      </c>
      <c r="E397" s="4" t="inlineStr">
        <is>
          <t>DMA</t>
        </is>
      </c>
      <c r="F397" s="10" t="n">
        <v>45047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16.5185185185185</v>
      </c>
      <c r="P397" t="n">
        <v>19.820478</v>
      </c>
      <c r="Q397" t="n">
        <v>29.9728590740741</v>
      </c>
      <c r="R397" t="n">
        <v>27.4747591388889</v>
      </c>
      <c r="S397" t="n">
        <v>27.51484701284342</v>
      </c>
      <c r="T397" t="n">
        <v>30.56459989652245</v>
      </c>
      <c r="U397" t="n">
        <v>31.05806492226122</v>
      </c>
      <c r="V397" t="n">
        <v>31.85123315520253</v>
      </c>
      <c r="W397" t="n">
        <v>21.17977265156323</v>
      </c>
      <c r="X397" t="n">
        <v>14.32769550310168</v>
      </c>
      <c r="Y397" t="n">
        <v>8.94575841158721</v>
      </c>
      <c r="Z397" t="n">
        <v>3.908270902000349</v>
      </c>
      <c r="AA397" t="n">
        <v>4.14004754227086</v>
      </c>
      <c r="AB397" t="n">
        <v>3.47984600922772</v>
      </c>
      <c r="AC397" t="n">
        <v>2.974562230116295</v>
      </c>
      <c r="AD397" t="n">
        <v>2.974427892971297</v>
      </c>
      <c r="AE397" t="n">
        <v>3.100821814347192</v>
      </c>
      <c r="AF397" t="n">
        <v>0.0120028680227015</v>
      </c>
      <c r="AG397" t="n">
        <v>0.00374633515064925</v>
      </c>
      <c r="AH397" t="n">
        <v>0.00116930612204059</v>
      </c>
      <c r="AI397" t="n">
        <v>0.000364593454824143</v>
      </c>
    </row>
    <row r="398">
      <c r="A398" t="inlineStr">
        <is>
          <t>Dominica_2023_May</t>
        </is>
      </c>
      <c r="B398" s="2" t="n"/>
      <c r="C398" s="3" t="inlineStr">
        <is>
          <t>SM.23.127, Sup. 1</t>
        </is>
      </c>
      <c r="D398" s="4" t="inlineStr">
        <is>
          <t>Dominica</t>
        </is>
      </c>
      <c r="E398" s="4" t="inlineStr">
        <is>
          <t>DMA</t>
        </is>
      </c>
      <c r="F398" s="10" t="n">
        <v>45047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Dominica_2023_May</t>
        </is>
      </c>
      <c r="B399" s="2" t="n"/>
      <c r="C399" s="3" t="inlineStr">
        <is>
          <t>SM.23.127, Sup. 1</t>
        </is>
      </c>
      <c r="D399" s="4" t="inlineStr">
        <is>
          <t>Dominica</t>
        </is>
      </c>
      <c r="E399" s="4" t="inlineStr">
        <is>
          <t>DMA</t>
        </is>
      </c>
      <c r="F399" s="10" t="n">
        <v>45047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Dominica_2023_May</t>
        </is>
      </c>
      <c r="B400" s="2" t="n"/>
      <c r="C400" s="3" t="inlineStr">
        <is>
          <t>SM.23.127, Sup. 1</t>
        </is>
      </c>
      <c r="D400" s="4" t="inlineStr">
        <is>
          <t>Dominica</t>
        </is>
      </c>
      <c r="E400" s="4" t="inlineStr">
        <is>
          <t>DMA</t>
        </is>
      </c>
      <c r="F400" s="10" t="n">
        <v>45047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small economy</t>
        </is>
      </c>
      <c r="O400" t="n">
        <v>16.5185185185185</v>
      </c>
      <c r="P400" t="n">
        <v>19.820478</v>
      </c>
      <c r="Q400" t="n">
        <v>29.9728590740741</v>
      </c>
      <c r="R400" t="n">
        <v>27.4747591388889</v>
      </c>
      <c r="S400" t="n">
        <v>23.4466536828704</v>
      </c>
      <c r="T400" t="n">
        <v>25.1786874739583</v>
      </c>
      <c r="U400" t="n">
        <v>26.3640645077533</v>
      </c>
      <c r="V400" t="n">
        <v>27.591159823557</v>
      </c>
      <c r="W400" t="n">
        <v>17.2808046858369</v>
      </c>
      <c r="X400" t="n">
        <v>10.7943691973865</v>
      </c>
      <c r="Y400" t="n">
        <v>5.61523097526179</v>
      </c>
      <c r="Z400" t="n">
        <v>2.9210431403909</v>
      </c>
      <c r="AA400" t="n">
        <v>2.4312426158397</v>
      </c>
      <c r="AB400" t="n">
        <v>1.26473240315702</v>
      </c>
      <c r="AC400" t="n">
        <v>0.394748275924625</v>
      </c>
      <c r="AD400" t="n">
        <v>0.123208831335777</v>
      </c>
      <c r="AE400" t="n">
        <v>0.0384559402661619</v>
      </c>
      <c r="AF400" t="n">
        <v>0.0120028680227015</v>
      </c>
      <c r="AG400" t="n">
        <v>0.00374633515064925</v>
      </c>
      <c r="AH400" t="n">
        <v>0.00116930612204059</v>
      </c>
      <c r="AI400" t="n">
        <v>0.000364593454824143</v>
      </c>
    </row>
    <row r="401">
      <c r="A401" t="inlineStr">
        <is>
          <t>Dominica_2023_May</t>
        </is>
      </c>
      <c r="B401" s="2" t="n"/>
      <c r="C401" s="3" t="inlineStr">
        <is>
          <t>SM.23.127, Sup. 1</t>
        </is>
      </c>
      <c r="D401" s="4" t="inlineStr">
        <is>
          <t>Dominica</t>
        </is>
      </c>
      <c r="E401" s="4" t="inlineStr">
        <is>
          <t>DMA</t>
        </is>
      </c>
      <c r="F401" s="10" t="n">
        <v>45047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Dominica_2023_May</t>
        </is>
      </c>
      <c r="B402" s="2" t="n"/>
      <c r="C402" s="3" t="inlineStr">
        <is>
          <t>SM.23.127, Sup. 1</t>
        </is>
      </c>
      <c r="D402" s="4" t="inlineStr">
        <is>
          <t>Dominica</t>
        </is>
      </c>
      <c r="E402" s="4" t="inlineStr">
        <is>
          <t>DMA</t>
        </is>
      </c>
      <c r="F402" s="10" t="n">
        <v>45047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CDB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Dominica_2023_May</t>
        </is>
      </c>
      <c r="B403" s="2" t="n"/>
      <c r="C403" s="3" t="inlineStr">
        <is>
          <t>SM.23.127, Sup. 1</t>
        </is>
      </c>
      <c r="D403" s="4" t="inlineStr">
        <is>
          <t>Dominica</t>
        </is>
      </c>
      <c r="E403" s="4" t="inlineStr">
        <is>
          <t>DMA</t>
        </is>
      </c>
      <c r="F403" s="10" t="n">
        <v>45047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MULTIRES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Dominica_2023_May</t>
        </is>
      </c>
      <c r="B404" s="2" t="n"/>
      <c r="C404" s="3" t="inlineStr">
        <is>
          <t>SM.23.127, Sup. 1</t>
        </is>
      </c>
      <c r="D404" s="4" t="inlineStr">
        <is>
          <t>Dominica</t>
        </is>
      </c>
      <c r="E404" s="4" t="inlineStr">
        <is>
          <t>DMA</t>
        </is>
      </c>
      <c r="F404" s="10" t="n">
        <v>45047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Dominica_2023_May</t>
        </is>
      </c>
      <c r="B405" s="2" t="n"/>
      <c r="C405" s="3" t="inlineStr">
        <is>
          <t>SM.23.127, Sup. 1</t>
        </is>
      </c>
      <c r="D405" s="4" t="inlineStr">
        <is>
          <t>Dominica</t>
        </is>
      </c>
      <c r="E405" s="4" t="inlineStr">
        <is>
          <t>DMA</t>
        </is>
      </c>
      <c r="F405" s="10" t="n">
        <v>45047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Dominica_2023_May</t>
        </is>
      </c>
      <c r="B406" s="2" t="n"/>
      <c r="C406" s="3" t="inlineStr">
        <is>
          <t>SM.23.127, Sup. 1</t>
        </is>
      </c>
      <c r="D406" s="4" t="inlineStr">
        <is>
          <t>Dominica</t>
        </is>
      </c>
      <c r="E406" s="4" t="inlineStr">
        <is>
          <t>DMA</t>
        </is>
      </c>
      <c r="F406" s="10" t="n">
        <v>45047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Dominica_2023_May</t>
        </is>
      </c>
      <c r="B407" s="2" t="n"/>
      <c r="C407" s="3" t="inlineStr">
        <is>
          <t>SM.23.127, Sup. 1</t>
        </is>
      </c>
      <c r="D407" s="4" t="inlineStr">
        <is>
          <t>Dominica</t>
        </is>
      </c>
      <c r="E407" s="4" t="inlineStr">
        <is>
          <t>DMA</t>
        </is>
      </c>
      <c r="F407" s="10" t="n">
        <v>45047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Dominica_2023_May</t>
        </is>
      </c>
      <c r="B408" s="2" t="n"/>
      <c r="C408" s="3" t="inlineStr">
        <is>
          <t>SM.23.127, Sup. 1</t>
        </is>
      </c>
      <c r="D408" s="4" t="inlineStr">
        <is>
          <t>Dominica</t>
        </is>
      </c>
      <c r="E408" s="4" t="inlineStr">
        <is>
          <t>DMA</t>
        </is>
      </c>
      <c r="F408" s="10" t="n">
        <v>45047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Dominica_2023_May</t>
        </is>
      </c>
      <c r="B409" s="2" t="n"/>
      <c r="C409" s="3" t="inlineStr">
        <is>
          <t>SM.23.127, Sup. 1</t>
        </is>
      </c>
      <c r="D409" s="4" t="inlineStr">
        <is>
          <t>Dominica</t>
        </is>
      </c>
      <c r="E409" s="4" t="inlineStr">
        <is>
          <t>DMA</t>
        </is>
      </c>
      <c r="F409" s="10" t="n">
        <v>45047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Dominica_2023_May</t>
        </is>
      </c>
      <c r="B410" s="2" t="n"/>
      <c r="C410" s="3" t="inlineStr">
        <is>
          <t>SM.23.127, Sup. 1</t>
        </is>
      </c>
      <c r="D410" s="4" t="inlineStr">
        <is>
          <t>Dominica</t>
        </is>
      </c>
      <c r="E410" s="4" t="inlineStr">
        <is>
          <t>DMA</t>
        </is>
      </c>
      <c r="F410" s="10" t="n">
        <v>45047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Dominica_2023_May</t>
        </is>
      </c>
      <c r="B411" s="2" t="n"/>
      <c r="C411" s="3" t="inlineStr">
        <is>
          <t>SM.23.127, Sup. 1</t>
        </is>
      </c>
      <c r="D411" s="4" t="inlineStr">
        <is>
          <t>Dominica</t>
        </is>
      </c>
      <c r="E411" s="4" t="inlineStr">
        <is>
          <t>DMA</t>
        </is>
      </c>
      <c r="F411" s="10" t="n">
        <v>45047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Dominica_2023_May</t>
        </is>
      </c>
      <c r="B412" s="2" t="n"/>
      <c r="C412" s="3" t="inlineStr">
        <is>
          <t>SM.23.127, Sup. 1</t>
        </is>
      </c>
      <c r="D412" s="4" t="inlineStr">
        <is>
          <t>Dominica</t>
        </is>
      </c>
      <c r="E412" s="4" t="inlineStr">
        <is>
          <t>DMA</t>
        </is>
      </c>
      <c r="F412" s="10" t="n">
        <v>45047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Dominica_2023_May</t>
        </is>
      </c>
      <c r="B413" s="2" t="n"/>
      <c r="C413" s="3" t="inlineStr">
        <is>
          <t>SM.23.127, Sup. 1</t>
        </is>
      </c>
      <c r="D413" s="4" t="inlineStr">
        <is>
          <t>Dominica</t>
        </is>
      </c>
      <c r="E413" s="4" t="inlineStr">
        <is>
          <t>DMA</t>
        </is>
      </c>
      <c r="F413" s="10" t="n">
        <v>45047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NPC2</t>
        </is>
      </c>
      <c r="O413" t="n">
        <v>0</v>
      </c>
      <c r="P413" t="n">
        <v>0</v>
      </c>
      <c r="Q413" t="n">
        <v>0</v>
      </c>
      <c r="R413" t="n">
        <v>0</v>
      </c>
      <c r="S413" t="n">
        <v>4.06819332997302</v>
      </c>
      <c r="T413" t="n">
        <v>5.38591242256415</v>
      </c>
      <c r="U413" t="n">
        <v>4.69400041450792</v>
      </c>
      <c r="V413" t="n">
        <v>4.26007333164553</v>
      </c>
      <c r="W413" t="n">
        <v>3.89896796572633</v>
      </c>
      <c r="X413" t="n">
        <v>3.53332630571518</v>
      </c>
      <c r="Y413" t="n">
        <v>3.33052743632542</v>
      </c>
      <c r="Z413" t="n">
        <v>0.987227761609449</v>
      </c>
      <c r="AA413" t="n">
        <v>1.70880492643116</v>
      </c>
      <c r="AB413" t="n">
        <v>2.2151136060707</v>
      </c>
      <c r="AC413" t="n">
        <v>2.57981395419167</v>
      </c>
      <c r="AD413" t="n">
        <v>2.85121906163552</v>
      </c>
      <c r="AE413" t="n">
        <v>3.06236587408103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Dominica_2023_May</t>
        </is>
      </c>
      <c r="B414" s="2" t="n"/>
      <c r="C414" s="3" t="inlineStr">
        <is>
          <t>SM.23.127, Sup. 1</t>
        </is>
      </c>
      <c r="D414" s="4" t="inlineStr">
        <is>
          <t>Dominica</t>
        </is>
      </c>
      <c r="E414" s="4" t="inlineStr">
        <is>
          <t>DMA</t>
        </is>
      </c>
      <c r="F414" s="10" t="n">
        <v>45047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Dominica_2023_May</t>
        </is>
      </c>
      <c r="B415" s="2" t="n"/>
      <c r="C415" s="3" t="inlineStr">
        <is>
          <t>SM.23.127, Sup. 1</t>
        </is>
      </c>
      <c r="D415" s="4" t="inlineStr">
        <is>
          <t>Dominica</t>
        </is>
      </c>
      <c r="E415" s="4" t="inlineStr">
        <is>
          <t>DMA</t>
        </is>
      </c>
      <c r="F415" s="10" t="n">
        <v>45047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Dominica_2023_May</t>
        </is>
      </c>
      <c r="B416" s="2" t="n"/>
      <c r="C416" s="3" t="inlineStr">
        <is>
          <t>SM.23.127, Sup. 1</t>
        </is>
      </c>
      <c r="D416" s="4" t="inlineStr">
        <is>
          <t>Dominica</t>
        </is>
      </c>
      <c r="E416" s="4" t="inlineStr">
        <is>
          <t>DMA</t>
        </is>
      </c>
      <c r="F416" s="10" t="n">
        <v>45047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Dominica_2023_May</t>
        </is>
      </c>
      <c r="B417" s="2" t="n"/>
      <c r="C417" s="3" t="inlineStr">
        <is>
          <t>SM.23.127, Sup. 1</t>
        </is>
      </c>
      <c r="D417" s="4" t="inlineStr">
        <is>
          <t>Dominica</t>
        </is>
      </c>
      <c r="E417" s="4" t="inlineStr">
        <is>
          <t>DMA</t>
        </is>
      </c>
      <c r="F417" s="10" t="n">
        <v>45047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Dominica_2023_May</t>
        </is>
      </c>
      <c r="B418" s="2" t="n"/>
      <c r="C418" s="3" t="inlineStr">
        <is>
          <t>SM.23.127, Sup. 1</t>
        </is>
      </c>
      <c r="D418" s="4" t="inlineStr">
        <is>
          <t>Dominica</t>
        </is>
      </c>
      <c r="E418" s="4" t="inlineStr">
        <is>
          <t>DMA</t>
        </is>
      </c>
      <c r="F418" s="10" t="n">
        <v>45047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Dominica_2023_May</t>
        </is>
      </c>
      <c r="B419" s="2" t="n"/>
      <c r="C419" s="3" t="inlineStr">
        <is>
          <t>SM.23.127, Sup. 1</t>
        </is>
      </c>
      <c r="D419" s="4" t="inlineStr">
        <is>
          <t>Dominica</t>
        </is>
      </c>
      <c r="E419" s="4" t="inlineStr">
        <is>
          <t>DMA</t>
        </is>
      </c>
      <c r="F419" s="10" t="n">
        <v>45047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Dominica_2023_May</t>
        </is>
      </c>
      <c r="B420" s="2" t="n"/>
      <c r="C420" s="3" t="inlineStr">
        <is>
          <t>SM.23.127, Sup. 1</t>
        </is>
      </c>
      <c r="D420" s="4" t="inlineStr">
        <is>
          <t>Dominica</t>
        </is>
      </c>
      <c r="E420" s="4" t="inlineStr">
        <is>
          <t>DMA</t>
        </is>
      </c>
      <c r="F420" s="10" t="n">
        <v>45047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Dominica_2023_May</t>
        </is>
      </c>
      <c r="B421" s="2" t="n"/>
      <c r="C421" s="3" t="inlineStr">
        <is>
          <t>SM.23.127, Sup. 1</t>
        </is>
      </c>
      <c r="D421" s="4" t="inlineStr">
        <is>
          <t>Dominica</t>
        </is>
      </c>
      <c r="E421" s="4" t="inlineStr">
        <is>
          <t>DMA</t>
        </is>
      </c>
      <c r="F421" s="10" t="n">
        <v>45047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Dominica_2023_May</t>
        </is>
      </c>
      <c r="B422" s="2" t="n"/>
      <c r="C422" s="3" t="inlineStr">
        <is>
          <t>SM.23.127, Sup. 1</t>
        </is>
      </c>
      <c r="D422" s="4" t="inlineStr">
        <is>
          <t>Dominica</t>
        </is>
      </c>
      <c r="E422" s="4" t="inlineStr">
        <is>
          <t>DMA</t>
        </is>
      </c>
      <c r="F422" s="10" t="n">
        <v>45047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Dominica_2023_May</t>
        </is>
      </c>
      <c r="B423" s="2" t="n"/>
      <c r="C423" s="3" t="inlineStr">
        <is>
          <t>SM.23.127, Sup. 1</t>
        </is>
      </c>
      <c r="D423" s="4" t="inlineStr">
        <is>
          <t>Dominica</t>
        </is>
      </c>
      <c r="E423" s="4" t="inlineStr">
        <is>
          <t>DMA</t>
        </is>
      </c>
      <c r="F423" s="10" t="n">
        <v>45047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Dominica_2023_May</t>
        </is>
      </c>
      <c r="C424" t="inlineStr">
        <is>
          <t>SM.23.127, Sup. 1</t>
        </is>
      </c>
      <c r="D424" t="inlineStr">
        <is>
          <t>Dominica</t>
        </is>
      </c>
      <c r="E424" t="inlineStr">
        <is>
          <t>DMA</t>
        </is>
      </c>
      <c r="F424" s="11" t="n">
        <v>45047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2026-04-13T19:30:36Z</dcterms:created>
  <dcterms:modified xmlns:dcterms="http://purl.org/dc/terms/" xmlns:xsi="http://www.w3.org/2001/XMLSchema-instance" xsi:type="dcterms:W3CDTF">2026-04-14T19:26:13Z</dcterms:modified>
</cp:coreProperties>
</file>