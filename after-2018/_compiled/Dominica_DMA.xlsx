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MA_EBS.20.72_Ext_Debt_Data" sheetId="1" state="visible" r:id="rId1"/>
    <sheet xmlns:r="http://schemas.openxmlformats.org/officeDocument/2006/relationships" name="DMA_EBS.20.72_Macro_Debt_Data" sheetId="2" state="visible" r:id="rId2"/>
    <sheet xmlns:r="http://schemas.openxmlformats.org/officeDocument/2006/relationships" name="DMA_SM.18.139_Data_Input" sheetId="3" state="visible" r:id="rId3"/>
    <sheet xmlns:r="http://schemas.openxmlformats.org/officeDocument/2006/relationships" name="DMA_SM.18.139_Inp_Out_Debt" sheetId="4" state="visible" r:id="rId4"/>
    <sheet xmlns:r="http://schemas.openxmlformats.org/officeDocument/2006/relationships" name="DMA_SM.19.158_Ext_Debt_Data" sheetId="5" state="visible" r:id="rId5"/>
    <sheet xmlns:r="http://schemas.openxmlformats.org/officeDocument/2006/relationships" name="DMA_SM.19.158_Macro_Debt_Data" sheetId="6" state="visible" r:id="rId6"/>
    <sheet xmlns:r="http://schemas.openxmlformats.org/officeDocument/2006/relationships" name="DMA_SM.22.7_Ext_Debt_Data" sheetId="7" state="visible" r:id="rId7"/>
    <sheet xmlns:r="http://schemas.openxmlformats.org/officeDocument/2006/relationships" name="DMA_SM.22.7_Macro_Debt_Data" sheetId="8" state="visible" r:id="rId8"/>
    <sheet xmlns:r="http://schemas.openxmlformats.org/officeDocument/2006/relationships" name="DMA_SM.23.127_Ext_Debt_Data" sheetId="9" state="visible" r:id="rId9"/>
    <sheet xmlns:r="http://schemas.openxmlformats.org/officeDocument/2006/relationships" name="DMA_SM.23.127_Macro_Debt_Dat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.mm.dd"/>
    <numFmt numFmtId="166" formatCode="yyyy-mm-dd h:mm:ss"/>
  </numFmts>
  <fonts count="5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Arial"/>
      <family val="2"/>
      <color theme="10"/>
      <sz val="10"/>
      <u val="single"/>
    </font>
    <font>
      <name val="Segoe UI"/>
      <family val="2"/>
      <color rgb="FF242424"/>
      <sz val="11"/>
    </font>
    <font>
      <name val="Aptos Narrow"/>
      <family val="2"/>
      <color rgb="FF242424"/>
      <sz val="11"/>
    </font>
  </fonts>
  <fills count="5">
    <fill>
      <patternFill/>
    </fill>
    <fill>
      <patternFill patternType="gray125"/>
    </fill>
    <fill>
      <patternFill patternType="solid">
        <fgColor rgb="FF3CF716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4" fillId="0" borderId="0" pivotButton="0" quotePrefix="0" xfId="0"/>
    <xf numFmtId="164" fontId="1" fillId="0" borderId="0" pivotButton="0" quotePrefix="0" xfId="0"/>
    <xf numFmtId="164" fontId="0" fillId="0" borderId="0" pivotButton="0" quotePrefix="0" xfId="0"/>
    <xf numFmtId="165" fontId="1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s="1" t="inlineStr">
        <is>
          <t>link.staff.report</t>
        </is>
      </c>
      <c r="C1" s="1" t="inlineStr">
        <is>
          <t>dsa.vintage</t>
        </is>
      </c>
      <c r="D1" s="1" t="inlineStr">
        <is>
          <t>country.name</t>
        </is>
      </c>
      <c r="E1" s="1" t="inlineStr">
        <is>
          <t>country.code</t>
        </is>
      </c>
      <c r="F1" s="1" t="inlineStr">
        <is>
          <t>issue.date</t>
        </is>
      </c>
      <c r="G1" s="1" t="inlineStr">
        <is>
          <t>methodo.gn</t>
        </is>
      </c>
      <c r="H1" s="1" t="inlineStr">
        <is>
          <t>first.year.proj</t>
        </is>
      </c>
      <c r="I1" s="1" t="inlineStr">
        <is>
          <t>indicator</t>
        </is>
      </c>
      <c r="J1" s="1" t="inlineStr">
        <is>
          <t>description</t>
        </is>
      </c>
      <c r="K1" s="1" t="inlineStr">
        <is>
          <t>trs1</t>
        </is>
      </c>
      <c r="L1" s="1" t="inlineStr">
        <is>
          <t>trs2</t>
        </is>
      </c>
      <c r="M1" s="1" t="inlineStr">
        <is>
          <t>trs3</t>
        </is>
      </c>
      <c r="N1" t="n">
        <v>2018</v>
      </c>
      <c r="O1" t="n">
        <v>2019</v>
      </c>
      <c r="P1" t="n">
        <v>2020</v>
      </c>
      <c r="Q1" t="n">
        <v>2021</v>
      </c>
      <c r="R1" t="n">
        <v>2022</v>
      </c>
      <c r="S1" t="n">
        <v>2023</v>
      </c>
      <c r="T1" t="n">
        <v>2024</v>
      </c>
      <c r="U1" t="n">
        <v>2025</v>
      </c>
      <c r="V1" t="n">
        <v>2026</v>
      </c>
      <c r="W1" t="n">
        <v>2027</v>
      </c>
      <c r="X1" t="n">
        <v>2028</v>
      </c>
      <c r="Y1" t="n">
        <v>2029</v>
      </c>
      <c r="Z1" t="n">
        <v>2030</v>
      </c>
      <c r="AA1" t="n">
        <v>2031</v>
      </c>
      <c r="AB1" t="n">
        <v>2032</v>
      </c>
      <c r="AC1" t="n">
        <v>2033</v>
      </c>
      <c r="AD1" t="n">
        <v>2034</v>
      </c>
      <c r="AE1" t="n">
        <v>2035</v>
      </c>
      <c r="AF1" t="n">
        <v>2036</v>
      </c>
      <c r="AG1" t="n">
        <v>2037</v>
      </c>
      <c r="AH1" t="n">
        <v>2038</v>
      </c>
      <c r="AI1" t="n">
        <v>2039</v>
      </c>
      <c r="AJ1" t="n">
        <v>2040</v>
      </c>
      <c r="AK1" t="n">
        <v>2041</v>
      </c>
      <c r="AL1" t="n">
        <v>2042</v>
      </c>
      <c r="AM1" t="n">
        <v>2043</v>
      </c>
      <c r="AN1" t="n">
        <v>2044</v>
      </c>
      <c r="AO1" t="n">
        <v>2045</v>
      </c>
      <c r="AP1" t="n">
        <v>2046</v>
      </c>
      <c r="AQ1" t="n">
        <v>2047</v>
      </c>
      <c r="AR1" t="n">
        <v>2048</v>
      </c>
      <c r="AS1" t="n">
        <v>2049</v>
      </c>
      <c r="AT1" t="n">
        <v>2050</v>
      </c>
      <c r="AU1" t="n">
        <v>2051</v>
      </c>
      <c r="AV1" t="n">
        <v>2052</v>
      </c>
      <c r="AW1" t="n">
        <v>2053</v>
      </c>
      <c r="AX1" t="n">
        <v>2054</v>
      </c>
      <c r="AY1" t="n">
        <v>2055</v>
      </c>
      <c r="AZ1" t="n">
        <v>2056</v>
      </c>
      <c r="BA1" t="n">
        <v>2057</v>
      </c>
      <c r="BB1" t="n">
        <v>2058</v>
      </c>
      <c r="BC1" t="n">
        <v>2059</v>
      </c>
      <c r="BD1" t="n">
        <v>2060</v>
      </c>
      <c r="BE1" t="n">
        <v>2061</v>
      </c>
      <c r="BF1" t="n">
        <v>2062</v>
      </c>
      <c r="BG1" t="n">
        <v>2063</v>
      </c>
    </row>
    <row r="2">
      <c r="A2" t="inlineStr">
        <is>
          <t>no_year_in_pairs</t>
        </is>
      </c>
      <c r="B2" s="2" t="n"/>
      <c r="C2" s="3" t="inlineStr">
        <is>
          <t>EBS.20.72, Sup. 1</t>
        </is>
      </c>
      <c r="D2" s="4" t="inlineStr">
        <is>
          <t>Dominica</t>
        </is>
      </c>
      <c r="E2" s="4" t="inlineStr">
        <is>
          <t>DMA</t>
        </is>
      </c>
      <c r="F2" s="4" t="n"/>
      <c r="G2" s="4" t="inlineStr">
        <is>
          <t>2018gn</t>
        </is>
      </c>
      <c r="H2" s="4" t="n">
        <v>2019</v>
      </c>
      <c r="I2" s="5" t="n"/>
      <c r="J2" t="inlineStr">
        <is>
          <t>THIS SHEET CALCULATES THE PV OF PUBLIC (PPG) EXTERNAL DEBT</t>
        </is>
      </c>
    </row>
    <row r="3">
      <c r="A3" t="inlineStr">
        <is>
          <t>no_year_in_pairs</t>
        </is>
      </c>
      <c r="B3" s="2" t="n"/>
      <c r="C3" s="3" t="inlineStr">
        <is>
          <t>EBS.20.72, Sup. 1</t>
        </is>
      </c>
      <c r="D3" s="4" t="inlineStr">
        <is>
          <t>Dominica</t>
        </is>
      </c>
      <c r="E3" s="4" t="inlineStr">
        <is>
          <t>DMA</t>
        </is>
      </c>
      <c r="F3" s="4" t="n"/>
      <c r="G3" s="4" t="inlineStr">
        <is>
          <t>2018gn</t>
        </is>
      </c>
      <c r="H3" s="4" t="n">
        <v>2019</v>
      </c>
      <c r="I3" s="5" t="n"/>
    </row>
    <row r="4">
      <c r="A4" t="inlineStr">
        <is>
          <t>no_year_in_pairs</t>
        </is>
      </c>
      <c r="B4" s="2" t="n"/>
      <c r="C4" s="3" t="inlineStr">
        <is>
          <t>EBS.20.72, Sup. 1</t>
        </is>
      </c>
      <c r="D4" s="4" t="inlineStr">
        <is>
          <t>Dominica</t>
        </is>
      </c>
      <c r="E4" s="4" t="inlineStr">
        <is>
          <t>DMA</t>
        </is>
      </c>
      <c r="F4" s="4" t="n"/>
      <c r="G4" s="4" t="inlineStr">
        <is>
          <t>2018gn</t>
        </is>
      </c>
      <c r="H4" s="4" t="n">
        <v>2019</v>
      </c>
      <c r="I4" s="5" t="n"/>
    </row>
    <row r="5">
      <c r="A5" t="inlineStr">
        <is>
          <t>no_year_in_pairs</t>
        </is>
      </c>
      <c r="B5" s="2" t="n"/>
      <c r="C5" s="3" t="inlineStr">
        <is>
          <t>EBS.20.72, Sup. 1</t>
        </is>
      </c>
      <c r="D5" s="4" t="inlineStr">
        <is>
          <t>Dominica</t>
        </is>
      </c>
      <c r="E5" s="4" t="inlineStr">
        <is>
          <t>DMA</t>
        </is>
      </c>
      <c r="F5" s="4" t="n"/>
      <c r="G5" s="4" t="inlineStr">
        <is>
          <t>2018gn</t>
        </is>
      </c>
      <c r="H5" s="4" t="n">
        <v>2019</v>
      </c>
      <c r="I5" s="5" t="n"/>
      <c r="J5" t="inlineStr">
        <is>
          <t>Blue cells are populated automatically</t>
        </is>
      </c>
    </row>
    <row r="6">
      <c r="A6" t="inlineStr">
        <is>
          <t>no_year_in_pairs</t>
        </is>
      </c>
      <c r="B6" s="2" t="n"/>
      <c r="C6" s="3" t="inlineStr">
        <is>
          <t>EBS.20.72, Sup. 1</t>
        </is>
      </c>
      <c r="D6" s="4" t="inlineStr">
        <is>
          <t>Dominica</t>
        </is>
      </c>
      <c r="E6" s="4" t="inlineStr">
        <is>
          <t>DMA</t>
        </is>
      </c>
      <c r="F6" s="4" t="n"/>
      <c r="G6" s="4" t="inlineStr">
        <is>
          <t>2018gn</t>
        </is>
      </c>
      <c r="H6" s="4" t="n">
        <v>2019</v>
      </c>
      <c r="I6" s="5" t="n"/>
    </row>
    <row r="7">
      <c r="A7" t="inlineStr">
        <is>
          <t>no_year_in_pairs</t>
        </is>
      </c>
      <c r="B7" s="2" t="n"/>
      <c r="C7" s="3" t="inlineStr">
        <is>
          <t>EBS.20.72, Sup. 1</t>
        </is>
      </c>
      <c r="D7" s="4" t="inlineStr">
        <is>
          <t>Dominica</t>
        </is>
      </c>
      <c r="E7" s="4" t="inlineStr">
        <is>
          <t>DMA</t>
        </is>
      </c>
      <c r="F7" s="4" t="n"/>
      <c r="G7" s="4" t="inlineStr">
        <is>
          <t>2018gn</t>
        </is>
      </c>
      <c r="H7" s="4" t="n">
        <v>2019</v>
      </c>
      <c r="I7" s="5" t="n"/>
    </row>
    <row r="8">
      <c r="A8" t="inlineStr">
        <is>
          <t>no_year_in_pairs</t>
        </is>
      </c>
      <c r="B8" s="2" t="n"/>
      <c r="C8" s="3" t="inlineStr">
        <is>
          <t>EBS.20.72, Sup. 1</t>
        </is>
      </c>
      <c r="D8" s="4" t="inlineStr">
        <is>
          <t>Dominica</t>
        </is>
      </c>
      <c r="E8" s="4" t="inlineStr">
        <is>
          <t>DMA</t>
        </is>
      </c>
      <c r="F8" s="4" t="n"/>
      <c r="G8" s="4" t="inlineStr">
        <is>
          <t>2018gn</t>
        </is>
      </c>
      <c r="H8" s="4" t="n">
        <v>2019</v>
      </c>
      <c r="I8" s="5" t="n"/>
      <c r="J8" t="inlineStr">
        <is>
          <t>1. Old MLT debt (excluding arrears): debt service due 1/</t>
        </is>
      </c>
    </row>
    <row r="9">
      <c r="A9" t="inlineStr">
        <is>
          <t>no_year_in_pairs</t>
        </is>
      </c>
      <c r="B9" s="2" t="n"/>
      <c r="C9" s="3" t="inlineStr">
        <is>
          <t>EBS.20.72, Sup. 1</t>
        </is>
      </c>
      <c r="D9" s="4" t="inlineStr">
        <is>
          <t>Dominica</t>
        </is>
      </c>
      <c r="E9" s="4" t="inlineStr">
        <is>
          <t>DMA</t>
        </is>
      </c>
      <c r="F9" s="4" t="n"/>
      <c r="G9" s="4" t="inlineStr">
        <is>
          <t>2018gn</t>
        </is>
      </c>
      <c r="H9" s="4" t="n">
        <v>2019</v>
      </c>
      <c r="I9" s="5" t="n"/>
      <c r="M9" t="n">
        <v>2017</v>
      </c>
      <c r="N9" t="n">
        <v>2018</v>
      </c>
      <c r="O9" t="n">
        <v>2019</v>
      </c>
      <c r="P9" t="n">
        <v>2020</v>
      </c>
      <c r="Q9" t="n">
        <v>2021</v>
      </c>
      <c r="R9" t="n">
        <v>2022</v>
      </c>
      <c r="S9" t="n">
        <v>2023</v>
      </c>
      <c r="T9" t="n">
        <v>2024</v>
      </c>
      <c r="U9" t="n">
        <v>2025</v>
      </c>
      <c r="V9" t="n">
        <v>2026</v>
      </c>
      <c r="W9" t="n">
        <v>2027</v>
      </c>
      <c r="X9" t="n">
        <v>2028</v>
      </c>
      <c r="Y9" t="n">
        <v>2029</v>
      </c>
      <c r="Z9" t="n">
        <v>2030</v>
      </c>
      <c r="AA9" t="n">
        <v>2031</v>
      </c>
      <c r="AB9" t="n">
        <v>2032</v>
      </c>
      <c r="AC9" t="n">
        <v>2033</v>
      </c>
      <c r="AD9" t="n">
        <v>2034</v>
      </c>
      <c r="AE9" t="n">
        <v>2035</v>
      </c>
      <c r="AF9" t="n">
        <v>2036</v>
      </c>
      <c r="AG9" t="n">
        <v>2037</v>
      </c>
      <c r="AH9" t="n">
        <v>2038</v>
      </c>
      <c r="AI9" t="n">
        <v>2039</v>
      </c>
      <c r="AJ9" t="n">
        <v>2040</v>
      </c>
      <c r="AK9" t="n">
        <v>2041</v>
      </c>
      <c r="AL9" t="n">
        <v>2042</v>
      </c>
      <c r="AM9" t="n">
        <v>2043</v>
      </c>
      <c r="AN9" t="n">
        <v>2044</v>
      </c>
      <c r="AO9" t="n">
        <v>2045</v>
      </c>
      <c r="AP9" t="n">
        <v>2046</v>
      </c>
      <c r="AQ9" t="n">
        <v>2047</v>
      </c>
      <c r="AR9" t="n">
        <v>2048</v>
      </c>
      <c r="AS9" t="n">
        <v>2049</v>
      </c>
      <c r="AT9" t="n">
        <v>2050</v>
      </c>
      <c r="AU9" t="n">
        <v>2051</v>
      </c>
      <c r="AV9" t="n">
        <v>2052</v>
      </c>
      <c r="AW9" t="n">
        <v>2053</v>
      </c>
      <c r="AX9" t="n">
        <v>2054</v>
      </c>
      <c r="AY9" t="n">
        <v>2055</v>
      </c>
      <c r="AZ9" t="n">
        <v>2056</v>
      </c>
      <c r="BA9" t="n">
        <v>2057</v>
      </c>
      <c r="BB9" t="n">
        <v>2058</v>
      </c>
      <c r="BC9" t="n">
        <v>2059</v>
      </c>
      <c r="BD9" t="n">
        <v>2060</v>
      </c>
      <c r="BE9" t="n">
        <v>2061</v>
      </c>
      <c r="BF9" t="n">
        <v>2062</v>
      </c>
      <c r="BG9" t="n">
        <v>2063</v>
      </c>
      <c r="BI9" t="inlineStr">
        <is>
          <t>Series Code</t>
        </is>
      </c>
    </row>
    <row r="10">
      <c r="A10" t="inlineStr">
        <is>
          <t>no_year_in_pairs</t>
        </is>
      </c>
      <c r="B10" s="2" t="n"/>
      <c r="C10" s="3" t="inlineStr">
        <is>
          <t>EBS.20.72, Sup. 1</t>
        </is>
      </c>
      <c r="D10" s="4" t="inlineStr">
        <is>
          <t>Dominica</t>
        </is>
      </c>
      <c r="E10" s="4" t="inlineStr">
        <is>
          <t>DMA</t>
        </is>
      </c>
      <c r="F10" s="4" t="n"/>
      <c r="G10" s="4" t="inlineStr">
        <is>
          <t>2018gn</t>
        </is>
      </c>
      <c r="H10" s="4" t="n">
        <v>2019</v>
      </c>
      <c r="I10" s="5" t="n"/>
      <c r="J10" t="inlineStr">
        <is>
          <t>External debt (excluding locally-issued debt)</t>
        </is>
      </c>
    </row>
    <row r="11">
      <c r="A11" t="inlineStr">
        <is>
          <t>no_year_in_pairs</t>
        </is>
      </c>
      <c r="B11" s="2" t="n"/>
      <c r="C11" s="3" t="inlineStr">
        <is>
          <t>EBS.20.72, Sup. 1</t>
        </is>
      </c>
      <c r="D11" s="4" t="inlineStr">
        <is>
          <t>Dominica</t>
        </is>
      </c>
      <c r="E11" s="4" t="inlineStr">
        <is>
          <t>DMA</t>
        </is>
      </c>
      <c r="F11" s="4" t="n"/>
      <c r="G11" s="4" t="inlineStr">
        <is>
          <t>2018gn</t>
        </is>
      </c>
      <c r="H11" s="4" t="n">
        <v>2019</v>
      </c>
      <c r="I11" s="4" t="inlineStr">
        <is>
          <t>old.tds.mlt</t>
        </is>
      </c>
      <c r="J11" t="inlineStr">
        <is>
          <t>Multilaterals</t>
        </is>
      </c>
      <c r="N11" t="n">
        <v>10.55835640740741</v>
      </c>
      <c r="O11" t="n">
        <v>7.685797888888884</v>
      </c>
      <c r="P11" t="n">
        <v>10.93558014814815</v>
      </c>
      <c r="Q11" t="n">
        <v>11.37849962962963</v>
      </c>
      <c r="R11" t="n">
        <v>11.51558629629629</v>
      </c>
      <c r="S11" t="n">
        <v>11.70790225925926</v>
      </c>
      <c r="T11" t="n">
        <v>11.10222786385527</v>
      </c>
      <c r="U11" t="n">
        <v>10.3556333801963</v>
      </c>
      <c r="V11" t="n">
        <v>9.675821223991132</v>
      </c>
      <c r="W11" t="n">
        <v>9.055800647147285</v>
      </c>
      <c r="X11" t="n">
        <v>8.489383946383999</v>
      </c>
      <c r="Y11" t="n">
        <v>7.971089460450438</v>
      </c>
      <c r="Z11" t="n">
        <v>7.496056584876907</v>
      </c>
      <c r="AA11" t="n">
        <v>7.059971296633893</v>
      </c>
      <c r="AB11" t="n">
        <v>6.659000871443784</v>
      </c>
      <c r="AC11" t="n">
        <v>6.289736642731972</v>
      </c>
      <c r="AD11" t="n">
        <v>5.949143796381597</v>
      </c>
      <c r="AE11" t="n">
        <v>5.634517322247312</v>
      </c>
      <c r="AF11" t="n">
        <v>5.343443354122029</v>
      </c>
      <c r="AG11" t="n">
        <v>5.073765226574764</v>
      </c>
      <c r="AH11" t="n">
        <v>4.823553661566788</v>
      </c>
      <c r="AI11" t="n">
        <v>4.591080571559038</v>
      </c>
      <c r="AJ11" t="n">
        <v>4.374796030301472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I11" t="inlineStr">
        <is>
          <t>OLD_ML</t>
        </is>
      </c>
    </row>
    <row r="12">
      <c r="A12" t="inlineStr">
        <is>
          <t>no_year_in_pairs</t>
        </is>
      </c>
      <c r="B12" s="2" t="n"/>
      <c r="C12" s="3" t="inlineStr">
        <is>
          <t>EBS.20.72, Sup. 1</t>
        </is>
      </c>
      <c r="D12" s="4" t="inlineStr">
        <is>
          <t>Dominica</t>
        </is>
      </c>
      <c r="E12" s="4" t="inlineStr">
        <is>
          <t>DMA</t>
        </is>
      </c>
      <c r="F12" s="4" t="n"/>
      <c r="G12" s="4" t="inlineStr">
        <is>
          <t>2018gn</t>
        </is>
      </c>
      <c r="H12" s="4" t="n">
        <v>2019</v>
      </c>
      <c r="I12" s="4" t="inlineStr">
        <is>
          <t>old.tds.mlt.imf</t>
        </is>
      </c>
      <c r="J12" t="inlineStr">
        <is>
          <t>IMF</t>
        </is>
      </c>
      <c r="N12" t="n">
        <v>1.49058840740741</v>
      </c>
      <c r="O12" t="n">
        <v>0.281960814814815</v>
      </c>
      <c r="P12" t="n">
        <v>0.986862777777778</v>
      </c>
      <c r="Q12" t="n">
        <v>1.409804</v>
      </c>
      <c r="R12" t="n">
        <v>0.8458824074074079</v>
      </c>
      <c r="S12" t="n">
        <v>0.8458824074074079</v>
      </c>
      <c r="T12" t="n">
        <v>0.733098084115226</v>
      </c>
      <c r="U12" t="n">
        <v>0.635351670902606</v>
      </c>
      <c r="V12" t="n">
        <v>0.5506381130513029</v>
      </c>
      <c r="W12" t="n">
        <v>0.477219696477634</v>
      </c>
      <c r="X12" t="n">
        <v>0.41359040231381</v>
      </c>
      <c r="Y12" t="n">
        <v>0.358445014211847</v>
      </c>
      <c r="Z12" t="n">
        <v>0.310652344673718</v>
      </c>
      <c r="AA12" t="n">
        <v>0.269232031204213</v>
      </c>
      <c r="AB12" t="n">
        <v>0.233334426310154</v>
      </c>
      <c r="AC12" t="n">
        <v>0.202223168833102</v>
      </c>
      <c r="AD12" t="n">
        <v>0.175260079104417</v>
      </c>
      <c r="AE12" t="n">
        <v>0.151892068079682</v>
      </c>
      <c r="AF12" t="n">
        <v>0.131639791921909</v>
      </c>
      <c r="AG12" t="n">
        <v>0.114087819307014</v>
      </c>
      <c r="AH12" t="n">
        <v>0.0988761097552574</v>
      </c>
      <c r="AI12" t="n">
        <v>0.08569262818517781</v>
      </c>
      <c r="AJ12" t="n">
        <v>0.07426694419369261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I12" t="inlineStr">
        <is>
          <t>OLD_IMF</t>
        </is>
      </c>
    </row>
    <row r="13">
      <c r="A13" t="inlineStr">
        <is>
          <t>no_year_in_pairs</t>
        </is>
      </c>
      <c r="B13" s="2" t="n"/>
      <c r="C13" s="3" t="inlineStr">
        <is>
          <t>EBS.20.72, Sup. 1</t>
        </is>
      </c>
      <c r="D13" s="4" t="inlineStr">
        <is>
          <t>Dominica</t>
        </is>
      </c>
      <c r="E13" s="4" t="inlineStr">
        <is>
          <t>DMA</t>
        </is>
      </c>
      <c r="F13" s="4" t="n"/>
      <c r="G13" s="4" t="inlineStr">
        <is>
          <t>2018gn</t>
        </is>
      </c>
      <c r="H13" s="4" t="n">
        <v>2019</v>
      </c>
      <c r="I13" s="4" t="inlineStr">
        <is>
          <t>old.tds.mlt.ida.reg</t>
        </is>
      </c>
      <c r="J13" t="inlineStr">
        <is>
          <t>IDA - small economy</t>
        </is>
      </c>
      <c r="N13" t="n">
        <v>1.21622633333333</v>
      </c>
      <c r="O13" t="n">
        <v>1.17956322222222</v>
      </c>
      <c r="P13" t="n">
        <v>1.33495651851852</v>
      </c>
      <c r="Q13" t="n">
        <v>1.48202933333333</v>
      </c>
      <c r="R13" t="n">
        <v>1.61973144444444</v>
      </c>
      <c r="S13" t="n">
        <v>1.73076444444444</v>
      </c>
      <c r="T13" t="n">
        <v>1.7600244569327</v>
      </c>
      <c r="U13" t="n">
        <v>1.74107637295109</v>
      </c>
      <c r="V13" t="n">
        <v>1.72233228038854</v>
      </c>
      <c r="W13" t="n">
        <v>1.70378998311279</v>
      </c>
      <c r="X13" t="n">
        <v>1.68544730863466</v>
      </c>
      <c r="Y13" t="n">
        <v>1.66730210785361</v>
      </c>
      <c r="Z13" t="n">
        <v>1.64935225480589</v>
      </c>
      <c r="AA13" t="n">
        <v>1.63159564641547</v>
      </c>
      <c r="AB13" t="n">
        <v>1.61403020224761</v>
      </c>
      <c r="AC13" t="n">
        <v>1.59665386426515</v>
      </c>
      <c r="AD13" t="n">
        <v>1.57946459658737</v>
      </c>
      <c r="AE13" t="n">
        <v>1.56246038525141</v>
      </c>
      <c r="AF13" t="n">
        <v>1.5456392379764</v>
      </c>
      <c r="AG13" t="n">
        <v>1.52899918392994</v>
      </c>
      <c r="AH13" t="n">
        <v>1.51253827349724</v>
      </c>
      <c r="AI13" t="n">
        <v>1.4962545780527</v>
      </c>
      <c r="AJ13" t="n">
        <v>1.48014618973392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I13" t="inlineStr">
        <is>
          <t>OLD_IDA1</t>
        </is>
      </c>
    </row>
    <row r="14">
      <c r="A14" t="inlineStr">
        <is>
          <t>no_year_in_pairs</t>
        </is>
      </c>
      <c r="B14" s="2" t="n"/>
      <c r="C14" s="3" t="inlineStr">
        <is>
          <t>EBS.20.72, Sup. 1</t>
        </is>
      </c>
      <c r="D14" s="4" t="inlineStr">
        <is>
          <t>Dominica</t>
        </is>
      </c>
      <c r="E14" s="4" t="inlineStr">
        <is>
          <t>DMA</t>
        </is>
      </c>
      <c r="F14" s="4" t="n"/>
      <c r="G14" s="4" t="inlineStr">
        <is>
          <t>2018gn</t>
        </is>
      </c>
      <c r="H14" s="4" t="n">
        <v>2019</v>
      </c>
      <c r="I14" s="4" t="inlineStr">
        <is>
          <t>old.tds.mlt.ida.bld</t>
        </is>
      </c>
      <c r="J14" t="inlineStr">
        <is>
          <t>IDA - small economy</t>
        </is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I14" t="inlineStr">
        <is>
          <t>OLD_IDA2</t>
        </is>
      </c>
    </row>
    <row r="15">
      <c r="A15" t="inlineStr">
        <is>
          <t>no_year_in_pairs</t>
        </is>
      </c>
      <c r="B15" s="2" t="n"/>
      <c r="C15" s="3" t="inlineStr">
        <is>
          <t>EBS.20.72, Sup. 1</t>
        </is>
      </c>
      <c r="D15" s="4" t="inlineStr">
        <is>
          <t>Dominica</t>
        </is>
      </c>
      <c r="E15" s="4" t="inlineStr">
        <is>
          <t>DMA</t>
        </is>
      </c>
      <c r="F15" s="4" t="n"/>
      <c r="G15" s="4" t="inlineStr">
        <is>
          <t>2018gn</t>
        </is>
      </c>
      <c r="H15" s="4" t="n">
        <v>2019</v>
      </c>
      <c r="I15" s="4" t="inlineStr">
        <is>
          <t>old.tds.mlt2</t>
        </is>
      </c>
      <c r="J15" t="inlineStr">
        <is>
          <t>CDB</t>
        </is>
      </c>
      <c r="N15" t="n">
        <v>7.85154166666667</v>
      </c>
      <c r="O15" t="n">
        <v>6.22427385185185</v>
      </c>
      <c r="P15" t="n">
        <v>8.61376085185185</v>
      </c>
      <c r="Q15" t="n">
        <v>8.486666296296301</v>
      </c>
      <c r="R15" t="n">
        <v>9.049972444444441</v>
      </c>
      <c r="S15" t="n">
        <v>9.13125540740741</v>
      </c>
      <c r="T15" t="n">
        <v>8.60910532280734</v>
      </c>
      <c r="U15" t="n">
        <v>7.9792053363426</v>
      </c>
      <c r="V15" t="n">
        <v>7.40285083055129</v>
      </c>
      <c r="W15" t="n">
        <v>6.87479096755686</v>
      </c>
      <c r="X15" t="n">
        <v>6.39034623543553</v>
      </c>
      <c r="Y15" t="n">
        <v>5.945342338384981</v>
      </c>
      <c r="Z15" t="n">
        <v>5.536051985397299</v>
      </c>
      <c r="AA15" t="n">
        <v>5.15914361901421</v>
      </c>
      <c r="AB15" t="n">
        <v>4.81163624288602</v>
      </c>
      <c r="AC15" t="n">
        <v>4.49085960963372</v>
      </c>
      <c r="AD15" t="n">
        <v>4.19441912068981</v>
      </c>
      <c r="AE15" t="n">
        <v>3.92016486891622</v>
      </c>
      <c r="AF15" t="n">
        <v>3.66616432422372</v>
      </c>
      <c r="AG15" t="n">
        <v>3.43067822333781</v>
      </c>
      <c r="AH15" t="n">
        <v>3.21213927831429</v>
      </c>
      <c r="AI15" t="n">
        <v>3.00913336532116</v>
      </c>
      <c r="AJ15" t="n">
        <v>2.82038289637386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I15" t="inlineStr">
        <is>
          <t>OLD_MULTI1</t>
        </is>
      </c>
    </row>
    <row r="16">
      <c r="A16" t="inlineStr">
        <is>
          <t>no_year_in_pairs</t>
        </is>
      </c>
      <c r="B16" s="2" t="n"/>
      <c r="C16" s="3" t="inlineStr">
        <is>
          <t>EBS.20.72, Sup. 1</t>
        </is>
      </c>
      <c r="D16" s="4" t="inlineStr">
        <is>
          <t>Dominica</t>
        </is>
      </c>
      <c r="E16" s="4" t="inlineStr">
        <is>
          <t>DMA</t>
        </is>
      </c>
      <c r="F16" s="4" t="n"/>
      <c r="G16" s="4" t="inlineStr">
        <is>
          <t>2018gn</t>
        </is>
      </c>
      <c r="H16" s="4" t="n">
        <v>2019</v>
      </c>
      <c r="I16" s="4" t="inlineStr">
        <is>
          <t>old.tds.mlt.afdb</t>
        </is>
      </c>
      <c r="J16" t="inlineStr">
        <is>
          <t>MULTIRES</t>
        </is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I16" t="inlineStr">
        <is>
          <t>OLD_MULTI2</t>
        </is>
      </c>
    </row>
    <row r="17">
      <c r="A17" t="inlineStr">
        <is>
          <t>no_year_in_pairs</t>
        </is>
      </c>
      <c r="B17" s="2" t="n"/>
      <c r="C17" s="3" t="inlineStr">
        <is>
          <t>EBS.20.72, Sup. 1</t>
        </is>
      </c>
      <c r="D17" s="4" t="inlineStr">
        <is>
          <t>Dominica</t>
        </is>
      </c>
      <c r="E17" s="4" t="inlineStr">
        <is>
          <t>DMA</t>
        </is>
      </c>
      <c r="F17" s="4" t="n"/>
      <c r="G17" s="4" t="inlineStr">
        <is>
          <t>2018gn</t>
        </is>
      </c>
      <c r="H17" s="4" t="n">
        <v>2019</v>
      </c>
      <c r="I17" s="4" t="inlineStr">
        <is>
          <t>old.tds.mlt3</t>
        </is>
      </c>
      <c r="J17" t="inlineStr">
        <is>
          <t>MULTI3</t>
        </is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I17" t="inlineStr">
        <is>
          <t>OLD_MULTI3</t>
        </is>
      </c>
    </row>
    <row r="18">
      <c r="A18" t="inlineStr">
        <is>
          <t>no_year_in_pairs</t>
        </is>
      </c>
      <c r="B18" s="2" t="n"/>
      <c r="C18" s="3" t="inlineStr">
        <is>
          <t>EBS.20.72, Sup. 1</t>
        </is>
      </c>
      <c r="D18" s="4" t="inlineStr">
        <is>
          <t>Dominica</t>
        </is>
      </c>
      <c r="E18" s="4" t="inlineStr">
        <is>
          <t>DMA</t>
        </is>
      </c>
      <c r="F18" s="4" t="n"/>
      <c r="G18" s="4" t="inlineStr">
        <is>
          <t>2018gn</t>
        </is>
      </c>
      <c r="H18" s="4" t="n">
        <v>2019</v>
      </c>
      <c r="I18" s="4" t="inlineStr">
        <is>
          <t>old.tds.mlt.oth</t>
        </is>
      </c>
      <c r="J18" t="inlineStr">
        <is>
          <t>Other Multilaterals</t>
        </is>
      </c>
      <c r="N18" t="n">
        <v>3.26694259259259</v>
      </c>
      <c r="O18" t="n">
        <v>3.48315618518519</v>
      </c>
      <c r="P18" t="n">
        <v>3.32403962962963</v>
      </c>
      <c r="Q18" t="n">
        <v>3.21559996296296</v>
      </c>
      <c r="R18" t="n">
        <v>3.36942085185185</v>
      </c>
      <c r="S18" t="n">
        <v>3.48078922222222</v>
      </c>
      <c r="T18" t="n">
        <v>1.83865441074296</v>
      </c>
      <c r="U18" t="n">
        <v>2.57879532737733</v>
      </c>
      <c r="V18" t="n">
        <v>2.89095303137815</v>
      </c>
      <c r="W18" t="n">
        <v>3.08143139495247</v>
      </c>
      <c r="X18" t="n">
        <v>3.12923695597685</v>
      </c>
      <c r="Y18" t="n">
        <v>0.976674769157878</v>
      </c>
      <c r="Z18" t="n">
        <v>0.0506525878327126</v>
      </c>
      <c r="AA18" t="n">
        <v>0.16313653717527</v>
      </c>
      <c r="AB18" t="n">
        <v>0.233830225613625</v>
      </c>
      <c r="AC18" t="n">
        <v>0.281707130483617</v>
      </c>
      <c r="AD18" t="n">
        <v>0.319433316863138</v>
      </c>
      <c r="AE18" t="n">
        <v>0.368204299224994</v>
      </c>
      <c r="AF18" t="n">
        <v>0.393712408537453</v>
      </c>
      <c r="AG18" t="n">
        <v>0.407806779846976</v>
      </c>
      <c r="AH18" t="n">
        <v>0.415281781265624</v>
      </c>
      <c r="AI18" t="n">
        <v>0.418546238447462</v>
      </c>
      <c r="AJ18" t="n">
        <v>0.418291327548046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</row>
    <row r="19">
      <c r="A19" t="inlineStr">
        <is>
          <t>no_year_in_pairs</t>
        </is>
      </c>
      <c r="B19" s="2" t="n"/>
      <c r="C19" s="3" t="inlineStr">
        <is>
          <t>EBS.20.72, Sup. 1</t>
        </is>
      </c>
      <c r="D19" s="4" t="inlineStr">
        <is>
          <t>Dominica</t>
        </is>
      </c>
      <c r="E19" s="4" t="inlineStr">
        <is>
          <t>DMA</t>
        </is>
      </c>
      <c r="F19" s="4" t="n"/>
      <c r="G19" s="4" t="inlineStr">
        <is>
          <t>2018gn</t>
        </is>
      </c>
      <c r="H19" s="4" t="n">
        <v>2019</v>
      </c>
      <c r="I19" s="4" t="inlineStr">
        <is>
          <t>old.tds.mlt.oth1</t>
        </is>
      </c>
      <c r="J19" t="inlineStr">
        <is>
          <t>OTH_MULTI1</t>
        </is>
      </c>
      <c r="N19" t="n">
        <v>3.26694259259259</v>
      </c>
      <c r="O19" t="n">
        <v>3.48315618518519</v>
      </c>
      <c r="P19" t="n">
        <v>3.32403962962963</v>
      </c>
      <c r="Q19" t="n">
        <v>3.21559996296296</v>
      </c>
      <c r="R19" t="n">
        <v>3.36942085185185</v>
      </c>
      <c r="S19" t="n">
        <v>3.48078922222222</v>
      </c>
      <c r="T19" t="n">
        <v>1.83865441074296</v>
      </c>
      <c r="U19" t="n">
        <v>2.57879532737733</v>
      </c>
      <c r="V19" t="n">
        <v>2.89095303137815</v>
      </c>
      <c r="W19" t="n">
        <v>3.08143139495247</v>
      </c>
      <c r="X19" t="n">
        <v>3.12923695597685</v>
      </c>
      <c r="Y19" t="n">
        <v>0.976674769157878</v>
      </c>
      <c r="Z19" t="n">
        <v>0.0506525878327126</v>
      </c>
      <c r="AA19" t="n">
        <v>0.16313653717527</v>
      </c>
      <c r="AB19" t="n">
        <v>0.233830225613625</v>
      </c>
      <c r="AC19" t="n">
        <v>0.281707130483617</v>
      </c>
      <c r="AD19" t="n">
        <v>0.319433316863138</v>
      </c>
      <c r="AE19" t="n">
        <v>0.368204299224994</v>
      </c>
      <c r="AF19" t="n">
        <v>0.393712408537453</v>
      </c>
      <c r="AG19" t="n">
        <v>0.407806779846976</v>
      </c>
      <c r="AH19" t="n">
        <v>0.415281781265624</v>
      </c>
      <c r="AI19" t="n">
        <v>0.418546238447462</v>
      </c>
      <c r="AJ19" t="n">
        <v>0.418291327548046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I19" t="inlineStr">
        <is>
          <t>OLD_OTH_MULTI1</t>
        </is>
      </c>
    </row>
    <row r="20">
      <c r="A20" t="inlineStr">
        <is>
          <t>no_year_in_pairs</t>
        </is>
      </c>
      <c r="B20" s="2" t="n"/>
      <c r="C20" s="3" t="inlineStr">
        <is>
          <t>EBS.20.72, Sup. 1</t>
        </is>
      </c>
      <c r="D20" s="4" t="inlineStr">
        <is>
          <t>Dominica</t>
        </is>
      </c>
      <c r="E20" s="4" t="inlineStr">
        <is>
          <t>DMA</t>
        </is>
      </c>
      <c r="F20" s="4" t="n"/>
      <c r="G20" s="4" t="inlineStr">
        <is>
          <t>2018gn</t>
        </is>
      </c>
      <c r="H20" s="4" t="n">
        <v>2019</v>
      </c>
      <c r="I20" s="4" t="inlineStr">
        <is>
          <t>old.tds.mlt.oth2</t>
        </is>
      </c>
      <c r="J20" t="inlineStr">
        <is>
          <t>OTH_MULTI2</t>
        </is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I20" t="inlineStr">
        <is>
          <t>OLD_OTH_MULTI2</t>
        </is>
      </c>
    </row>
    <row r="21">
      <c r="A21" t="inlineStr">
        <is>
          <t>no_year_in_pairs</t>
        </is>
      </c>
      <c r="B21" s="2" t="n"/>
      <c r="C21" s="3" t="inlineStr">
        <is>
          <t>EBS.20.72, Sup. 1</t>
        </is>
      </c>
      <c r="D21" s="4" t="inlineStr">
        <is>
          <t>Dominica</t>
        </is>
      </c>
      <c r="E21" s="4" t="inlineStr">
        <is>
          <t>DMA</t>
        </is>
      </c>
      <c r="F21" s="4" t="n"/>
      <c r="G21" s="4" t="inlineStr">
        <is>
          <t>2018gn</t>
        </is>
      </c>
      <c r="H21" s="4" t="n">
        <v>2019</v>
      </c>
      <c r="I21" s="4" t="inlineStr">
        <is>
          <t>old.tds.mlt.oth3</t>
        </is>
      </c>
      <c r="J21" t="inlineStr">
        <is>
          <t>OTH_MULTI3</t>
        </is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I21" t="inlineStr">
        <is>
          <t>OLD_OTH_MULTI3</t>
        </is>
      </c>
    </row>
    <row r="22">
      <c r="A22" t="inlineStr">
        <is>
          <t>no_year_in_pairs</t>
        </is>
      </c>
      <c r="B22" s="2" t="n"/>
      <c r="C22" s="3" t="inlineStr">
        <is>
          <t>EBS.20.72, Sup. 1</t>
        </is>
      </c>
      <c r="D22" s="4" t="inlineStr">
        <is>
          <t>Dominica</t>
        </is>
      </c>
      <c r="E22" s="4" t="inlineStr">
        <is>
          <t>DMA</t>
        </is>
      </c>
      <c r="F22" s="4" t="n"/>
      <c r="G22" s="4" t="inlineStr">
        <is>
          <t>2018gn</t>
        </is>
      </c>
      <c r="H22" s="4" t="n">
        <v>2019</v>
      </c>
      <c r="I22" s="4" t="inlineStr">
        <is>
          <t>old.tds.blt</t>
        </is>
      </c>
      <c r="J22" t="inlineStr">
        <is>
          <t>Official Bilaterals</t>
        </is>
      </c>
      <c r="N22" t="n">
        <v>8.826773949673917</v>
      </c>
      <c r="O22" t="n">
        <v>7.480639486755843</v>
      </c>
      <c r="P22" t="n">
        <v>8.035340882258167</v>
      </c>
      <c r="Q22" t="n">
        <v>7.419445579875342</v>
      </c>
      <c r="R22" t="n">
        <v>7.234613544909944</v>
      </c>
      <c r="S22" t="n">
        <v>7.082889474569905</v>
      </c>
      <c r="T22" t="n">
        <v>6.214366559151007</v>
      </c>
      <c r="U22" t="n">
        <v>5.964650728459483</v>
      </c>
      <c r="V22" t="n">
        <v>5.609050122226527</v>
      </c>
      <c r="W22" t="n">
        <v>5.298302357142182</v>
      </c>
      <c r="X22" t="n">
        <v>4.966352735963627</v>
      </c>
      <c r="Y22" t="n">
        <v>4.604300524236842</v>
      </c>
      <c r="Z22" t="n">
        <v>4.32815141788899</v>
      </c>
      <c r="AA22" t="n">
        <v>2.91438422187229</v>
      </c>
      <c r="AB22" t="n">
        <v>0.8808273363116595</v>
      </c>
      <c r="AC22" t="n">
        <v>0.05692937574216952</v>
      </c>
      <c r="AD22" t="n">
        <v>0.01204478434794526</v>
      </c>
      <c r="AE22" t="n">
        <v>0.005185912479557603</v>
      </c>
      <c r="AF22" t="n">
        <v>0.003825300261020237</v>
      </c>
      <c r="AG22" t="n">
        <v>0.003640902463103571</v>
      </c>
      <c r="AH22" t="n">
        <v>0.002372616080177775</v>
      </c>
      <c r="AI22" t="n">
        <v>-1.997115806487878</v>
      </c>
      <c r="AJ22" t="n">
        <v>-1.999999909958526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I22" t="inlineStr">
        <is>
          <t>OLD_OB</t>
        </is>
      </c>
    </row>
    <row r="23">
      <c r="A23" t="inlineStr">
        <is>
          <t>no_year_in_pairs</t>
        </is>
      </c>
      <c r="B23" s="2" t="n"/>
      <c r="C23" s="3" t="inlineStr">
        <is>
          <t>EBS.20.72, Sup. 1</t>
        </is>
      </c>
      <c r="D23" s="4" t="inlineStr">
        <is>
          <t>Dominica</t>
        </is>
      </c>
      <c r="E23" s="4" t="inlineStr">
        <is>
          <t>DMA</t>
        </is>
      </c>
      <c r="F23" s="4" t="n"/>
      <c r="G23" s="4" t="inlineStr">
        <is>
          <t>2018gn</t>
        </is>
      </c>
      <c r="H23" s="4" t="n">
        <v>2019</v>
      </c>
      <c r="I23" s="4" t="inlineStr">
        <is>
          <t>old.tds.pc</t>
        </is>
      </c>
      <c r="J23" t="inlineStr">
        <is>
          <t xml:space="preserve">   Paris Club</t>
        </is>
      </c>
      <c r="N23" t="n">
        <v>4.20222396296296</v>
      </c>
      <c r="O23" t="n">
        <v>2.65357137037037</v>
      </c>
      <c r="P23" t="n">
        <v>2.75897955555556</v>
      </c>
      <c r="Q23" t="n">
        <v>2.70666385185185</v>
      </c>
      <c r="R23" t="n">
        <v>2.65676496296296</v>
      </c>
      <c r="S23" t="n">
        <v>2.60756722222222</v>
      </c>
      <c r="T23" t="n">
        <v>2.03453392020688</v>
      </c>
      <c r="U23" t="n">
        <v>1.58742917045289</v>
      </c>
      <c r="V23" t="n">
        <v>1.2385791881752</v>
      </c>
      <c r="W23" t="n">
        <v>0.966391719350272</v>
      </c>
      <c r="X23" t="n">
        <v>0.7540195767415631</v>
      </c>
      <c r="Y23" t="n">
        <v>0.5883178743416521</v>
      </c>
      <c r="Z23" t="n">
        <v>0.4590304177056</v>
      </c>
      <c r="AA23" t="n">
        <v>0.358154891375293</v>
      </c>
      <c r="AB23" t="n">
        <v>0.27944755133486</v>
      </c>
      <c r="AC23" t="n">
        <v>0.218036765174936</v>
      </c>
      <c r="AD23" t="n">
        <v>0.170121479829977</v>
      </c>
      <c r="AE23" t="n">
        <v>0.132735953389884</v>
      </c>
      <c r="AF23" t="n">
        <v>0.103566188937047</v>
      </c>
      <c r="AG23" t="n">
        <v>0.08080670848416589</v>
      </c>
      <c r="AH23" t="n">
        <v>0.06304880196001081</v>
      </c>
      <c r="AI23" t="n">
        <v>0.0491933343550504</v>
      </c>
      <c r="AJ23" t="n">
        <v>0.0383827141791318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I23" t="inlineStr">
        <is>
          <t>OLD_PC_ALL</t>
        </is>
      </c>
    </row>
    <row r="24">
      <c r="A24" t="inlineStr">
        <is>
          <t>no_year_in_pairs</t>
        </is>
      </c>
      <c r="B24" s="2" t="n"/>
      <c r="C24" s="3" t="inlineStr">
        <is>
          <t>EBS.20.72, Sup. 1</t>
        </is>
      </c>
      <c r="D24" s="4" t="inlineStr">
        <is>
          <t>Dominica</t>
        </is>
      </c>
      <c r="E24" s="4" t="inlineStr">
        <is>
          <t>DMA</t>
        </is>
      </c>
      <c r="F24" s="4" t="n"/>
      <c r="G24" s="4" t="inlineStr">
        <is>
          <t>2018gn</t>
        </is>
      </c>
      <c r="H24" s="4" t="n">
        <v>2019</v>
      </c>
      <c r="I24" s="4" t="inlineStr">
        <is>
          <t>old.tds.pc1</t>
        </is>
      </c>
      <c r="J24" t="inlineStr">
        <is>
          <t>Export Credit Agencies</t>
        </is>
      </c>
      <c r="N24" t="n">
        <v>4.20222396296296</v>
      </c>
      <c r="O24" t="n">
        <v>2.65357137037037</v>
      </c>
      <c r="P24" t="n">
        <v>2.75897955555556</v>
      </c>
      <c r="Q24" t="n">
        <v>2.70666385185185</v>
      </c>
      <c r="R24" t="n">
        <v>2.65676496296296</v>
      </c>
      <c r="S24" t="n">
        <v>2.60756722222222</v>
      </c>
      <c r="T24" t="n">
        <v>2.03453392020688</v>
      </c>
      <c r="U24" t="n">
        <v>1.58742917045289</v>
      </c>
      <c r="V24" t="n">
        <v>1.2385791881752</v>
      </c>
      <c r="W24" t="n">
        <v>0.966391719350272</v>
      </c>
      <c r="X24" t="n">
        <v>0.7540195767415631</v>
      </c>
      <c r="Y24" t="n">
        <v>0.5883178743416521</v>
      </c>
      <c r="Z24" t="n">
        <v>0.4590304177056</v>
      </c>
      <c r="AA24" t="n">
        <v>0.358154891375293</v>
      </c>
      <c r="AB24" t="n">
        <v>0.27944755133486</v>
      </c>
      <c r="AC24" t="n">
        <v>0.218036765174936</v>
      </c>
      <c r="AD24" t="n">
        <v>0.170121479829977</v>
      </c>
      <c r="AE24" t="n">
        <v>0.132735953389884</v>
      </c>
      <c r="AF24" t="n">
        <v>0.103566188937047</v>
      </c>
      <c r="AG24" t="n">
        <v>0.08080670848416589</v>
      </c>
      <c r="AH24" t="n">
        <v>0.06304880196001081</v>
      </c>
      <c r="AI24" t="n">
        <v>0.0491933343550504</v>
      </c>
      <c r="AJ24" t="n">
        <v>0.0383827141791318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I24" t="inlineStr">
        <is>
          <t>OLD_PC1</t>
        </is>
      </c>
    </row>
    <row r="25">
      <c r="A25" t="inlineStr">
        <is>
          <t>no_year_in_pairs</t>
        </is>
      </c>
      <c r="B25" s="2" t="n"/>
      <c r="C25" s="3" t="inlineStr">
        <is>
          <t>EBS.20.72, Sup. 1</t>
        </is>
      </c>
      <c r="D25" s="4" t="inlineStr">
        <is>
          <t>Dominica</t>
        </is>
      </c>
      <c r="E25" s="4" t="inlineStr">
        <is>
          <t>DMA</t>
        </is>
      </c>
      <c r="F25" s="4" t="n"/>
      <c r="G25" s="4" t="inlineStr">
        <is>
          <t>2018gn</t>
        </is>
      </c>
      <c r="H25" s="4" t="n">
        <v>2019</v>
      </c>
      <c r="I25" s="4" t="inlineStr">
        <is>
          <t>old.tds.pc2</t>
        </is>
      </c>
      <c r="J25" t="inlineStr">
        <is>
          <t>PC2</t>
        </is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I25" t="inlineStr">
        <is>
          <t>OLD_PC2</t>
        </is>
      </c>
    </row>
    <row r="26">
      <c r="A26" t="inlineStr">
        <is>
          <t>no_year_in_pairs</t>
        </is>
      </c>
      <c r="B26" s="2" t="n"/>
      <c r="C26" s="3" t="inlineStr">
        <is>
          <t>EBS.20.72, Sup. 1</t>
        </is>
      </c>
      <c r="D26" s="4" t="inlineStr">
        <is>
          <t>Dominica</t>
        </is>
      </c>
      <c r="E26" s="4" t="inlineStr">
        <is>
          <t>DMA</t>
        </is>
      </c>
      <c r="F26" s="4" t="n"/>
      <c r="G26" s="4" t="inlineStr">
        <is>
          <t>2018gn</t>
        </is>
      </c>
      <c r="H26" s="4" t="n">
        <v>2019</v>
      </c>
      <c r="I26" s="4" t="inlineStr">
        <is>
          <t>old.tds.pc3</t>
        </is>
      </c>
      <c r="J26" t="inlineStr">
        <is>
          <t>PC3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I26" t="inlineStr">
        <is>
          <t>OLD_PC3</t>
        </is>
      </c>
    </row>
    <row r="27">
      <c r="A27" t="inlineStr">
        <is>
          <t>no_year_in_pairs</t>
        </is>
      </c>
      <c r="B27" s="2" t="n"/>
      <c r="C27" s="3" t="inlineStr">
        <is>
          <t>EBS.20.72, Sup. 1</t>
        </is>
      </c>
      <c r="D27" s="4" t="inlineStr">
        <is>
          <t>Dominica</t>
        </is>
      </c>
      <c r="E27" s="4" t="inlineStr">
        <is>
          <t>DMA</t>
        </is>
      </c>
      <c r="F27" s="4" t="n"/>
      <c r="G27" s="4" t="inlineStr">
        <is>
          <t>2018gn</t>
        </is>
      </c>
      <c r="H27" s="4" t="n">
        <v>2019</v>
      </c>
      <c r="I27" s="4" t="inlineStr">
        <is>
          <t>old.tds.pc4</t>
        </is>
      </c>
      <c r="J27" t="inlineStr">
        <is>
          <t>PC4</t>
        </is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I27" t="inlineStr">
        <is>
          <t>OLD_PC4</t>
        </is>
      </c>
    </row>
    <row r="28">
      <c r="A28" t="inlineStr">
        <is>
          <t>no_year_in_pairs</t>
        </is>
      </c>
      <c r="B28" s="2" t="n"/>
      <c r="C28" s="3" t="inlineStr">
        <is>
          <t>EBS.20.72, Sup. 1</t>
        </is>
      </c>
      <c r="D28" s="4" t="inlineStr">
        <is>
          <t>Dominica</t>
        </is>
      </c>
      <c r="E28" s="4" t="inlineStr">
        <is>
          <t>DMA</t>
        </is>
      </c>
      <c r="F28" s="4" t="n"/>
      <c r="G28" s="4" t="inlineStr">
        <is>
          <t>2018gn</t>
        </is>
      </c>
      <c r="H28" s="4" t="n">
        <v>2019</v>
      </c>
      <c r="I28" s="4" t="inlineStr">
        <is>
          <t>old.tds.pc5</t>
        </is>
      </c>
      <c r="J28" t="inlineStr">
        <is>
          <t>PC5</t>
        </is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I28" t="inlineStr">
        <is>
          <t>OLD_PC5</t>
        </is>
      </c>
    </row>
    <row r="29">
      <c r="A29" t="inlineStr">
        <is>
          <t>no_year_in_pairs</t>
        </is>
      </c>
      <c r="B29" s="2" t="n"/>
      <c r="C29" s="3" t="inlineStr">
        <is>
          <t>EBS.20.72, Sup. 1</t>
        </is>
      </c>
      <c r="D29" s="4" t="inlineStr">
        <is>
          <t>Dominica</t>
        </is>
      </c>
      <c r="E29" s="4" t="inlineStr">
        <is>
          <t>DMA</t>
        </is>
      </c>
      <c r="F29" s="4" t="n"/>
      <c r="G29" s="4" t="inlineStr">
        <is>
          <t>2018gn</t>
        </is>
      </c>
      <c r="H29" s="4" t="n">
        <v>2019</v>
      </c>
      <c r="I29" s="4" t="inlineStr">
        <is>
          <t>old.tds.npc</t>
        </is>
      </c>
      <c r="J29" t="inlineStr">
        <is>
          <t xml:space="preserve">   Non-Paris Club</t>
        </is>
      </c>
      <c r="N29" t="n">
        <v>4.624549986710957</v>
      </c>
      <c r="O29" t="n">
        <v>4.827068116385473</v>
      </c>
      <c r="P29" t="n">
        <v>5.276361326702607</v>
      </c>
      <c r="Q29" t="n">
        <v>4.712781728023493</v>
      </c>
      <c r="R29" t="n">
        <v>4.577848581946984</v>
      </c>
      <c r="S29" t="n">
        <v>4.475322252347685</v>
      </c>
      <c r="T29" t="n">
        <v>4.179832638944127</v>
      </c>
      <c r="U29" t="n">
        <v>4.377221558006593</v>
      </c>
      <c r="V29" t="n">
        <v>4.370470934051328</v>
      </c>
      <c r="W29" t="n">
        <v>4.331910637791911</v>
      </c>
      <c r="X29" t="n">
        <v>4.212333159222064</v>
      </c>
      <c r="Y29" t="n">
        <v>4.015982649895189</v>
      </c>
      <c r="Z29" t="n">
        <v>3.86912100018339</v>
      </c>
      <c r="AA29" t="n">
        <v>2.556229330496997</v>
      </c>
      <c r="AB29" t="n">
        <v>0.6013797849767996</v>
      </c>
      <c r="AC29" t="n">
        <v>-0.1611073894327665</v>
      </c>
      <c r="AD29" t="n">
        <v>-0.1580766954820317</v>
      </c>
      <c r="AE29" t="n">
        <v>-0.1275500409103264</v>
      </c>
      <c r="AF29" t="n">
        <v>-0.09974088867602676</v>
      </c>
      <c r="AG29" t="n">
        <v>-0.07716580602106232</v>
      </c>
      <c r="AH29" t="n">
        <v>-0.06067618587983303</v>
      </c>
      <c r="AI29" t="n">
        <v>-2.046309140842929</v>
      </c>
      <c r="AJ29" t="n">
        <v>-2.038382624137658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I29" t="inlineStr">
        <is>
          <t>OLD_NPC_ALL</t>
        </is>
      </c>
    </row>
    <row r="30">
      <c r="A30" t="inlineStr">
        <is>
          <t>no_year_in_pairs</t>
        </is>
      </c>
      <c r="B30" s="2" t="n"/>
      <c r="C30" s="3" t="inlineStr">
        <is>
          <t>EBS.20.72, Sup. 1</t>
        </is>
      </c>
      <c r="D30" s="4" t="inlineStr">
        <is>
          <t>Dominica</t>
        </is>
      </c>
      <c r="E30" s="4" t="inlineStr">
        <is>
          <t>DMA</t>
        </is>
      </c>
      <c r="F30" s="4" t="n"/>
      <c r="G30" s="4" t="inlineStr">
        <is>
          <t>2018gn</t>
        </is>
      </c>
      <c r="H30" s="4" t="n">
        <v>2019</v>
      </c>
      <c r="I30" s="6" t="inlineStr">
        <is>
          <t>old.tds.npc.eximbk</t>
        </is>
      </c>
      <c r="J30" t="inlineStr">
        <is>
          <t>NPC2</t>
        </is>
      </c>
      <c r="N30" t="n">
        <v>0.6045350370370369</v>
      </c>
      <c r="O30" t="n">
        <v>0.292128296296296</v>
      </c>
      <c r="P30" t="n">
        <v>0.572204</v>
      </c>
      <c r="Q30" t="n">
        <v>0.0974182222222222</v>
      </c>
      <c r="R30" t="n">
        <v>0.0517803703703704</v>
      </c>
      <c r="S30" t="n">
        <v>0.0502312962962963</v>
      </c>
      <c r="T30" t="n">
        <v>0.0390673083430259</v>
      </c>
      <c r="U30" t="n">
        <v>0.0303845350151077</v>
      </c>
      <c r="V30" t="n">
        <v>0.0236315222942436</v>
      </c>
      <c r="W30" t="n">
        <v>0.0183793777217805</v>
      </c>
      <c r="X30" t="n">
        <v>0.0142945308911465</v>
      </c>
      <c r="Y30" t="n">
        <v>0.0111175479655003</v>
      </c>
      <c r="Z30" t="n">
        <v>0.008646654703565841</v>
      </c>
      <c r="AA30" t="n">
        <v>0.006724921519988511</v>
      </c>
      <c r="AB30" t="n">
        <v>0.005230296687035989</v>
      </c>
      <c r="AC30" t="n">
        <v>0.00406785467356152</v>
      </c>
      <c r="AD30" t="n">
        <v>0.00316376730334081</v>
      </c>
      <c r="AE30" t="n">
        <v>0.00246061483335266</v>
      </c>
      <c r="AF30" t="n">
        <v>0.00191373915259877</v>
      </c>
      <c r="AG30" t="n">
        <v>0.00148840748846471</v>
      </c>
      <c r="AH30" t="n">
        <v>0.00115760648399208</v>
      </c>
      <c r="AI30" t="n">
        <v>0.000900326545093346</v>
      </c>
      <c r="AJ30" t="n">
        <v>0.000700227494411017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I30" t="inlineStr">
        <is>
          <t>OLD_NPC1</t>
        </is>
      </c>
    </row>
    <row r="31">
      <c r="A31" t="inlineStr">
        <is>
          <t>no_year_in_pairs</t>
        </is>
      </c>
      <c r="B31" s="2" t="n"/>
      <c r="C31" s="3" t="inlineStr">
        <is>
          <t>EBS.20.72, Sup. 1</t>
        </is>
      </c>
      <c r="D31" s="4" t="inlineStr">
        <is>
          <t>Dominica</t>
        </is>
      </c>
      <c r="E31" s="4" t="inlineStr">
        <is>
          <t>DMA</t>
        </is>
      </c>
      <c r="F31" s="4" t="n"/>
      <c r="G31" s="4" t="inlineStr">
        <is>
          <t>2018gn</t>
        </is>
      </c>
      <c r="H31" s="4" t="n">
        <v>2019</v>
      </c>
      <c r="I31" s="4" t="inlineStr">
        <is>
          <t>old.tds.npc2</t>
        </is>
      </c>
      <c r="J31" t="inlineStr">
        <is>
          <t>NPC2</t>
        </is>
      </c>
      <c r="N31" t="n">
        <v>0.379479518518518</v>
      </c>
      <c r="O31" t="n">
        <v>0.366848851851852</v>
      </c>
      <c r="P31" t="n">
        <v>0.354500148148148</v>
      </c>
      <c r="Q31" t="n">
        <v>0.342151444444444</v>
      </c>
      <c r="R31" t="n">
        <v>0.329802703703704</v>
      </c>
      <c r="S31" t="n">
        <v>0.304317074074074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I31" t="inlineStr">
        <is>
          <t>OLD_NPC2</t>
        </is>
      </c>
    </row>
    <row r="32">
      <c r="A32" t="inlineStr">
        <is>
          <t>no_year_in_pairs</t>
        </is>
      </c>
      <c r="B32" s="2" t="n"/>
      <c r="C32" s="3" t="inlineStr">
        <is>
          <t>EBS.20.72, Sup. 1</t>
        </is>
      </c>
      <c r="D32" s="4" t="inlineStr">
        <is>
          <t>Dominica</t>
        </is>
      </c>
      <c r="E32" s="4" t="inlineStr">
        <is>
          <t>DMA</t>
        </is>
      </c>
      <c r="F32" s="4" t="n"/>
      <c r="G32" s="4" t="inlineStr">
        <is>
          <t>2018gn</t>
        </is>
      </c>
      <c r="H32" s="4" t="n">
        <v>2019</v>
      </c>
      <c r="I32" s="4" t="inlineStr">
        <is>
          <t>old.tds.npc3</t>
        </is>
      </c>
      <c r="J32" t="inlineStr">
        <is>
          <t>NPC3</t>
        </is>
      </c>
      <c r="N32" t="n">
        <v>3.45157051851852</v>
      </c>
      <c r="O32" t="n">
        <v>3.34368785185185</v>
      </c>
      <c r="P32" t="n">
        <v>3.28684607407407</v>
      </c>
      <c r="Q32" t="n">
        <v>3.23166718518519</v>
      </c>
      <c r="R32" t="n">
        <v>3.17648833333333</v>
      </c>
      <c r="S32" t="n">
        <v>3.1223677037037</v>
      </c>
      <c r="T32" t="n">
        <v>2.70605201138758</v>
      </c>
      <c r="U32" t="n">
        <v>2.34524507784547</v>
      </c>
      <c r="V32" t="n">
        <v>2.0325457352677</v>
      </c>
      <c r="W32" t="n">
        <v>1.76153963821563</v>
      </c>
      <c r="X32" t="n">
        <v>1.52666768730603</v>
      </c>
      <c r="Y32" t="n">
        <v>1.32311199640404</v>
      </c>
      <c r="Z32" t="n">
        <v>1.14669706419048</v>
      </c>
      <c r="AA32" t="n">
        <v>0.993804122853344</v>
      </c>
      <c r="AB32" t="n">
        <v>0.861296906953839</v>
      </c>
      <c r="AC32" t="n">
        <v>0.74645731977681</v>
      </c>
      <c r="AD32" t="n">
        <v>0.6469296775011421</v>
      </c>
      <c r="AE32" t="n">
        <v>0.560672387480732</v>
      </c>
      <c r="AF32" t="n">
        <v>0.485916069421299</v>
      </c>
      <c r="AG32" t="n">
        <v>0.42112726040028</v>
      </c>
      <c r="AH32" t="n">
        <v>0.364976959217376</v>
      </c>
      <c r="AI32" t="n">
        <v>0.316313364831686</v>
      </c>
      <c r="AJ32" t="n">
        <v>0.274138249673871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I32" t="inlineStr">
        <is>
          <t>OLD_NPC3</t>
        </is>
      </c>
    </row>
    <row r="33">
      <c r="A33" t="inlineStr">
        <is>
          <t>no_year_in_pairs</t>
        </is>
      </c>
      <c r="B33" s="2" t="n"/>
      <c r="C33" s="3" t="inlineStr">
        <is>
          <t>EBS.20.72, Sup. 1</t>
        </is>
      </c>
      <c r="D33" s="4" t="inlineStr">
        <is>
          <t>Dominica</t>
        </is>
      </c>
      <c r="E33" s="4" t="inlineStr">
        <is>
          <t>DMA</t>
        </is>
      </c>
      <c r="F33" s="4" t="n"/>
      <c r="G33" s="4" t="inlineStr">
        <is>
          <t>2018gn</t>
        </is>
      </c>
      <c r="H33" s="4" t="n">
        <v>2019</v>
      </c>
      <c r="I33" s="4" t="inlineStr">
        <is>
          <t>old.tds.npc4</t>
        </is>
      </c>
      <c r="J33" t="inlineStr">
        <is>
          <t>NPC4</t>
        </is>
      </c>
      <c r="N33" t="n">
        <v>0.00288780152577235</v>
      </c>
      <c r="O33" t="n">
        <v>0.00306830157066073</v>
      </c>
      <c r="P33" t="n">
        <v>0.00327621559149931</v>
      </c>
      <c r="Q33" t="n">
        <v>0.00345998728274681</v>
      </c>
      <c r="R33" t="n">
        <v>0.0035624708358792</v>
      </c>
      <c r="S33" t="n">
        <v>0.00366051160694692</v>
      </c>
      <c r="T33" t="n">
        <v>0.00375306993736182</v>
      </c>
      <c r="U33" t="n">
        <v>0.0038485958407847</v>
      </c>
      <c r="V33" t="n">
        <v>0.0039374116432946</v>
      </c>
      <c r="W33" t="n">
        <v>0.00401903609575979</v>
      </c>
      <c r="X33" t="n">
        <v>0.00410479379658799</v>
      </c>
      <c r="Y33" t="n">
        <v>0.00419482846674931</v>
      </c>
      <c r="Z33" t="n">
        <v>0.00428931711459495</v>
      </c>
      <c r="AA33" t="n">
        <v>0.0043885693581346</v>
      </c>
      <c r="AB33" t="n">
        <v>0.004490775785679599</v>
      </c>
      <c r="AC33" t="n">
        <v>0.004230204010666139</v>
      </c>
      <c r="AD33" t="n">
        <v>0.00413990858822045</v>
      </c>
      <c r="AE33" t="n">
        <v>0.00400018111559887</v>
      </c>
      <c r="AF33" t="n">
        <v>0.00364744055642748</v>
      </c>
      <c r="AG33" t="n">
        <v>0.00361422350741498</v>
      </c>
      <c r="AH33" t="n">
        <v>0.00236861423682486</v>
      </c>
      <c r="AI33" t="n">
        <v>0.00288359323562182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I33" t="inlineStr">
        <is>
          <t>OLD_NPC4</t>
        </is>
      </c>
    </row>
    <row r="34">
      <c r="A34" t="inlineStr">
        <is>
          <t>no_year_in_pairs</t>
        </is>
      </c>
      <c r="B34" s="2" t="n"/>
      <c r="C34" s="3" t="inlineStr">
        <is>
          <t>EBS.20.72, Sup. 1</t>
        </is>
      </c>
      <c r="D34" s="4" t="inlineStr">
        <is>
          <t>Dominica</t>
        </is>
      </c>
      <c r="E34" s="4" t="inlineStr">
        <is>
          <t>DMA</t>
        </is>
      </c>
      <c r="F34" s="4" t="n"/>
      <c r="G34" s="4" t="inlineStr">
        <is>
          <t>2018gn</t>
        </is>
      </c>
      <c r="H34" s="4" t="n">
        <v>2019</v>
      </c>
      <c r="I34" s="4" t="inlineStr">
        <is>
          <t>old.tds.npc5</t>
        </is>
      </c>
      <c r="J34" t="inlineStr">
        <is>
          <t>NPC5</t>
        </is>
      </c>
      <c r="N34" t="n">
        <v>0.186077111111111</v>
      </c>
      <c r="O34" t="n">
        <v>0.821334814814814</v>
      </c>
      <c r="P34" t="n">
        <v>1.05953488888889</v>
      </c>
      <c r="Q34" t="n">
        <v>1.03808488888889</v>
      </c>
      <c r="R34" t="n">
        <v>1.0162147037037</v>
      </c>
      <c r="S34" t="n">
        <v>0.994745666666668</v>
      </c>
      <c r="T34" t="n">
        <v>1.43096024927616</v>
      </c>
      <c r="U34" t="n">
        <v>1.99774334930523</v>
      </c>
      <c r="V34" t="n">
        <v>2.31035626484609</v>
      </c>
      <c r="W34" t="n">
        <v>2.54797258575874</v>
      </c>
      <c r="X34" t="n">
        <v>2.6672661472283</v>
      </c>
      <c r="Y34" t="n">
        <v>2.6775582770589</v>
      </c>
      <c r="Z34" t="n">
        <v>2.70948796417475</v>
      </c>
      <c r="AA34" t="n">
        <v>1.55131171676553</v>
      </c>
      <c r="AB34" t="n">
        <v>-0.269638194449755</v>
      </c>
      <c r="AC34" t="n">
        <v>-0.9158627678938041</v>
      </c>
      <c r="AD34" t="n">
        <v>-0.812310048874735</v>
      </c>
      <c r="AE34" t="n">
        <v>-0.69468322434001</v>
      </c>
      <c r="AF34" t="n">
        <v>-0.591218137806352</v>
      </c>
      <c r="AG34" t="n">
        <v>-0.503395697417222</v>
      </c>
      <c r="AH34" t="n">
        <v>-0.429179365818026</v>
      </c>
      <c r="AI34" t="n">
        <v>-2.36640642545533</v>
      </c>
      <c r="AJ34" t="n">
        <v>-2.31322110130594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I34" t="inlineStr">
        <is>
          <t>OLD_NPC5</t>
        </is>
      </c>
    </row>
    <row r="35">
      <c r="A35" t="inlineStr">
        <is>
          <t>no_year_in_pairs</t>
        </is>
      </c>
      <c r="B35" s="2" t="n"/>
      <c r="C35" s="3" t="inlineStr">
        <is>
          <t>EBS.20.72, Sup. 1</t>
        </is>
      </c>
      <c r="D35" s="4" t="inlineStr">
        <is>
          <t>Dominica</t>
        </is>
      </c>
      <c r="E35" s="4" t="inlineStr">
        <is>
          <t>DMA</t>
        </is>
      </c>
      <c r="F35" s="4" t="n"/>
      <c r="G35" s="4" t="inlineStr">
        <is>
          <t>2018gn</t>
        </is>
      </c>
      <c r="H35" s="4" t="n">
        <v>2019</v>
      </c>
      <c r="I35" s="4" t="inlineStr">
        <is>
          <t>old.tds.prvt</t>
        </is>
      </c>
      <c r="J35" t="inlineStr">
        <is>
          <t>Commercial</t>
        </is>
      </c>
      <c r="N35" t="n">
        <v>5.96105940938055</v>
      </c>
      <c r="O35" t="n">
        <v>12.3928382323193</v>
      </c>
      <c r="P35" t="n">
        <v>7.38170958498636</v>
      </c>
      <c r="Q35" t="n">
        <v>6.19690304876448</v>
      </c>
      <c r="R35" t="n">
        <v>7.18950180883891</v>
      </c>
      <c r="S35" t="n">
        <v>5.95987834669111</v>
      </c>
      <c r="T35" t="n">
        <v>7.19501248542088</v>
      </c>
      <c r="U35" t="n">
        <v>6.086290628926879</v>
      </c>
      <c r="V35" t="n">
        <v>5.87647180743744</v>
      </c>
      <c r="W35" t="n">
        <v>5.451696481791171</v>
      </c>
      <c r="X35" t="n">
        <v>4.9864356293592</v>
      </c>
      <c r="Y35" t="n">
        <v>4.89024178847758</v>
      </c>
      <c r="Z35" t="n">
        <v>4.654115448999741</v>
      </c>
      <c r="AA35" t="n">
        <v>4.55559540012666</v>
      </c>
      <c r="AB35" t="n">
        <v>4.46758827012242</v>
      </c>
      <c r="AC35" t="n">
        <v>6.31509260074124</v>
      </c>
      <c r="AD35" t="n">
        <v>4.20452574401574</v>
      </c>
      <c r="AE35" t="n">
        <v>4.00018124519517</v>
      </c>
      <c r="AF35" t="n">
        <v>8.244835662585929</v>
      </c>
      <c r="AG35" t="n">
        <v>3.32170490416585</v>
      </c>
      <c r="AH35" t="n">
        <v>2.09706629403316</v>
      </c>
      <c r="AI35" t="n">
        <v>2.09706629366138</v>
      </c>
      <c r="AJ35" t="n">
        <v>9.84121969270966e-12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I35" t="inlineStr">
        <is>
          <t>OLD_COM_ALL</t>
        </is>
      </c>
    </row>
    <row r="36">
      <c r="A36" t="inlineStr">
        <is>
          <t>no_year_in_pairs</t>
        </is>
      </c>
      <c r="B36" s="2" t="n"/>
      <c r="C36" s="3" t="inlineStr">
        <is>
          <t>EBS.20.72, Sup. 1</t>
        </is>
      </c>
      <c r="D36" s="4" t="inlineStr">
        <is>
          <t>Dominica</t>
        </is>
      </c>
      <c r="E36" s="4" t="inlineStr">
        <is>
          <t>DMA</t>
        </is>
      </c>
      <c r="F36" s="4" t="n"/>
      <c r="G36" s="4" t="inlineStr">
        <is>
          <t>2018gn</t>
        </is>
      </c>
      <c r="H36" s="4" t="n">
        <v>2019</v>
      </c>
      <c r="I36" s="4" t="inlineStr">
        <is>
          <t>old.tds.prvt.bnd</t>
        </is>
      </c>
      <c r="J36" t="inlineStr">
        <is>
          <t>Eurobond</t>
        </is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I36" t="inlineStr">
        <is>
          <t>OLD_COM1</t>
        </is>
      </c>
    </row>
    <row r="37">
      <c r="A37" t="inlineStr">
        <is>
          <t>no_year_in_pairs</t>
        </is>
      </c>
      <c r="B37" s="2" t="n"/>
      <c r="C37" s="3" t="inlineStr">
        <is>
          <t>EBS.20.72, Sup. 1</t>
        </is>
      </c>
      <c r="D37" s="4" t="inlineStr">
        <is>
          <t>Dominica</t>
        </is>
      </c>
      <c r="E37" s="4" t="inlineStr">
        <is>
          <t>DMA</t>
        </is>
      </c>
      <c r="F37" s="4" t="n"/>
      <c r="G37" s="4" t="inlineStr">
        <is>
          <t>2018gn</t>
        </is>
      </c>
      <c r="H37" s="4" t="n">
        <v>2019</v>
      </c>
      <c r="I37" s="4" t="inlineStr">
        <is>
          <t>old.tds.prvt.cmbk</t>
        </is>
      </c>
      <c r="J37" t="inlineStr">
        <is>
          <t>Commecial Bank</t>
        </is>
      </c>
      <c r="N37" t="n">
        <v>5.96105940938055</v>
      </c>
      <c r="O37" t="n">
        <v>12.3928382323193</v>
      </c>
      <c r="P37" t="n">
        <v>7.38170958498636</v>
      </c>
      <c r="Q37" t="n">
        <v>6.19690304876448</v>
      </c>
      <c r="R37" t="n">
        <v>7.18950180883891</v>
      </c>
      <c r="S37" t="n">
        <v>5.95987834669111</v>
      </c>
      <c r="T37" t="n">
        <v>7.19501248542088</v>
      </c>
      <c r="U37" t="n">
        <v>6.086290628926879</v>
      </c>
      <c r="V37" t="n">
        <v>5.87647180743744</v>
      </c>
      <c r="W37" t="n">
        <v>5.451696481791171</v>
      </c>
      <c r="X37" t="n">
        <v>4.9864356293592</v>
      </c>
      <c r="Y37" t="n">
        <v>4.89024178847758</v>
      </c>
      <c r="Z37" t="n">
        <v>4.654115448999741</v>
      </c>
      <c r="AA37" t="n">
        <v>4.55559540012666</v>
      </c>
      <c r="AB37" t="n">
        <v>4.46758827012242</v>
      </c>
      <c r="AC37" t="n">
        <v>6.31509260074124</v>
      </c>
      <c r="AD37" t="n">
        <v>4.20452574401574</v>
      </c>
      <c r="AE37" t="n">
        <v>4.00018124519517</v>
      </c>
      <c r="AF37" t="n">
        <v>8.244835662585929</v>
      </c>
      <c r="AG37" t="n">
        <v>3.32170490416585</v>
      </c>
      <c r="AH37" t="n">
        <v>2.09706629403316</v>
      </c>
      <c r="AI37" t="n">
        <v>2.09706629366138</v>
      </c>
      <c r="AJ37" t="n">
        <v>9.84121969270966e-12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I37" t="inlineStr">
        <is>
          <t>OLD_COM2</t>
        </is>
      </c>
    </row>
    <row r="38">
      <c r="A38" t="inlineStr">
        <is>
          <t>no_year_in_pairs</t>
        </is>
      </c>
      <c r="B38" s="2" t="n"/>
      <c r="C38" s="3" t="inlineStr">
        <is>
          <t>EBS.20.72, Sup. 1</t>
        </is>
      </c>
      <c r="D38" s="4" t="inlineStr">
        <is>
          <t>Dominica</t>
        </is>
      </c>
      <c r="E38" s="4" t="inlineStr">
        <is>
          <t>DMA</t>
        </is>
      </c>
      <c r="F38" s="4" t="n"/>
      <c r="G38" s="4" t="inlineStr">
        <is>
          <t>2018gn</t>
        </is>
      </c>
      <c r="H38" s="4" t="n">
        <v>2019</v>
      </c>
      <c r="I38" s="4" t="inlineStr">
        <is>
          <t>old.tds.prvt.com3</t>
        </is>
      </c>
      <c r="J38" t="inlineStr">
        <is>
          <t>COM3</t>
        </is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I38" t="inlineStr">
        <is>
          <t>OLD_COM3</t>
        </is>
      </c>
    </row>
    <row r="39">
      <c r="A39" t="inlineStr">
        <is>
          <t>no_year_in_pairs</t>
        </is>
      </c>
      <c r="B39" s="2" t="n"/>
      <c r="C39" s="3" t="inlineStr">
        <is>
          <t>EBS.20.72, Sup. 1</t>
        </is>
      </c>
      <c r="D39" s="4" t="inlineStr">
        <is>
          <t>Dominica</t>
        </is>
      </c>
      <c r="E39" s="4" t="inlineStr">
        <is>
          <t>DMA</t>
        </is>
      </c>
      <c r="F39" s="4" t="n"/>
      <c r="G39" s="4" t="inlineStr">
        <is>
          <t>2018gn</t>
        </is>
      </c>
      <c r="H39" s="4" t="n">
        <v>2019</v>
      </c>
      <c r="I39" s="4" t="inlineStr">
        <is>
          <t>old.tds.prvt.com4</t>
        </is>
      </c>
      <c r="J39" t="inlineStr">
        <is>
          <t>COM4</t>
        </is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G39" t="n">
        <v>0</v>
      </c>
      <c r="BI39" t="inlineStr">
        <is>
          <t>OLD_COM4</t>
        </is>
      </c>
    </row>
    <row r="40">
      <c r="A40" t="inlineStr">
        <is>
          <t>no_year_in_pairs</t>
        </is>
      </c>
      <c r="B40" s="2" t="n"/>
      <c r="C40" s="3" t="inlineStr">
        <is>
          <t>EBS.20.72, Sup. 1</t>
        </is>
      </c>
      <c r="D40" s="4" t="inlineStr">
        <is>
          <t>Dominica</t>
        </is>
      </c>
      <c r="E40" s="4" t="inlineStr">
        <is>
          <t>DMA</t>
        </is>
      </c>
      <c r="F40" s="4" t="n"/>
      <c r="G40" s="4" t="inlineStr">
        <is>
          <t>2018gn</t>
        </is>
      </c>
      <c r="H40" s="4" t="n">
        <v>2019</v>
      </c>
      <c r="I40" s="4" t="inlineStr">
        <is>
          <t>old.tds.prvt.com5</t>
        </is>
      </c>
      <c r="J40" t="inlineStr">
        <is>
          <t>COM5</t>
        </is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I40" t="inlineStr">
        <is>
          <t>OLD_COM5</t>
        </is>
      </c>
    </row>
    <row r="41">
      <c r="A41" t="inlineStr">
        <is>
          <t>no_year_in_pairs</t>
        </is>
      </c>
      <c r="B41" s="2" t="n"/>
      <c r="C41" s="3" t="inlineStr">
        <is>
          <t>EBS.20.72, Sup. 1</t>
        </is>
      </c>
      <c r="D41" s="4" t="inlineStr">
        <is>
          <t>Dominica</t>
        </is>
      </c>
      <c r="E41" s="4" t="inlineStr">
        <is>
          <t>DMA</t>
        </is>
      </c>
      <c r="F41" s="4" t="n"/>
      <c r="G41" s="4" t="inlineStr">
        <is>
          <t>2018gn</t>
        </is>
      </c>
      <c r="H41" s="4" t="n">
        <v>2019</v>
      </c>
      <c r="I41" s="5" t="n"/>
    </row>
    <row r="42">
      <c r="A42" t="inlineStr">
        <is>
          <t>no_year_in_pairs</t>
        </is>
      </c>
      <c r="B42" s="2" t="n"/>
      <c r="C42" s="3" t="inlineStr">
        <is>
          <t>EBS.20.72, Sup. 1</t>
        </is>
      </c>
      <c r="D42" s="4" t="inlineStr">
        <is>
          <t>Dominica</t>
        </is>
      </c>
      <c r="E42" s="4" t="inlineStr">
        <is>
          <t>DMA</t>
        </is>
      </c>
      <c r="F42" s="4" t="n"/>
      <c r="G42" s="4" t="inlineStr">
        <is>
          <t>2018gn</t>
        </is>
      </c>
      <c r="H42" s="4" t="n">
        <v>2019</v>
      </c>
      <c r="I42" s="4" t="inlineStr">
        <is>
          <t>old.tds.exc.lcl.iss</t>
        </is>
      </c>
      <c r="J42" t="inlineStr">
        <is>
          <t>Total external debt (excluding locally-issued debt)</t>
        </is>
      </c>
      <c r="N42" t="n">
        <v>28.61313235905446</v>
      </c>
      <c r="O42" t="n">
        <v>31.04243179314922</v>
      </c>
      <c r="P42" t="n">
        <v>29.67667024502231</v>
      </c>
      <c r="Q42" t="n">
        <v>28.21044822123241</v>
      </c>
      <c r="R42" t="n">
        <v>29.30912250189699</v>
      </c>
      <c r="S42" t="n">
        <v>28.23145930274249</v>
      </c>
      <c r="T42" t="n">
        <v>26.35026131917011</v>
      </c>
      <c r="U42" t="n">
        <v>24.98537006495999</v>
      </c>
      <c r="V42" t="n">
        <v>24.05229618503325</v>
      </c>
      <c r="W42" t="n">
        <v>22.88723088103311</v>
      </c>
      <c r="X42" t="n">
        <v>21.57140926768368</v>
      </c>
      <c r="Y42" t="n">
        <v>18.44230654232274</v>
      </c>
      <c r="Z42" t="n">
        <v>16.52897603959835</v>
      </c>
      <c r="AA42" t="n">
        <v>14.69308745580811</v>
      </c>
      <c r="AB42" t="n">
        <v>12.24124670349149</v>
      </c>
      <c r="AC42" t="n">
        <v>12.943465749699</v>
      </c>
      <c r="AD42" t="n">
        <v>10.48514764160842</v>
      </c>
      <c r="AE42" t="n">
        <v>10.00808877914703</v>
      </c>
      <c r="AF42" t="n">
        <v>13.98581672550643</v>
      </c>
      <c r="AG42" t="n">
        <v>8.806917813050694</v>
      </c>
      <c r="AH42" t="n">
        <v>7.338274352945749</v>
      </c>
      <c r="AI42" t="n">
        <v>5.109577297180001</v>
      </c>
      <c r="AJ42" t="n">
        <v>2.793087447900834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</row>
    <row r="43">
      <c r="A43" t="inlineStr">
        <is>
          <t>no_year_in_pairs</t>
        </is>
      </c>
      <c r="B43" s="2" t="n"/>
      <c r="C43" s="3" t="inlineStr">
        <is>
          <t>EBS.20.72, Sup. 1</t>
        </is>
      </c>
      <c r="D43" s="4" t="inlineStr">
        <is>
          <t>Dominica</t>
        </is>
      </c>
      <c r="E43" s="4" t="inlineStr">
        <is>
          <t>DMA</t>
        </is>
      </c>
      <c r="F43" s="4" t="n"/>
      <c r="G43" s="4" t="inlineStr">
        <is>
          <t>2018gn</t>
        </is>
      </c>
      <c r="H43" s="4" t="n">
        <v>2019</v>
      </c>
      <c r="I43" s="7" t="inlineStr">
        <is>
          <t>old.tds.exc.lcl.iss.amt</t>
        </is>
      </c>
      <c r="J43" t="inlineStr">
        <is>
          <t xml:space="preserve">    of which: principal</t>
        </is>
      </c>
      <c r="N43" t="n">
        <v>19.29098507407407</v>
      </c>
      <c r="O43" t="n">
        <v>23.2000262931217</v>
      </c>
      <c r="P43" t="n">
        <v>20.56026573796296</v>
      </c>
      <c r="Q43" t="n">
        <v>19.35892920740741</v>
      </c>
      <c r="R43" t="n">
        <v>21.72283074592593</v>
      </c>
      <c r="S43" t="n">
        <v>19.37554563481481</v>
      </c>
      <c r="T43" t="n">
        <v>18.23202283533567</v>
      </c>
      <c r="U43" t="n">
        <v>16.04984884947033</v>
      </c>
      <c r="V43" t="n">
        <v>14.97542933214574</v>
      </c>
      <c r="W43" t="n">
        <v>13.89164078073226</v>
      </c>
      <c r="X43" t="n">
        <v>12.82719871356685</v>
      </c>
      <c r="Y43" t="n">
        <v>12.15128023552789</v>
      </c>
      <c r="Z43" t="n">
        <v>11.46547696707855</v>
      </c>
      <c r="AA43" t="n">
        <v>9.81011480402374</v>
      </c>
      <c r="AB43" t="n">
        <v>7.550911255966296</v>
      </c>
      <c r="AC43" t="n">
        <v>6.476808052843926</v>
      </c>
      <c r="AD43" t="n">
        <v>4.237915797322778</v>
      </c>
      <c r="AE43" t="n">
        <v>3.931897211585925</v>
      </c>
      <c r="AF43" t="n">
        <v>3.723007182596926</v>
      </c>
      <c r="AG43" t="n">
        <v>3.532104066677196</v>
      </c>
      <c r="AH43" t="n">
        <v>3.393750643722304</v>
      </c>
      <c r="AI43" t="n">
        <v>3.265573449526589</v>
      </c>
      <c r="AJ43" t="n">
        <v>3.146594580020622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</row>
    <row r="44">
      <c r="A44" t="inlineStr">
        <is>
          <t>no_year_in_pairs</t>
        </is>
      </c>
      <c r="B44" s="2" t="n"/>
      <c r="C44" s="3" t="inlineStr">
        <is>
          <t>EBS.20.72, Sup. 1</t>
        </is>
      </c>
      <c r="D44" s="4" t="inlineStr">
        <is>
          <t>Dominica</t>
        </is>
      </c>
      <c r="E44" s="4" t="inlineStr">
        <is>
          <t>DMA</t>
        </is>
      </c>
      <c r="F44" s="4" t="n"/>
      <c r="G44" s="4" t="inlineStr">
        <is>
          <t>2018gn</t>
        </is>
      </c>
      <c r="H44" s="4" t="n">
        <v>2019</v>
      </c>
      <c r="I44" s="4" t="inlineStr">
        <is>
          <t>old.tds.exc.lcl.iss.int</t>
        </is>
      </c>
      <c r="J44" t="inlineStr">
        <is>
          <t xml:space="preserve">    of which: interest</t>
        </is>
      </c>
      <c r="N44" t="n">
        <v>9.322147284980392</v>
      </c>
      <c r="O44" t="n">
        <v>7.842405500027514</v>
      </c>
      <c r="P44" t="n">
        <v>9.116404507059347</v>
      </c>
      <c r="Q44" t="n">
        <v>8.851519013825005</v>
      </c>
      <c r="R44" t="n">
        <v>7.586291755971068</v>
      </c>
      <c r="S44" t="n">
        <v>8.85591366792768</v>
      </c>
      <c r="T44" t="n">
        <v>8.118238483834446</v>
      </c>
      <c r="U44" t="n">
        <v>8.935521215489654</v>
      </c>
      <c r="V44" t="n">
        <v>9.076866852887509</v>
      </c>
      <c r="W44" t="n">
        <v>8.99559010030085</v>
      </c>
      <c r="X44" t="n">
        <v>8.744210554116828</v>
      </c>
      <c r="Y44" t="n">
        <v>6.291026306794851</v>
      </c>
      <c r="Z44" t="n">
        <v>5.063499072519798</v>
      </c>
      <c r="AA44" t="n">
        <v>4.882972651784371</v>
      </c>
      <c r="AB44" t="n">
        <v>4.690335447525191</v>
      </c>
      <c r="AC44" t="n">
        <v>6.466657696855072</v>
      </c>
      <c r="AD44" t="n">
        <v>6.247231844285642</v>
      </c>
      <c r="AE44" t="n">
        <v>6.076191567561109</v>
      </c>
      <c r="AF44" t="n">
        <v>10.2628095429095</v>
      </c>
      <c r="AG44" t="n">
        <v>5.274813746373498</v>
      </c>
      <c r="AH44" t="n">
        <v>3.944523709223446</v>
      </c>
      <c r="AI44" t="n">
        <v>1.844003847653412</v>
      </c>
      <c r="AJ44" t="n">
        <v>-0.3535071321197885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</row>
    <row r="45">
      <c r="A45" t="inlineStr">
        <is>
          <t>no_year_in_pairs</t>
        </is>
      </c>
      <c r="B45" s="2" t="n"/>
      <c r="C45" s="3" t="inlineStr">
        <is>
          <t>EBS.20.72, Sup. 1</t>
        </is>
      </c>
      <c r="D45" s="4" t="inlineStr">
        <is>
          <t>Dominica</t>
        </is>
      </c>
      <c r="E45" s="4" t="inlineStr">
        <is>
          <t>DMA</t>
        </is>
      </c>
      <c r="F45" s="4" t="n"/>
      <c r="G45" s="4" t="inlineStr">
        <is>
          <t>2018gn</t>
        </is>
      </c>
      <c r="H45" s="4" t="n">
        <v>2019</v>
      </c>
      <c r="I45" s="5" t="n"/>
      <c r="J45" t="inlineStr">
        <is>
          <t>(hide) Evolution of debt (excluding locally-issued debt)</t>
        </is>
      </c>
      <c r="N45" t="n">
        <v>305.242179722623</v>
      </c>
      <c r="O45" t="n">
        <v>282.0421534295013</v>
      </c>
      <c r="P45" t="n">
        <v>261.4818876915384</v>
      </c>
      <c r="Q45" t="n">
        <v>242.1229584841309</v>
      </c>
      <c r="R45" t="n">
        <v>220.400127738205</v>
      </c>
      <c r="S45" t="n">
        <v>201.0245821033902</v>
      </c>
      <c r="T45" t="n">
        <v>182.7925592680545</v>
      </c>
      <c r="U45" t="n">
        <v>166.7427104185842</v>
      </c>
      <c r="V45" t="n">
        <v>151.7672810864385</v>
      </c>
      <c r="W45" t="n">
        <v>137.8756403057062</v>
      </c>
      <c r="X45" t="n">
        <v>125.0484415921394</v>
      </c>
      <c r="Y45" t="n">
        <v>112.8971613566115</v>
      </c>
      <c r="Z45" t="n">
        <v>101.4316843895329</v>
      </c>
      <c r="AA45" t="n">
        <v>91.62156958550918</v>
      </c>
      <c r="AB45" t="n">
        <v>84.07065832954288</v>
      </c>
      <c r="AC45" t="n">
        <v>77.59385027669896</v>
      </c>
      <c r="AD45" t="n">
        <v>73.35593447937617</v>
      </c>
      <c r="AE45" t="n">
        <v>69.42403726779025</v>
      </c>
      <c r="AF45" t="n">
        <v>65.70103008519332</v>
      </c>
      <c r="AG45" t="n">
        <v>62.16892601851612</v>
      </c>
      <c r="AH45" t="n">
        <v>58.77517537479382</v>
      </c>
      <c r="AI45" t="n">
        <v>55.50960192526723</v>
      </c>
      <c r="AJ45" t="n">
        <v>52.3630073452466</v>
      </c>
      <c r="AK45" t="n">
        <v>52.3630073452466</v>
      </c>
      <c r="AL45" t="n">
        <v>52.3630073452466</v>
      </c>
      <c r="AM45" t="n">
        <v>52.3630073452466</v>
      </c>
      <c r="AN45" t="n">
        <v>52.3630073452466</v>
      </c>
      <c r="AO45" t="n">
        <v>52.3630073452466</v>
      </c>
      <c r="AP45" t="n">
        <v>52.3630073452466</v>
      </c>
      <c r="AQ45" t="n">
        <v>52.3630073452466</v>
      </c>
      <c r="AR45" t="n">
        <v>52.3630073452466</v>
      </c>
      <c r="AS45" t="n">
        <v>52.3630073452466</v>
      </c>
      <c r="AT45" t="n">
        <v>52.3630073452466</v>
      </c>
      <c r="AU45" t="n">
        <v>52.3630073452466</v>
      </c>
      <c r="AV45" t="n">
        <v>52.3630073452466</v>
      </c>
      <c r="AW45" t="n">
        <v>52.3630073452466</v>
      </c>
      <c r="AX45" t="n">
        <v>52.3630073452466</v>
      </c>
      <c r="AY45" t="n">
        <v>52.3630073452466</v>
      </c>
      <c r="AZ45" t="n">
        <v>52.3630073452466</v>
      </c>
      <c r="BA45" t="n">
        <v>52.3630073452466</v>
      </c>
      <c r="BB45" t="n">
        <v>52.3630073452466</v>
      </c>
      <c r="BC45" t="n">
        <v>52.3630073452466</v>
      </c>
      <c r="BD45" t="n">
        <v>52.3630073452466</v>
      </c>
      <c r="BE45" t="n">
        <v>52.3630073452466</v>
      </c>
      <c r="BF45" t="n">
        <v>52.3630073452466</v>
      </c>
      <c r="BG45" t="n">
        <v>52.3630073452466</v>
      </c>
    </row>
    <row r="46">
      <c r="A46" t="inlineStr">
        <is>
          <t>no_year_in_pairs</t>
        </is>
      </c>
      <c r="B46" s="2" t="n"/>
      <c r="C46" s="3" t="inlineStr">
        <is>
          <t>EBS.20.72, Sup. 1</t>
        </is>
      </c>
      <c r="D46" s="4" t="inlineStr">
        <is>
          <t>Dominica</t>
        </is>
      </c>
      <c r="E46" s="4" t="inlineStr">
        <is>
          <t>DMA</t>
        </is>
      </c>
      <c r="F46" s="4" t="n"/>
      <c r="G46" s="4" t="inlineStr">
        <is>
          <t>2018gn</t>
        </is>
      </c>
      <c r="H46" s="4" t="n">
        <v>2019</v>
      </c>
      <c r="I46" s="5" t="n"/>
      <c r="J46" t="inlineStr">
        <is>
          <t>check (outstanding as of end-2018 - total debt services)</t>
        </is>
      </c>
      <c r="N46" t="n">
        <v>52.36300734524661</v>
      </c>
    </row>
    <row r="47">
      <c r="A47" t="inlineStr">
        <is>
          <t>no_year_in_pairs</t>
        </is>
      </c>
      <c r="B47" s="2" t="n"/>
      <c r="C47" s="3" t="inlineStr">
        <is>
          <t>EBS.20.72, Sup. 1</t>
        </is>
      </c>
      <c r="D47" s="4" t="inlineStr">
        <is>
          <t>Dominica</t>
        </is>
      </c>
      <c r="E47" s="4" t="inlineStr">
        <is>
          <t>DMA</t>
        </is>
      </c>
      <c r="F47" s="4" t="n"/>
      <c r="G47" s="4" t="inlineStr">
        <is>
          <t>2018gn</t>
        </is>
      </c>
      <c r="H47" s="4" t="n">
        <v>2019</v>
      </c>
      <c r="I47" s="5" t="n"/>
    </row>
    <row r="48">
      <c r="A48" t="inlineStr">
        <is>
          <t>no_year_in_pairs</t>
        </is>
      </c>
      <c r="B48" s="2" t="n"/>
      <c r="C48" s="3" t="inlineStr">
        <is>
          <t>EBS.20.72, Sup. 1</t>
        </is>
      </c>
      <c r="D48" s="4" t="inlineStr">
        <is>
          <t>Dominica</t>
        </is>
      </c>
      <c r="E48" s="4" t="inlineStr">
        <is>
          <t>DMA</t>
        </is>
      </c>
      <c r="F48" s="4" t="n"/>
      <c r="G48" s="4" t="inlineStr">
        <is>
          <t>2018gn</t>
        </is>
      </c>
      <c r="H48" s="4" t="n">
        <v>2019</v>
      </c>
      <c r="I48" s="5" t="n"/>
      <c r="J48" t="inlineStr">
        <is>
          <t>Locally-issued debt</t>
        </is>
      </c>
    </row>
    <row r="49">
      <c r="A49" t="inlineStr">
        <is>
          <t>no_year_in_pairs</t>
        </is>
      </c>
      <c r="B49" s="2" t="n"/>
      <c r="C49" s="3" t="inlineStr">
        <is>
          <t>EBS.20.72, Sup. 1</t>
        </is>
      </c>
      <c r="D49" s="4" t="inlineStr">
        <is>
          <t>Dominica</t>
        </is>
      </c>
      <c r="E49" s="4" t="inlineStr">
        <is>
          <t>DMA</t>
        </is>
      </c>
      <c r="F49" s="4" t="n"/>
      <c r="G49" s="4" t="inlineStr">
        <is>
          <t>2018gn</t>
        </is>
      </c>
      <c r="H49" s="4" t="n">
        <v>2019</v>
      </c>
      <c r="I49" s="4" t="inlineStr">
        <is>
          <t>old.tds.lcl.nres</t>
        </is>
      </c>
      <c r="J49" t="inlineStr">
        <is>
          <t>Locally-issued debt held by non-residents</t>
        </is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BI49" t="inlineStr">
        <is>
          <t>OLD_LC_NR_ALL</t>
        </is>
      </c>
    </row>
    <row r="50">
      <c r="A50" t="inlineStr">
        <is>
          <t>no_year_in_pairs</t>
        </is>
      </c>
      <c r="B50" s="2" t="n"/>
      <c r="C50" s="3" t="inlineStr">
        <is>
          <t>EBS.20.72, Sup. 1</t>
        </is>
      </c>
      <c r="D50" s="4" t="inlineStr">
        <is>
          <t>Dominica</t>
        </is>
      </c>
      <c r="E50" s="4" t="inlineStr">
        <is>
          <t>DMA</t>
        </is>
      </c>
      <c r="F50" s="4" t="n"/>
      <c r="G50" s="4" t="inlineStr">
        <is>
          <t>2018gn</t>
        </is>
      </c>
      <c r="H50" s="4" t="n">
        <v>2019</v>
      </c>
      <c r="I50" s="4" t="inlineStr">
        <is>
          <t>old.tds.lcl.nres.lc</t>
        </is>
      </c>
      <c r="J50" t="inlineStr">
        <is>
          <t>Denominated in local currency (LC)</t>
        </is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</row>
    <row r="51">
      <c r="A51" t="inlineStr">
        <is>
          <t>no_year_in_pairs</t>
        </is>
      </c>
      <c r="B51" s="2" t="n"/>
      <c r="C51" s="3" t="inlineStr">
        <is>
          <t>EBS.20.72, Sup. 1</t>
        </is>
      </c>
      <c r="D51" s="4" t="inlineStr">
        <is>
          <t>Dominica</t>
        </is>
      </c>
      <c r="E51" s="4" t="inlineStr">
        <is>
          <t>DMA</t>
        </is>
      </c>
      <c r="F51" s="4" t="n"/>
      <c r="G51" s="4" t="inlineStr">
        <is>
          <t>2018gn</t>
        </is>
      </c>
      <c r="H51" s="4" t="n">
        <v>2019</v>
      </c>
      <c r="I51" s="4" t="inlineStr">
        <is>
          <t>old.tds.lcl.nres.fx</t>
        </is>
      </c>
      <c r="J51" t="inlineStr">
        <is>
          <t>Denominated in foreign currency (FX)</t>
        </is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</row>
    <row r="52">
      <c r="A52" t="inlineStr">
        <is>
          <t>no_year_in_pairs</t>
        </is>
      </c>
      <c r="B52" s="2" t="n"/>
      <c r="C52" s="3" t="inlineStr">
        <is>
          <t>EBS.20.72, Sup. 1</t>
        </is>
      </c>
      <c r="D52" s="4" t="inlineStr">
        <is>
          <t>Dominica</t>
        </is>
      </c>
      <c r="E52" s="4" t="inlineStr">
        <is>
          <t>DMA</t>
        </is>
      </c>
      <c r="F52" s="4" t="n"/>
      <c r="G52" s="4" t="inlineStr">
        <is>
          <t>2018gn</t>
        </is>
      </c>
      <c r="H52" s="4" t="n">
        <v>2019</v>
      </c>
      <c r="I52" s="5" t="n"/>
      <c r="J52" t="inlineStr">
        <is>
          <t>Locally-issued debt held by residents</t>
        </is>
      </c>
    </row>
    <row r="53">
      <c r="A53" t="inlineStr">
        <is>
          <t>no_year_in_pairs</t>
        </is>
      </c>
      <c r="B53" s="2" t="n"/>
      <c r="C53" s="3" t="inlineStr">
        <is>
          <t>EBS.20.72, Sup. 1</t>
        </is>
      </c>
      <c r="D53" s="4" t="inlineStr">
        <is>
          <t>Dominica</t>
        </is>
      </c>
      <c r="E53" s="4" t="inlineStr">
        <is>
          <t>DMA</t>
        </is>
      </c>
      <c r="F53" s="4" t="n"/>
      <c r="G53" s="4" t="inlineStr">
        <is>
          <t>2018gn</t>
        </is>
      </c>
      <c r="H53" s="4" t="n">
        <v>2019</v>
      </c>
      <c r="I53" s="4" t="inlineStr">
        <is>
          <t>old.tds.lcl.fx</t>
        </is>
      </c>
      <c r="J53" t="inlineStr">
        <is>
          <t>Denominated in foreign currency (FX)</t>
        </is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</row>
    <row r="54">
      <c r="A54" t="inlineStr">
        <is>
          <t>no_year_in_pairs</t>
        </is>
      </c>
      <c r="B54" s="2" t="n"/>
      <c r="C54" s="3" t="inlineStr">
        <is>
          <t>EBS.20.72, Sup. 1</t>
        </is>
      </c>
      <c r="D54" s="4" t="inlineStr">
        <is>
          <t>Dominica</t>
        </is>
      </c>
      <c r="E54" s="4" t="inlineStr">
        <is>
          <t>DMA</t>
        </is>
      </c>
      <c r="F54" s="4" t="n"/>
      <c r="G54" s="4" t="inlineStr">
        <is>
          <t>2018gn</t>
        </is>
      </c>
      <c r="H54" s="4" t="n">
        <v>2019</v>
      </c>
      <c r="I54" s="5" t="n"/>
      <c r="J54" t="inlineStr">
        <is>
          <t>If the Breakdown is not available insert total debt service here</t>
        </is>
      </c>
    </row>
    <row r="55">
      <c r="A55" t="inlineStr">
        <is>
          <t>no_year_in_pairs</t>
        </is>
      </c>
      <c r="B55" s="2" t="n"/>
      <c r="C55" s="3" t="inlineStr">
        <is>
          <t>EBS.20.72, Sup. 1</t>
        </is>
      </c>
      <c r="D55" s="4" t="inlineStr">
        <is>
          <t>Dominica</t>
        </is>
      </c>
      <c r="E55" s="4" t="inlineStr">
        <is>
          <t>DMA</t>
        </is>
      </c>
      <c r="F55" s="4" t="n"/>
      <c r="G55" s="4" t="inlineStr">
        <is>
          <t>2018gn</t>
        </is>
      </c>
      <c r="H55" s="4" t="n">
        <v>2019</v>
      </c>
      <c r="I55" s="4" t="inlineStr">
        <is>
          <t>old.tds.lcl.incl.dom</t>
        </is>
      </c>
      <c r="J55" t="inlineStr">
        <is>
          <t>Total locally-issued debt service</t>
        </is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</row>
    <row r="56">
      <c r="A56" t="inlineStr">
        <is>
          <t>no_year_in_pairs</t>
        </is>
      </c>
      <c r="B56" s="2" t="n"/>
      <c r="C56" s="3" t="inlineStr">
        <is>
          <t>EBS.20.72, Sup. 1</t>
        </is>
      </c>
      <c r="D56" s="4" t="inlineStr">
        <is>
          <t>Dominica</t>
        </is>
      </c>
      <c r="E56" s="4" t="inlineStr">
        <is>
          <t>DMA</t>
        </is>
      </c>
      <c r="F56" s="4" t="n"/>
      <c r="G56" s="4" t="inlineStr">
        <is>
          <t>2018gn</t>
        </is>
      </c>
      <c r="H56" s="4" t="n">
        <v>2019</v>
      </c>
      <c r="I56" s="4" t="inlineStr">
        <is>
          <t>old.tds.lcl.incl.dom.amt</t>
        </is>
      </c>
      <c r="J56" t="inlineStr">
        <is>
          <t xml:space="preserve">    of which: principal</t>
        </is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</row>
    <row r="57">
      <c r="A57" t="inlineStr">
        <is>
          <t>no_year_in_pairs</t>
        </is>
      </c>
      <c r="B57" s="2" t="n"/>
      <c r="C57" s="3" t="inlineStr">
        <is>
          <t>EBS.20.72, Sup. 1</t>
        </is>
      </c>
      <c r="D57" s="4" t="inlineStr">
        <is>
          <t>Dominica</t>
        </is>
      </c>
      <c r="E57" s="4" t="inlineStr">
        <is>
          <t>DMA</t>
        </is>
      </c>
      <c r="F57" s="4" t="n"/>
      <c r="G57" s="4" t="inlineStr">
        <is>
          <t>2018gn</t>
        </is>
      </c>
      <c r="H57" s="4" t="n">
        <v>2019</v>
      </c>
      <c r="I57" s="4" t="inlineStr">
        <is>
          <t>old.tds.lcl.incl.dom.int</t>
        </is>
      </c>
      <c r="J57" t="inlineStr">
        <is>
          <t xml:space="preserve">    of which: interest</t>
        </is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</row>
    <row r="58">
      <c r="A58" t="inlineStr">
        <is>
          <t>no_year_in_pairs</t>
        </is>
      </c>
      <c r="B58" s="2" t="n"/>
      <c r="C58" s="3" t="inlineStr">
        <is>
          <t>EBS.20.72, Sup. 1</t>
        </is>
      </c>
      <c r="D58" s="4" t="inlineStr">
        <is>
          <t>Dominica</t>
        </is>
      </c>
      <c r="E58" s="4" t="inlineStr">
        <is>
          <t>DMA</t>
        </is>
      </c>
      <c r="F58" s="4" t="n"/>
      <c r="G58" s="4" t="inlineStr">
        <is>
          <t>2018gn</t>
        </is>
      </c>
      <c r="H58" s="4" t="n">
        <v>2019</v>
      </c>
      <c r="I58" s="4" t="inlineStr">
        <is>
          <t>dbt.evol</t>
        </is>
      </c>
      <c r="J58" t="inlineStr">
        <is>
          <t>Evolution of debt</t>
        </is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</row>
    <row r="59">
      <c r="A59" t="inlineStr">
        <is>
          <t>no_year_in_pairs</t>
        </is>
      </c>
      <c r="B59" s="2" t="n"/>
      <c r="C59" s="3" t="inlineStr">
        <is>
          <t>EBS.20.72, Sup. 1</t>
        </is>
      </c>
      <c r="D59" s="4" t="inlineStr">
        <is>
          <t>Dominica</t>
        </is>
      </c>
      <c r="E59" s="4" t="inlineStr">
        <is>
          <t>DMA</t>
        </is>
      </c>
      <c r="F59" s="4" t="n"/>
      <c r="G59" s="4" t="inlineStr">
        <is>
          <t>2018gn</t>
        </is>
      </c>
      <c r="H59" s="4" t="n">
        <v>2019</v>
      </c>
      <c r="I59" s="5" t="n"/>
      <c r="J59" t="inlineStr">
        <is>
          <t>Please check line 168 for domestic debt consistency</t>
        </is>
      </c>
    </row>
    <row r="60">
      <c r="A60" t="inlineStr">
        <is>
          <t>no_year_in_pairs</t>
        </is>
      </c>
      <c r="B60" s="2" t="n"/>
      <c r="C60" s="3" t="inlineStr">
        <is>
          <t>EBS.20.72, Sup. 1</t>
        </is>
      </c>
      <c r="D60" s="4" t="inlineStr">
        <is>
          <t>Dominica</t>
        </is>
      </c>
      <c r="E60" s="4" t="inlineStr">
        <is>
          <t>DMA</t>
        </is>
      </c>
      <c r="F60" s="4" t="n"/>
      <c r="G60" s="4" t="inlineStr">
        <is>
          <t>2018gn</t>
        </is>
      </c>
      <c r="H60" s="4" t="n">
        <v>2019</v>
      </c>
      <c r="I60" s="5" t="n"/>
    </row>
    <row r="61">
      <c r="A61" t="inlineStr">
        <is>
          <t>no_year_in_pairs</t>
        </is>
      </c>
      <c r="B61" s="2" t="n"/>
      <c r="C61" s="3" t="inlineStr">
        <is>
          <t>EBS.20.72, Sup. 1</t>
        </is>
      </c>
      <c r="D61" s="4" t="inlineStr">
        <is>
          <t>Dominica</t>
        </is>
      </c>
      <c r="E61" s="4" t="inlineStr">
        <is>
          <t>DMA</t>
        </is>
      </c>
      <c r="F61" s="4" t="n"/>
      <c r="G61" s="4" t="inlineStr">
        <is>
          <t>2018gn</t>
        </is>
      </c>
      <c r="H61" s="4" t="n">
        <v>2019</v>
      </c>
      <c r="I61" s="4" t="inlineStr">
        <is>
          <t>old.tds.inc.lcl.iss</t>
        </is>
      </c>
      <c r="J61" t="inlineStr">
        <is>
          <t>Total external debt (including locally-issued debt)</t>
        </is>
      </c>
      <c r="N61" t="n">
        <v>28.61313235905446</v>
      </c>
      <c r="O61" t="n">
        <v>31.04243179314922</v>
      </c>
      <c r="P61" t="n">
        <v>29.67667024502231</v>
      </c>
      <c r="Q61" t="n">
        <v>28.21044822123241</v>
      </c>
      <c r="R61" t="n">
        <v>29.30912250189699</v>
      </c>
      <c r="S61" t="n">
        <v>28.23145930274249</v>
      </c>
      <c r="T61" t="n">
        <v>26.35026131917011</v>
      </c>
      <c r="U61" t="n">
        <v>24.98537006495999</v>
      </c>
      <c r="V61" t="n">
        <v>24.05229618503325</v>
      </c>
      <c r="W61" t="n">
        <v>22.88723088103311</v>
      </c>
      <c r="X61" t="n">
        <v>21.57140926768368</v>
      </c>
      <c r="Y61" t="n">
        <v>18.44230654232274</v>
      </c>
      <c r="Z61" t="n">
        <v>16.52897603959835</v>
      </c>
      <c r="AA61" t="n">
        <v>14.69308745580811</v>
      </c>
      <c r="AB61" t="n">
        <v>12.24124670349149</v>
      </c>
      <c r="AC61" t="n">
        <v>12.943465749699</v>
      </c>
      <c r="AD61" t="n">
        <v>10.48514764160842</v>
      </c>
      <c r="AE61" t="n">
        <v>10.00808877914703</v>
      </c>
      <c r="AF61" t="n">
        <v>13.98581672550643</v>
      </c>
      <c r="AG61" t="n">
        <v>8.806917813050694</v>
      </c>
      <c r="AH61" t="n">
        <v>7.338274352945749</v>
      </c>
      <c r="AI61" t="n">
        <v>5.109577297180001</v>
      </c>
      <c r="AJ61" t="n">
        <v>2.793087447900834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  <c r="BI61" t="inlineStr">
        <is>
          <t>OLD_TOTAL</t>
        </is>
      </c>
    </row>
    <row r="62">
      <c r="A62" t="inlineStr">
        <is>
          <t>no_year_in_pairs</t>
        </is>
      </c>
      <c r="B62" s="2" t="n"/>
      <c r="C62" s="3" t="inlineStr">
        <is>
          <t>EBS.20.72, Sup. 1</t>
        </is>
      </c>
      <c r="D62" s="4" t="inlineStr">
        <is>
          <t>Dominica</t>
        </is>
      </c>
      <c r="E62" s="4" t="inlineStr">
        <is>
          <t>DMA</t>
        </is>
      </c>
      <c r="F62" s="4" t="n"/>
      <c r="G62" s="4" t="inlineStr">
        <is>
          <t>2018gn</t>
        </is>
      </c>
      <c r="H62" s="4" t="n">
        <v>2019</v>
      </c>
      <c r="I62" s="4" t="inlineStr">
        <is>
          <t>old.tds.inc.lcl.iss.amt</t>
        </is>
      </c>
      <c r="J62" t="inlineStr">
        <is>
          <t xml:space="preserve">    of which: principal</t>
        </is>
      </c>
      <c r="N62" t="n">
        <v>19.29098507407407</v>
      </c>
      <c r="O62" t="n">
        <v>23.2000262931217</v>
      </c>
      <c r="P62" t="n">
        <v>20.56026573796296</v>
      </c>
      <c r="Q62" t="n">
        <v>19.35892920740741</v>
      </c>
      <c r="R62" t="n">
        <v>21.72283074592593</v>
      </c>
      <c r="S62" t="n">
        <v>19.37554563481481</v>
      </c>
      <c r="T62" t="n">
        <v>18.23202283533567</v>
      </c>
      <c r="U62" t="n">
        <v>16.04984884947033</v>
      </c>
      <c r="V62" t="n">
        <v>14.97542933214574</v>
      </c>
      <c r="W62" t="n">
        <v>13.89164078073226</v>
      </c>
      <c r="X62" t="n">
        <v>12.82719871356685</v>
      </c>
      <c r="Y62" t="n">
        <v>12.15128023552789</v>
      </c>
      <c r="Z62" t="n">
        <v>11.46547696707855</v>
      </c>
      <c r="AA62" t="n">
        <v>9.81011480402374</v>
      </c>
      <c r="AB62" t="n">
        <v>7.550911255966296</v>
      </c>
      <c r="AC62" t="n">
        <v>6.476808052843926</v>
      </c>
      <c r="AD62" t="n">
        <v>4.237915797322778</v>
      </c>
      <c r="AE62" t="n">
        <v>3.931897211585925</v>
      </c>
      <c r="AF62" t="n">
        <v>3.723007182596926</v>
      </c>
      <c r="AG62" t="n">
        <v>3.532104066677196</v>
      </c>
      <c r="AH62" t="n">
        <v>3.393750643722304</v>
      </c>
      <c r="AI62" t="n">
        <v>3.265573449526589</v>
      </c>
      <c r="AJ62" t="n">
        <v>3.146594580020622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I62" t="inlineStr">
        <is>
          <t>OLD_TOTAL_P</t>
        </is>
      </c>
    </row>
    <row r="63">
      <c r="A63" t="inlineStr">
        <is>
          <t>no_year_in_pairs</t>
        </is>
      </c>
      <c r="B63" s="2" t="n"/>
      <c r="C63" s="3" t="inlineStr">
        <is>
          <t>EBS.20.72, Sup. 1</t>
        </is>
      </c>
      <c r="D63" s="4" t="inlineStr">
        <is>
          <t>Dominica</t>
        </is>
      </c>
      <c r="E63" s="4" t="inlineStr">
        <is>
          <t>DMA</t>
        </is>
      </c>
      <c r="F63" s="4" t="n"/>
      <c r="G63" s="4" t="inlineStr">
        <is>
          <t>2018gn</t>
        </is>
      </c>
      <c r="H63" s="4" t="n">
        <v>2019</v>
      </c>
      <c r="I63" s="4" t="inlineStr">
        <is>
          <t>old.tds.inc.lcl.iss.int</t>
        </is>
      </c>
      <c r="J63" t="inlineStr">
        <is>
          <t xml:space="preserve">    of which: interest</t>
        </is>
      </c>
      <c r="N63" t="n">
        <v>9.322147284980392</v>
      </c>
      <c r="O63" t="n">
        <v>7.842405500027514</v>
      </c>
      <c r="P63" t="n">
        <v>9.116404507059347</v>
      </c>
      <c r="Q63" t="n">
        <v>8.851519013825005</v>
      </c>
      <c r="R63" t="n">
        <v>7.586291755971068</v>
      </c>
      <c r="S63" t="n">
        <v>8.85591366792768</v>
      </c>
      <c r="T63" t="n">
        <v>8.118238483834446</v>
      </c>
      <c r="U63" t="n">
        <v>8.935521215489654</v>
      </c>
      <c r="V63" t="n">
        <v>9.076866852887509</v>
      </c>
      <c r="W63" t="n">
        <v>8.99559010030085</v>
      </c>
      <c r="X63" t="n">
        <v>8.744210554116828</v>
      </c>
      <c r="Y63" t="n">
        <v>6.291026306794851</v>
      </c>
      <c r="Z63" t="n">
        <v>5.063499072519798</v>
      </c>
      <c r="AA63" t="n">
        <v>4.882972651784371</v>
      </c>
      <c r="AB63" t="n">
        <v>4.690335447525191</v>
      </c>
      <c r="AC63" t="n">
        <v>6.466657696855072</v>
      </c>
      <c r="AD63" t="n">
        <v>6.247231844285642</v>
      </c>
      <c r="AE63" t="n">
        <v>6.076191567561109</v>
      </c>
      <c r="AF63" t="n">
        <v>10.2628095429095</v>
      </c>
      <c r="AG63" t="n">
        <v>5.274813746373498</v>
      </c>
      <c r="AH63" t="n">
        <v>3.944523709223446</v>
      </c>
      <c r="AI63" t="n">
        <v>1.844003847653412</v>
      </c>
      <c r="AJ63" t="n">
        <v>-0.3535071321197885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I63" t="inlineStr">
        <is>
          <t>OLD_TOTAL_I</t>
        </is>
      </c>
    </row>
    <row r="64">
      <c r="A64" t="inlineStr">
        <is>
          <t>no_year_in_pairs</t>
        </is>
      </c>
      <c r="B64" s="2" t="n"/>
      <c r="C64" s="3" t="inlineStr">
        <is>
          <t>EBS.20.72, Sup. 1</t>
        </is>
      </c>
      <c r="D64" s="4" t="inlineStr">
        <is>
          <t>Dominica</t>
        </is>
      </c>
      <c r="E64" s="4" t="inlineStr">
        <is>
          <t>DMA</t>
        </is>
      </c>
      <c r="F64" s="4" t="n"/>
      <c r="G64" s="4" t="inlineStr">
        <is>
          <t>2018gn</t>
        </is>
      </c>
      <c r="H64" s="4" t="n">
        <v>2019</v>
      </c>
      <c r="I64" s="5" t="n"/>
    </row>
    <row r="65">
      <c r="A65" t="inlineStr">
        <is>
          <t>no_year_in_pairs</t>
        </is>
      </c>
      <c r="B65" s="2" t="n"/>
      <c r="C65" s="3" t="inlineStr">
        <is>
          <t>EBS.20.72, Sup. 1</t>
        </is>
      </c>
      <c r="D65" s="4" t="inlineStr">
        <is>
          <t>Dominica</t>
        </is>
      </c>
      <c r="E65" s="4" t="inlineStr">
        <is>
          <t>DMA</t>
        </is>
      </c>
      <c r="F65" s="4" t="n"/>
      <c r="G65" s="4" t="inlineStr">
        <is>
          <t>2018gn</t>
        </is>
      </c>
      <c r="H65" s="4" t="n">
        <v>2019</v>
      </c>
      <c r="I65" s="4" t="inlineStr">
        <is>
          <t>out.arr</t>
        </is>
      </c>
      <c r="J65" t="inlineStr">
        <is>
          <t>2. Stock of outstanding arrears</t>
        </is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I65" t="inlineStr">
        <is>
          <t>OLD_ARREARS</t>
        </is>
      </c>
    </row>
    <row r="66">
      <c r="A66" t="inlineStr">
        <is>
          <t>no_year_in_pairs</t>
        </is>
      </c>
      <c r="B66" s="2" t="n"/>
      <c r="C66" s="3" t="inlineStr">
        <is>
          <t>EBS.20.72, Sup. 1</t>
        </is>
      </c>
      <c r="D66" s="4" t="inlineStr">
        <is>
          <t>Dominica</t>
        </is>
      </c>
      <c r="E66" s="4" t="inlineStr">
        <is>
          <t>DMA</t>
        </is>
      </c>
      <c r="F66" s="4" t="n"/>
      <c r="G66" s="4" t="inlineStr">
        <is>
          <t>2018gn</t>
        </is>
      </c>
      <c r="H66" s="4" t="n">
        <v>2019</v>
      </c>
      <c r="I66" s="5" t="n"/>
    </row>
    <row r="67">
      <c r="A67" t="inlineStr">
        <is>
          <t>no_year_in_pairs</t>
        </is>
      </c>
      <c r="B67" s="2" t="n"/>
      <c r="C67" s="3" t="inlineStr">
        <is>
          <t>EBS.20.72, Sup. 1</t>
        </is>
      </c>
      <c r="D67" s="4" t="inlineStr">
        <is>
          <t>Dominica</t>
        </is>
      </c>
      <c r="E67" s="4" t="inlineStr">
        <is>
          <t>DMA</t>
        </is>
      </c>
      <c r="F67" s="4" t="n"/>
      <c r="G67" s="4" t="inlineStr">
        <is>
          <t>2018gn</t>
        </is>
      </c>
      <c r="H67" s="4" t="n">
        <v>2019</v>
      </c>
      <c r="I67" s="4" t="inlineStr">
        <is>
          <t>old.mlt.dbt.evol.exc.arr</t>
        </is>
      </c>
      <c r="J67" t="inlineStr">
        <is>
          <t>Evolution of old MLT debt, excluding arrears (nominal)</t>
        </is>
      </c>
      <c r="N67" t="n">
        <v>305.242179722623</v>
      </c>
      <c r="O67" t="n">
        <v>282.0421534295013</v>
      </c>
      <c r="P67" t="n">
        <v>261.4818876915384</v>
      </c>
      <c r="Q67" t="n">
        <v>242.1229584841309</v>
      </c>
      <c r="R67" t="n">
        <v>220.400127738205</v>
      </c>
      <c r="S67" t="n">
        <v>201.0245821033902</v>
      </c>
      <c r="T67" t="n">
        <v>182.7925592680545</v>
      </c>
      <c r="U67" t="n">
        <v>166.7427104185842</v>
      </c>
      <c r="V67" t="n">
        <v>151.7672810864385</v>
      </c>
      <c r="W67" t="n">
        <v>137.8756403057062</v>
      </c>
      <c r="X67" t="n">
        <v>125.0484415921394</v>
      </c>
      <c r="Y67" t="n">
        <v>112.8971613566115</v>
      </c>
      <c r="Z67" t="n">
        <v>101.4316843895329</v>
      </c>
      <c r="AA67" t="n">
        <v>91.62156958550918</v>
      </c>
      <c r="AB67" t="n">
        <v>84.07065832954288</v>
      </c>
      <c r="AC67" t="n">
        <v>77.59385027669896</v>
      </c>
      <c r="AD67" t="n">
        <v>73.35593447937617</v>
      </c>
      <c r="AE67" t="n">
        <v>69.42403726779025</v>
      </c>
      <c r="AF67" t="n">
        <v>65.70103008519332</v>
      </c>
      <c r="AG67" t="n">
        <v>62.16892601851612</v>
      </c>
      <c r="AH67" t="n">
        <v>58.77517537479382</v>
      </c>
      <c r="AI67" t="n">
        <v>55.50960192526723</v>
      </c>
      <c r="AJ67" t="n">
        <v>52.3630073452466</v>
      </c>
      <c r="AK67" t="n">
        <v>52.3630073452466</v>
      </c>
      <c r="AL67" t="n">
        <v>52.3630073452466</v>
      </c>
      <c r="AM67" t="n">
        <v>52.3630073452466</v>
      </c>
      <c r="AN67" t="n">
        <v>52.3630073452466</v>
      </c>
      <c r="AO67" t="n">
        <v>52.3630073452466</v>
      </c>
      <c r="AP67" t="n">
        <v>52.3630073452466</v>
      </c>
      <c r="AQ67" t="n">
        <v>52.3630073452466</v>
      </c>
      <c r="AR67" t="n">
        <v>52.3630073452466</v>
      </c>
      <c r="AS67" t="n">
        <v>52.3630073452466</v>
      </c>
      <c r="AT67" t="n">
        <v>52.3630073452466</v>
      </c>
      <c r="AU67" t="n">
        <v>52.3630073452466</v>
      </c>
      <c r="AV67" t="n">
        <v>52.3630073452466</v>
      </c>
      <c r="AW67" t="n">
        <v>52.3630073452466</v>
      </c>
      <c r="AX67" t="n">
        <v>52.3630073452466</v>
      </c>
      <c r="AY67" t="n">
        <v>52.3630073452466</v>
      </c>
      <c r="AZ67" t="n">
        <v>52.3630073452466</v>
      </c>
      <c r="BA67" t="n">
        <v>52.3630073452466</v>
      </c>
      <c r="BB67" t="n">
        <v>52.3630073452466</v>
      </c>
      <c r="BC67" t="n">
        <v>52.3630073452466</v>
      </c>
      <c r="BD67" t="n">
        <v>52.3630073452466</v>
      </c>
      <c r="BE67" t="n">
        <v>52.3630073452466</v>
      </c>
      <c r="BF67" t="n">
        <v>52.3630073452466</v>
      </c>
      <c r="BG67" t="n">
        <v>52.3630073452466</v>
      </c>
      <c r="BI67" t="inlineStr">
        <is>
          <t>OLD_MLT_CHG</t>
        </is>
      </c>
    </row>
    <row r="68">
      <c r="A68" t="inlineStr">
        <is>
          <t>no_year_in_pairs</t>
        </is>
      </c>
      <c r="B68" s="2" t="n"/>
      <c r="C68" s="3" t="inlineStr">
        <is>
          <t>EBS.20.72, Sup. 1</t>
        </is>
      </c>
      <c r="D68" s="4" t="inlineStr">
        <is>
          <t>Dominica</t>
        </is>
      </c>
      <c r="E68" s="4" t="inlineStr">
        <is>
          <t>DMA</t>
        </is>
      </c>
      <c r="F68" s="4" t="n"/>
      <c r="G68" s="4" t="inlineStr">
        <is>
          <t>2018gn</t>
        </is>
      </c>
      <c r="H68" s="4" t="n">
        <v>2019</v>
      </c>
      <c r="I68" s="5" t="n"/>
    </row>
    <row r="69">
      <c r="A69" t="inlineStr">
        <is>
          <t>no_year_in_pairs</t>
        </is>
      </c>
      <c r="B69" s="2" t="n"/>
      <c r="C69" s="3" t="inlineStr">
        <is>
          <t>EBS.20.72, Sup. 1</t>
        </is>
      </c>
      <c r="D69" s="4" t="inlineStr">
        <is>
          <t>Dominica</t>
        </is>
      </c>
      <c r="E69" s="4" t="inlineStr">
        <is>
          <t>DMA</t>
        </is>
      </c>
      <c r="F69" s="4" t="n"/>
      <c r="G69" s="4" t="inlineStr">
        <is>
          <t>2018gn</t>
        </is>
      </c>
      <c r="H69" s="4" t="n">
        <v>2019</v>
      </c>
      <c r="I69" s="5" t="n"/>
    </row>
    <row r="70">
      <c r="A70" t="inlineStr">
        <is>
          <t>no_year_in_pairs</t>
        </is>
      </c>
      <c r="B70" s="2" t="n"/>
      <c r="C70" s="3" t="inlineStr">
        <is>
          <t>EBS.20.72, Sup. 1</t>
        </is>
      </c>
      <c r="D70" s="4" t="inlineStr">
        <is>
          <t>Dominica</t>
        </is>
      </c>
      <c r="E70" s="4" t="inlineStr">
        <is>
          <t>DMA</t>
        </is>
      </c>
      <c r="F70" s="4" t="n"/>
      <c r="G70" s="4" t="inlineStr">
        <is>
          <t>2018gn</t>
        </is>
      </c>
      <c r="H70" s="4" t="n">
        <v>2019</v>
      </c>
      <c r="I70" s="5" t="n"/>
      <c r="J70" t="inlineStr">
        <is>
          <t>3. NEW MLT DEBT: Disbursements (including for refinancing/clearance of arrears)</t>
        </is>
      </c>
    </row>
    <row r="71">
      <c r="A71" t="inlineStr">
        <is>
          <t>no_year_in_pairs</t>
        </is>
      </c>
      <c r="B71" s="2" t="n"/>
      <c r="C71" s="3" t="inlineStr">
        <is>
          <t>EBS.20.72, Sup. 1</t>
        </is>
      </c>
      <c r="D71" s="4" t="inlineStr">
        <is>
          <t>Dominica</t>
        </is>
      </c>
      <c r="E71" s="4" t="inlineStr">
        <is>
          <t>DMA</t>
        </is>
      </c>
      <c r="F71" s="4" t="n"/>
      <c r="G71" s="4" t="inlineStr">
        <is>
          <t>2018gn</t>
        </is>
      </c>
      <c r="H71" s="4" t="n">
        <v>2019</v>
      </c>
      <c r="I71" s="4" t="inlineStr">
        <is>
          <t>new.dis.mlt</t>
        </is>
      </c>
      <c r="J71" t="inlineStr">
        <is>
          <t>Multilaterals</t>
        </is>
      </c>
      <c r="O71" t="n">
        <v>101.7415612609763</v>
      </c>
      <c r="P71" t="n">
        <v>53.19677237036898</v>
      </c>
      <c r="Q71" t="n">
        <v>43.97226137129308</v>
      </c>
      <c r="R71" t="n">
        <v>42.66453590295144</v>
      </c>
      <c r="S71" t="n">
        <v>32.27345124872986</v>
      </c>
      <c r="T71" t="n">
        <v>22.1054961299352</v>
      </c>
      <c r="U71" t="n">
        <v>23.80572743909946</v>
      </c>
      <c r="V71" t="n">
        <v>24.16241934679699</v>
      </c>
      <c r="W71" t="n">
        <v>23.10971969992342</v>
      </c>
      <c r="X71" t="n">
        <v>17.45269191815644</v>
      </c>
      <c r="Y71" t="n">
        <v>13.56828734342977</v>
      </c>
      <c r="Z71" t="n">
        <v>11.65593152999946</v>
      </c>
      <c r="AA71" t="n">
        <v>8.099164873881747</v>
      </c>
      <c r="AB71" t="n">
        <v>7.824611750828186</v>
      </c>
      <c r="AC71" t="n">
        <v>-24.19014495246097</v>
      </c>
      <c r="AD71" t="n">
        <v>10.32946378051096</v>
      </c>
      <c r="AE71" t="n">
        <v>10.25906848982776</v>
      </c>
      <c r="AF71" t="n">
        <v>11.70769083716463</v>
      </c>
      <c r="AG71" t="n">
        <v>13.87317931066991</v>
      </c>
      <c r="AH71" t="n">
        <v>14.3867248611135</v>
      </c>
      <c r="AI71" t="n">
        <v>15.89436367852647</v>
      </c>
      <c r="BI71" t="inlineStr">
        <is>
          <t>NEW_ML</t>
        </is>
      </c>
    </row>
    <row r="72">
      <c r="A72" t="inlineStr">
        <is>
          <t>no_year_in_pairs</t>
        </is>
      </c>
      <c r="B72" s="2" t="n"/>
      <c r="C72" s="3" t="inlineStr">
        <is>
          <t>EBS.20.72, Sup. 1</t>
        </is>
      </c>
      <c r="D72" s="4" t="inlineStr">
        <is>
          <t>Dominica</t>
        </is>
      </c>
      <c r="E72" s="4" t="inlineStr">
        <is>
          <t>DMA</t>
        </is>
      </c>
      <c r="F72" s="4" t="n"/>
      <c r="G72" s="4" t="inlineStr">
        <is>
          <t>2018gn</t>
        </is>
      </c>
      <c r="H72" s="4" t="n">
        <v>2019</v>
      </c>
      <c r="I72" s="4" t="inlineStr">
        <is>
          <t>new.dis.mlt.imf</t>
        </is>
      </c>
      <c r="J72" t="inlineStr">
        <is>
          <t>IMF</t>
        </is>
      </c>
      <c r="O72" t="n">
        <v>5.48936642520126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BI72" t="inlineStr">
        <is>
          <t>NEW_IMF</t>
        </is>
      </c>
    </row>
    <row r="73">
      <c r="A73" t="inlineStr">
        <is>
          <t>no_year_in_pairs</t>
        </is>
      </c>
      <c r="B73" s="2" t="n"/>
      <c r="C73" s="3" t="inlineStr">
        <is>
          <t>EBS.20.72, Sup. 1</t>
        </is>
      </c>
      <c r="D73" s="4" t="inlineStr">
        <is>
          <t>Dominica</t>
        </is>
      </c>
      <c r="E73" s="4" t="inlineStr">
        <is>
          <t>DMA</t>
        </is>
      </c>
      <c r="F73" s="4" t="n"/>
      <c r="G73" s="4" t="inlineStr">
        <is>
          <t>2018gn</t>
        </is>
      </c>
      <c r="H73" s="4" t="n">
        <v>2019</v>
      </c>
      <c r="I73" s="4" t="inlineStr">
        <is>
          <t>new.dis.mlt.ida.reg</t>
        </is>
      </c>
      <c r="J73" t="inlineStr">
        <is>
          <t>IDA - small economy</t>
        </is>
      </c>
      <c r="O73" t="n">
        <v>31</v>
      </c>
      <c r="P73" t="n">
        <v>25</v>
      </c>
      <c r="Q73" t="n">
        <v>20</v>
      </c>
      <c r="R73" t="n">
        <v>18</v>
      </c>
      <c r="S73" t="n">
        <v>15</v>
      </c>
      <c r="T73" t="n">
        <v>12.4383439052953</v>
      </c>
      <c r="U73" t="n">
        <v>10.3032471803082</v>
      </c>
      <c r="V73" t="n">
        <v>10.6682645823605</v>
      </c>
      <c r="W73" t="n">
        <v>9.387886005507481</v>
      </c>
      <c r="X73" t="n">
        <v>6.80332656050949</v>
      </c>
      <c r="Y73" t="n">
        <v>4.93043833071733</v>
      </c>
      <c r="Z73" t="n">
        <v>3.57787571654262</v>
      </c>
      <c r="AA73" t="n">
        <v>2.59623858617019</v>
      </c>
      <c r="AB73" t="n">
        <v>1.88151994282926</v>
      </c>
      <c r="AC73" t="n">
        <v>1.36355620992806</v>
      </c>
      <c r="AD73" t="n">
        <v>0.9881827427444291</v>
      </c>
      <c r="AE73" t="n">
        <v>0.7161458588563989</v>
      </c>
      <c r="AF73" t="n">
        <v>0.518998024325761</v>
      </c>
      <c r="AG73" t="n">
        <v>0.00575265809226268</v>
      </c>
      <c r="AH73" t="n">
        <v>-0.09779027197079181</v>
      </c>
      <c r="AI73" t="n">
        <v>-0.172828862882201</v>
      </c>
      <c r="BI73" t="inlineStr">
        <is>
          <t>NEW_IDA</t>
        </is>
      </c>
    </row>
    <row r="74">
      <c r="A74" t="inlineStr">
        <is>
          <t>no_year_in_pairs</t>
        </is>
      </c>
      <c r="B74" s="2" t="n"/>
      <c r="C74" s="3" t="inlineStr">
        <is>
          <t>EBS.20.72, Sup. 1</t>
        </is>
      </c>
      <c r="D74" s="4" t="inlineStr">
        <is>
          <t>Dominica</t>
        </is>
      </c>
      <c r="E74" s="4" t="inlineStr">
        <is>
          <t>DMA</t>
        </is>
      </c>
      <c r="F74" s="4" t="n"/>
      <c r="G74" s="4" t="inlineStr">
        <is>
          <t>2018gn</t>
        </is>
      </c>
      <c r="H74" s="4" t="n">
        <v>2019</v>
      </c>
      <c r="I74" s="4" t="inlineStr">
        <is>
          <t>new.dis.mlt.ida.bld</t>
        </is>
      </c>
      <c r="J74" t="inlineStr">
        <is>
          <t>IDA - small economy</t>
        </is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BI74" t="inlineStr">
        <is>
          <t>NEW_IDA_REG</t>
        </is>
      </c>
    </row>
    <row r="75">
      <c r="A75" t="inlineStr">
        <is>
          <t>no_year_in_pairs</t>
        </is>
      </c>
      <c r="B75" s="2" t="n"/>
      <c r="C75" s="3" t="inlineStr">
        <is>
          <t>EBS.20.72, Sup. 1</t>
        </is>
      </c>
      <c r="D75" s="4" t="inlineStr">
        <is>
          <t>Dominica</t>
        </is>
      </c>
      <c r="E75" s="4" t="inlineStr">
        <is>
          <t>DMA</t>
        </is>
      </c>
      <c r="F75" s="4" t="n"/>
      <c r="G75" s="4" t="inlineStr">
        <is>
          <t>2018gn</t>
        </is>
      </c>
      <c r="H75" s="4" t="n">
        <v>2019</v>
      </c>
      <c r="I75" s="4" t="inlineStr">
        <is>
          <t>new.dis.mlt.afdb</t>
        </is>
      </c>
      <c r="J75" t="inlineStr">
        <is>
          <t>CDB</t>
        </is>
      </c>
      <c r="O75" t="n">
        <v>30</v>
      </c>
      <c r="P75" t="n">
        <v>15</v>
      </c>
      <c r="Q75" t="n">
        <v>12</v>
      </c>
      <c r="R75" t="n">
        <v>12</v>
      </c>
      <c r="S75" t="n">
        <v>10</v>
      </c>
      <c r="T75" t="n">
        <v>8</v>
      </c>
      <c r="U75" t="n">
        <v>8.28345578700544</v>
      </c>
      <c r="V75" t="n">
        <v>8.576917203437951</v>
      </c>
      <c r="W75" t="n">
        <v>8.8794552195034</v>
      </c>
      <c r="X75" t="n">
        <v>5.515603543508441</v>
      </c>
      <c r="Y75" t="n">
        <v>3.42618228884083</v>
      </c>
      <c r="Z75" t="n">
        <v>2.13109787280606</v>
      </c>
      <c r="AA75" t="n">
        <v>1.32548847415707</v>
      </c>
      <c r="AB75" t="n">
        <v>0.823366876571258</v>
      </c>
      <c r="AC75" t="n">
        <v>0.511458995938713</v>
      </c>
      <c r="AD75" t="n">
        <v>0.317708073970591</v>
      </c>
      <c r="AE75" t="n">
        <v>0.197353885780901</v>
      </c>
      <c r="AF75" t="n">
        <v>0.12259227707391</v>
      </c>
      <c r="AG75" t="n">
        <v>0.07615186465013911</v>
      </c>
      <c r="AH75" t="n">
        <v>0.0473040115422351</v>
      </c>
      <c r="AI75" t="n">
        <v>0.0293843035658856</v>
      </c>
      <c r="BI75" t="inlineStr">
        <is>
          <t>NEW_OTHERS1</t>
        </is>
      </c>
    </row>
    <row r="76">
      <c r="A76" t="inlineStr">
        <is>
          <t>no_year_in_pairs</t>
        </is>
      </c>
      <c r="B76" s="2" t="n"/>
      <c r="C76" s="3" t="inlineStr">
        <is>
          <t>EBS.20.72, Sup. 1</t>
        </is>
      </c>
      <c r="D76" s="4" t="inlineStr">
        <is>
          <t>Dominica</t>
        </is>
      </c>
      <c r="E76" s="4" t="inlineStr">
        <is>
          <t>DMA</t>
        </is>
      </c>
      <c r="F76" s="4" t="n"/>
      <c r="G76" s="4" t="inlineStr">
        <is>
          <t>2018gn</t>
        </is>
      </c>
      <c r="H76" s="4" t="n">
        <v>2019</v>
      </c>
      <c r="I76" s="4" t="inlineStr">
        <is>
          <t>new.dis.mlt2</t>
        </is>
      </c>
      <c r="J76" t="inlineStr">
        <is>
          <t>MULTIRES</t>
        </is>
      </c>
      <c r="O76" t="n">
        <v>35.25219483577505</v>
      </c>
      <c r="P76" t="n">
        <v>13.19677237036898</v>
      </c>
      <c r="Q76" t="n">
        <v>11.97226137129308</v>
      </c>
      <c r="R76" t="n">
        <v>12.66453590295144</v>
      </c>
      <c r="S76" t="n">
        <v>7.27345124872986</v>
      </c>
      <c r="T76" t="n">
        <v>1.667152224639903</v>
      </c>
      <c r="U76" t="n">
        <v>5.219024471785813</v>
      </c>
      <c r="V76" t="n">
        <v>4.917237560998542</v>
      </c>
      <c r="W76" t="n">
        <v>4.842378474912542</v>
      </c>
      <c r="X76" t="n">
        <v>5.133761814138513</v>
      </c>
      <c r="Y76" t="n">
        <v>5.211666723871612</v>
      </c>
      <c r="Z76" t="n">
        <v>5.946957940650783</v>
      </c>
      <c r="AA76" t="n">
        <v>4.177437813554487</v>
      </c>
      <c r="AB76" t="n">
        <v>5.119724931427668</v>
      </c>
      <c r="AC76" t="n">
        <v>-26.06516015832775</v>
      </c>
      <c r="AD76" t="n">
        <v>9.023572963795942</v>
      </c>
      <c r="AE76" t="n">
        <v>9.345568745190464</v>
      </c>
      <c r="AF76" t="n">
        <v>11.06610053576496</v>
      </c>
      <c r="AG76" t="n">
        <v>13.79127478792751</v>
      </c>
      <c r="AH76" t="n">
        <v>14.43721112154206</v>
      </c>
      <c r="AI76" t="n">
        <v>16.03780823784279</v>
      </c>
      <c r="BI76" t="inlineStr">
        <is>
          <t>NEW_OTHERS2</t>
        </is>
      </c>
    </row>
    <row r="77">
      <c r="A77" t="inlineStr">
        <is>
          <t>no_year_in_pairs</t>
        </is>
      </c>
      <c r="B77" s="2" t="n"/>
      <c r="C77" s="3" t="inlineStr">
        <is>
          <t>EBS.20.72, Sup. 1</t>
        </is>
      </c>
      <c r="D77" s="4" t="inlineStr">
        <is>
          <t>Dominica</t>
        </is>
      </c>
      <c r="E77" s="4" t="inlineStr">
        <is>
          <t>DMA</t>
        </is>
      </c>
      <c r="F77" s="4" t="n"/>
      <c r="G77" s="4" t="inlineStr">
        <is>
          <t>2018gn</t>
        </is>
      </c>
      <c r="H77" s="4" t="n">
        <v>2019</v>
      </c>
      <c r="I77" s="4" t="inlineStr">
        <is>
          <t>new.dis.mlt3</t>
        </is>
      </c>
      <c r="J77" t="inlineStr">
        <is>
          <t>MULTI3</t>
        </is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</row>
    <row r="78">
      <c r="A78" t="inlineStr">
        <is>
          <t>no_year_in_pairs</t>
        </is>
      </c>
      <c r="B78" s="2" t="n"/>
      <c r="C78" s="3" t="inlineStr">
        <is>
          <t>EBS.20.72, Sup. 1</t>
        </is>
      </c>
      <c r="D78" s="4" t="inlineStr">
        <is>
          <t>Dominica</t>
        </is>
      </c>
      <c r="E78" s="4" t="inlineStr">
        <is>
          <t>DMA</t>
        </is>
      </c>
      <c r="F78" s="4" t="n"/>
      <c r="G78" s="4" t="inlineStr">
        <is>
          <t>2018gn</t>
        </is>
      </c>
      <c r="H78" s="4" t="n">
        <v>2019</v>
      </c>
      <c r="I78" s="4" t="inlineStr">
        <is>
          <t>new.dis.mlt.oth</t>
        </is>
      </c>
      <c r="J78" t="inlineStr">
        <is>
          <t>Other Multilaterals</t>
        </is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</row>
    <row r="79">
      <c r="A79" t="inlineStr">
        <is>
          <t>no_year_in_pairs</t>
        </is>
      </c>
      <c r="B79" s="2" t="n"/>
      <c r="C79" s="3" t="inlineStr">
        <is>
          <t>EBS.20.72, Sup. 1</t>
        </is>
      </c>
      <c r="D79" s="4" t="inlineStr">
        <is>
          <t>Dominica</t>
        </is>
      </c>
      <c r="E79" s="4" t="inlineStr">
        <is>
          <t>DMA</t>
        </is>
      </c>
      <c r="F79" s="4" t="n"/>
      <c r="G79" s="4" t="inlineStr">
        <is>
          <t>2018gn</t>
        </is>
      </c>
      <c r="H79" s="4" t="n">
        <v>2019</v>
      </c>
      <c r="I79" s="4" t="inlineStr">
        <is>
          <t>new.dis.mlt.oth1</t>
        </is>
      </c>
      <c r="J79" t="inlineStr">
        <is>
          <t>OTH_MULTI1</t>
        </is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</row>
    <row r="80">
      <c r="A80" t="inlineStr">
        <is>
          <t>no_year_in_pairs</t>
        </is>
      </c>
      <c r="B80" s="2" t="n"/>
      <c r="C80" s="3" t="inlineStr">
        <is>
          <t>EBS.20.72, Sup. 1</t>
        </is>
      </c>
      <c r="D80" s="4" t="inlineStr">
        <is>
          <t>Dominica</t>
        </is>
      </c>
      <c r="E80" s="4" t="inlineStr">
        <is>
          <t>DMA</t>
        </is>
      </c>
      <c r="F80" s="4" t="n"/>
      <c r="G80" s="4" t="inlineStr">
        <is>
          <t>2018gn</t>
        </is>
      </c>
      <c r="H80" s="4" t="n">
        <v>2019</v>
      </c>
      <c r="I80" s="4" t="inlineStr">
        <is>
          <t>new.dis.mlt.oth2</t>
        </is>
      </c>
      <c r="J80" t="inlineStr">
        <is>
          <t>OTH_MULTI2</t>
        </is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</row>
    <row r="81">
      <c r="A81" t="inlineStr">
        <is>
          <t>no_year_in_pairs</t>
        </is>
      </c>
      <c r="B81" s="2" t="n"/>
      <c r="C81" s="3" t="inlineStr">
        <is>
          <t>EBS.20.72, Sup. 1</t>
        </is>
      </c>
      <c r="D81" s="4" t="inlineStr">
        <is>
          <t>Dominica</t>
        </is>
      </c>
      <c r="E81" s="4" t="inlineStr">
        <is>
          <t>DMA</t>
        </is>
      </c>
      <c r="F81" s="4" t="n"/>
      <c r="G81" s="4" t="inlineStr">
        <is>
          <t>2018gn</t>
        </is>
      </c>
      <c r="H81" s="4" t="n">
        <v>2019</v>
      </c>
      <c r="I81" s="4" t="inlineStr">
        <is>
          <t>new.dis.mlt.oth3</t>
        </is>
      </c>
      <c r="J81" t="inlineStr">
        <is>
          <t>OTH_MULTI3</t>
        </is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</row>
    <row r="82">
      <c r="A82" t="inlineStr">
        <is>
          <t>no_year_in_pairs</t>
        </is>
      </c>
      <c r="B82" s="2" t="n"/>
      <c r="C82" s="3" t="inlineStr">
        <is>
          <t>EBS.20.72, Sup. 1</t>
        </is>
      </c>
      <c r="D82" s="4" t="inlineStr">
        <is>
          <t>Dominica</t>
        </is>
      </c>
      <c r="E82" s="4" t="inlineStr">
        <is>
          <t>DMA</t>
        </is>
      </c>
      <c r="F82" s="4" t="n"/>
      <c r="G82" s="4" t="inlineStr">
        <is>
          <t>2018gn</t>
        </is>
      </c>
      <c r="H82" s="4" t="n">
        <v>2019</v>
      </c>
      <c r="I82" s="4" t="inlineStr">
        <is>
          <t>new.dis.blt</t>
        </is>
      </c>
      <c r="J82" t="inlineStr">
        <is>
          <t>Official Bilaterals</t>
        </is>
      </c>
      <c r="O82" t="n">
        <v>12.088558221155</v>
      </c>
      <c r="P82" t="n">
        <v>0.195186830532982</v>
      </c>
      <c r="Q82" t="n">
        <v>2.81136692440914</v>
      </c>
      <c r="R82" t="n">
        <v>3.96513483767905</v>
      </c>
      <c r="S82" t="n">
        <v>3.25915404559722</v>
      </c>
      <c r="T82" t="n">
        <v>2.9702634768341</v>
      </c>
      <c r="U82" t="n">
        <v>2.92968101023409</v>
      </c>
      <c r="V82" t="n">
        <v>2.14612840880091</v>
      </c>
      <c r="W82" t="n">
        <v>2.6836202995911</v>
      </c>
      <c r="X82" t="n">
        <v>2.88352540267122</v>
      </c>
      <c r="Y82" t="n">
        <v>6.27991919787455</v>
      </c>
      <c r="Z82" t="n">
        <v>10.6262128305804</v>
      </c>
      <c r="AA82" t="n">
        <v>14.4389279773579</v>
      </c>
      <c r="AB82" t="n">
        <v>13.181481386081</v>
      </c>
      <c r="AC82" t="n">
        <v>12.6496628504241</v>
      </c>
      <c r="AD82" t="n">
        <v>10.2501029085333</v>
      </c>
      <c r="AE82" t="n">
        <v>9.610054728721291</v>
      </c>
      <c r="AF82" t="n">
        <v>8.900368275290171</v>
      </c>
      <c r="AG82" t="n">
        <v>7.986905819802709</v>
      </c>
      <c r="AH82" t="n">
        <v>6.936743743083341</v>
      </c>
      <c r="AI82" t="n">
        <v>6.88664915411288</v>
      </c>
      <c r="BI82" t="inlineStr">
        <is>
          <t>NEW_OB</t>
        </is>
      </c>
    </row>
    <row r="83">
      <c r="A83" t="inlineStr">
        <is>
          <t>no_year_in_pairs</t>
        </is>
      </c>
      <c r="B83" s="2" t="n"/>
      <c r="C83" s="3" t="inlineStr">
        <is>
          <t>EBS.20.72, Sup. 1</t>
        </is>
      </c>
      <c r="D83" s="4" t="inlineStr">
        <is>
          <t>Dominica</t>
        </is>
      </c>
      <c r="E83" s="4" t="inlineStr">
        <is>
          <t>DMA</t>
        </is>
      </c>
      <c r="F83" s="4" t="n"/>
      <c r="G83" s="4" t="inlineStr">
        <is>
          <t>2018gn</t>
        </is>
      </c>
      <c r="H83" s="4" t="n">
        <v>2019</v>
      </c>
      <c r="I83" s="4" t="inlineStr">
        <is>
          <t>new.dis.pc</t>
        </is>
      </c>
      <c r="J83" t="inlineStr">
        <is>
          <t xml:space="preserve">   Paris Club</t>
        </is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BI83" t="inlineStr">
        <is>
          <t>NEW_PC_ALL</t>
        </is>
      </c>
    </row>
    <row r="84">
      <c r="A84" t="inlineStr">
        <is>
          <t>no_year_in_pairs</t>
        </is>
      </c>
      <c r="B84" s="2" t="n"/>
      <c r="C84" s="3" t="inlineStr">
        <is>
          <t>EBS.20.72, Sup. 1</t>
        </is>
      </c>
      <c r="D84" s="4" t="inlineStr">
        <is>
          <t>Dominica</t>
        </is>
      </c>
      <c r="E84" s="4" t="inlineStr">
        <is>
          <t>DMA</t>
        </is>
      </c>
      <c r="F84" s="4" t="n"/>
      <c r="G84" s="4" t="inlineStr">
        <is>
          <t>2018gn</t>
        </is>
      </c>
      <c r="H84" s="4" t="n">
        <v>2019</v>
      </c>
      <c r="I84" s="4" t="inlineStr">
        <is>
          <t>new.dis.pc1</t>
        </is>
      </c>
      <c r="J84" t="inlineStr">
        <is>
          <t>Export Credit Agencies</t>
        </is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BI84" t="inlineStr">
        <is>
          <t>NEW_PC1</t>
        </is>
      </c>
    </row>
    <row r="85">
      <c r="A85" t="inlineStr">
        <is>
          <t>no_year_in_pairs</t>
        </is>
      </c>
      <c r="B85" s="2" t="n"/>
      <c r="C85" s="3" t="inlineStr">
        <is>
          <t>EBS.20.72, Sup. 1</t>
        </is>
      </c>
      <c r="D85" s="4" t="inlineStr">
        <is>
          <t>Dominica</t>
        </is>
      </c>
      <c r="E85" s="4" t="inlineStr">
        <is>
          <t>DMA</t>
        </is>
      </c>
      <c r="F85" s="4" t="n"/>
      <c r="G85" s="4" t="inlineStr">
        <is>
          <t>2018gn</t>
        </is>
      </c>
      <c r="H85" s="4" t="n">
        <v>2019</v>
      </c>
      <c r="I85" s="4" t="inlineStr">
        <is>
          <t>new.dis.pc2</t>
        </is>
      </c>
      <c r="J85" t="inlineStr">
        <is>
          <t>PC2</t>
        </is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BI85" t="inlineStr">
        <is>
          <t>NEW_PC2</t>
        </is>
      </c>
    </row>
    <row r="86">
      <c r="A86" t="inlineStr">
        <is>
          <t>no_year_in_pairs</t>
        </is>
      </c>
      <c r="B86" s="2" t="n"/>
      <c r="C86" s="3" t="inlineStr">
        <is>
          <t>EBS.20.72, Sup. 1</t>
        </is>
      </c>
      <c r="D86" s="4" t="inlineStr">
        <is>
          <t>Dominica</t>
        </is>
      </c>
      <c r="E86" s="4" t="inlineStr">
        <is>
          <t>DMA</t>
        </is>
      </c>
      <c r="F86" s="4" t="n"/>
      <c r="G86" s="4" t="inlineStr">
        <is>
          <t>2018gn</t>
        </is>
      </c>
      <c r="H86" s="4" t="n">
        <v>2019</v>
      </c>
      <c r="I86" s="4" t="inlineStr">
        <is>
          <t>new.dis.pc3</t>
        </is>
      </c>
      <c r="J86" t="inlineStr">
        <is>
          <t>PC3</t>
        </is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BI86" t="inlineStr">
        <is>
          <t>NEW_PC3</t>
        </is>
      </c>
    </row>
    <row r="87">
      <c r="A87" t="inlineStr">
        <is>
          <t>no_year_in_pairs</t>
        </is>
      </c>
      <c r="B87" s="2" t="n"/>
      <c r="C87" s="3" t="inlineStr">
        <is>
          <t>EBS.20.72, Sup. 1</t>
        </is>
      </c>
      <c r="D87" s="4" t="inlineStr">
        <is>
          <t>Dominica</t>
        </is>
      </c>
      <c r="E87" s="4" t="inlineStr">
        <is>
          <t>DMA</t>
        </is>
      </c>
      <c r="F87" s="4" t="n"/>
      <c r="G87" s="4" t="inlineStr">
        <is>
          <t>2018gn</t>
        </is>
      </c>
      <c r="H87" s="4" t="n">
        <v>2019</v>
      </c>
      <c r="I87" s="4" t="inlineStr">
        <is>
          <t>new.dis.pc4</t>
        </is>
      </c>
      <c r="J87" t="inlineStr">
        <is>
          <t>PC4</t>
        </is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</row>
    <row r="88">
      <c r="A88" t="inlineStr">
        <is>
          <t>no_year_in_pairs</t>
        </is>
      </c>
      <c r="B88" s="2" t="n"/>
      <c r="C88" s="3" t="inlineStr">
        <is>
          <t>EBS.20.72, Sup. 1</t>
        </is>
      </c>
      <c r="D88" s="4" t="inlineStr">
        <is>
          <t>Dominica</t>
        </is>
      </c>
      <c r="E88" s="4" t="inlineStr">
        <is>
          <t>DMA</t>
        </is>
      </c>
      <c r="F88" s="4" t="n"/>
      <c r="G88" s="4" t="inlineStr">
        <is>
          <t>2018gn</t>
        </is>
      </c>
      <c r="H88" s="4" t="n">
        <v>2019</v>
      </c>
      <c r="I88" s="4" t="inlineStr">
        <is>
          <t>new.dis.pc5</t>
        </is>
      </c>
      <c r="J88" t="inlineStr">
        <is>
          <t>PC5</t>
        </is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</row>
    <row r="89">
      <c r="A89" t="inlineStr">
        <is>
          <t>no_year_in_pairs</t>
        </is>
      </c>
      <c r="B89" s="2" t="n"/>
      <c r="C89" s="3" t="inlineStr">
        <is>
          <t>EBS.20.72, Sup. 1</t>
        </is>
      </c>
      <c r="D89" s="4" t="inlineStr">
        <is>
          <t>Dominica</t>
        </is>
      </c>
      <c r="E89" s="4" t="inlineStr">
        <is>
          <t>DMA</t>
        </is>
      </c>
      <c r="F89" s="4" t="n"/>
      <c r="G89" s="4" t="inlineStr">
        <is>
          <t>2018gn</t>
        </is>
      </c>
      <c r="H89" s="4" t="n">
        <v>2019</v>
      </c>
      <c r="I89" s="4" t="inlineStr">
        <is>
          <t>new.dis.npc</t>
        </is>
      </c>
      <c r="J89" t="inlineStr">
        <is>
          <t xml:space="preserve">   Non-Paris Club</t>
        </is>
      </c>
      <c r="O89" t="n">
        <v>12.088558221155</v>
      </c>
      <c r="P89" t="n">
        <v>0.195186830532982</v>
      </c>
      <c r="Q89" t="n">
        <v>2.81136692440914</v>
      </c>
      <c r="R89" t="n">
        <v>3.96513483767905</v>
      </c>
      <c r="S89" t="n">
        <v>3.25915404559722</v>
      </c>
      <c r="T89" t="n">
        <v>2.9702634768341</v>
      </c>
      <c r="U89" t="n">
        <v>2.92968101023409</v>
      </c>
      <c r="V89" t="n">
        <v>2.14612840880091</v>
      </c>
      <c r="W89" t="n">
        <v>2.6836202995911</v>
      </c>
      <c r="X89" t="n">
        <v>2.88352540267122</v>
      </c>
      <c r="Y89" t="n">
        <v>6.27991919787455</v>
      </c>
      <c r="Z89" t="n">
        <v>10.6262128305804</v>
      </c>
      <c r="AA89" t="n">
        <v>14.4389279773579</v>
      </c>
      <c r="AB89" t="n">
        <v>13.181481386081</v>
      </c>
      <c r="AC89" t="n">
        <v>12.6496628504241</v>
      </c>
      <c r="AD89" t="n">
        <v>10.2501029085333</v>
      </c>
      <c r="AE89" t="n">
        <v>9.610054728721291</v>
      </c>
      <c r="AF89" t="n">
        <v>8.900368275290171</v>
      </c>
      <c r="AG89" t="n">
        <v>7.986905819802709</v>
      </c>
      <c r="AH89" t="n">
        <v>6.936743743083341</v>
      </c>
      <c r="AI89" t="n">
        <v>6.88664915411288</v>
      </c>
      <c r="BI89" t="inlineStr">
        <is>
          <t>NEW_NPC_ALL</t>
        </is>
      </c>
    </row>
    <row r="90">
      <c r="A90" t="inlineStr">
        <is>
          <t>no_year_in_pairs</t>
        </is>
      </c>
      <c r="B90" s="2" t="n"/>
      <c r="C90" s="3" t="inlineStr">
        <is>
          <t>EBS.20.72, Sup. 1</t>
        </is>
      </c>
      <c r="D90" s="4" t="inlineStr">
        <is>
          <t>Dominica</t>
        </is>
      </c>
      <c r="E90" s="4" t="inlineStr">
        <is>
          <t>DMA</t>
        </is>
      </c>
      <c r="F90" s="4" t="n"/>
      <c r="G90" s="4" t="inlineStr">
        <is>
          <t>2018gn</t>
        </is>
      </c>
      <c r="H90" s="4" t="n">
        <v>2019</v>
      </c>
      <c r="I90" s="4" t="inlineStr">
        <is>
          <t>new.dis.npc.eximbk</t>
        </is>
      </c>
      <c r="J90" t="inlineStr">
        <is>
          <t>NPC2</t>
        </is>
      </c>
      <c r="O90" t="n">
        <v>12.088558221155</v>
      </c>
      <c r="P90" t="n">
        <v>0.195186830532982</v>
      </c>
      <c r="Q90" t="n">
        <v>2.81136692440914</v>
      </c>
      <c r="R90" t="n">
        <v>3.96513483767905</v>
      </c>
      <c r="S90" t="n">
        <v>3.25915404559722</v>
      </c>
      <c r="T90" t="n">
        <v>2.9702634768341</v>
      </c>
      <c r="U90" t="n">
        <v>2.92968101023409</v>
      </c>
      <c r="V90" t="n">
        <v>2.14612840880091</v>
      </c>
      <c r="W90" t="n">
        <v>2.6836202995911</v>
      </c>
      <c r="X90" t="n">
        <v>2.88352540267122</v>
      </c>
      <c r="Y90" t="n">
        <v>6.27991919787455</v>
      </c>
      <c r="Z90" t="n">
        <v>10.6262128305804</v>
      </c>
      <c r="AA90" t="n">
        <v>14.4389279773579</v>
      </c>
      <c r="AB90" t="n">
        <v>13.181481386081</v>
      </c>
      <c r="AC90" t="n">
        <v>12.6496628504241</v>
      </c>
      <c r="AD90" t="n">
        <v>10.2501029085333</v>
      </c>
      <c r="AE90" t="n">
        <v>9.610054728721291</v>
      </c>
      <c r="AF90" t="n">
        <v>8.900368275290171</v>
      </c>
      <c r="AG90" t="n">
        <v>7.986905819802709</v>
      </c>
      <c r="AH90" t="n">
        <v>6.936743743083341</v>
      </c>
      <c r="AI90" t="n">
        <v>6.88664915411288</v>
      </c>
      <c r="BI90" t="inlineStr">
        <is>
          <t>NEW_NPC1</t>
        </is>
      </c>
    </row>
    <row r="91">
      <c r="A91" t="inlineStr">
        <is>
          <t>no_year_in_pairs</t>
        </is>
      </c>
      <c r="B91" s="2" t="n"/>
      <c r="C91" s="3" t="inlineStr">
        <is>
          <t>EBS.20.72, Sup. 1</t>
        </is>
      </c>
      <c r="D91" s="4" t="inlineStr">
        <is>
          <t>Dominica</t>
        </is>
      </c>
      <c r="E91" s="4" t="inlineStr">
        <is>
          <t>DMA</t>
        </is>
      </c>
      <c r="F91" s="4" t="n"/>
      <c r="G91" s="4" t="inlineStr">
        <is>
          <t>2018gn</t>
        </is>
      </c>
      <c r="H91" s="4" t="n">
        <v>2019</v>
      </c>
      <c r="I91" s="4" t="inlineStr">
        <is>
          <t>new.dis.npc2</t>
        </is>
      </c>
      <c r="J91" t="inlineStr">
        <is>
          <t>NPC2</t>
        </is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BI91" t="inlineStr">
        <is>
          <t>NEW_NPC2</t>
        </is>
      </c>
    </row>
    <row r="92">
      <c r="A92" t="inlineStr">
        <is>
          <t>no_year_in_pairs</t>
        </is>
      </c>
      <c r="B92" s="2" t="n"/>
      <c r="C92" s="3" t="inlineStr">
        <is>
          <t>EBS.20.72, Sup. 1</t>
        </is>
      </c>
      <c r="D92" s="4" t="inlineStr">
        <is>
          <t>Dominica</t>
        </is>
      </c>
      <c r="E92" s="4" t="inlineStr">
        <is>
          <t>DMA</t>
        </is>
      </c>
      <c r="F92" s="4" t="n"/>
      <c r="G92" s="4" t="inlineStr">
        <is>
          <t>2018gn</t>
        </is>
      </c>
      <c r="H92" s="4" t="n">
        <v>2019</v>
      </c>
      <c r="I92" s="4" t="inlineStr">
        <is>
          <t>new.dis.npc3</t>
        </is>
      </c>
      <c r="J92" t="inlineStr">
        <is>
          <t>NPC3</t>
        </is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BI92" t="inlineStr">
        <is>
          <t>NEW_NPC3</t>
        </is>
      </c>
    </row>
    <row r="93">
      <c r="A93" t="inlineStr">
        <is>
          <t>no_year_in_pairs</t>
        </is>
      </c>
      <c r="B93" s="2" t="n"/>
      <c r="C93" s="3" t="inlineStr">
        <is>
          <t>EBS.20.72, Sup. 1</t>
        </is>
      </c>
      <c r="D93" s="4" t="inlineStr">
        <is>
          <t>Dominica</t>
        </is>
      </c>
      <c r="E93" s="4" t="inlineStr">
        <is>
          <t>DMA</t>
        </is>
      </c>
      <c r="F93" s="4" t="n"/>
      <c r="G93" s="4" t="inlineStr">
        <is>
          <t>2018gn</t>
        </is>
      </c>
      <c r="H93" s="4" t="n">
        <v>2019</v>
      </c>
      <c r="I93" s="4" t="inlineStr">
        <is>
          <t>new.dis.npc4</t>
        </is>
      </c>
      <c r="J93" t="inlineStr">
        <is>
          <t>NPC4</t>
        </is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</row>
    <row r="94">
      <c r="A94" t="inlineStr">
        <is>
          <t>no_year_in_pairs</t>
        </is>
      </c>
      <c r="B94" s="2" t="n"/>
      <c r="C94" s="3" t="inlineStr">
        <is>
          <t>EBS.20.72, Sup. 1</t>
        </is>
      </c>
      <c r="D94" s="4" t="inlineStr">
        <is>
          <t>Dominica</t>
        </is>
      </c>
      <c r="E94" s="4" t="inlineStr">
        <is>
          <t>DMA</t>
        </is>
      </c>
      <c r="F94" s="4" t="n"/>
      <c r="G94" s="4" t="inlineStr">
        <is>
          <t>2018gn</t>
        </is>
      </c>
      <c r="H94" s="4" t="n">
        <v>2019</v>
      </c>
      <c r="I94" s="4" t="inlineStr">
        <is>
          <t>new.dis.npc5</t>
        </is>
      </c>
      <c r="J94" t="inlineStr">
        <is>
          <t>NPC5</t>
        </is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</row>
    <row r="95">
      <c r="A95" t="inlineStr">
        <is>
          <t>no_year_in_pairs</t>
        </is>
      </c>
      <c r="B95" s="2" t="n"/>
      <c r="C95" s="3" t="inlineStr">
        <is>
          <t>EBS.20.72, Sup. 1</t>
        </is>
      </c>
      <c r="D95" s="4" t="inlineStr">
        <is>
          <t>Dominica</t>
        </is>
      </c>
      <c r="E95" s="4" t="inlineStr">
        <is>
          <t>DMA</t>
        </is>
      </c>
      <c r="F95" s="4" t="n"/>
      <c r="G95" s="4" t="inlineStr">
        <is>
          <t>2018gn</t>
        </is>
      </c>
      <c r="H95" s="4" t="n">
        <v>2019</v>
      </c>
      <c r="I95" s="4" t="inlineStr">
        <is>
          <t>new.dis.prvt</t>
        </is>
      </c>
      <c r="J95" t="inlineStr">
        <is>
          <t>Commercial</t>
        </is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BI95" t="inlineStr">
        <is>
          <t>NEW_COM_ALL</t>
        </is>
      </c>
    </row>
    <row r="96">
      <c r="A96" t="inlineStr">
        <is>
          <t>no_year_in_pairs</t>
        </is>
      </c>
      <c r="B96" s="2" t="n"/>
      <c r="C96" s="3" t="inlineStr">
        <is>
          <t>EBS.20.72, Sup. 1</t>
        </is>
      </c>
      <c r="D96" s="4" t="inlineStr">
        <is>
          <t>Dominica</t>
        </is>
      </c>
      <c r="E96" s="4" t="inlineStr">
        <is>
          <t>DMA</t>
        </is>
      </c>
      <c r="F96" s="4" t="n"/>
      <c r="G96" s="4" t="inlineStr">
        <is>
          <t>2018gn</t>
        </is>
      </c>
      <c r="H96" s="4" t="n">
        <v>2019</v>
      </c>
      <c r="I96" s="4" t="inlineStr">
        <is>
          <t>new.dis.prvt.bnd</t>
        </is>
      </c>
      <c r="J96" t="inlineStr">
        <is>
          <t>Eurobond</t>
        </is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BI96" t="inlineStr">
        <is>
          <t>NEW_COM1</t>
        </is>
      </c>
    </row>
    <row r="97">
      <c r="A97" t="inlineStr">
        <is>
          <t>no_year_in_pairs</t>
        </is>
      </c>
      <c r="B97" s="2" t="n"/>
      <c r="C97" s="3" t="inlineStr">
        <is>
          <t>EBS.20.72, Sup. 1</t>
        </is>
      </c>
      <c r="D97" s="4" t="inlineStr">
        <is>
          <t>Dominica</t>
        </is>
      </c>
      <c r="E97" s="4" t="inlineStr">
        <is>
          <t>DMA</t>
        </is>
      </c>
      <c r="F97" s="4" t="n"/>
      <c r="G97" s="4" t="inlineStr">
        <is>
          <t>2018gn</t>
        </is>
      </c>
      <c r="H97" s="4" t="n">
        <v>2019</v>
      </c>
      <c r="I97" s="4" t="inlineStr">
        <is>
          <t>new.dis.prvt.cmbk</t>
        </is>
      </c>
      <c r="J97" t="inlineStr">
        <is>
          <t>Commecial Bank</t>
        </is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BI97" t="inlineStr">
        <is>
          <t>NEW_COM2</t>
        </is>
      </c>
    </row>
    <row r="98">
      <c r="A98" t="inlineStr">
        <is>
          <t>no_year_in_pairs</t>
        </is>
      </c>
      <c r="B98" s="2" t="n"/>
      <c r="C98" s="3" t="inlineStr">
        <is>
          <t>EBS.20.72, Sup. 1</t>
        </is>
      </c>
      <c r="D98" s="4" t="inlineStr">
        <is>
          <t>Dominica</t>
        </is>
      </c>
      <c r="E98" s="4" t="inlineStr">
        <is>
          <t>DMA</t>
        </is>
      </c>
      <c r="F98" s="4" t="n"/>
      <c r="G98" s="4" t="inlineStr">
        <is>
          <t>2018gn</t>
        </is>
      </c>
      <c r="H98" s="4" t="n">
        <v>2019</v>
      </c>
      <c r="I98" s="4" t="inlineStr">
        <is>
          <t>new.dis.prvt.com3</t>
        </is>
      </c>
      <c r="J98" t="inlineStr">
        <is>
          <t>COM3</t>
        </is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BI98" t="inlineStr">
        <is>
          <t>NEW_COM3</t>
        </is>
      </c>
    </row>
    <row r="99">
      <c r="A99" t="inlineStr">
        <is>
          <t>no_year_in_pairs</t>
        </is>
      </c>
      <c r="B99" s="2" t="n"/>
      <c r="C99" s="3" t="inlineStr">
        <is>
          <t>EBS.20.72, Sup. 1</t>
        </is>
      </c>
      <c r="D99" s="4" t="inlineStr">
        <is>
          <t>Dominica</t>
        </is>
      </c>
      <c r="E99" s="4" t="inlineStr">
        <is>
          <t>DMA</t>
        </is>
      </c>
      <c r="F99" s="4" t="n"/>
      <c r="G99" s="4" t="inlineStr">
        <is>
          <t>2018gn</t>
        </is>
      </c>
      <c r="H99" s="4" t="n">
        <v>2019</v>
      </c>
      <c r="I99" s="4" t="inlineStr">
        <is>
          <t>new.dis.prvt.com4</t>
        </is>
      </c>
      <c r="J99" t="inlineStr">
        <is>
          <t>COM4</t>
        </is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</row>
    <row r="100">
      <c r="A100" t="inlineStr">
        <is>
          <t>no_year_in_pairs</t>
        </is>
      </c>
      <c r="B100" s="2" t="n"/>
      <c r="C100" s="3" t="inlineStr">
        <is>
          <t>EBS.20.72, Sup. 1</t>
        </is>
      </c>
      <c r="D100" s="4" t="inlineStr">
        <is>
          <t>Dominica</t>
        </is>
      </c>
      <c r="E100" s="4" t="inlineStr">
        <is>
          <t>DMA</t>
        </is>
      </c>
      <c r="F100" s="4" t="n"/>
      <c r="G100" s="4" t="inlineStr">
        <is>
          <t>2018gn</t>
        </is>
      </c>
      <c r="H100" s="4" t="n">
        <v>2019</v>
      </c>
      <c r="I100" s="4" t="inlineStr">
        <is>
          <t>new.dis.prvt.com5</t>
        </is>
      </c>
      <c r="J100" t="inlineStr">
        <is>
          <t>COM5</t>
        </is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</row>
    <row r="101">
      <c r="A101" t="inlineStr">
        <is>
          <t>no_year_in_pairs</t>
        </is>
      </c>
      <c r="B101" s="2" t="n"/>
      <c r="C101" s="3" t="inlineStr">
        <is>
          <t>EBS.20.72, Sup. 1</t>
        </is>
      </c>
      <c r="D101" s="4" t="inlineStr">
        <is>
          <t>Dominica</t>
        </is>
      </c>
      <c r="E101" s="4" t="inlineStr">
        <is>
          <t>DMA</t>
        </is>
      </c>
      <c r="F101" s="4" t="n"/>
      <c r="G101" s="4" t="inlineStr">
        <is>
          <t>2018gn</t>
        </is>
      </c>
      <c r="H101" s="4" t="n">
        <v>2019</v>
      </c>
      <c r="I101" s="4" t="inlineStr">
        <is>
          <t>new.dis.lcl.nres</t>
        </is>
      </c>
      <c r="J101" t="inlineStr">
        <is>
          <t>Locally-issued debt held by non-residents</t>
        </is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</row>
    <row r="102">
      <c r="A102" t="inlineStr">
        <is>
          <t>no_year_in_pairs</t>
        </is>
      </c>
      <c r="B102" s="2" t="n"/>
      <c r="C102" s="3" t="inlineStr">
        <is>
          <t>EBS.20.72, Sup. 1</t>
        </is>
      </c>
      <c r="D102" s="4" t="inlineStr">
        <is>
          <t>Dominica</t>
        </is>
      </c>
      <c r="E102" s="4" t="inlineStr">
        <is>
          <t>DMA</t>
        </is>
      </c>
      <c r="F102" s="4" t="n"/>
      <c r="G102" s="4" t="inlineStr">
        <is>
          <t>2018gn</t>
        </is>
      </c>
      <c r="H102" s="4" t="n">
        <v>2019</v>
      </c>
      <c r="I102" s="4" t="inlineStr">
        <is>
          <t>new.dis.lcl.nres.lc</t>
        </is>
      </c>
      <c r="J102" t="inlineStr">
        <is>
          <t>Denominated in local currency (LC)</t>
        </is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</row>
    <row r="103">
      <c r="A103" t="inlineStr">
        <is>
          <t>no_year_in_pairs</t>
        </is>
      </c>
      <c r="B103" s="2" t="n"/>
      <c r="C103" s="3" t="inlineStr">
        <is>
          <t>EBS.20.72, Sup. 1</t>
        </is>
      </c>
      <c r="D103" s="4" t="inlineStr">
        <is>
          <t>Dominica</t>
        </is>
      </c>
      <c r="E103" s="4" t="inlineStr">
        <is>
          <t>DMA</t>
        </is>
      </c>
      <c r="F103" s="4" t="n"/>
      <c r="G103" s="4" t="inlineStr">
        <is>
          <t>2018gn</t>
        </is>
      </c>
      <c r="H103" s="4" t="n">
        <v>2019</v>
      </c>
      <c r="I103" s="4" t="inlineStr">
        <is>
          <t>new.dis.lcl.nres.bnd.1to3.lc</t>
        </is>
      </c>
      <c r="J103" t="inlineStr">
        <is>
          <t>Bonds (1 to 3 years)-LC</t>
        </is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</row>
    <row r="104">
      <c r="A104" t="inlineStr">
        <is>
          <t>no_year_in_pairs</t>
        </is>
      </c>
      <c r="B104" s="2" t="n"/>
      <c r="C104" s="3" t="inlineStr">
        <is>
          <t>EBS.20.72, Sup. 1</t>
        </is>
      </c>
      <c r="D104" s="4" t="inlineStr">
        <is>
          <t>Dominica</t>
        </is>
      </c>
      <c r="E104" s="4" t="inlineStr">
        <is>
          <t>DMA</t>
        </is>
      </c>
      <c r="F104" s="4" t="n"/>
      <c r="G104" s="4" t="inlineStr">
        <is>
          <t>2018gn</t>
        </is>
      </c>
      <c r="H104" s="4" t="n">
        <v>2019</v>
      </c>
      <c r="I104" s="4" t="inlineStr">
        <is>
          <t>new.dis.lcl.nres.bnd.4to7.lc</t>
        </is>
      </c>
      <c r="J104" t="inlineStr">
        <is>
          <t>Bonds (4 to 7 years)-LC</t>
        </is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</row>
    <row r="105">
      <c r="A105" t="inlineStr">
        <is>
          <t>no_year_in_pairs</t>
        </is>
      </c>
      <c r="B105" s="2" t="n"/>
      <c r="C105" s="3" t="inlineStr">
        <is>
          <t>EBS.20.72, Sup. 1</t>
        </is>
      </c>
      <c r="D105" s="4" t="inlineStr">
        <is>
          <t>Dominica</t>
        </is>
      </c>
      <c r="E105" s="4" t="inlineStr">
        <is>
          <t>DMA</t>
        </is>
      </c>
      <c r="F105" s="4" t="n"/>
      <c r="G105" s="4" t="inlineStr">
        <is>
          <t>2018gn</t>
        </is>
      </c>
      <c r="H105" s="4" t="n">
        <v>2019</v>
      </c>
      <c r="I105" s="4" t="inlineStr">
        <is>
          <t>new.dis.lcl.nres.bnd.byd7.lc</t>
        </is>
      </c>
      <c r="J105" t="inlineStr">
        <is>
          <t>Bonds (beyond 7 years)-LC</t>
        </is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</row>
    <row r="106">
      <c r="A106" t="inlineStr">
        <is>
          <t>no_year_in_pairs</t>
        </is>
      </c>
      <c r="B106" s="2" t="n"/>
      <c r="C106" s="3" t="inlineStr">
        <is>
          <t>EBS.20.72, Sup. 1</t>
        </is>
      </c>
      <c r="D106" s="4" t="inlineStr">
        <is>
          <t>Dominica</t>
        </is>
      </c>
      <c r="E106" s="4" t="inlineStr">
        <is>
          <t>DMA</t>
        </is>
      </c>
      <c r="F106" s="4" t="n"/>
      <c r="G106" s="4" t="inlineStr">
        <is>
          <t>2018gn</t>
        </is>
      </c>
      <c r="H106" s="4" t="n">
        <v>2019</v>
      </c>
      <c r="I106" s="4" t="inlineStr">
        <is>
          <t>new.dis.lcl.nres.fx</t>
        </is>
      </c>
      <c r="J106" t="inlineStr">
        <is>
          <t>Denominated in foreign currency (FX)</t>
        </is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</row>
    <row r="107">
      <c r="A107" t="inlineStr">
        <is>
          <t>no_year_in_pairs</t>
        </is>
      </c>
      <c r="B107" s="2" t="n"/>
      <c r="C107" s="3" t="inlineStr">
        <is>
          <t>EBS.20.72, Sup. 1</t>
        </is>
      </c>
      <c r="D107" s="4" t="inlineStr">
        <is>
          <t>Dominica</t>
        </is>
      </c>
      <c r="E107" s="4" t="inlineStr">
        <is>
          <t>DMA</t>
        </is>
      </c>
      <c r="F107" s="4" t="n"/>
      <c r="G107" s="4" t="inlineStr">
        <is>
          <t>2018gn</t>
        </is>
      </c>
      <c r="H107" s="4" t="n">
        <v>2019</v>
      </c>
      <c r="I107" s="4" t="inlineStr">
        <is>
          <t>new.dis.lcl.nres.bnd.1to3.fx</t>
        </is>
      </c>
      <c r="J107" t="inlineStr">
        <is>
          <t>Bonds (1 to 3 years)-FX</t>
        </is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</row>
    <row r="108">
      <c r="A108" t="inlineStr">
        <is>
          <t>no_year_in_pairs</t>
        </is>
      </c>
      <c r="B108" s="2" t="n"/>
      <c r="C108" s="3" t="inlineStr">
        <is>
          <t>EBS.20.72, Sup. 1</t>
        </is>
      </c>
      <c r="D108" s="4" t="inlineStr">
        <is>
          <t>Dominica</t>
        </is>
      </c>
      <c r="E108" s="4" t="inlineStr">
        <is>
          <t>DMA</t>
        </is>
      </c>
      <c r="F108" s="4" t="n"/>
      <c r="G108" s="4" t="inlineStr">
        <is>
          <t>2018gn</t>
        </is>
      </c>
      <c r="H108" s="4" t="n">
        <v>2019</v>
      </c>
      <c r="I108" s="4" t="inlineStr">
        <is>
          <t>new.dis.lcl.nres.bnd.4to7.fx</t>
        </is>
      </c>
      <c r="J108" t="inlineStr">
        <is>
          <t>Bonds (4 to 7 years)-FX</t>
        </is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</row>
    <row r="109">
      <c r="A109" t="inlineStr">
        <is>
          <t>no_year_in_pairs</t>
        </is>
      </c>
      <c r="B109" s="2" t="n"/>
      <c r="C109" s="3" t="inlineStr">
        <is>
          <t>EBS.20.72, Sup. 1</t>
        </is>
      </c>
      <c r="D109" s="4" t="inlineStr">
        <is>
          <t>Dominica</t>
        </is>
      </c>
      <c r="E109" s="4" t="inlineStr">
        <is>
          <t>DMA</t>
        </is>
      </c>
      <c r="F109" s="4" t="n"/>
      <c r="G109" s="4" t="inlineStr">
        <is>
          <t>2018gn</t>
        </is>
      </c>
      <c r="H109" s="4" t="n">
        <v>2019</v>
      </c>
      <c r="I109" s="4" t="inlineStr">
        <is>
          <t>new.dis.lcl.nres.bnd.byd7.fx</t>
        </is>
      </c>
      <c r="J109" t="inlineStr">
        <is>
          <t>Bonds (beyond 7 years)-FX</t>
        </is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</row>
    <row r="110">
      <c r="A110" t="inlineStr">
        <is>
          <t>no_year_in_pairs</t>
        </is>
      </c>
      <c r="B110" s="2" t="n"/>
      <c r="C110" s="3" t="inlineStr">
        <is>
          <t>EBS.20.72, Sup. 1</t>
        </is>
      </c>
      <c r="D110" s="4" t="inlineStr">
        <is>
          <t>Dominica</t>
        </is>
      </c>
      <c r="E110" s="4" t="inlineStr">
        <is>
          <t>DMA</t>
        </is>
      </c>
      <c r="F110" s="4" t="n"/>
      <c r="G110" s="4" t="inlineStr">
        <is>
          <t>2018gn</t>
        </is>
      </c>
      <c r="H110" s="4" t="n">
        <v>2019</v>
      </c>
      <c r="I110" s="5" t="n"/>
      <c r="J110" t="inlineStr">
        <is>
          <t>Locally-issued debt held by residents</t>
        </is>
      </c>
    </row>
    <row r="111">
      <c r="A111" t="inlineStr">
        <is>
          <t>no_year_in_pairs</t>
        </is>
      </c>
      <c r="B111" s="2" t="n"/>
      <c r="C111" s="3" t="inlineStr">
        <is>
          <t>EBS.20.72, Sup. 1</t>
        </is>
      </c>
      <c r="D111" s="4" t="inlineStr">
        <is>
          <t>Dominica</t>
        </is>
      </c>
      <c r="E111" s="4" t="inlineStr">
        <is>
          <t>DMA</t>
        </is>
      </c>
      <c r="F111" s="4" t="n"/>
      <c r="G111" s="4" t="inlineStr">
        <is>
          <t>2018gn</t>
        </is>
      </c>
      <c r="H111" s="4" t="n">
        <v>2019</v>
      </c>
      <c r="I111" s="4" t="inlineStr">
        <is>
          <t>new.dis.lcl.fx</t>
        </is>
      </c>
      <c r="J111" t="inlineStr">
        <is>
          <t>Denominated in foreign currency (FX)</t>
        </is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</row>
    <row r="112">
      <c r="A112" t="inlineStr">
        <is>
          <t>no_year_in_pairs</t>
        </is>
      </c>
      <c r="B112" s="2" t="n"/>
      <c r="C112" s="3" t="inlineStr">
        <is>
          <t>EBS.20.72, Sup. 1</t>
        </is>
      </c>
      <c r="D112" s="4" t="inlineStr">
        <is>
          <t>Dominica</t>
        </is>
      </c>
      <c r="E112" s="4" t="inlineStr">
        <is>
          <t>DMA</t>
        </is>
      </c>
      <c r="F112" s="4" t="n"/>
      <c r="G112" s="4" t="inlineStr">
        <is>
          <t>2018gn</t>
        </is>
      </c>
      <c r="H112" s="4" t="n">
        <v>2019</v>
      </c>
      <c r="I112" s="4" t="inlineStr">
        <is>
          <t>new.dis.lcl.fx.bnd.1to3.fx</t>
        </is>
      </c>
      <c r="J112" t="inlineStr">
        <is>
          <t>Bonds (1 to 3 years)-FX</t>
        </is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</row>
    <row r="113">
      <c r="A113" t="inlineStr">
        <is>
          <t>no_year_in_pairs</t>
        </is>
      </c>
      <c r="B113" s="2" t="n"/>
      <c r="C113" s="3" t="inlineStr">
        <is>
          <t>EBS.20.72, Sup. 1</t>
        </is>
      </c>
      <c r="D113" s="4" t="inlineStr">
        <is>
          <t>Dominica</t>
        </is>
      </c>
      <c r="E113" s="4" t="inlineStr">
        <is>
          <t>DMA</t>
        </is>
      </c>
      <c r="F113" s="4" t="n"/>
      <c r="G113" s="4" t="inlineStr">
        <is>
          <t>2018gn</t>
        </is>
      </c>
      <c r="H113" s="4" t="n">
        <v>2019</v>
      </c>
      <c r="I113" s="4" t="inlineStr">
        <is>
          <t>new.dis.lcl.fx.bnd.4to7.fx</t>
        </is>
      </c>
      <c r="J113" t="inlineStr">
        <is>
          <t>Bonds (4 to 7 years)-FX</t>
        </is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</row>
    <row r="114">
      <c r="A114" t="inlineStr">
        <is>
          <t>no_year_in_pairs</t>
        </is>
      </c>
      <c r="B114" s="2" t="n"/>
      <c r="C114" s="3" t="inlineStr">
        <is>
          <t>EBS.20.72, Sup. 1</t>
        </is>
      </c>
      <c r="D114" s="4" t="inlineStr">
        <is>
          <t>Dominica</t>
        </is>
      </c>
      <c r="E114" s="4" t="inlineStr">
        <is>
          <t>DMA</t>
        </is>
      </c>
      <c r="F114" s="4" t="n"/>
      <c r="G114" s="4" t="inlineStr">
        <is>
          <t>2018gn</t>
        </is>
      </c>
      <c r="H114" s="4" t="n">
        <v>2019</v>
      </c>
      <c r="I114" s="4" t="inlineStr">
        <is>
          <t>new.dis.lcl.fx.bnd.byd7.fx</t>
        </is>
      </c>
      <c r="J114" t="inlineStr">
        <is>
          <t>Bonds (beyond 7 years)-FX</t>
        </is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</row>
    <row r="115">
      <c r="A115" t="inlineStr">
        <is>
          <t>no_year_in_pairs</t>
        </is>
      </c>
      <c r="B115" s="2" t="n"/>
      <c r="C115" s="3" t="inlineStr">
        <is>
          <t>EBS.20.72, Sup. 1</t>
        </is>
      </c>
      <c r="D115" s="4" t="inlineStr">
        <is>
          <t>Dominica</t>
        </is>
      </c>
      <c r="E115" s="4" t="inlineStr">
        <is>
          <t>DMA</t>
        </is>
      </c>
      <c r="F115" s="4" t="n"/>
      <c r="G115" s="4" t="inlineStr">
        <is>
          <t>2018gn</t>
        </is>
      </c>
      <c r="H115" s="4" t="n">
        <v>2019</v>
      </c>
      <c r="I115" s="5" t="n"/>
    </row>
    <row r="116">
      <c r="A116" t="inlineStr">
        <is>
          <t>no_year_in_pairs</t>
        </is>
      </c>
      <c r="B116" s="2" t="n"/>
      <c r="C116" s="3" t="inlineStr">
        <is>
          <t>EBS.20.72, Sup. 1</t>
        </is>
      </c>
      <c r="D116" s="4" t="inlineStr">
        <is>
          <t>Dominica</t>
        </is>
      </c>
      <c r="E116" s="4" t="inlineStr">
        <is>
          <t>DMA</t>
        </is>
      </c>
      <c r="F116" s="4" t="n"/>
      <c r="G116" s="4" t="inlineStr">
        <is>
          <t>2018gn</t>
        </is>
      </c>
      <c r="H116" s="4" t="n">
        <v>2019</v>
      </c>
      <c r="I116" s="4" t="inlineStr">
        <is>
          <t>def.ext.dom.curres</t>
        </is>
      </c>
      <c r="J116" t="inlineStr">
        <is>
          <t>Definition of external/domestic debt</t>
        </is>
      </c>
      <c r="L116" t="inlineStr">
        <is>
          <t>Residency-based</t>
        </is>
      </c>
    </row>
    <row r="117">
      <c r="A117" t="inlineStr">
        <is>
          <t>no_year_in_pairs</t>
        </is>
      </c>
      <c r="B117" s="2" t="n"/>
      <c r="C117" s="3" t="inlineStr">
        <is>
          <t>EBS.20.72, Sup. 1</t>
        </is>
      </c>
      <c r="D117" s="4" t="inlineStr">
        <is>
          <t>Dominica</t>
        </is>
      </c>
      <c r="E117" s="4" t="inlineStr">
        <is>
          <t>DMA</t>
        </is>
      </c>
      <c r="F117" s="4" t="n"/>
      <c r="G117" s="4" t="inlineStr">
        <is>
          <t>2018gn</t>
        </is>
      </c>
      <c r="H117" s="4" t="n">
        <v>2019</v>
      </c>
      <c r="I117" s="5" t="n"/>
    </row>
    <row r="118">
      <c r="A118" t="inlineStr">
        <is>
          <t>no_year_in_pairs</t>
        </is>
      </c>
      <c r="B118" s="2" t="n"/>
      <c r="C118" s="3" t="inlineStr">
        <is>
          <t>EBS.20.72, Sup. 1</t>
        </is>
      </c>
      <c r="D118" s="4" t="inlineStr">
        <is>
          <t>Dominica</t>
        </is>
      </c>
      <c r="E118" s="4" t="inlineStr">
        <is>
          <t>DMA</t>
        </is>
      </c>
      <c r="F118" s="4" t="n"/>
      <c r="G118" s="4" t="inlineStr">
        <is>
          <t>2018gn</t>
        </is>
      </c>
      <c r="H118" s="4" t="n">
        <v>2019</v>
      </c>
      <c r="I118" s="4" t="inlineStr">
        <is>
          <t>new.tot.pub.ext.dis.mlt</t>
        </is>
      </c>
      <c r="J118" t="inlineStr">
        <is>
          <t>Total new public external MLT disbursements</t>
        </is>
      </c>
      <c r="O118" t="n">
        <v>113.8301194821313</v>
      </c>
      <c r="P118" t="n">
        <v>53.39195920090196</v>
      </c>
      <c r="Q118" t="n">
        <v>46.78362829570222</v>
      </c>
      <c r="R118" t="n">
        <v>46.62967074063049</v>
      </c>
      <c r="S118" t="n">
        <v>35.53260529432708</v>
      </c>
      <c r="T118" t="n">
        <v>25.0757596067693</v>
      </c>
      <c r="U118" t="n">
        <v>26.73540844933355</v>
      </c>
      <c r="V118" t="n">
        <v>26.3085477555979</v>
      </c>
      <c r="W118" t="n">
        <v>25.79333999951452</v>
      </c>
      <c r="X118" t="n">
        <v>20.33621732082766</v>
      </c>
      <c r="Y118" t="n">
        <v>19.84820654130432</v>
      </c>
      <c r="Z118" t="n">
        <v>22.28214436057986</v>
      </c>
      <c r="AA118" t="n">
        <v>22.53809285123965</v>
      </c>
      <c r="AB118" t="n">
        <v>21.00609313690919</v>
      </c>
      <c r="AC118" t="n">
        <v>-11.54048210203687</v>
      </c>
      <c r="AD118" t="n">
        <v>20.57956668904426</v>
      </c>
      <c r="AE118" t="n">
        <v>19.86912321854906</v>
      </c>
      <c r="AF118" t="n">
        <v>20.6080591124548</v>
      </c>
      <c r="AG118" t="n">
        <v>21.86008513047262</v>
      </c>
      <c r="AH118" t="n">
        <v>21.32346860419684</v>
      </c>
      <c r="AI118" t="n">
        <v>22.78101283263935</v>
      </c>
      <c r="BI118" t="inlineStr">
        <is>
          <t>NEW_MLT_ALL</t>
        </is>
      </c>
    </row>
    <row r="119">
      <c r="A119" t="inlineStr">
        <is>
          <t>no_year_in_pairs</t>
        </is>
      </c>
      <c r="B119" s="2" t="n"/>
      <c r="C119" s="3" t="inlineStr">
        <is>
          <t>EBS.20.72, Sup. 1</t>
        </is>
      </c>
      <c r="D119" s="4" t="inlineStr">
        <is>
          <t>Dominica</t>
        </is>
      </c>
      <c r="E119" s="4" t="inlineStr">
        <is>
          <t>DMA</t>
        </is>
      </c>
      <c r="F119" s="4" t="n"/>
      <c r="G119" s="4" t="inlineStr">
        <is>
          <t>2018gn</t>
        </is>
      </c>
      <c r="H119" s="4" t="n">
        <v>2019</v>
      </c>
      <c r="I119" s="4" t="inlineStr">
        <is>
          <t>new.tot.pub.dis</t>
        </is>
      </c>
      <c r="J119" t="inlineStr">
        <is>
          <t>Total public new (external and domestic) ST&amp;MLT disbursements</t>
        </is>
      </c>
      <c r="O119" t="n">
        <v>88.29766080348443</v>
      </c>
      <c r="P119" t="n">
        <v>41.0573859002949</v>
      </c>
      <c r="Q119" t="n">
        <v>29.0302556234973</v>
      </c>
      <c r="R119" t="n">
        <v>19.22054285919114</v>
      </c>
      <c r="S119" t="n">
        <v>24.42410821453815</v>
      </c>
      <c r="T119" t="n">
        <v>11.06783825790139</v>
      </c>
      <c r="U119" t="n">
        <v>12.96774289580774</v>
      </c>
      <c r="V119" t="n">
        <v>11.69602972704806</v>
      </c>
      <c r="W119" t="n">
        <v>16.56262317353492</v>
      </c>
      <c r="X119" t="n">
        <v>18.22406001052664</v>
      </c>
      <c r="Y119" t="n">
        <v>10.68000886535762</v>
      </c>
      <c r="Z119" t="n">
        <v>12.25514133744903</v>
      </c>
      <c r="AA119" t="n">
        <v>14.014624799329</v>
      </c>
      <c r="AB119" t="n">
        <v>12.80789768520048</v>
      </c>
      <c r="AC119" t="n">
        <v>8.121411470173712</v>
      </c>
      <c r="AD119" t="n">
        <v>11.15235809115413</v>
      </c>
      <c r="AE119" t="n">
        <v>11.02599016412432</v>
      </c>
      <c r="AF119" t="n">
        <v>12.91712266699494</v>
      </c>
      <c r="AG119" t="n">
        <v>14.20661236901717</v>
      </c>
      <c r="AH119" t="n">
        <v>17.13592864652383</v>
      </c>
      <c r="AI119" t="n">
        <v>18.18815181646215</v>
      </c>
    </row>
    <row r="120">
      <c r="A120" t="inlineStr">
        <is>
          <t>no_year_in_pairs</t>
        </is>
      </c>
      <c r="B120" s="2" t="n"/>
      <c r="C120" s="3" t="inlineStr">
        <is>
          <t>EBS.20.72, Sup. 1</t>
        </is>
      </c>
      <c r="D120" s="4" t="inlineStr">
        <is>
          <t>Dominica</t>
        </is>
      </c>
      <c r="E120" s="4" t="inlineStr">
        <is>
          <t>DMA</t>
        </is>
      </c>
      <c r="F120" s="4" t="n"/>
      <c r="G120" s="4" t="inlineStr">
        <is>
          <t>2018gn</t>
        </is>
      </c>
      <c r="H120" s="4" t="n">
        <v>2019</v>
      </c>
      <c r="I120" s="5" t="n"/>
    </row>
    <row r="121">
      <c r="A121" t="inlineStr">
        <is>
          <t>no_year_in_pairs</t>
        </is>
      </c>
      <c r="B121" s="2" t="n"/>
      <c r="C121" s="3" t="inlineStr">
        <is>
          <t>EBS.20.72, Sup. 1</t>
        </is>
      </c>
      <c r="D121" s="4" t="inlineStr">
        <is>
          <t>Dominica</t>
        </is>
      </c>
      <c r="E121" s="4" t="inlineStr">
        <is>
          <t>DMA</t>
        </is>
      </c>
      <c r="F121" s="4" t="n"/>
      <c r="G121" s="4" t="inlineStr">
        <is>
          <t>2018gn</t>
        </is>
      </c>
      <c r="H121" s="4" t="n">
        <v>2019</v>
      </c>
      <c r="I121" s="5" t="n"/>
      <c r="J121" t="inlineStr">
        <is>
          <t>Shares of marginal debt</t>
        </is>
      </c>
      <c r="M121" t="inlineStr">
        <is>
          <t>Average</t>
        </is>
      </c>
    </row>
    <row r="122">
      <c r="A122" t="inlineStr">
        <is>
          <t>no_year_in_pairs</t>
        </is>
      </c>
      <c r="B122" s="2" t="n"/>
      <c r="C122" s="3" t="inlineStr">
        <is>
          <t>EBS.20.72, Sup. 1</t>
        </is>
      </c>
      <c r="D122" s="4" t="inlineStr">
        <is>
          <t>Dominica</t>
        </is>
      </c>
      <c r="E122" s="4" t="inlineStr">
        <is>
          <t>DMA</t>
        </is>
      </c>
      <c r="F122" s="4" t="n"/>
      <c r="G122" s="4" t="inlineStr">
        <is>
          <t>2018gn</t>
        </is>
      </c>
      <c r="H122" s="4" t="n">
        <v>2019</v>
      </c>
      <c r="I122" s="4" t="inlineStr">
        <is>
          <t>shr.ext.ppg.mlt</t>
        </is>
      </c>
      <c r="J122" t="inlineStr">
        <is>
          <t>External PPG medium and long-term</t>
        </is>
      </c>
      <c r="L122" t="n">
        <v>1.541249867945475</v>
      </c>
      <c r="M122" t="n">
        <v>1.541249867945475</v>
      </c>
      <c r="O122" t="n">
        <v>1.289163477789882</v>
      </c>
      <c r="P122" t="n">
        <v>1.300422762680526</v>
      </c>
      <c r="Q122" t="n">
        <v>1.611547238937683</v>
      </c>
      <c r="R122" t="n">
        <v>2.426032973274347</v>
      </c>
      <c r="S122" t="n">
        <v>1.454816895757804</v>
      </c>
      <c r="T122" t="n">
        <v>2.265642036182411</v>
      </c>
      <c r="U122" t="n">
        <v>2.061685573514622</v>
      </c>
      <c r="V122" t="n">
        <v>2.249357121139762</v>
      </c>
      <c r="W122" t="n">
        <v>1.557322154182025</v>
      </c>
      <c r="X122" t="n">
        <v>1.115899382963017</v>
      </c>
      <c r="Y122" t="n">
        <v>1.858444762689782</v>
      </c>
      <c r="Z122" t="n">
        <v>1.81818746492058</v>
      </c>
      <c r="AA122" t="n">
        <v>1.608183820398726</v>
      </c>
      <c r="AB122" t="n">
        <v>1.640089080441493</v>
      </c>
      <c r="AC122" t="n">
        <v>-1.42099463183461</v>
      </c>
      <c r="AD122" t="n">
        <v>1.845310787264591</v>
      </c>
      <c r="AE122" t="n">
        <v>1.802026205609903</v>
      </c>
      <c r="AF122" t="n">
        <v>1.595406317934201</v>
      </c>
      <c r="AG122" t="n">
        <v>1.538726091953259</v>
      </c>
      <c r="AH122" t="n">
        <v>1.244371930115529</v>
      </c>
      <c r="AI122" t="n">
        <v>1.25251939078385</v>
      </c>
    </row>
    <row r="123">
      <c r="A123" t="inlineStr">
        <is>
          <t>no_year_in_pairs</t>
        </is>
      </c>
      <c r="B123" s="2" t="n"/>
      <c r="C123" s="3" t="inlineStr">
        <is>
          <t>EBS.20.72, Sup. 1</t>
        </is>
      </c>
      <c r="D123" s="4" t="inlineStr">
        <is>
          <t>Dominica</t>
        </is>
      </c>
      <c r="E123" s="4" t="inlineStr">
        <is>
          <t>DMA</t>
        </is>
      </c>
      <c r="F123" s="4" t="n"/>
      <c r="G123" s="4" t="inlineStr">
        <is>
          <t>2018gn</t>
        </is>
      </c>
      <c r="H123" s="4" t="n">
        <v>2019</v>
      </c>
      <c r="I123" s="4" t="inlineStr">
        <is>
          <t>shr.dom.mlt</t>
        </is>
      </c>
      <c r="J123" t="inlineStr">
        <is>
          <t>Domestic medium and long-term</t>
        </is>
      </c>
      <c r="L123" t="n">
        <v>-0.541249867945475</v>
      </c>
      <c r="M123" t="n">
        <v>-0.541249867945475</v>
      </c>
      <c r="O123" t="n">
        <v>-0.2891634777898817</v>
      </c>
      <c r="P123" t="n">
        <v>-0.3004227626805258</v>
      </c>
      <c r="Q123" t="n">
        <v>-0.611547238937683</v>
      </c>
      <c r="R123" t="n">
        <v>-1.426032973274347</v>
      </c>
      <c r="S123" t="n">
        <v>-0.4548168957578044</v>
      </c>
      <c r="T123" t="n">
        <v>-1.265642036182411</v>
      </c>
      <c r="U123" t="n">
        <v>-1.061685573514622</v>
      </c>
      <c r="V123" t="n">
        <v>-1.249357121139762</v>
      </c>
      <c r="W123" t="n">
        <v>-0.5573221541820249</v>
      </c>
      <c r="X123" t="n">
        <v>-0.1158993829630165</v>
      </c>
      <c r="Y123" t="n">
        <v>-0.8584447626897823</v>
      </c>
      <c r="Z123" t="n">
        <v>-0.8181874649205801</v>
      </c>
      <c r="AA123" t="n">
        <v>-0.608183820398726</v>
      </c>
      <c r="AB123" t="n">
        <v>-0.6400890804414934</v>
      </c>
      <c r="AC123" t="n">
        <v>2.42099463183461</v>
      </c>
      <c r="AD123" t="n">
        <v>-0.8453107872645906</v>
      </c>
      <c r="AE123" t="n">
        <v>-0.8020262056099033</v>
      </c>
      <c r="AF123" t="n">
        <v>-0.5954063179342005</v>
      </c>
      <c r="AG123" t="n">
        <v>-0.5387260919532592</v>
      </c>
      <c r="AH123" t="n">
        <v>-0.2443719301155292</v>
      </c>
      <c r="AI123" t="n">
        <v>-0.2525193907838503</v>
      </c>
    </row>
    <row r="124">
      <c r="A124" t="inlineStr">
        <is>
          <t>no_year_in_pairs</t>
        </is>
      </c>
      <c r="B124" s="2" t="n"/>
      <c r="C124" s="3" t="inlineStr">
        <is>
          <t>EBS.20.72, Sup. 1</t>
        </is>
      </c>
      <c r="D124" s="4" t="inlineStr">
        <is>
          <t>Dominica</t>
        </is>
      </c>
      <c r="E124" s="4" t="inlineStr">
        <is>
          <t>DMA</t>
        </is>
      </c>
      <c r="F124" s="4" t="n"/>
      <c r="G124" s="4" t="inlineStr">
        <is>
          <t>2018gn</t>
        </is>
      </c>
      <c r="H124" s="4" t="n">
        <v>2019</v>
      </c>
      <c r="I124" s="4" t="inlineStr">
        <is>
          <t>shr.dom.sht.trm</t>
        </is>
      </c>
      <c r="J124" t="inlineStr">
        <is>
          <t>Domestic short-term</t>
        </is>
      </c>
      <c r="L124" t="n">
        <v>0</v>
      </c>
      <c r="M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</row>
    <row r="125">
      <c r="A125" t="inlineStr">
        <is>
          <t>no_year_in_pairs</t>
        </is>
      </c>
      <c r="B125" s="2" t="n"/>
      <c r="C125" s="3" t="inlineStr">
        <is>
          <t>EBS.20.72, Sup. 1</t>
        </is>
      </c>
      <c r="D125" s="4" t="inlineStr">
        <is>
          <t>Dominica</t>
        </is>
      </c>
      <c r="E125" s="4" t="inlineStr">
        <is>
          <t>DMA</t>
        </is>
      </c>
      <c r="F125" s="4" t="n"/>
      <c r="G125" s="4" t="inlineStr">
        <is>
          <t>2018gn</t>
        </is>
      </c>
      <c r="H125" s="4" t="n">
        <v>2019</v>
      </c>
      <c r="I125" s="5" t="n"/>
    </row>
    <row r="126">
      <c r="A126" t="inlineStr">
        <is>
          <t>no_year_in_pairs</t>
        </is>
      </c>
      <c r="B126" s="2" t="n"/>
      <c r="C126" s="3" t="inlineStr">
        <is>
          <t>EBS.20.72, Sup. 1</t>
        </is>
      </c>
      <c r="D126" s="4" t="inlineStr">
        <is>
          <t>Dominica</t>
        </is>
      </c>
      <c r="E126" s="4" t="inlineStr">
        <is>
          <t>DMA</t>
        </is>
      </c>
      <c r="F126" s="4" t="n"/>
      <c r="G126" s="4" t="inlineStr">
        <is>
          <t>2018gn</t>
        </is>
      </c>
      <c r="H126" s="4" t="n">
        <v>2019</v>
      </c>
      <c r="I126" s="5" t="n"/>
      <c r="J126" t="inlineStr">
        <is>
          <t>Terms of residual financing under stress tests</t>
        </is>
      </c>
    </row>
    <row r="127">
      <c r="A127" t="inlineStr">
        <is>
          <t>no_year_in_pairs</t>
        </is>
      </c>
      <c r="B127" s="2" t="n"/>
      <c r="C127" s="3" t="inlineStr">
        <is>
          <t>EBS.20.72, Sup. 1</t>
        </is>
      </c>
      <c r="D127" s="4" t="inlineStr">
        <is>
          <t>Dominica</t>
        </is>
      </c>
      <c r="E127" s="4" t="inlineStr">
        <is>
          <t>DMA</t>
        </is>
      </c>
      <c r="F127" s="4" t="n"/>
      <c r="G127" s="4" t="inlineStr">
        <is>
          <t>2018gn</t>
        </is>
      </c>
      <c r="H127" s="4" t="n">
        <v>2019</v>
      </c>
      <c r="I127" s="4" t="inlineStr">
        <is>
          <t>rsdl.ndr.strs.tst.avg.int.rat</t>
        </is>
      </c>
      <c r="J127" t="inlineStr">
        <is>
          <t>Average interest rate on new debt</t>
        </is>
      </c>
      <c r="L127" t="n">
        <v>1.177970654994627</v>
      </c>
      <c r="M127" t="n">
        <v>1.177970654994627</v>
      </c>
      <c r="O127" t="n">
        <v>1.161243533938904</v>
      </c>
      <c r="P127" t="n">
        <v>0.892080511561932</v>
      </c>
      <c r="Q127" t="n">
        <v>1.043357417646232</v>
      </c>
      <c r="R127" t="n">
        <v>1.116081392131324</v>
      </c>
      <c r="S127" t="n">
        <v>1.12377040967202</v>
      </c>
      <c r="T127" t="n">
        <v>1.172121314905104</v>
      </c>
      <c r="U127" t="n">
        <v>1.177606814554821</v>
      </c>
      <c r="V127" t="n">
        <v>1.102561908832008</v>
      </c>
      <c r="W127" t="n">
        <v>1.169116494710766</v>
      </c>
      <c r="X127" t="n">
        <v>1.270845938536937</v>
      </c>
      <c r="Y127" t="n">
        <v>1.728891468450848</v>
      </c>
      <c r="Z127" t="n">
        <v>2.152091231970068</v>
      </c>
      <c r="AA127" t="n">
        <v>2.572815434332655</v>
      </c>
      <c r="AB127" t="n">
        <v>2.546376247490768</v>
      </c>
      <c r="AC127" t="n">
        <v>-1.71074187343151</v>
      </c>
      <c r="AD127" t="n">
        <v>2.233175215450843</v>
      </c>
      <c r="AE127" t="n">
        <v>2.200158663006696</v>
      </c>
      <c r="AF127" t="n">
        <v>2.073423317617268</v>
      </c>
      <c r="AG127" t="n">
        <v>1.91334623199393</v>
      </c>
      <c r="AH127" t="n">
        <v>1.814422233457978</v>
      </c>
      <c r="AI127" t="n">
        <v>1.757641033250016</v>
      </c>
      <c r="BI127" t="inlineStr">
        <is>
          <t>NEW_IR_AVG</t>
        </is>
      </c>
    </row>
    <row r="128">
      <c r="A128" t="inlineStr">
        <is>
          <t>no_year_in_pairs</t>
        </is>
      </c>
      <c r="B128" s="2" t="n"/>
      <c r="C128" s="3" t="inlineStr">
        <is>
          <t>EBS.20.72, Sup. 1</t>
        </is>
      </c>
      <c r="D128" s="4" t="inlineStr">
        <is>
          <t>Dominica</t>
        </is>
      </c>
      <c r="E128" s="4" t="inlineStr">
        <is>
          <t>DMA</t>
        </is>
      </c>
      <c r="F128" s="4" t="n"/>
      <c r="G128" s="4" t="inlineStr">
        <is>
          <t>2018gn</t>
        </is>
      </c>
      <c r="H128" s="4" t="n">
        <v>2019</v>
      </c>
      <c r="I128" s="4" t="inlineStr">
        <is>
          <t>rsdl.ndr.strs.tst.avg.grc.prd</t>
        </is>
      </c>
      <c r="J128" t="inlineStr">
        <is>
          <t>Average grace period on new debt</t>
        </is>
      </c>
      <c r="L128" t="n">
        <v>6</v>
      </c>
      <c r="M128" t="n">
        <v>6.913667467769841</v>
      </c>
      <c r="O128" t="n">
        <v>6.361678268503719</v>
      </c>
      <c r="P128" t="n">
        <v>7.341176496813932</v>
      </c>
      <c r="Q128" t="n">
        <v>7.137499882820898</v>
      </c>
      <c r="R128" t="n">
        <v>6.930101554879284</v>
      </c>
      <c r="S128" t="n">
        <v>7.110737430558576</v>
      </c>
      <c r="T128" t="n">
        <v>7.480152964526251</v>
      </c>
      <c r="U128" t="n">
        <v>6.926891672486312</v>
      </c>
      <c r="V128" t="n">
        <v>7.027528216583243</v>
      </c>
      <c r="W128" t="n">
        <v>6.819827522469789</v>
      </c>
      <c r="X128" t="n">
        <v>6.672711904377063</v>
      </c>
      <c r="Y128" t="n">
        <v>6.242036231449184</v>
      </c>
      <c r="Z128" t="n">
        <v>5.802857134987504</v>
      </c>
      <c r="AA128" t="n">
        <v>5.575966787275746</v>
      </c>
      <c r="AB128" t="n">
        <v>5.447850995081827</v>
      </c>
      <c r="AC128" t="n">
        <v>4.409229095512659</v>
      </c>
      <c r="AD128" t="n">
        <v>5.240088325880665</v>
      </c>
      <c r="AE128" t="n">
        <v>5.180215767696239</v>
      </c>
      <c r="AF128" t="n">
        <v>5.12592113150823</v>
      </c>
      <c r="AG128" t="n">
        <v>5.001315790413881</v>
      </c>
      <c r="AH128" t="n">
        <v>4.977069801872773</v>
      </c>
      <c r="AI128" t="n">
        <v>4.962067344381944</v>
      </c>
      <c r="BI128" t="inlineStr">
        <is>
          <t>NEW_GP_AVG</t>
        </is>
      </c>
    </row>
    <row r="129">
      <c r="A129" t="inlineStr">
        <is>
          <t>no_year_in_pairs</t>
        </is>
      </c>
      <c r="B129" s="2" t="n"/>
      <c r="C129" s="3" t="inlineStr">
        <is>
          <t>EBS.20.72, Sup. 1</t>
        </is>
      </c>
      <c r="D129" s="4" t="inlineStr">
        <is>
          <t>Dominica</t>
        </is>
      </c>
      <c r="E129" s="4" t="inlineStr">
        <is>
          <t>DMA</t>
        </is>
      </c>
      <c r="F129" s="4" t="n"/>
      <c r="G129" s="4" t="inlineStr">
        <is>
          <t>2018gn</t>
        </is>
      </c>
      <c r="H129" s="4" t="n">
        <v>2019</v>
      </c>
      <c r="I129" s="4" t="inlineStr">
        <is>
          <t>rsdl.ndr.strs.tst.avg.matrty</t>
        </is>
      </c>
      <c r="J129" t="inlineStr">
        <is>
          <t>Average maturity of new debt</t>
        </is>
      </c>
      <c r="L129" t="n">
        <v>29</v>
      </c>
      <c r="M129" t="n">
        <v>29.56747396283106</v>
      </c>
      <c r="O129" t="n">
        <v>27.29968941964893</v>
      </c>
      <c r="P129" t="n">
        <v>31.98697214483128</v>
      </c>
      <c r="Q129" t="n">
        <v>30.81157000131359</v>
      </c>
      <c r="R129" t="n">
        <v>29.9399587851367</v>
      </c>
      <c r="S129" t="n">
        <v>30.41498316687593</v>
      </c>
      <c r="T129" t="n">
        <v>31.25594304105309</v>
      </c>
      <c r="U129" t="n">
        <v>29.68486942474238</v>
      </c>
      <c r="V129" t="n">
        <v>30.26683137110505</v>
      </c>
      <c r="W129" t="n">
        <v>29.41905108407235</v>
      </c>
      <c r="X129" t="n">
        <v>28.60020957810802</v>
      </c>
      <c r="Y129" t="n">
        <v>25.56213557425432</v>
      </c>
      <c r="Z129" t="n">
        <v>22.63963505008474</v>
      </c>
      <c r="AA129" t="n">
        <v>20.32144526704147</v>
      </c>
      <c r="AB129" t="n">
        <v>20.06847779626604</v>
      </c>
      <c r="AC129" t="n">
        <v>34.18880896116148</v>
      </c>
      <c r="AD129" t="n">
        <v>20.73954645066249</v>
      </c>
      <c r="AE129" t="n">
        <v>20.70396949752269</v>
      </c>
      <c r="AF129" t="n">
        <v>21.05888589775398</v>
      </c>
      <c r="AG129" t="n">
        <v>21.35029928518314</v>
      </c>
      <c r="AH129" t="n">
        <v>21.67810651141185</v>
      </c>
      <c r="AI129" t="n">
        <v>21.86322443126938</v>
      </c>
      <c r="BI129" t="inlineStr">
        <is>
          <t>NEW_M_AVG</t>
        </is>
      </c>
    </row>
    <row r="130">
      <c r="A130" t="inlineStr">
        <is>
          <t>no_year_in_pairs</t>
        </is>
      </c>
      <c r="B130" s="2" t="n"/>
      <c r="C130" s="3" t="inlineStr">
        <is>
          <t>EBS.20.72, Sup. 1</t>
        </is>
      </c>
      <c r="D130" s="4" t="inlineStr">
        <is>
          <t>Dominica</t>
        </is>
      </c>
      <c r="E130" s="4" t="inlineStr">
        <is>
          <t>DMA</t>
        </is>
      </c>
      <c r="F130" s="4" t="n"/>
      <c r="G130" s="4" t="inlineStr">
        <is>
          <t>2018gn</t>
        </is>
      </c>
      <c r="H130" s="4" t="n">
        <v>2019</v>
      </c>
      <c r="I130" s="5" t="n"/>
    </row>
    <row r="131">
      <c r="A131" t="inlineStr">
        <is>
          <t>no_year_in_pairs</t>
        </is>
      </c>
      <c r="B131" s="2" t="n"/>
      <c r="C131" s="3" t="inlineStr">
        <is>
          <t>EBS.20.72, Sup. 1</t>
        </is>
      </c>
      <c r="D131" s="4" t="inlineStr">
        <is>
          <t>Dominica</t>
        </is>
      </c>
      <c r="E131" s="4" t="inlineStr">
        <is>
          <t>DMA</t>
        </is>
      </c>
      <c r="F131" s="4" t="n"/>
      <c r="G131" s="4" t="inlineStr">
        <is>
          <t>2018gn</t>
        </is>
      </c>
      <c r="H131" s="4" t="n">
        <v>2019</v>
      </c>
      <c r="I131" s="4" t="inlineStr">
        <is>
          <t>rsdl.ndr.strs.tst.avg.grc.prd.rnd</t>
        </is>
      </c>
      <c r="J131" t="inlineStr">
        <is>
          <t>Average grace period on new debt (rounded down)</t>
        </is>
      </c>
      <c r="M131" t="n">
        <v>6</v>
      </c>
      <c r="O131" t="n">
        <v>6</v>
      </c>
      <c r="P131" t="n">
        <v>7</v>
      </c>
      <c r="Q131" t="n">
        <v>7</v>
      </c>
      <c r="R131" t="n">
        <v>6</v>
      </c>
      <c r="S131" t="n">
        <v>7</v>
      </c>
      <c r="T131" t="n">
        <v>7</v>
      </c>
      <c r="U131" t="n">
        <v>6</v>
      </c>
      <c r="V131" t="n">
        <v>7</v>
      </c>
      <c r="W131" t="n">
        <v>6</v>
      </c>
      <c r="X131" t="n">
        <v>6</v>
      </c>
      <c r="Y131" t="n">
        <v>6</v>
      </c>
      <c r="Z131" t="n">
        <v>5</v>
      </c>
      <c r="AA131" t="n">
        <v>5</v>
      </c>
      <c r="AB131" t="n">
        <v>5</v>
      </c>
      <c r="AC131" t="n">
        <v>4</v>
      </c>
      <c r="AD131" t="n">
        <v>5</v>
      </c>
      <c r="AE131" t="n">
        <v>5</v>
      </c>
      <c r="AF131" t="n">
        <v>5</v>
      </c>
      <c r="AG131" t="n">
        <v>5</v>
      </c>
      <c r="AH131" t="n">
        <v>4</v>
      </c>
      <c r="AI131" t="n">
        <v>4</v>
      </c>
      <c r="BI131" t="inlineStr">
        <is>
          <t>NEW_GP_AVG_R</t>
        </is>
      </c>
    </row>
    <row r="132">
      <c r="A132" t="inlineStr">
        <is>
          <t>no_year_in_pairs</t>
        </is>
      </c>
      <c r="B132" s="2" t="n"/>
      <c r="C132" s="3" t="inlineStr">
        <is>
          <t>EBS.20.72, Sup. 1</t>
        </is>
      </c>
      <c r="D132" s="4" t="inlineStr">
        <is>
          <t>Dominica</t>
        </is>
      </c>
      <c r="E132" s="4" t="inlineStr">
        <is>
          <t>DMA</t>
        </is>
      </c>
      <c r="F132" s="4" t="n"/>
      <c r="G132" s="4" t="inlineStr">
        <is>
          <t>2018gn</t>
        </is>
      </c>
      <c r="H132" s="4" t="n">
        <v>2019</v>
      </c>
      <c r="I132" s="4" t="inlineStr">
        <is>
          <t>rsdl.ndr.strs.tst.avg.matrty.rnd</t>
        </is>
      </c>
      <c r="J132" t="inlineStr">
        <is>
          <t>Average maturity of new debt (rounded down)</t>
        </is>
      </c>
      <c r="M132" t="n">
        <v>29</v>
      </c>
      <c r="O132" t="n">
        <v>27</v>
      </c>
      <c r="P132" t="n">
        <v>31</v>
      </c>
      <c r="Q132" t="n">
        <v>30</v>
      </c>
      <c r="R132" t="n">
        <v>29</v>
      </c>
      <c r="S132" t="n">
        <v>30</v>
      </c>
      <c r="T132" t="n">
        <v>31</v>
      </c>
      <c r="U132" t="n">
        <v>29</v>
      </c>
      <c r="V132" t="n">
        <v>30</v>
      </c>
      <c r="W132" t="n">
        <v>29</v>
      </c>
      <c r="X132" t="n">
        <v>28</v>
      </c>
      <c r="Y132" t="n">
        <v>25</v>
      </c>
      <c r="Z132" t="n">
        <v>22</v>
      </c>
      <c r="AA132" t="n">
        <v>20</v>
      </c>
      <c r="AB132" t="n">
        <v>20</v>
      </c>
      <c r="AC132" t="n">
        <v>34</v>
      </c>
      <c r="AD132" t="n">
        <v>20</v>
      </c>
      <c r="AE132" t="n">
        <v>20</v>
      </c>
      <c r="AF132" t="n">
        <v>21</v>
      </c>
      <c r="AG132" t="n">
        <v>21</v>
      </c>
      <c r="AH132" t="n">
        <v>21</v>
      </c>
      <c r="AI132" t="n">
        <v>21</v>
      </c>
      <c r="BI132" t="inlineStr">
        <is>
          <t>NEW_M_AVG_R</t>
        </is>
      </c>
    </row>
    <row r="133">
      <c r="A133" t="inlineStr">
        <is>
          <t>no_year_in_pairs</t>
        </is>
      </c>
      <c r="B133" s="2" t="n"/>
      <c r="C133" s="3" t="inlineStr">
        <is>
          <t>EBS.20.72, Sup. 1</t>
        </is>
      </c>
      <c r="D133" s="4" t="inlineStr">
        <is>
          <t>Dominica</t>
        </is>
      </c>
      <c r="E133" s="4" t="inlineStr">
        <is>
          <t>DMA</t>
        </is>
      </c>
      <c r="F133" s="4" t="n"/>
      <c r="G133" s="4" t="inlineStr">
        <is>
          <t>2018gn</t>
        </is>
      </c>
      <c r="H133" s="4" t="n">
        <v>2019</v>
      </c>
      <c r="I133" s="5" t="n"/>
    </row>
    <row r="134">
      <c r="A134" t="inlineStr">
        <is>
          <t>no_year_in_pairs</t>
        </is>
      </c>
      <c r="B134" s="2" t="n"/>
      <c r="C134" s="3" t="inlineStr">
        <is>
          <t>EBS.20.72, Sup. 1</t>
        </is>
      </c>
      <c r="D134" s="4" t="inlineStr">
        <is>
          <t>Dominica</t>
        </is>
      </c>
      <c r="E134" s="4" t="inlineStr">
        <is>
          <t>DMA</t>
        </is>
      </c>
      <c r="F134" s="4" t="n"/>
      <c r="G134" s="4" t="inlineStr">
        <is>
          <t>2018gn</t>
        </is>
      </c>
      <c r="H134" s="4" t="n">
        <v>2019</v>
      </c>
      <c r="I134" s="5" t="n"/>
      <c r="J134" t="inlineStr">
        <is>
          <t>New debt: Debt service</t>
        </is>
      </c>
    </row>
    <row r="135">
      <c r="A135" t="inlineStr">
        <is>
          <t>no_year_in_pairs</t>
        </is>
      </c>
      <c r="B135" s="2" t="n"/>
      <c r="C135" s="3" t="inlineStr">
        <is>
          <t>EBS.20.72, Sup. 1</t>
        </is>
      </c>
      <c r="D135" s="4" t="inlineStr">
        <is>
          <t>Dominica</t>
        </is>
      </c>
      <c r="E135" s="4" t="inlineStr">
        <is>
          <t>DMA</t>
        </is>
      </c>
      <c r="F135" s="4" t="n"/>
      <c r="G135" s="4" t="inlineStr">
        <is>
          <t>2018gn</t>
        </is>
      </c>
      <c r="H135" s="4" t="n">
        <v>2019</v>
      </c>
      <c r="I135" s="5" t="n"/>
    </row>
    <row r="136">
      <c r="A136" t="inlineStr">
        <is>
          <t>no_year_in_pairs</t>
        </is>
      </c>
      <c r="B136" s="2" t="n"/>
      <c r="C136" s="3" t="inlineStr">
        <is>
          <t>EBS.20.72, Sup. 1</t>
        </is>
      </c>
      <c r="D136" s="4" t="inlineStr">
        <is>
          <t>Dominica</t>
        </is>
      </c>
      <c r="E136" s="4" t="inlineStr">
        <is>
          <t>DMA</t>
        </is>
      </c>
      <c r="F136" s="4" t="n"/>
      <c r="G136" s="4" t="inlineStr">
        <is>
          <t>2018gn</t>
        </is>
      </c>
      <c r="H136" s="4" t="n">
        <v>2019</v>
      </c>
      <c r="I136" s="4" t="inlineStr">
        <is>
          <t>new.tds</t>
        </is>
      </c>
      <c r="J136" t="inlineStr">
        <is>
          <t>Total new debt service</t>
        </is>
      </c>
      <c r="O136" t="n">
        <v>0</v>
      </c>
      <c r="P136" t="n">
        <v>1.321844902161179</v>
      </c>
      <c r="Q136" t="n">
        <v>1.798144164933523</v>
      </c>
      <c r="R136" t="n">
        <v>2.286264621000774</v>
      </c>
      <c r="S136" t="n">
        <v>2.806689699349055</v>
      </c>
      <c r="T136" t="n">
        <v>3.205994603432256</v>
      </c>
      <c r="U136" t="n">
        <v>9.069251775602067</v>
      </c>
      <c r="V136" t="n">
        <v>10.7357663345677</v>
      </c>
      <c r="W136" t="n">
        <v>12.41312184739679</v>
      </c>
      <c r="X136" t="n">
        <v>14.23012812936576</v>
      </c>
      <c r="Y136" t="n">
        <v>15.53765965893475</v>
      </c>
      <c r="Z136" t="n">
        <v>16.43611542159138</v>
      </c>
      <c r="AA136" t="n">
        <v>18.53629593481303</v>
      </c>
      <c r="AB136" t="n">
        <v>20.46811457924372</v>
      </c>
      <c r="AC136" t="n">
        <v>22.33417180045582</v>
      </c>
      <c r="AD136" t="n">
        <v>23.60837622079309</v>
      </c>
      <c r="AE136" t="n">
        <v>24.07038274624163</v>
      </c>
      <c r="AF136" t="n">
        <v>26.04767240233555</v>
      </c>
      <c r="AG136" t="n">
        <v>27.97504297065505</v>
      </c>
      <c r="AH136" t="n">
        <v>29.58547289787294</v>
      </c>
      <c r="AI136" t="n">
        <v>29.48339033053362</v>
      </c>
      <c r="BI136" t="inlineStr">
        <is>
          <t>NEW_DS_TOT</t>
        </is>
      </c>
    </row>
    <row r="137">
      <c r="A137" t="inlineStr">
        <is>
          <t>no_year_in_pairs</t>
        </is>
      </c>
      <c r="B137" s="2" t="n"/>
      <c r="C137" s="3" t="inlineStr">
        <is>
          <t>EBS.20.72, Sup. 1</t>
        </is>
      </c>
      <c r="D137" s="4" t="inlineStr">
        <is>
          <t>Dominica</t>
        </is>
      </c>
      <c r="E137" s="4" t="inlineStr">
        <is>
          <t>DMA</t>
        </is>
      </c>
      <c r="F137" s="4" t="n"/>
      <c r="G137" s="4" t="inlineStr">
        <is>
          <t>2018gn</t>
        </is>
      </c>
      <c r="H137" s="4" t="n">
        <v>2019</v>
      </c>
      <c r="I137" s="5" t="n"/>
    </row>
    <row r="138">
      <c r="A138" t="inlineStr">
        <is>
          <t>no_year_in_pairs</t>
        </is>
      </c>
      <c r="B138" s="2" t="n"/>
      <c r="C138" s="3" t="inlineStr">
        <is>
          <t>EBS.20.72, Sup. 1</t>
        </is>
      </c>
      <c r="D138" s="4" t="inlineStr">
        <is>
          <t>Dominica</t>
        </is>
      </c>
      <c r="E138" s="4" t="inlineStr">
        <is>
          <t>DMA</t>
        </is>
      </c>
      <c r="F138" s="4" t="n"/>
      <c r="G138" s="4" t="inlineStr">
        <is>
          <t>2018gn</t>
        </is>
      </c>
      <c r="H138" s="4" t="n">
        <v>2019</v>
      </c>
      <c r="I138" s="4" t="inlineStr">
        <is>
          <t>new.int</t>
        </is>
      </c>
      <c r="J138" t="inlineStr">
        <is>
          <t>Interest</t>
        </is>
      </c>
      <c r="M138" t="n">
        <v>26</v>
      </c>
      <c r="O138" t="n">
        <v>0</v>
      </c>
      <c r="P138" t="n">
        <v>1.321844902161179</v>
      </c>
      <c r="Q138" t="n">
        <v>1.798144164933523</v>
      </c>
      <c r="R138" t="n">
        <v>2.286264621000774</v>
      </c>
      <c r="S138" t="n">
        <v>2.806689699349055</v>
      </c>
      <c r="T138" t="n">
        <v>3.205994603432256</v>
      </c>
      <c r="U138" t="n">
        <v>3.499912926657563</v>
      </c>
      <c r="V138" t="n">
        <v>3.73707018405145</v>
      </c>
      <c r="W138" t="n">
        <v>3.934675935874971</v>
      </c>
      <c r="X138" t="n">
        <v>4.121941938928465</v>
      </c>
      <c r="Y138" t="n">
        <v>4.239885501501237</v>
      </c>
      <c r="Z138" t="n">
        <v>4.422497256949384</v>
      </c>
      <c r="AA138" t="n">
        <v>4.721252322874731</v>
      </c>
      <c r="AB138" t="n">
        <v>5.097083721536828</v>
      </c>
      <c r="AC138" t="n">
        <v>5.408687228069031</v>
      </c>
      <c r="AD138" t="n">
        <v>5.362070840256825</v>
      </c>
      <c r="AE138" t="n">
        <v>5.558437353887948</v>
      </c>
      <c r="AF138" t="n">
        <v>5.74528004662734</v>
      </c>
      <c r="AG138" t="n">
        <v>5.879139375854367</v>
      </c>
      <c r="AH138" t="n">
        <v>5.957850524315202</v>
      </c>
      <c r="AI138" t="n">
        <v>5.96762458259567</v>
      </c>
      <c r="BI138" t="inlineStr">
        <is>
          <t>NEW_DS_I</t>
        </is>
      </c>
    </row>
    <row r="139">
      <c r="A139" t="inlineStr">
        <is>
          <t>no_year_in_pairs</t>
        </is>
      </c>
      <c r="B139" s="2" t="n"/>
      <c r="C139" s="3" t="inlineStr">
        <is>
          <t>EBS.20.72, Sup. 1</t>
        </is>
      </c>
      <c r="D139" s="4" t="inlineStr">
        <is>
          <t>Dominica</t>
        </is>
      </c>
      <c r="E139" s="4" t="inlineStr">
        <is>
          <t>DMA</t>
        </is>
      </c>
      <c r="F139" s="4" t="n"/>
      <c r="G139" s="4" t="inlineStr">
        <is>
          <t>2018gn</t>
        </is>
      </c>
      <c r="H139" s="4" t="n">
        <v>2019</v>
      </c>
      <c r="I139" s="4" t="inlineStr">
        <is>
          <t>new.int.mlt</t>
        </is>
      </c>
      <c r="J139" t="inlineStr">
        <is>
          <t>Multilaterals</t>
        </is>
      </c>
      <c r="M139" t="inlineStr">
        <is>
          <t>"PV_Base" line no.</t>
        </is>
      </c>
      <c r="O139" t="n">
        <v>0</v>
      </c>
      <c r="P139" t="n">
        <v>0.8987453644207536</v>
      </c>
      <c r="Q139" t="n">
        <v>1.368213088124444</v>
      </c>
      <c r="R139" t="n">
        <v>1.757935701837374</v>
      </c>
      <c r="S139" t="n">
        <v>2.139581060866889</v>
      </c>
      <c r="T139" t="n">
        <v>2.424815573354187</v>
      </c>
      <c r="U139" t="n">
        <v>2.614774674890301</v>
      </c>
      <c r="V139" t="n">
        <v>2.791703050700037</v>
      </c>
      <c r="W139" t="n">
        <v>2.957187415896434</v>
      </c>
      <c r="X139" t="n">
        <v>3.103359600380579</v>
      </c>
      <c r="Y139" t="n">
        <v>3.187090637708075</v>
      </c>
      <c r="Z139" t="n">
        <v>3.22802312423842</v>
      </c>
      <c r="AA139" t="n">
        <v>3.243374566270179</v>
      </c>
      <c r="AB139" t="n">
        <v>3.212611194437295</v>
      </c>
      <c r="AC139" t="n">
        <v>3.169142010600011</v>
      </c>
      <c r="AD139" t="n">
        <v>2.79545925221488</v>
      </c>
      <c r="AE139" t="n">
        <v>2.758836332148605</v>
      </c>
      <c r="AF139" t="n">
        <v>2.714761040902537</v>
      </c>
      <c r="AG139" t="n">
        <v>2.679050003014359</v>
      </c>
      <c r="AH139" t="n">
        <v>2.660858433987371</v>
      </c>
      <c r="AI139" t="n">
        <v>2.642742660384601</v>
      </c>
      <c r="BI139" t="inlineStr">
        <is>
          <t>NEW_DS_ML</t>
        </is>
      </c>
    </row>
    <row r="140">
      <c r="A140" t="inlineStr">
        <is>
          <t>no_year_in_pairs</t>
        </is>
      </c>
      <c r="B140" s="2" t="n"/>
      <c r="C140" s="3" t="inlineStr">
        <is>
          <t>EBS.20.72, Sup. 1</t>
        </is>
      </c>
      <c r="D140" s="4" t="inlineStr">
        <is>
          <t>Dominica</t>
        </is>
      </c>
      <c r="E140" s="4" t="inlineStr">
        <is>
          <t>DMA</t>
        </is>
      </c>
      <c r="F140" s="4" t="n"/>
      <c r="G140" s="4" t="inlineStr">
        <is>
          <t>2018gn</t>
        </is>
      </c>
      <c r="H140" s="4" t="n">
        <v>2019</v>
      </c>
      <c r="I140" s="4" t="inlineStr">
        <is>
          <t>new.int.mlt.imf</t>
        </is>
      </c>
      <c r="J140" t="inlineStr">
        <is>
          <t>IMF</t>
        </is>
      </c>
      <c r="M140" t="n">
        <v>26</v>
      </c>
      <c r="O140" t="n">
        <v>0</v>
      </c>
      <c r="P140" t="n">
        <v>0.01372341606300315</v>
      </c>
      <c r="Q140" t="n">
        <v>0.01372341606300315</v>
      </c>
      <c r="R140" t="n">
        <v>0.01372341606300315</v>
      </c>
      <c r="S140" t="n">
        <v>0.01372341606300315</v>
      </c>
      <c r="T140" t="n">
        <v>0.01372341606300315</v>
      </c>
      <c r="U140" t="n">
        <v>0.01372341606300315</v>
      </c>
      <c r="V140" t="n">
        <v>0.01097873285040252</v>
      </c>
      <c r="W140" t="n">
        <v>0.00823404963780189</v>
      </c>
      <c r="X140" t="n">
        <v>0.005489366425201261</v>
      </c>
      <c r="Y140" t="n">
        <v>0.002744683212600631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</row>
    <row r="141">
      <c r="A141" t="inlineStr">
        <is>
          <t>no_year_in_pairs</t>
        </is>
      </c>
      <c r="B141" s="2" t="n"/>
      <c r="C141" s="3" t="inlineStr">
        <is>
          <t>EBS.20.72, Sup. 1</t>
        </is>
      </c>
      <c r="D141" s="4" t="inlineStr">
        <is>
          <t>Dominica</t>
        </is>
      </c>
      <c r="E141" s="4" t="inlineStr">
        <is>
          <t>DMA</t>
        </is>
      </c>
      <c r="F141" s="4" t="n"/>
      <c r="G141" s="4" t="inlineStr">
        <is>
          <t>2018gn</t>
        </is>
      </c>
      <c r="H141" s="4" t="n">
        <v>2019</v>
      </c>
      <c r="I141" s="4" t="inlineStr">
        <is>
          <t>new.int.mlt.ida.reg</t>
        </is>
      </c>
      <c r="J141" t="inlineStr">
        <is>
          <t>IDA - small economy</t>
        </is>
      </c>
      <c r="M141" t="n">
        <v>60</v>
      </c>
      <c r="O141" t="n">
        <v>0</v>
      </c>
      <c r="P141" t="n">
        <v>0.2325</v>
      </c>
      <c r="Q141" t="n">
        <v>0.42</v>
      </c>
      <c r="R141" t="n">
        <v>0.57</v>
      </c>
      <c r="S141" t="n">
        <v>0.705</v>
      </c>
      <c r="T141" t="n">
        <v>0.8175</v>
      </c>
      <c r="U141" t="n">
        <v>0.9107875792897147</v>
      </c>
      <c r="V141" t="n">
        <v>0.9880619331420262</v>
      </c>
      <c r="W141" t="n">
        <v>1.06807391750973</v>
      </c>
      <c r="X141" t="n">
        <v>1.138483062551036</v>
      </c>
      <c r="Y141" t="n">
        <v>1.189508011754857</v>
      </c>
      <c r="Z141" t="n">
        <v>1.226486299235237</v>
      </c>
      <c r="AA141" t="n">
        <v>1.245570367109307</v>
      </c>
      <c r="AB141" t="n">
        <v>1.251042156505583</v>
      </c>
      <c r="AC141" t="n">
        <v>1.246153556076803</v>
      </c>
      <c r="AD141" t="n">
        <v>1.232880227651263</v>
      </c>
      <c r="AE141" t="n">
        <v>1.213041598221847</v>
      </c>
      <c r="AF141" t="n">
        <v>1.188053106186946</v>
      </c>
      <c r="AG141" t="n">
        <v>1.159010193597988</v>
      </c>
      <c r="AH141" t="n">
        <v>1.123450874616689</v>
      </c>
      <c r="AI141" t="n">
        <v>1.08476801215854</v>
      </c>
    </row>
    <row r="142">
      <c r="A142" t="inlineStr">
        <is>
          <t>no_year_in_pairs</t>
        </is>
      </c>
      <c r="B142" s="2" t="n"/>
      <c r="C142" s="3" t="inlineStr">
        <is>
          <t>EBS.20.72, Sup. 1</t>
        </is>
      </c>
      <c r="D142" s="4" t="inlineStr">
        <is>
          <t>Dominica</t>
        </is>
      </c>
      <c r="E142" s="4" t="inlineStr">
        <is>
          <t>DMA</t>
        </is>
      </c>
      <c r="F142" s="4" t="n"/>
      <c r="G142" s="4" t="inlineStr">
        <is>
          <t>2018gn</t>
        </is>
      </c>
      <c r="H142" s="4" t="n">
        <v>2019</v>
      </c>
      <c r="I142" s="4" t="inlineStr">
        <is>
          <t>new.int.mlt.ida.bld</t>
        </is>
      </c>
      <c r="J142" t="inlineStr">
        <is>
          <t>IDA - small economy</t>
        </is>
      </c>
      <c r="M142" t="n">
        <v>86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</row>
    <row r="143">
      <c r="A143" t="inlineStr">
        <is>
          <t>no_year_in_pairs</t>
        </is>
      </c>
      <c r="B143" s="2" t="n"/>
      <c r="C143" s="3" t="inlineStr">
        <is>
          <t>EBS.20.72, Sup. 1</t>
        </is>
      </c>
      <c r="D143" s="4" t="inlineStr">
        <is>
          <t>Dominica</t>
        </is>
      </c>
      <c r="E143" s="4" t="inlineStr">
        <is>
          <t>DMA</t>
        </is>
      </c>
      <c r="F143" s="4" t="n"/>
      <c r="G143" s="4" t="inlineStr">
        <is>
          <t>2018gn</t>
        </is>
      </c>
      <c r="H143" s="4" t="n">
        <v>2019</v>
      </c>
      <c r="I143" s="4" t="inlineStr">
        <is>
          <t>new.int.mlt.afdb</t>
        </is>
      </c>
      <c r="J143" t="inlineStr">
        <is>
          <t>CDB</t>
        </is>
      </c>
      <c r="M143" t="n">
        <v>111</v>
      </c>
      <c r="O143" t="n">
        <v>0</v>
      </c>
      <c r="P143" t="n">
        <v>0.3</v>
      </c>
      <c r="Q143" t="n">
        <v>0.45</v>
      </c>
      <c r="R143" t="n">
        <v>0.5700000000000001</v>
      </c>
      <c r="S143" t="n">
        <v>0.6900000000000001</v>
      </c>
      <c r="T143" t="n">
        <v>0.79</v>
      </c>
      <c r="U143" t="n">
        <v>0.87</v>
      </c>
      <c r="V143" t="n">
        <v>0.9378345578700544</v>
      </c>
      <c r="W143" t="n">
        <v>1.001103729904434</v>
      </c>
      <c r="X143" t="n">
        <v>1.061398282099468</v>
      </c>
      <c r="Y143" t="n">
        <v>1.082054317534552</v>
      </c>
      <c r="Z143" t="n">
        <v>1.076816140422961</v>
      </c>
      <c r="AA143" t="n">
        <v>1.054627119151021</v>
      </c>
      <c r="AB143" t="n">
        <v>1.020240275999089</v>
      </c>
      <c r="AC143" t="n">
        <v>0.9765437582695801</v>
      </c>
      <c r="AD143" t="n">
        <v>0.9252884341239938</v>
      </c>
      <c r="AE143" t="n">
        <v>0.8693377989869719</v>
      </c>
      <c r="AF143" t="n">
        <v>0.810470530823633</v>
      </c>
      <c r="AG143" t="n">
        <v>0.7497900976368209</v>
      </c>
      <c r="AH143" t="n">
        <v>0.6879825160886927</v>
      </c>
      <c r="AI143" t="n">
        <v>0.6254747725711998</v>
      </c>
    </row>
    <row r="144">
      <c r="A144" t="inlineStr">
        <is>
          <t>no_year_in_pairs</t>
        </is>
      </c>
      <c r="B144" s="2" t="n"/>
      <c r="C144" s="3" t="inlineStr">
        <is>
          <t>EBS.20.72, Sup. 1</t>
        </is>
      </c>
      <c r="D144" s="4" t="inlineStr">
        <is>
          <t>Dominica</t>
        </is>
      </c>
      <c r="E144" s="4" t="inlineStr">
        <is>
          <t>DMA</t>
        </is>
      </c>
      <c r="F144" s="4" t="n"/>
      <c r="G144" s="4" t="inlineStr">
        <is>
          <t>2018gn</t>
        </is>
      </c>
      <c r="H144" s="4" t="n">
        <v>2019</v>
      </c>
      <c r="I144" s="4" t="inlineStr">
        <is>
          <t>new.int.mlt2</t>
        </is>
      </c>
      <c r="J144" t="inlineStr">
        <is>
          <t>MULTIRES</t>
        </is>
      </c>
      <c r="M144" t="n">
        <v>137</v>
      </c>
      <c r="O144" t="n">
        <v>0</v>
      </c>
      <c r="P144" t="n">
        <v>0.3525219483577505</v>
      </c>
      <c r="Q144" t="n">
        <v>0.4844896720614403</v>
      </c>
      <c r="R144" t="n">
        <v>0.6042122857743711</v>
      </c>
      <c r="S144" t="n">
        <v>0.7308576448038856</v>
      </c>
      <c r="T144" t="n">
        <v>0.8035921572911842</v>
      </c>
      <c r="U144" t="n">
        <v>0.8202636795375833</v>
      </c>
      <c r="V144" t="n">
        <v>0.8548278268375539</v>
      </c>
      <c r="W144" t="n">
        <v>0.8797757188444674</v>
      </c>
      <c r="X144" t="n">
        <v>0.8979888893048741</v>
      </c>
      <c r="Y144" t="n">
        <v>0.9127836252060649</v>
      </c>
      <c r="Z144" t="n">
        <v>0.9247206845802219</v>
      </c>
      <c r="AA144" t="n">
        <v>0.9431770800098506</v>
      </c>
      <c r="AB144" t="n">
        <v>0.9413287619326234</v>
      </c>
      <c r="AC144" t="n">
        <v>0.9464446962536287</v>
      </c>
      <c r="AD144" t="n">
        <v>0.6372905904396238</v>
      </c>
      <c r="AE144" t="n">
        <v>0.6764569349397863</v>
      </c>
      <c r="AF144" t="n">
        <v>0.7162374038919582</v>
      </c>
      <c r="AG144" t="n">
        <v>0.7702497117795497</v>
      </c>
      <c r="AH144" t="n">
        <v>0.8494250432819894</v>
      </c>
      <c r="AI144" t="n">
        <v>0.9324998756548608</v>
      </c>
    </row>
    <row r="145">
      <c r="A145" t="inlineStr">
        <is>
          <t>no_year_in_pairs</t>
        </is>
      </c>
      <c r="B145" s="2" t="n"/>
      <c r="C145" s="3" t="inlineStr">
        <is>
          <t>EBS.20.72, Sup. 1</t>
        </is>
      </c>
      <c r="D145" s="4" t="inlineStr">
        <is>
          <t>Dominica</t>
        </is>
      </c>
      <c r="E145" s="4" t="inlineStr">
        <is>
          <t>DMA</t>
        </is>
      </c>
      <c r="F145" s="4" t="n"/>
      <c r="G145" s="4" t="inlineStr">
        <is>
          <t>2018gn</t>
        </is>
      </c>
      <c r="H145" s="4" t="n">
        <v>2019</v>
      </c>
      <c r="I145" s="4" t="inlineStr">
        <is>
          <t>new.int.mlt3</t>
        </is>
      </c>
      <c r="J145" t="inlineStr">
        <is>
          <t>MULTI3</t>
        </is>
      </c>
      <c r="M145" t="n">
        <v>163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</row>
    <row r="146">
      <c r="A146" t="inlineStr">
        <is>
          <t>no_year_in_pairs</t>
        </is>
      </c>
      <c r="B146" s="2" t="n"/>
      <c r="C146" s="3" t="inlineStr">
        <is>
          <t>EBS.20.72, Sup. 1</t>
        </is>
      </c>
      <c r="D146" s="4" t="inlineStr">
        <is>
          <t>Dominica</t>
        </is>
      </c>
      <c r="E146" s="4" t="inlineStr">
        <is>
          <t>DMA</t>
        </is>
      </c>
      <c r="F146" s="4" t="n"/>
      <c r="G146" s="4" t="inlineStr">
        <is>
          <t>2018gn</t>
        </is>
      </c>
      <c r="H146" s="4" t="n">
        <v>2019</v>
      </c>
      <c r="I146" s="4" t="inlineStr">
        <is>
          <t>new.int.mlt.oth</t>
        </is>
      </c>
      <c r="J146" t="inlineStr">
        <is>
          <t>Other Multilaterals</t>
        </is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</row>
    <row r="147">
      <c r="A147" t="inlineStr">
        <is>
          <t>no_year_in_pairs</t>
        </is>
      </c>
      <c r="B147" s="2" t="n"/>
      <c r="C147" s="3" t="inlineStr">
        <is>
          <t>EBS.20.72, Sup. 1</t>
        </is>
      </c>
      <c r="D147" s="4" t="inlineStr">
        <is>
          <t>Dominica</t>
        </is>
      </c>
      <c r="E147" s="4" t="inlineStr">
        <is>
          <t>DMA</t>
        </is>
      </c>
      <c r="F147" s="4" t="n"/>
      <c r="G147" s="4" t="inlineStr">
        <is>
          <t>2018gn</t>
        </is>
      </c>
      <c r="H147" s="4" t="n">
        <v>2019</v>
      </c>
      <c r="I147" s="4" t="inlineStr">
        <is>
          <t>new.int.mlt.oth1</t>
        </is>
      </c>
      <c r="J147" t="inlineStr">
        <is>
          <t>OTH_MULTI1</t>
        </is>
      </c>
      <c r="M147" t="n">
        <v>189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</row>
    <row r="148">
      <c r="A148" t="inlineStr">
        <is>
          <t>no_year_in_pairs</t>
        </is>
      </c>
      <c r="B148" s="2" t="n"/>
      <c r="C148" s="3" t="inlineStr">
        <is>
          <t>EBS.20.72, Sup. 1</t>
        </is>
      </c>
      <c r="D148" s="4" t="inlineStr">
        <is>
          <t>Dominica</t>
        </is>
      </c>
      <c r="E148" s="4" t="inlineStr">
        <is>
          <t>DMA</t>
        </is>
      </c>
      <c r="F148" s="4" t="n"/>
      <c r="G148" s="4" t="inlineStr">
        <is>
          <t>2018gn</t>
        </is>
      </c>
      <c r="H148" s="4" t="n">
        <v>2019</v>
      </c>
      <c r="I148" s="4" t="inlineStr">
        <is>
          <t>new.int.mlt.oth2</t>
        </is>
      </c>
      <c r="J148" t="inlineStr">
        <is>
          <t>OTH_MULTI2</t>
        </is>
      </c>
      <c r="M148" t="n">
        <v>215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</row>
    <row r="149">
      <c r="A149" t="inlineStr">
        <is>
          <t>no_year_in_pairs</t>
        </is>
      </c>
      <c r="B149" s="2" t="n"/>
      <c r="C149" s="3" t="inlineStr">
        <is>
          <t>EBS.20.72, Sup. 1</t>
        </is>
      </c>
      <c r="D149" s="4" t="inlineStr">
        <is>
          <t>Dominica</t>
        </is>
      </c>
      <c r="E149" s="4" t="inlineStr">
        <is>
          <t>DMA</t>
        </is>
      </c>
      <c r="F149" s="4" t="n"/>
      <c r="G149" s="4" t="inlineStr">
        <is>
          <t>2018gn</t>
        </is>
      </c>
      <c r="H149" s="4" t="n">
        <v>2019</v>
      </c>
      <c r="I149" s="4" t="inlineStr">
        <is>
          <t>new.int.mlt.oth3</t>
        </is>
      </c>
      <c r="J149" t="inlineStr">
        <is>
          <t>OTH_MULTI3</t>
        </is>
      </c>
      <c r="M149" t="n">
        <v>241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</row>
    <row r="150">
      <c r="A150" t="inlineStr">
        <is>
          <t>no_year_in_pairs</t>
        </is>
      </c>
      <c r="B150" s="2" t="n"/>
      <c r="C150" s="3" t="inlineStr">
        <is>
          <t>EBS.20.72, Sup. 1</t>
        </is>
      </c>
      <c r="D150" s="4" t="inlineStr">
        <is>
          <t>Dominica</t>
        </is>
      </c>
      <c r="E150" s="4" t="inlineStr">
        <is>
          <t>DMA</t>
        </is>
      </c>
      <c r="F150" s="4" t="n"/>
      <c r="G150" s="4" t="inlineStr">
        <is>
          <t>2018gn</t>
        </is>
      </c>
      <c r="H150" s="4" t="n">
        <v>2019</v>
      </c>
      <c r="I150" s="4" t="inlineStr">
        <is>
          <t>new.int.blt</t>
        </is>
      </c>
      <c r="J150" t="inlineStr">
        <is>
          <t>Official Bilaterals</t>
        </is>
      </c>
      <c r="O150" t="n">
        <v>0</v>
      </c>
      <c r="P150" t="n">
        <v>0.4230995377404251</v>
      </c>
      <c r="Q150" t="n">
        <v>0.4299310768090794</v>
      </c>
      <c r="R150" t="n">
        <v>0.5283289191633993</v>
      </c>
      <c r="S150" t="n">
        <v>0.6671086384821661</v>
      </c>
      <c r="T150" t="n">
        <v>0.7811790300780688</v>
      </c>
      <c r="U150" t="n">
        <v>0.8851382517672624</v>
      </c>
      <c r="V150" t="n">
        <v>0.9453671333514131</v>
      </c>
      <c r="W150" t="n">
        <v>0.977488519978537</v>
      </c>
      <c r="X150" t="n">
        <v>1.018582338547886</v>
      </c>
      <c r="Y150" t="n">
        <v>1.052794863793162</v>
      </c>
      <c r="Z150" t="n">
        <v>1.194474132710964</v>
      </c>
      <c r="AA150" t="n">
        <v>1.477877756604552</v>
      </c>
      <c r="AB150" t="n">
        <v>1.884472527099533</v>
      </c>
      <c r="AC150" t="n">
        <v>2.239545217469019</v>
      </c>
      <c r="AD150" t="n">
        <v>2.566611588041945</v>
      </c>
      <c r="AE150" t="n">
        <v>2.799601021739344</v>
      </c>
      <c r="AF150" t="n">
        <v>3.030519005724804</v>
      </c>
      <c r="AG150" t="n">
        <v>3.200089372840008</v>
      </c>
      <c r="AH150" t="n">
        <v>3.296992090327831</v>
      </c>
      <c r="AI150" t="n">
        <v>3.32488192221107</v>
      </c>
      <c r="BI150" t="inlineStr">
        <is>
          <t>NEW_DS_I_OB</t>
        </is>
      </c>
    </row>
    <row r="151">
      <c r="A151" t="inlineStr">
        <is>
          <t>no_year_in_pairs</t>
        </is>
      </c>
      <c r="B151" s="2" t="n"/>
      <c r="C151" s="3" t="inlineStr">
        <is>
          <t>EBS.20.72, Sup. 1</t>
        </is>
      </c>
      <c r="D151" s="4" t="inlineStr">
        <is>
          <t>Dominica</t>
        </is>
      </c>
      <c r="E151" s="4" t="inlineStr">
        <is>
          <t>DMA</t>
        </is>
      </c>
      <c r="F151" s="4" t="n"/>
      <c r="G151" s="4" t="inlineStr">
        <is>
          <t>2018gn</t>
        </is>
      </c>
      <c r="H151" s="4" t="n">
        <v>2019</v>
      </c>
      <c r="I151" s="4" t="inlineStr">
        <is>
          <t>new.int.pc</t>
        </is>
      </c>
      <c r="J151" t="inlineStr">
        <is>
          <t xml:space="preserve">   Paris Club</t>
        </is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</row>
    <row r="152">
      <c r="A152" t="inlineStr">
        <is>
          <t>no_year_in_pairs</t>
        </is>
      </c>
      <c r="B152" s="2" t="n"/>
      <c r="C152" s="3" t="inlineStr">
        <is>
          <t>EBS.20.72, Sup. 1</t>
        </is>
      </c>
      <c r="D152" s="4" t="inlineStr">
        <is>
          <t>Dominica</t>
        </is>
      </c>
      <c r="E152" s="4" t="inlineStr">
        <is>
          <t>DMA</t>
        </is>
      </c>
      <c r="F152" s="4" t="n"/>
      <c r="G152" s="4" t="inlineStr">
        <is>
          <t>2018gn</t>
        </is>
      </c>
      <c r="H152" s="4" t="n">
        <v>2019</v>
      </c>
      <c r="I152" s="4" t="inlineStr">
        <is>
          <t>new.int.pc1</t>
        </is>
      </c>
      <c r="J152" t="inlineStr">
        <is>
          <t>Export Credit Agencies</t>
        </is>
      </c>
      <c r="M152" t="n">
        <v>267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</row>
    <row r="153">
      <c r="A153" t="inlineStr">
        <is>
          <t>no_year_in_pairs</t>
        </is>
      </c>
      <c r="B153" s="2" t="n"/>
      <c r="C153" s="3" t="inlineStr">
        <is>
          <t>EBS.20.72, Sup. 1</t>
        </is>
      </c>
      <c r="D153" s="4" t="inlineStr">
        <is>
          <t>Dominica</t>
        </is>
      </c>
      <c r="E153" s="4" t="inlineStr">
        <is>
          <t>DMA</t>
        </is>
      </c>
      <c r="F153" s="4" t="n"/>
      <c r="G153" s="4" t="inlineStr">
        <is>
          <t>2018gn</t>
        </is>
      </c>
      <c r="H153" s="4" t="n">
        <v>2019</v>
      </c>
      <c r="I153" s="4" t="inlineStr">
        <is>
          <t>new.int.pc2</t>
        </is>
      </c>
      <c r="J153" t="inlineStr">
        <is>
          <t>PC2</t>
        </is>
      </c>
      <c r="M153" t="n">
        <v>293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</row>
    <row r="154">
      <c r="A154" t="inlineStr">
        <is>
          <t>no_year_in_pairs</t>
        </is>
      </c>
      <c r="B154" s="2" t="n"/>
      <c r="C154" s="3" t="inlineStr">
        <is>
          <t>EBS.20.72, Sup. 1</t>
        </is>
      </c>
      <c r="D154" s="4" t="inlineStr">
        <is>
          <t>Dominica</t>
        </is>
      </c>
      <c r="E154" s="4" t="inlineStr">
        <is>
          <t>DMA</t>
        </is>
      </c>
      <c r="F154" s="4" t="n"/>
      <c r="G154" s="4" t="inlineStr">
        <is>
          <t>2018gn</t>
        </is>
      </c>
      <c r="H154" s="4" t="n">
        <v>2019</v>
      </c>
      <c r="I154" s="4" t="inlineStr">
        <is>
          <t>new.int.pc3</t>
        </is>
      </c>
      <c r="J154" t="inlineStr">
        <is>
          <t>PC3</t>
        </is>
      </c>
      <c r="M154" t="n">
        <v>319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</row>
    <row r="155">
      <c r="A155" t="inlineStr">
        <is>
          <t>no_year_in_pairs</t>
        </is>
      </c>
      <c r="B155" s="2" t="n"/>
      <c r="C155" s="3" t="inlineStr">
        <is>
          <t>EBS.20.72, Sup. 1</t>
        </is>
      </c>
      <c r="D155" s="4" t="inlineStr">
        <is>
          <t>Dominica</t>
        </is>
      </c>
      <c r="E155" s="4" t="inlineStr">
        <is>
          <t>DMA</t>
        </is>
      </c>
      <c r="F155" s="4" t="n"/>
      <c r="G155" s="4" t="inlineStr">
        <is>
          <t>2018gn</t>
        </is>
      </c>
      <c r="H155" s="4" t="n">
        <v>2019</v>
      </c>
      <c r="I155" s="4" t="inlineStr">
        <is>
          <t>new.int.pc4</t>
        </is>
      </c>
      <c r="J155" t="inlineStr">
        <is>
          <t>PC4</t>
        </is>
      </c>
      <c r="M155" t="n">
        <v>345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</row>
    <row r="156">
      <c r="A156" t="inlineStr">
        <is>
          <t>no_year_in_pairs</t>
        </is>
      </c>
      <c r="B156" s="2" t="n"/>
      <c r="C156" s="3" t="inlineStr">
        <is>
          <t>EBS.20.72, Sup. 1</t>
        </is>
      </c>
      <c r="D156" s="4" t="inlineStr">
        <is>
          <t>Dominica</t>
        </is>
      </c>
      <c r="E156" s="4" t="inlineStr">
        <is>
          <t>DMA</t>
        </is>
      </c>
      <c r="F156" s="4" t="n"/>
      <c r="G156" s="4" t="inlineStr">
        <is>
          <t>2018gn</t>
        </is>
      </c>
      <c r="H156" s="4" t="n">
        <v>2019</v>
      </c>
      <c r="I156" s="4" t="inlineStr">
        <is>
          <t>new.int.pc5</t>
        </is>
      </c>
      <c r="J156" t="inlineStr">
        <is>
          <t>PC5</t>
        </is>
      </c>
      <c r="M156" t="n">
        <v>371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</row>
    <row r="157">
      <c r="A157" t="inlineStr">
        <is>
          <t>no_year_in_pairs</t>
        </is>
      </c>
      <c r="B157" s="2" t="n"/>
      <c r="C157" s="3" t="inlineStr">
        <is>
          <t>EBS.20.72, Sup. 1</t>
        </is>
      </c>
      <c r="D157" s="4" t="inlineStr">
        <is>
          <t>Dominica</t>
        </is>
      </c>
      <c r="E157" s="4" t="inlineStr">
        <is>
          <t>DMA</t>
        </is>
      </c>
      <c r="F157" s="4" t="n"/>
      <c r="G157" s="4" t="inlineStr">
        <is>
          <t>2018gn</t>
        </is>
      </c>
      <c r="H157" s="4" t="n">
        <v>2019</v>
      </c>
      <c r="I157" s="4" t="inlineStr">
        <is>
          <t>new.int.npc</t>
        </is>
      </c>
      <c r="J157" t="inlineStr">
        <is>
          <t xml:space="preserve">   Non-Paris Club</t>
        </is>
      </c>
      <c r="O157" t="n">
        <v>0</v>
      </c>
      <c r="P157" t="n">
        <v>0.4230995377404251</v>
      </c>
      <c r="Q157" t="n">
        <v>0.4299310768090794</v>
      </c>
      <c r="R157" t="n">
        <v>0.5283289191633993</v>
      </c>
      <c r="S157" t="n">
        <v>0.6671086384821661</v>
      </c>
      <c r="T157" t="n">
        <v>0.7811790300780688</v>
      </c>
      <c r="U157" t="n">
        <v>0.8851382517672624</v>
      </c>
      <c r="V157" t="n">
        <v>0.9453671333514131</v>
      </c>
      <c r="W157" t="n">
        <v>0.977488519978537</v>
      </c>
      <c r="X157" t="n">
        <v>1.018582338547886</v>
      </c>
      <c r="Y157" t="n">
        <v>1.052794863793162</v>
      </c>
      <c r="Z157" t="n">
        <v>1.194474132710964</v>
      </c>
      <c r="AA157" t="n">
        <v>1.477877756604552</v>
      </c>
      <c r="AB157" t="n">
        <v>1.884472527099533</v>
      </c>
      <c r="AC157" t="n">
        <v>2.239545217469019</v>
      </c>
      <c r="AD157" t="n">
        <v>2.566611588041945</v>
      </c>
      <c r="AE157" t="n">
        <v>2.799601021739344</v>
      </c>
      <c r="AF157" t="n">
        <v>3.030519005724804</v>
      </c>
      <c r="AG157" t="n">
        <v>3.200089372840008</v>
      </c>
      <c r="AH157" t="n">
        <v>3.296992090327831</v>
      </c>
      <c r="AI157" t="n">
        <v>3.32488192221107</v>
      </c>
    </row>
    <row r="158">
      <c r="A158" t="inlineStr">
        <is>
          <t>no_year_in_pairs</t>
        </is>
      </c>
      <c r="B158" s="2" t="n"/>
      <c r="C158" s="3" t="inlineStr">
        <is>
          <t>EBS.20.72, Sup. 1</t>
        </is>
      </c>
      <c r="D158" s="4" t="inlineStr">
        <is>
          <t>Dominica</t>
        </is>
      </c>
      <c r="E158" s="4" t="inlineStr">
        <is>
          <t>DMA</t>
        </is>
      </c>
      <c r="F158" s="4" t="n"/>
      <c r="G158" s="4" t="inlineStr">
        <is>
          <t>2018gn</t>
        </is>
      </c>
      <c r="H158" s="4" t="n">
        <v>2019</v>
      </c>
      <c r="I158" s="4" t="inlineStr">
        <is>
          <t>new.int.npc.eximbk</t>
        </is>
      </c>
      <c r="J158" t="inlineStr">
        <is>
          <t>NPC2</t>
        </is>
      </c>
      <c r="M158" t="n">
        <v>397</v>
      </c>
      <c r="O158" t="n">
        <v>0</v>
      </c>
      <c r="P158" t="n">
        <v>0.4230995377404251</v>
      </c>
      <c r="Q158" t="n">
        <v>0.4299310768090794</v>
      </c>
      <c r="R158" t="n">
        <v>0.5283289191633993</v>
      </c>
      <c r="S158" t="n">
        <v>0.6671086384821661</v>
      </c>
      <c r="T158" t="n">
        <v>0.7811790300780688</v>
      </c>
      <c r="U158" t="n">
        <v>0.8851382517672624</v>
      </c>
      <c r="V158" t="n">
        <v>0.9453671333514131</v>
      </c>
      <c r="W158" t="n">
        <v>0.977488519978537</v>
      </c>
      <c r="X158" t="n">
        <v>1.018582338547886</v>
      </c>
      <c r="Y158" t="n">
        <v>1.052794863793162</v>
      </c>
      <c r="Z158" t="n">
        <v>1.194474132710964</v>
      </c>
      <c r="AA158" t="n">
        <v>1.477877756604552</v>
      </c>
      <c r="AB158" t="n">
        <v>1.884472527099533</v>
      </c>
      <c r="AC158" t="n">
        <v>2.239545217469019</v>
      </c>
      <c r="AD158" t="n">
        <v>2.566611588041945</v>
      </c>
      <c r="AE158" t="n">
        <v>2.799601021739344</v>
      </c>
      <c r="AF158" t="n">
        <v>3.030519005724804</v>
      </c>
      <c r="AG158" t="n">
        <v>3.200089372840008</v>
      </c>
      <c r="AH158" t="n">
        <v>3.296992090327831</v>
      </c>
      <c r="AI158" t="n">
        <v>3.32488192221107</v>
      </c>
    </row>
    <row r="159">
      <c r="A159" t="inlineStr">
        <is>
          <t>no_year_in_pairs</t>
        </is>
      </c>
      <c r="B159" s="2" t="n"/>
      <c r="C159" s="3" t="inlineStr">
        <is>
          <t>EBS.20.72, Sup. 1</t>
        </is>
      </c>
      <c r="D159" s="4" t="inlineStr">
        <is>
          <t>Dominica</t>
        </is>
      </c>
      <c r="E159" s="4" t="inlineStr">
        <is>
          <t>DMA</t>
        </is>
      </c>
      <c r="F159" s="4" t="n"/>
      <c r="G159" s="4" t="inlineStr">
        <is>
          <t>2018gn</t>
        </is>
      </c>
      <c r="H159" s="4" t="n">
        <v>2019</v>
      </c>
      <c r="I159" s="4" t="inlineStr">
        <is>
          <t>new.int.npc2</t>
        </is>
      </c>
      <c r="J159" t="inlineStr">
        <is>
          <t>NPC2</t>
        </is>
      </c>
      <c r="M159" t="n">
        <v>423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</row>
    <row r="160">
      <c r="A160" t="inlineStr">
        <is>
          <t>no_year_in_pairs</t>
        </is>
      </c>
      <c r="B160" s="2" t="n"/>
      <c r="C160" s="3" t="inlineStr">
        <is>
          <t>EBS.20.72, Sup. 1</t>
        </is>
      </c>
      <c r="D160" s="4" t="inlineStr">
        <is>
          <t>Dominica</t>
        </is>
      </c>
      <c r="E160" s="4" t="inlineStr">
        <is>
          <t>DMA</t>
        </is>
      </c>
      <c r="F160" s="4" t="n"/>
      <c r="G160" s="4" t="inlineStr">
        <is>
          <t>2018gn</t>
        </is>
      </c>
      <c r="H160" s="4" t="n">
        <v>2019</v>
      </c>
      <c r="I160" s="4" t="inlineStr">
        <is>
          <t>new.int.npc3</t>
        </is>
      </c>
      <c r="J160" t="inlineStr">
        <is>
          <t>NPC3</t>
        </is>
      </c>
      <c r="M160" t="n">
        <v>449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</row>
    <row r="161">
      <c r="A161" t="inlineStr">
        <is>
          <t>no_year_in_pairs</t>
        </is>
      </c>
      <c r="B161" s="2" t="n"/>
      <c r="C161" s="3" t="inlineStr">
        <is>
          <t>EBS.20.72, Sup. 1</t>
        </is>
      </c>
      <c r="D161" s="4" t="inlineStr">
        <is>
          <t>Dominica</t>
        </is>
      </c>
      <c r="E161" s="4" t="inlineStr">
        <is>
          <t>DMA</t>
        </is>
      </c>
      <c r="F161" s="4" t="n"/>
      <c r="G161" s="4" t="inlineStr">
        <is>
          <t>2018gn</t>
        </is>
      </c>
      <c r="H161" s="4" t="n">
        <v>2019</v>
      </c>
      <c r="I161" s="4" t="inlineStr">
        <is>
          <t>new.int.npc4</t>
        </is>
      </c>
      <c r="J161" t="inlineStr">
        <is>
          <t>NPC4</t>
        </is>
      </c>
      <c r="M161" t="n">
        <v>475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</row>
    <row r="162">
      <c r="A162" t="inlineStr">
        <is>
          <t>no_year_in_pairs</t>
        </is>
      </c>
      <c r="B162" s="2" t="n"/>
      <c r="C162" s="3" t="inlineStr">
        <is>
          <t>EBS.20.72, Sup. 1</t>
        </is>
      </c>
      <c r="D162" s="4" t="inlineStr">
        <is>
          <t>Dominica</t>
        </is>
      </c>
      <c r="E162" s="4" t="inlineStr">
        <is>
          <t>DMA</t>
        </is>
      </c>
      <c r="F162" s="4" t="n"/>
      <c r="G162" s="4" t="inlineStr">
        <is>
          <t>2018gn</t>
        </is>
      </c>
      <c r="H162" s="4" t="n">
        <v>2019</v>
      </c>
      <c r="I162" s="4" t="inlineStr">
        <is>
          <t>new.int.npc5</t>
        </is>
      </c>
      <c r="J162" t="inlineStr">
        <is>
          <t>NPC5</t>
        </is>
      </c>
      <c r="M162" t="n">
        <v>501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</row>
    <row r="163">
      <c r="A163" t="inlineStr">
        <is>
          <t>no_year_in_pairs</t>
        </is>
      </c>
      <c r="B163" s="2" t="n"/>
      <c r="C163" s="3" t="inlineStr">
        <is>
          <t>EBS.20.72, Sup. 1</t>
        </is>
      </c>
      <c r="D163" s="4" t="inlineStr">
        <is>
          <t>Dominica</t>
        </is>
      </c>
      <c r="E163" s="4" t="inlineStr">
        <is>
          <t>DMA</t>
        </is>
      </c>
      <c r="F163" s="4" t="n"/>
      <c r="G163" s="4" t="inlineStr">
        <is>
          <t>2018gn</t>
        </is>
      </c>
      <c r="H163" s="4" t="n">
        <v>2019</v>
      </c>
      <c r="I163" s="4" t="inlineStr">
        <is>
          <t>new.int.prvt</t>
        </is>
      </c>
      <c r="J163" t="inlineStr">
        <is>
          <t>Commercial</t>
        </is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BI163" t="inlineStr">
        <is>
          <t>NEW_DS_I_COM</t>
        </is>
      </c>
    </row>
    <row r="164">
      <c r="A164" t="inlineStr">
        <is>
          <t>no_year_in_pairs</t>
        </is>
      </c>
      <c r="B164" s="2" t="n"/>
      <c r="C164" s="3" t="inlineStr">
        <is>
          <t>EBS.20.72, Sup. 1</t>
        </is>
      </c>
      <c r="D164" s="4" t="inlineStr">
        <is>
          <t>Dominica</t>
        </is>
      </c>
      <c r="E164" s="4" t="inlineStr">
        <is>
          <t>DMA</t>
        </is>
      </c>
      <c r="F164" s="4" t="n"/>
      <c r="G164" s="4" t="inlineStr">
        <is>
          <t>2018gn</t>
        </is>
      </c>
      <c r="H164" s="4" t="n">
        <v>2019</v>
      </c>
      <c r="I164" s="4" t="inlineStr">
        <is>
          <t>new.int.prvt.bnd</t>
        </is>
      </c>
      <c r="J164" t="inlineStr">
        <is>
          <t>Eurobond</t>
        </is>
      </c>
      <c r="M164" t="n">
        <v>527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</row>
    <row r="165">
      <c r="A165" t="inlineStr">
        <is>
          <t>no_year_in_pairs</t>
        </is>
      </c>
      <c r="B165" s="2" t="n"/>
      <c r="C165" s="3" t="inlineStr">
        <is>
          <t>EBS.20.72, Sup. 1</t>
        </is>
      </c>
      <c r="D165" s="4" t="inlineStr">
        <is>
          <t>Dominica</t>
        </is>
      </c>
      <c r="E165" s="4" t="inlineStr">
        <is>
          <t>DMA</t>
        </is>
      </c>
      <c r="F165" s="4" t="n"/>
      <c r="G165" s="4" t="inlineStr">
        <is>
          <t>2018gn</t>
        </is>
      </c>
      <c r="H165" s="4" t="n">
        <v>2019</v>
      </c>
      <c r="I165" s="4" t="inlineStr">
        <is>
          <t>new.int.prvt.cmbk</t>
        </is>
      </c>
      <c r="J165" t="inlineStr">
        <is>
          <t>Commecial Bank</t>
        </is>
      </c>
      <c r="M165" t="n">
        <v>553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</row>
    <row r="166">
      <c r="A166" t="inlineStr">
        <is>
          <t>no_year_in_pairs</t>
        </is>
      </c>
      <c r="B166" s="2" t="n"/>
      <c r="C166" s="3" t="inlineStr">
        <is>
          <t>EBS.20.72, Sup. 1</t>
        </is>
      </c>
      <c r="D166" s="4" t="inlineStr">
        <is>
          <t>Dominica</t>
        </is>
      </c>
      <c r="E166" s="4" t="inlineStr">
        <is>
          <t>DMA</t>
        </is>
      </c>
      <c r="F166" s="4" t="n"/>
      <c r="G166" s="4" t="inlineStr">
        <is>
          <t>2018gn</t>
        </is>
      </c>
      <c r="H166" s="4" t="n">
        <v>2019</v>
      </c>
      <c r="I166" s="4" t="inlineStr">
        <is>
          <t>new.int.prvt.com3</t>
        </is>
      </c>
      <c r="J166" t="inlineStr">
        <is>
          <t>COM3</t>
        </is>
      </c>
      <c r="M166" t="n">
        <v>579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</row>
    <row r="167">
      <c r="A167" t="inlineStr">
        <is>
          <t>no_year_in_pairs</t>
        </is>
      </c>
      <c r="B167" s="2" t="n"/>
      <c r="C167" s="3" t="inlineStr">
        <is>
          <t>EBS.20.72, Sup. 1</t>
        </is>
      </c>
      <c r="D167" s="4" t="inlineStr">
        <is>
          <t>Dominica</t>
        </is>
      </c>
      <c r="E167" s="4" t="inlineStr">
        <is>
          <t>DMA</t>
        </is>
      </c>
      <c r="F167" s="4" t="n"/>
      <c r="G167" s="4" t="inlineStr">
        <is>
          <t>2018gn</t>
        </is>
      </c>
      <c r="H167" s="4" t="n">
        <v>2019</v>
      </c>
      <c r="I167" s="4" t="inlineStr">
        <is>
          <t>new.int.prvt.com4</t>
        </is>
      </c>
      <c r="J167" t="inlineStr">
        <is>
          <t>COM4</t>
        </is>
      </c>
      <c r="M167" t="n">
        <v>605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</row>
    <row r="168">
      <c r="A168" t="inlineStr">
        <is>
          <t>no_year_in_pairs</t>
        </is>
      </c>
      <c r="B168" s="2" t="n"/>
      <c r="C168" s="3" t="inlineStr">
        <is>
          <t>EBS.20.72, Sup. 1</t>
        </is>
      </c>
      <c r="D168" s="4" t="inlineStr">
        <is>
          <t>Dominica</t>
        </is>
      </c>
      <c r="E168" s="4" t="inlineStr">
        <is>
          <t>DMA</t>
        </is>
      </c>
      <c r="F168" s="4" t="n"/>
      <c r="G168" s="4" t="inlineStr">
        <is>
          <t>2018gn</t>
        </is>
      </c>
      <c r="H168" s="4" t="n">
        <v>2019</v>
      </c>
      <c r="I168" s="4" t="inlineStr">
        <is>
          <t>new.int.prvt.com5</t>
        </is>
      </c>
      <c r="J168" t="inlineStr">
        <is>
          <t>COM5</t>
        </is>
      </c>
      <c r="M168" t="n">
        <v>631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</row>
    <row r="169">
      <c r="A169" t="inlineStr">
        <is>
          <t>no_year_in_pairs</t>
        </is>
      </c>
      <c r="B169" s="2" t="n"/>
      <c r="C169" s="3" t="inlineStr">
        <is>
          <t>EBS.20.72, Sup. 1</t>
        </is>
      </c>
      <c r="D169" s="4" t="inlineStr">
        <is>
          <t>Dominica</t>
        </is>
      </c>
      <c r="E169" s="4" t="inlineStr">
        <is>
          <t>DMA</t>
        </is>
      </c>
      <c r="F169" s="4" t="n"/>
      <c r="G169" s="4" t="inlineStr">
        <is>
          <t>2018gn</t>
        </is>
      </c>
      <c r="H169" s="4" t="n">
        <v>2019</v>
      </c>
      <c r="I169" s="4" t="inlineStr">
        <is>
          <t>new.int.lcl.nres</t>
        </is>
      </c>
      <c r="J169" t="inlineStr">
        <is>
          <t>Locally-issued debt held by non-residents</t>
        </is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</row>
    <row r="170">
      <c r="A170" t="inlineStr">
        <is>
          <t>no_year_in_pairs</t>
        </is>
      </c>
      <c r="B170" s="2" t="n"/>
      <c r="C170" s="3" t="inlineStr">
        <is>
          <t>EBS.20.72, Sup. 1</t>
        </is>
      </c>
      <c r="D170" s="4" t="inlineStr">
        <is>
          <t>Dominica</t>
        </is>
      </c>
      <c r="E170" s="4" t="inlineStr">
        <is>
          <t>DMA</t>
        </is>
      </c>
      <c r="F170" s="4" t="n"/>
      <c r="G170" s="4" t="inlineStr">
        <is>
          <t>2018gn</t>
        </is>
      </c>
      <c r="H170" s="4" t="n">
        <v>2019</v>
      </c>
      <c r="I170" s="4" t="inlineStr">
        <is>
          <t>new.int.lcl.nres.lc</t>
        </is>
      </c>
      <c r="J170" t="inlineStr">
        <is>
          <t>Denominated in local currency (LC)</t>
        </is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</row>
    <row r="171">
      <c r="A171" t="inlineStr">
        <is>
          <t>no_year_in_pairs</t>
        </is>
      </c>
      <c r="B171" s="2" t="n"/>
      <c r="C171" s="3" t="inlineStr">
        <is>
          <t>EBS.20.72, Sup. 1</t>
        </is>
      </c>
      <c r="D171" s="4" t="inlineStr">
        <is>
          <t>Dominica</t>
        </is>
      </c>
      <c r="E171" s="4" t="inlineStr">
        <is>
          <t>DMA</t>
        </is>
      </c>
      <c r="F171" s="4" t="n"/>
      <c r="G171" s="4" t="inlineStr">
        <is>
          <t>2018gn</t>
        </is>
      </c>
      <c r="H171" s="4" t="n">
        <v>2019</v>
      </c>
      <c r="I171" s="4" t="inlineStr">
        <is>
          <t>new.int.lcl.nres.bnd.1to3.lc</t>
        </is>
      </c>
      <c r="J171" t="inlineStr">
        <is>
          <t>Bonds (1 to 3 years)-LC</t>
        </is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</row>
    <row r="172">
      <c r="A172" t="inlineStr">
        <is>
          <t>no_year_in_pairs</t>
        </is>
      </c>
      <c r="B172" s="2" t="n"/>
      <c r="C172" s="3" t="inlineStr">
        <is>
          <t>EBS.20.72, Sup. 1</t>
        </is>
      </c>
      <c r="D172" s="4" t="inlineStr">
        <is>
          <t>Dominica</t>
        </is>
      </c>
      <c r="E172" s="4" t="inlineStr">
        <is>
          <t>DMA</t>
        </is>
      </c>
      <c r="F172" s="4" t="n"/>
      <c r="G172" s="4" t="inlineStr">
        <is>
          <t>2018gn</t>
        </is>
      </c>
      <c r="H172" s="4" t="n">
        <v>2019</v>
      </c>
      <c r="I172" s="4" t="inlineStr">
        <is>
          <t>new.int.lcl.nres.bnd.4to7.lc</t>
        </is>
      </c>
      <c r="J172" t="inlineStr">
        <is>
          <t>Bonds (4 to 7 years)-LC</t>
        </is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</row>
    <row r="173">
      <c r="A173" t="inlineStr">
        <is>
          <t>no_year_in_pairs</t>
        </is>
      </c>
      <c r="B173" s="2" t="n"/>
      <c r="C173" s="3" t="inlineStr">
        <is>
          <t>EBS.20.72, Sup. 1</t>
        </is>
      </c>
      <c r="D173" s="4" t="inlineStr">
        <is>
          <t>Dominica</t>
        </is>
      </c>
      <c r="E173" s="4" t="inlineStr">
        <is>
          <t>DMA</t>
        </is>
      </c>
      <c r="F173" s="4" t="n"/>
      <c r="G173" s="4" t="inlineStr">
        <is>
          <t>2018gn</t>
        </is>
      </c>
      <c r="H173" s="4" t="n">
        <v>2019</v>
      </c>
      <c r="I173" s="4" t="inlineStr">
        <is>
          <t>new.int.lcl.nres.bnd.byd7.lc</t>
        </is>
      </c>
      <c r="J173" t="inlineStr">
        <is>
          <t>Bonds (beyond 7 years)-LC</t>
        </is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</row>
    <row r="174">
      <c r="A174" t="inlineStr">
        <is>
          <t>no_year_in_pairs</t>
        </is>
      </c>
      <c r="B174" s="2" t="n"/>
      <c r="C174" s="3" t="inlineStr">
        <is>
          <t>EBS.20.72, Sup. 1</t>
        </is>
      </c>
      <c r="D174" s="4" t="inlineStr">
        <is>
          <t>Dominica</t>
        </is>
      </c>
      <c r="E174" s="4" t="inlineStr">
        <is>
          <t>DMA</t>
        </is>
      </c>
      <c r="F174" s="4" t="n"/>
      <c r="G174" s="4" t="inlineStr">
        <is>
          <t>2018gn</t>
        </is>
      </c>
      <c r="H174" s="4" t="n">
        <v>2019</v>
      </c>
      <c r="I174" s="4" t="inlineStr">
        <is>
          <t>new.int.lcl.nres.fx</t>
        </is>
      </c>
      <c r="J174" t="inlineStr">
        <is>
          <t>Denominated in foreign currency (FX)</t>
        </is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</row>
    <row r="175">
      <c r="A175" t="inlineStr">
        <is>
          <t>no_year_in_pairs</t>
        </is>
      </c>
      <c r="B175" s="2" t="n"/>
      <c r="C175" s="3" t="inlineStr">
        <is>
          <t>EBS.20.72, Sup. 1</t>
        </is>
      </c>
      <c r="D175" s="4" t="inlineStr">
        <is>
          <t>Dominica</t>
        </is>
      </c>
      <c r="E175" s="4" t="inlineStr">
        <is>
          <t>DMA</t>
        </is>
      </c>
      <c r="F175" s="4" t="n"/>
      <c r="G175" s="4" t="inlineStr">
        <is>
          <t>2018gn</t>
        </is>
      </c>
      <c r="H175" s="4" t="n">
        <v>2019</v>
      </c>
      <c r="I175" s="4" t="inlineStr">
        <is>
          <t>new.int.lcl.nres.bnd.1to3.fx</t>
        </is>
      </c>
      <c r="J175" t="inlineStr">
        <is>
          <t>Bonds (1 to 3 years)-FX</t>
        </is>
      </c>
      <c r="M175" t="n">
        <v>657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</row>
    <row r="176">
      <c r="A176" t="inlineStr">
        <is>
          <t>no_year_in_pairs</t>
        </is>
      </c>
      <c r="B176" s="2" t="n"/>
      <c r="C176" s="3" t="inlineStr">
        <is>
          <t>EBS.20.72, Sup. 1</t>
        </is>
      </c>
      <c r="D176" s="4" t="inlineStr">
        <is>
          <t>Dominica</t>
        </is>
      </c>
      <c r="E176" s="4" t="inlineStr">
        <is>
          <t>DMA</t>
        </is>
      </c>
      <c r="F176" s="4" t="n"/>
      <c r="G176" s="4" t="inlineStr">
        <is>
          <t>2018gn</t>
        </is>
      </c>
      <c r="H176" s="4" t="n">
        <v>2019</v>
      </c>
      <c r="I176" s="4" t="inlineStr">
        <is>
          <t>new.int.lcl.nres.bnd.4to7.fx</t>
        </is>
      </c>
      <c r="J176" t="inlineStr">
        <is>
          <t>Bonds (4 to 7 years)-FX</t>
        </is>
      </c>
      <c r="M176" t="n">
        <v>683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</row>
    <row r="177">
      <c r="A177" t="inlineStr">
        <is>
          <t>no_year_in_pairs</t>
        </is>
      </c>
      <c r="B177" s="2" t="n"/>
      <c r="C177" s="3" t="inlineStr">
        <is>
          <t>EBS.20.72, Sup. 1</t>
        </is>
      </c>
      <c r="D177" s="4" t="inlineStr">
        <is>
          <t>Dominica</t>
        </is>
      </c>
      <c r="E177" s="4" t="inlineStr">
        <is>
          <t>DMA</t>
        </is>
      </c>
      <c r="F177" s="4" t="n"/>
      <c r="G177" s="4" t="inlineStr">
        <is>
          <t>2018gn</t>
        </is>
      </c>
      <c r="H177" s="4" t="n">
        <v>2019</v>
      </c>
      <c r="I177" s="4" t="inlineStr">
        <is>
          <t>new.int.lcl.nres.bnd.byd7.fx</t>
        </is>
      </c>
      <c r="J177" t="inlineStr">
        <is>
          <t>Bonds (beyond 7 years)-FX</t>
        </is>
      </c>
      <c r="M177" t="n">
        <v>709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</row>
    <row r="178">
      <c r="A178" t="inlineStr">
        <is>
          <t>no_year_in_pairs</t>
        </is>
      </c>
      <c r="B178" s="2" t="n"/>
      <c r="C178" s="3" t="inlineStr">
        <is>
          <t>EBS.20.72, Sup. 1</t>
        </is>
      </c>
      <c r="D178" s="4" t="inlineStr">
        <is>
          <t>Dominica</t>
        </is>
      </c>
      <c r="E178" s="4" t="inlineStr">
        <is>
          <t>DMA</t>
        </is>
      </c>
      <c r="F178" s="4" t="n"/>
      <c r="G178" s="4" t="inlineStr">
        <is>
          <t>2018gn</t>
        </is>
      </c>
      <c r="H178" s="4" t="n">
        <v>2019</v>
      </c>
      <c r="I178" s="5" t="n"/>
      <c r="J178" t="inlineStr">
        <is>
          <t>Locally-issued debt held by residents</t>
        </is>
      </c>
    </row>
    <row r="179">
      <c r="A179" t="inlineStr">
        <is>
          <t>no_year_in_pairs</t>
        </is>
      </c>
      <c r="B179" s="2" t="n"/>
      <c r="C179" s="3" t="inlineStr">
        <is>
          <t>EBS.20.72, Sup. 1</t>
        </is>
      </c>
      <c r="D179" s="4" t="inlineStr">
        <is>
          <t>Dominica</t>
        </is>
      </c>
      <c r="E179" s="4" t="inlineStr">
        <is>
          <t>DMA</t>
        </is>
      </c>
      <c r="F179" s="4" t="n"/>
      <c r="G179" s="4" t="inlineStr">
        <is>
          <t>2018gn</t>
        </is>
      </c>
      <c r="H179" s="4" t="n">
        <v>2019</v>
      </c>
      <c r="I179" s="4" t="inlineStr">
        <is>
          <t>new.int.lcl.fx</t>
        </is>
      </c>
      <c r="J179" t="inlineStr">
        <is>
          <t>Denominated in foreign currency (FX)</t>
        </is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</row>
    <row r="180">
      <c r="A180" t="inlineStr">
        <is>
          <t>no_year_in_pairs</t>
        </is>
      </c>
      <c r="B180" s="2" t="n"/>
      <c r="C180" s="3" t="inlineStr">
        <is>
          <t>EBS.20.72, Sup. 1</t>
        </is>
      </c>
      <c r="D180" s="4" t="inlineStr">
        <is>
          <t>Dominica</t>
        </is>
      </c>
      <c r="E180" s="4" t="inlineStr">
        <is>
          <t>DMA</t>
        </is>
      </c>
      <c r="F180" s="4" t="n"/>
      <c r="G180" s="4" t="inlineStr">
        <is>
          <t>2018gn</t>
        </is>
      </c>
      <c r="H180" s="4" t="n">
        <v>2019</v>
      </c>
      <c r="I180" s="4" t="inlineStr">
        <is>
          <t>new.int.lcl.fx.bnd.1to3.fx</t>
        </is>
      </c>
      <c r="J180" t="inlineStr">
        <is>
          <t>Bonds (1 to 3 years)-FX</t>
        </is>
      </c>
      <c r="M180" t="n">
        <v>735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</row>
    <row r="181">
      <c r="A181" t="inlineStr">
        <is>
          <t>no_year_in_pairs</t>
        </is>
      </c>
      <c r="B181" s="2" t="n"/>
      <c r="C181" s="3" t="inlineStr">
        <is>
          <t>EBS.20.72, Sup. 1</t>
        </is>
      </c>
      <c r="D181" s="4" t="inlineStr">
        <is>
          <t>Dominica</t>
        </is>
      </c>
      <c r="E181" s="4" t="inlineStr">
        <is>
          <t>DMA</t>
        </is>
      </c>
      <c r="F181" s="4" t="n"/>
      <c r="G181" s="4" t="inlineStr">
        <is>
          <t>2018gn</t>
        </is>
      </c>
      <c r="H181" s="4" t="n">
        <v>2019</v>
      </c>
      <c r="I181" s="4" t="inlineStr">
        <is>
          <t>new.int.lcl.fx.bnd.4to7.fx</t>
        </is>
      </c>
      <c r="J181" t="inlineStr">
        <is>
          <t>Bonds (4 to 7 years)-FX</t>
        </is>
      </c>
      <c r="M181" t="n">
        <v>761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</row>
    <row r="182">
      <c r="A182" t="inlineStr">
        <is>
          <t>no_year_in_pairs</t>
        </is>
      </c>
      <c r="B182" s="2" t="n"/>
      <c r="C182" s="3" t="inlineStr">
        <is>
          <t>EBS.20.72, Sup. 1</t>
        </is>
      </c>
      <c r="D182" s="4" t="inlineStr">
        <is>
          <t>Dominica</t>
        </is>
      </c>
      <c r="E182" s="4" t="inlineStr">
        <is>
          <t>DMA</t>
        </is>
      </c>
      <c r="F182" s="4" t="n"/>
      <c r="G182" s="4" t="inlineStr">
        <is>
          <t>2018gn</t>
        </is>
      </c>
      <c r="H182" s="4" t="n">
        <v>2019</v>
      </c>
      <c r="I182" s="4" t="inlineStr">
        <is>
          <t>new.int.lcl.fx.bnd.byd7.fx</t>
        </is>
      </c>
      <c r="J182" t="inlineStr">
        <is>
          <t>Bonds (beyond 7 years)-FX</t>
        </is>
      </c>
      <c r="M182" t="n">
        <v>787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</row>
    <row r="183">
      <c r="A183" t="inlineStr">
        <is>
          <t>no_year_in_pairs</t>
        </is>
      </c>
      <c r="B183" s="2" t="n"/>
      <c r="C183" s="3" t="inlineStr">
        <is>
          <t>EBS.20.72, Sup. 1</t>
        </is>
      </c>
      <c r="D183" s="4" t="inlineStr">
        <is>
          <t>Dominica</t>
        </is>
      </c>
      <c r="E183" s="4" t="inlineStr">
        <is>
          <t>DMA</t>
        </is>
      </c>
      <c r="F183" s="4" t="n"/>
      <c r="G183" s="4" t="inlineStr">
        <is>
          <t>2018gn</t>
        </is>
      </c>
      <c r="H183" s="4" t="n">
        <v>2019</v>
      </c>
      <c r="I183" s="5" t="n"/>
    </row>
    <row r="184">
      <c r="A184" t="inlineStr">
        <is>
          <t>no_year_in_pairs</t>
        </is>
      </c>
      <c r="B184" s="2" t="n"/>
      <c r="C184" s="3" t="inlineStr">
        <is>
          <t>EBS.20.72, Sup. 1</t>
        </is>
      </c>
      <c r="D184" s="4" t="inlineStr">
        <is>
          <t>Dominica</t>
        </is>
      </c>
      <c r="E184" s="4" t="inlineStr">
        <is>
          <t>DMA</t>
        </is>
      </c>
      <c r="F184" s="4" t="n"/>
      <c r="G184" s="4" t="inlineStr">
        <is>
          <t>2018gn</t>
        </is>
      </c>
      <c r="H184" s="4" t="n">
        <v>2019</v>
      </c>
      <c r="I184" s="4" t="inlineStr">
        <is>
          <t>new.amt</t>
        </is>
      </c>
      <c r="J184" t="inlineStr">
        <is>
          <t>Amortization</t>
        </is>
      </c>
      <c r="M184" t="n">
        <v>1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5.569338848944504</v>
      </c>
      <c r="V184" t="n">
        <v>6.998696150516251</v>
      </c>
      <c r="W184" t="n">
        <v>8.47844591152182</v>
      </c>
      <c r="X184" t="n">
        <v>10.1081861904373</v>
      </c>
      <c r="Y184" t="n">
        <v>11.29777415743351</v>
      </c>
      <c r="Z184" t="n">
        <v>12.013618164642</v>
      </c>
      <c r="AA184" t="n">
        <v>13.8150436119383</v>
      </c>
      <c r="AB184" t="n">
        <v>15.37103085770689</v>
      </c>
      <c r="AC184" t="n">
        <v>16.92548457238679</v>
      </c>
      <c r="AD184" t="n">
        <v>18.24630538053626</v>
      </c>
      <c r="AE184" t="n">
        <v>18.51194539235368</v>
      </c>
      <c r="AF184" t="n">
        <v>20.30239235570821</v>
      </c>
      <c r="AG184" t="n">
        <v>22.09590359480068</v>
      </c>
      <c r="AH184" t="n">
        <v>23.62762237355773</v>
      </c>
      <c r="AI184" t="n">
        <v>23.51576574793796</v>
      </c>
      <c r="BI184" t="inlineStr">
        <is>
          <t>NEW_DP_TOT</t>
        </is>
      </c>
    </row>
    <row r="185">
      <c r="A185" t="inlineStr">
        <is>
          <t>no_year_in_pairs</t>
        </is>
      </c>
      <c r="B185" s="2" t="n"/>
      <c r="C185" s="3" t="inlineStr">
        <is>
          <t>EBS.20.72, Sup. 1</t>
        </is>
      </c>
      <c r="D185" s="4" t="inlineStr">
        <is>
          <t>Dominica</t>
        </is>
      </c>
      <c r="E185" s="4" t="inlineStr">
        <is>
          <t>DMA</t>
        </is>
      </c>
      <c r="F185" s="4" t="n"/>
      <c r="G185" s="4" t="inlineStr">
        <is>
          <t>2018gn</t>
        </is>
      </c>
      <c r="H185" s="4" t="n">
        <v>2019</v>
      </c>
      <c r="I185" s="4" t="inlineStr">
        <is>
          <t>new.amt.mlt</t>
        </is>
      </c>
      <c r="J185" t="inlineStr">
        <is>
          <t>Multilaterals</t>
        </is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4.360483026829004</v>
      </c>
      <c r="V185" t="n">
        <v>5.770321645347453</v>
      </c>
      <c r="W185" t="n">
        <v>6.968934713912108</v>
      </c>
      <c r="X185" t="n">
        <v>8.20216150905968</v>
      </c>
      <c r="Y185" t="n">
        <v>9.065834071496173</v>
      </c>
      <c r="Z185" t="n">
        <v>9.484651731021248</v>
      </c>
      <c r="AA185" t="n">
        <v>10.99310907729414</v>
      </c>
      <c r="AB185" t="n">
        <v>12.33448348218264</v>
      </c>
      <c r="AC185" t="n">
        <v>13.62057516690343</v>
      </c>
      <c r="AD185" t="n">
        <v>14.65304343478578</v>
      </c>
      <c r="AE185" t="n">
        <v>15.49954734893125</v>
      </c>
      <c r="AF185" t="n">
        <v>16.24689171228103</v>
      </c>
      <c r="AG185" t="n">
        <v>16.87764684607863</v>
      </c>
      <c r="AH185" t="n">
        <v>17.48773096999549</v>
      </c>
      <c r="AI185" t="n">
        <v>16.43682346389302</v>
      </c>
      <c r="BI185" t="inlineStr">
        <is>
          <t>NEW_DP_ML</t>
        </is>
      </c>
    </row>
    <row r="186">
      <c r="A186" t="inlineStr">
        <is>
          <t>no_year_in_pairs</t>
        </is>
      </c>
      <c r="B186" s="2" t="n"/>
      <c r="C186" s="3" t="inlineStr">
        <is>
          <t>EBS.20.72, Sup. 1</t>
        </is>
      </c>
      <c r="D186" s="4" t="inlineStr">
        <is>
          <t>Dominica</t>
        </is>
      </c>
      <c r="E186" s="4" t="inlineStr">
        <is>
          <t>DMA</t>
        </is>
      </c>
      <c r="F186" s="4" t="n"/>
      <c r="G186" s="4" t="inlineStr">
        <is>
          <t>2018gn</t>
        </is>
      </c>
      <c r="H186" s="4" t="n">
        <v>2019</v>
      </c>
      <c r="I186" s="4" t="inlineStr">
        <is>
          <t>new.amt.mlt.imf</t>
        </is>
      </c>
      <c r="J186" t="inlineStr">
        <is>
          <t>IMF</t>
        </is>
      </c>
      <c r="M186" t="n">
        <v>27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1.097873285040252</v>
      </c>
      <c r="V186" t="n">
        <v>1.097873285040252</v>
      </c>
      <c r="W186" t="n">
        <v>1.097873285040252</v>
      </c>
      <c r="X186" t="n">
        <v>1.097873285040252</v>
      </c>
      <c r="Y186" t="n">
        <v>1.097873285040252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</row>
    <row r="187">
      <c r="A187" t="inlineStr">
        <is>
          <t>no_year_in_pairs</t>
        </is>
      </c>
      <c r="B187" s="2" t="n"/>
      <c r="C187" s="3" t="inlineStr">
        <is>
          <t>EBS.20.72, Sup. 1</t>
        </is>
      </c>
      <c r="D187" s="4" t="inlineStr">
        <is>
          <t>Dominica</t>
        </is>
      </c>
      <c r="E187" s="4" t="inlineStr">
        <is>
          <t>DMA</t>
        </is>
      </c>
      <c r="F187" s="4" t="n"/>
      <c r="G187" s="4" t="inlineStr">
        <is>
          <t>2018gn</t>
        </is>
      </c>
      <c r="H187" s="4" t="n">
        <v>2019</v>
      </c>
      <c r="I187" s="4" t="inlineStr">
        <is>
          <t>new.amt.mlt.ida.reg</t>
        </is>
      </c>
      <c r="J187" t="inlineStr">
        <is>
          <t>IDA - small economy</t>
        </is>
      </c>
      <c r="M187" t="n">
        <v>61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1.033333333333333</v>
      </c>
      <c r="AA187" t="n">
        <v>1.866666666666667</v>
      </c>
      <c r="AB187" t="n">
        <v>2.533333333333333</v>
      </c>
      <c r="AC187" t="n">
        <v>3.133333333333333</v>
      </c>
      <c r="AD187" t="n">
        <v>3.633333333333333</v>
      </c>
      <c r="AE187" t="n">
        <v>4.047944796843177</v>
      </c>
      <c r="AF187" t="n">
        <v>4.391386369520117</v>
      </c>
      <c r="AG187" t="n">
        <v>4.746995188932133</v>
      </c>
      <c r="AH187" t="n">
        <v>5.05992472244905</v>
      </c>
      <c r="AI187" t="n">
        <v>5.286702274466033</v>
      </c>
    </row>
    <row r="188">
      <c r="A188" t="inlineStr">
        <is>
          <t>no_year_in_pairs</t>
        </is>
      </c>
      <c r="B188" s="2" t="n"/>
      <c r="C188" s="3" t="inlineStr">
        <is>
          <t>EBS.20.72, Sup. 1</t>
        </is>
      </c>
      <c r="D188" s="4" t="inlineStr">
        <is>
          <t>Dominica</t>
        </is>
      </c>
      <c r="E188" s="4" t="inlineStr">
        <is>
          <t>DMA</t>
        </is>
      </c>
      <c r="F188" s="4" t="n"/>
      <c r="G188" s="4" t="inlineStr">
        <is>
          <t>2018gn</t>
        </is>
      </c>
      <c r="H188" s="4" t="n">
        <v>2019</v>
      </c>
      <c r="I188" s="4" t="inlineStr">
        <is>
          <t>new.amt.mlt.ida.bld</t>
        </is>
      </c>
      <c r="J188" t="inlineStr">
        <is>
          <t>IDA - small economy</t>
        </is>
      </c>
      <c r="M188" t="n">
        <v>87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</row>
    <row r="189">
      <c r="A189" t="inlineStr">
        <is>
          <t>no_year_in_pairs</t>
        </is>
      </c>
      <c r="B189" s="2" t="n"/>
      <c r="C189" s="3" t="inlineStr">
        <is>
          <t>EBS.20.72, Sup. 1</t>
        </is>
      </c>
      <c r="D189" s="4" t="inlineStr">
        <is>
          <t>Dominica</t>
        </is>
      </c>
      <c r="E189" s="4" t="inlineStr">
        <is>
          <t>DMA</t>
        </is>
      </c>
      <c r="F189" s="4" t="n"/>
      <c r="G189" s="4" t="inlineStr">
        <is>
          <t>2018gn</t>
        </is>
      </c>
      <c r="H189" s="4" t="n">
        <v>2019</v>
      </c>
      <c r="I189" s="4" t="inlineStr">
        <is>
          <t>new.amt.mlt.afdb</t>
        </is>
      </c>
      <c r="J189" t="inlineStr">
        <is>
          <t>CDB</t>
        </is>
      </c>
      <c r="M189" t="n">
        <v>112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1.5</v>
      </c>
      <c r="V189" t="n">
        <v>2.25</v>
      </c>
      <c r="W189" t="n">
        <v>2.85</v>
      </c>
      <c r="X189" t="n">
        <v>3.45</v>
      </c>
      <c r="Y189" t="n">
        <v>3.95</v>
      </c>
      <c r="Z189" t="n">
        <v>4.35</v>
      </c>
      <c r="AA189" t="n">
        <v>4.764172789350272</v>
      </c>
      <c r="AB189" t="n">
        <v>5.193018649522169</v>
      </c>
      <c r="AC189" t="n">
        <v>5.636991410497339</v>
      </c>
      <c r="AD189" t="n">
        <v>5.91277158767276</v>
      </c>
      <c r="AE189" t="n">
        <v>6.084080702114802</v>
      </c>
      <c r="AF189" t="n">
        <v>6.190635595755106</v>
      </c>
      <c r="AG189" t="n">
        <v>6.256910019462959</v>
      </c>
      <c r="AH189" t="n">
        <v>6.298078363291522</v>
      </c>
      <c r="AI189" t="n">
        <v>6.323651313088457</v>
      </c>
    </row>
    <row r="190">
      <c r="A190" t="inlineStr">
        <is>
          <t>no_year_in_pairs</t>
        </is>
      </c>
      <c r="B190" s="2" t="n"/>
      <c r="C190" s="3" t="inlineStr">
        <is>
          <t>EBS.20.72, Sup. 1</t>
        </is>
      </c>
      <c r="D190" s="4" t="inlineStr">
        <is>
          <t>Dominica</t>
        </is>
      </c>
      <c r="E190" s="4" t="inlineStr">
        <is>
          <t>DMA</t>
        </is>
      </c>
      <c r="F190" s="4" t="n"/>
      <c r="G190" s="4" t="inlineStr">
        <is>
          <t>2018gn</t>
        </is>
      </c>
      <c r="H190" s="4" t="n">
        <v>2019</v>
      </c>
      <c r="I190" s="4" t="inlineStr">
        <is>
          <t>new.amt.mlt2</t>
        </is>
      </c>
      <c r="J190" t="inlineStr">
        <is>
          <t>MULTIRES</t>
        </is>
      </c>
      <c r="M190" t="n">
        <v>138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1.762609741788753</v>
      </c>
      <c r="V190" t="n">
        <v>2.422448360307202</v>
      </c>
      <c r="W190" t="n">
        <v>3.021061428871856</v>
      </c>
      <c r="X190" t="n">
        <v>3.654288224019428</v>
      </c>
      <c r="Y190" t="n">
        <v>4.017960786455921</v>
      </c>
      <c r="Z190" t="n">
        <v>4.101318397687916</v>
      </c>
      <c r="AA190" t="n">
        <v>4.362269621277207</v>
      </c>
      <c r="AB190" t="n">
        <v>4.608131499327135</v>
      </c>
      <c r="AC190" t="n">
        <v>4.850250423072761</v>
      </c>
      <c r="AD190" t="n">
        <v>5.106938513779687</v>
      </c>
      <c r="AE190" t="n">
        <v>5.367521849973267</v>
      </c>
      <c r="AF190" t="n">
        <v>5.664869747005807</v>
      </c>
      <c r="AG190" t="n">
        <v>5.873741637683532</v>
      </c>
      <c r="AH190" t="n">
        <v>6.129727884254915</v>
      </c>
      <c r="AI190" t="n">
        <v>4.826469876338527</v>
      </c>
    </row>
    <row r="191">
      <c r="A191" t="inlineStr">
        <is>
          <t>no_year_in_pairs</t>
        </is>
      </c>
      <c r="B191" s="2" t="n"/>
      <c r="C191" s="3" t="inlineStr">
        <is>
          <t>EBS.20.72, Sup. 1</t>
        </is>
      </c>
      <c r="D191" s="4" t="inlineStr">
        <is>
          <t>Dominica</t>
        </is>
      </c>
      <c r="E191" s="4" t="inlineStr">
        <is>
          <t>DMA</t>
        </is>
      </c>
      <c r="F191" s="4" t="n"/>
      <c r="G191" s="4" t="inlineStr">
        <is>
          <t>2018gn</t>
        </is>
      </c>
      <c r="H191" s="4" t="n">
        <v>2019</v>
      </c>
      <c r="I191" s="4" t="inlineStr">
        <is>
          <t>new.amt.mlt3</t>
        </is>
      </c>
      <c r="J191" t="inlineStr">
        <is>
          <t>MULTI3</t>
        </is>
      </c>
      <c r="M191" t="n">
        <v>164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</row>
    <row r="192">
      <c r="A192" t="inlineStr">
        <is>
          <t>no_year_in_pairs</t>
        </is>
      </c>
      <c r="B192" s="2" t="n"/>
      <c r="C192" s="3" t="inlineStr">
        <is>
          <t>EBS.20.72, Sup. 1</t>
        </is>
      </c>
      <c r="D192" s="4" t="inlineStr">
        <is>
          <t>Dominica</t>
        </is>
      </c>
      <c r="E192" s="4" t="inlineStr">
        <is>
          <t>DMA</t>
        </is>
      </c>
      <c r="F192" s="4" t="n"/>
      <c r="G192" s="4" t="inlineStr">
        <is>
          <t>2018gn</t>
        </is>
      </c>
      <c r="H192" s="4" t="n">
        <v>2019</v>
      </c>
      <c r="I192" s="4" t="inlineStr">
        <is>
          <t>new.amt.mlt.oth</t>
        </is>
      </c>
      <c r="J192" t="inlineStr">
        <is>
          <t>Other Multilaterals</t>
        </is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</row>
    <row r="193">
      <c r="A193" t="inlineStr">
        <is>
          <t>no_year_in_pairs</t>
        </is>
      </c>
      <c r="B193" s="2" t="n"/>
      <c r="C193" s="3" t="inlineStr">
        <is>
          <t>EBS.20.72, Sup. 1</t>
        </is>
      </c>
      <c r="D193" s="4" t="inlineStr">
        <is>
          <t>Dominica</t>
        </is>
      </c>
      <c r="E193" s="4" t="inlineStr">
        <is>
          <t>DMA</t>
        </is>
      </c>
      <c r="F193" s="4" t="n"/>
      <c r="G193" s="4" t="inlineStr">
        <is>
          <t>2018gn</t>
        </is>
      </c>
      <c r="H193" s="4" t="n">
        <v>2019</v>
      </c>
      <c r="I193" s="4" t="inlineStr">
        <is>
          <t>new.amt.mlt.oth1</t>
        </is>
      </c>
      <c r="J193" t="inlineStr">
        <is>
          <t>OTH_MULTI1</t>
        </is>
      </c>
      <c r="M193" t="n">
        <v>190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</row>
    <row r="194">
      <c r="A194" t="inlineStr">
        <is>
          <t>no_year_in_pairs</t>
        </is>
      </c>
      <c r="B194" s="2" t="n"/>
      <c r="C194" s="3" t="inlineStr">
        <is>
          <t>EBS.20.72, Sup. 1</t>
        </is>
      </c>
      <c r="D194" s="4" t="inlineStr">
        <is>
          <t>Dominica</t>
        </is>
      </c>
      <c r="E194" s="4" t="inlineStr">
        <is>
          <t>DMA</t>
        </is>
      </c>
      <c r="F194" s="4" t="n"/>
      <c r="G194" s="4" t="inlineStr">
        <is>
          <t>2018gn</t>
        </is>
      </c>
      <c r="H194" s="4" t="n">
        <v>2019</v>
      </c>
      <c r="I194" s="4" t="inlineStr">
        <is>
          <t>new.amt.mlt.oth2</t>
        </is>
      </c>
      <c r="J194" t="inlineStr">
        <is>
          <t>OTH_MULTI2</t>
        </is>
      </c>
      <c r="M194" t="n">
        <v>216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</row>
    <row r="195">
      <c r="A195" t="inlineStr">
        <is>
          <t>no_year_in_pairs</t>
        </is>
      </c>
      <c r="B195" s="2" t="n"/>
      <c r="C195" s="3" t="inlineStr">
        <is>
          <t>EBS.20.72, Sup. 1</t>
        </is>
      </c>
      <c r="D195" s="4" t="inlineStr">
        <is>
          <t>Dominica</t>
        </is>
      </c>
      <c r="E195" s="4" t="inlineStr">
        <is>
          <t>DMA</t>
        </is>
      </c>
      <c r="F195" s="4" t="n"/>
      <c r="G195" s="4" t="inlineStr">
        <is>
          <t>2018gn</t>
        </is>
      </c>
      <c r="H195" s="4" t="n">
        <v>2019</v>
      </c>
      <c r="I195" s="4" t="inlineStr">
        <is>
          <t>new.amt.mlt.oth3</t>
        </is>
      </c>
      <c r="J195" t="inlineStr">
        <is>
          <t>OTH_MULTI3</t>
        </is>
      </c>
      <c r="M195" t="n">
        <v>242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</row>
    <row r="196">
      <c r="A196" t="inlineStr">
        <is>
          <t>no_year_in_pairs</t>
        </is>
      </c>
      <c r="B196" s="2" t="n"/>
      <c r="C196" s="3" t="inlineStr">
        <is>
          <t>EBS.20.72, Sup. 1</t>
        </is>
      </c>
      <c r="D196" s="4" t="inlineStr">
        <is>
          <t>Dominica</t>
        </is>
      </c>
      <c r="E196" s="4" t="inlineStr">
        <is>
          <t>DMA</t>
        </is>
      </c>
      <c r="F196" s="4" t="n"/>
      <c r="G196" s="4" t="inlineStr">
        <is>
          <t>2018gn</t>
        </is>
      </c>
      <c r="H196" s="4" t="n">
        <v>2019</v>
      </c>
      <c r="I196" s="4" t="inlineStr">
        <is>
          <t>new.amt.blt</t>
        </is>
      </c>
      <c r="J196" t="inlineStr">
        <is>
          <t>Official Bilaterals</t>
        </is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1.2088558221155</v>
      </c>
      <c r="V196" t="n">
        <v>1.228374505168798</v>
      </c>
      <c r="W196" t="n">
        <v>1.509511197609712</v>
      </c>
      <c r="X196" t="n">
        <v>1.906024681377617</v>
      </c>
      <c r="Y196" t="n">
        <v>2.231940085937339</v>
      </c>
      <c r="Z196" t="n">
        <v>2.52896643362075</v>
      </c>
      <c r="AA196" t="n">
        <v>2.821934534644158</v>
      </c>
      <c r="AB196" t="n">
        <v>3.03654737552425</v>
      </c>
      <c r="AC196" t="n">
        <v>3.30490940548336</v>
      </c>
      <c r="AD196" t="n">
        <v>3.593261945750482</v>
      </c>
      <c r="AE196" t="n">
        <v>3.012398043422436</v>
      </c>
      <c r="AF196" t="n">
        <v>4.055500643427178</v>
      </c>
      <c r="AG196" t="n">
        <v>5.218256748722054</v>
      </c>
      <c r="AH196" t="n">
        <v>6.13989140356225</v>
      </c>
      <c r="AI196" t="n">
        <v>7.078942284044939</v>
      </c>
      <c r="BI196" t="inlineStr">
        <is>
          <t>NEW_DP_OB</t>
        </is>
      </c>
    </row>
    <row r="197">
      <c r="A197" t="inlineStr">
        <is>
          <t>no_year_in_pairs</t>
        </is>
      </c>
      <c r="B197" s="2" t="n"/>
      <c r="C197" s="3" t="inlineStr">
        <is>
          <t>EBS.20.72, Sup. 1</t>
        </is>
      </c>
      <c r="D197" s="4" t="inlineStr">
        <is>
          <t>Dominica</t>
        </is>
      </c>
      <c r="E197" s="4" t="inlineStr">
        <is>
          <t>DMA</t>
        </is>
      </c>
      <c r="F197" s="4" t="n"/>
      <c r="G197" s="4" t="inlineStr">
        <is>
          <t>2018gn</t>
        </is>
      </c>
      <c r="H197" s="4" t="n">
        <v>2019</v>
      </c>
      <c r="I197" s="4" t="inlineStr">
        <is>
          <t>new.amt.pc</t>
        </is>
      </c>
      <c r="J197" t="inlineStr">
        <is>
          <t xml:space="preserve">   Paris Club</t>
        </is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</row>
    <row r="198">
      <c r="A198" t="inlineStr">
        <is>
          <t>no_year_in_pairs</t>
        </is>
      </c>
      <c r="B198" s="2" t="n"/>
      <c r="C198" s="3" t="inlineStr">
        <is>
          <t>EBS.20.72, Sup. 1</t>
        </is>
      </c>
      <c r="D198" s="4" t="inlineStr">
        <is>
          <t>Dominica</t>
        </is>
      </c>
      <c r="E198" s="4" t="inlineStr">
        <is>
          <t>DMA</t>
        </is>
      </c>
      <c r="F198" s="4" t="n"/>
      <c r="G198" s="4" t="inlineStr">
        <is>
          <t>2018gn</t>
        </is>
      </c>
      <c r="H198" s="4" t="n">
        <v>2019</v>
      </c>
      <c r="I198" s="4" t="inlineStr">
        <is>
          <t>new.amt.pc1</t>
        </is>
      </c>
      <c r="J198" t="inlineStr">
        <is>
          <t>Export Credit Agencies</t>
        </is>
      </c>
      <c r="M198" t="n">
        <v>268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</row>
    <row r="199">
      <c r="A199" t="inlineStr">
        <is>
          <t>no_year_in_pairs</t>
        </is>
      </c>
      <c r="B199" s="2" t="n"/>
      <c r="C199" s="3" t="inlineStr">
        <is>
          <t>EBS.20.72, Sup. 1</t>
        </is>
      </c>
      <c r="D199" s="4" t="inlineStr">
        <is>
          <t>Dominica</t>
        </is>
      </c>
      <c r="E199" s="4" t="inlineStr">
        <is>
          <t>DMA</t>
        </is>
      </c>
      <c r="F199" s="4" t="n"/>
      <c r="G199" s="4" t="inlineStr">
        <is>
          <t>2018gn</t>
        </is>
      </c>
      <c r="H199" s="4" t="n">
        <v>2019</v>
      </c>
      <c r="I199" s="4" t="inlineStr">
        <is>
          <t>new.amt.pc2</t>
        </is>
      </c>
      <c r="J199" t="inlineStr">
        <is>
          <t>PC2</t>
        </is>
      </c>
      <c r="M199" t="n">
        <v>294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</row>
    <row r="200">
      <c r="A200" t="inlineStr">
        <is>
          <t>no_year_in_pairs</t>
        </is>
      </c>
      <c r="B200" s="2" t="n"/>
      <c r="C200" s="3" t="inlineStr">
        <is>
          <t>EBS.20.72, Sup. 1</t>
        </is>
      </c>
      <c r="D200" s="4" t="inlineStr">
        <is>
          <t>Dominica</t>
        </is>
      </c>
      <c r="E200" s="4" t="inlineStr">
        <is>
          <t>DMA</t>
        </is>
      </c>
      <c r="F200" s="4" t="n"/>
      <c r="G200" s="4" t="inlineStr">
        <is>
          <t>2018gn</t>
        </is>
      </c>
      <c r="H200" s="4" t="n">
        <v>2019</v>
      </c>
      <c r="I200" s="4" t="inlineStr">
        <is>
          <t>new.amt.pc3</t>
        </is>
      </c>
      <c r="J200" t="inlineStr">
        <is>
          <t>PC3</t>
        </is>
      </c>
      <c r="M200" t="n">
        <v>320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</row>
    <row r="201">
      <c r="A201" t="inlineStr">
        <is>
          <t>no_year_in_pairs</t>
        </is>
      </c>
      <c r="B201" s="2" t="n"/>
      <c r="C201" s="3" t="inlineStr">
        <is>
          <t>EBS.20.72, Sup. 1</t>
        </is>
      </c>
      <c r="D201" s="4" t="inlineStr">
        <is>
          <t>Dominica</t>
        </is>
      </c>
      <c r="E201" s="4" t="inlineStr">
        <is>
          <t>DMA</t>
        </is>
      </c>
      <c r="F201" s="4" t="n"/>
      <c r="G201" s="4" t="inlineStr">
        <is>
          <t>2018gn</t>
        </is>
      </c>
      <c r="H201" s="4" t="n">
        <v>2019</v>
      </c>
      <c r="I201" s="4" t="inlineStr">
        <is>
          <t>new.amt.pc4</t>
        </is>
      </c>
      <c r="J201" t="inlineStr">
        <is>
          <t>PC4</t>
        </is>
      </c>
      <c r="M201" t="n">
        <v>346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</row>
    <row r="202">
      <c r="A202" t="inlineStr">
        <is>
          <t>no_year_in_pairs</t>
        </is>
      </c>
      <c r="B202" s="2" t="n"/>
      <c r="C202" s="3" t="inlineStr">
        <is>
          <t>EBS.20.72, Sup. 1</t>
        </is>
      </c>
      <c r="D202" s="4" t="inlineStr">
        <is>
          <t>Dominica</t>
        </is>
      </c>
      <c r="E202" s="4" t="inlineStr">
        <is>
          <t>DMA</t>
        </is>
      </c>
      <c r="F202" s="4" t="n"/>
      <c r="G202" s="4" t="inlineStr">
        <is>
          <t>2018gn</t>
        </is>
      </c>
      <c r="H202" s="4" t="n">
        <v>2019</v>
      </c>
      <c r="I202" s="4" t="inlineStr">
        <is>
          <t>new.amt.pc5</t>
        </is>
      </c>
      <c r="J202" t="inlineStr">
        <is>
          <t>PC5</t>
        </is>
      </c>
      <c r="M202" t="n">
        <v>372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</row>
    <row r="203">
      <c r="A203" t="inlineStr">
        <is>
          <t>no_year_in_pairs</t>
        </is>
      </c>
      <c r="B203" s="2" t="n"/>
      <c r="C203" s="3" t="inlineStr">
        <is>
          <t>EBS.20.72, Sup. 1</t>
        </is>
      </c>
      <c r="D203" s="4" t="inlineStr">
        <is>
          <t>Dominica</t>
        </is>
      </c>
      <c r="E203" s="4" t="inlineStr">
        <is>
          <t>DMA</t>
        </is>
      </c>
      <c r="F203" s="4" t="n"/>
      <c r="G203" s="4" t="inlineStr">
        <is>
          <t>2018gn</t>
        </is>
      </c>
      <c r="H203" s="4" t="n">
        <v>2019</v>
      </c>
      <c r="I203" s="4" t="inlineStr">
        <is>
          <t>new.amt.npc</t>
        </is>
      </c>
      <c r="J203" t="inlineStr">
        <is>
          <t xml:space="preserve">   Non-Paris Club</t>
        </is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1.2088558221155</v>
      </c>
      <c r="V203" t="n">
        <v>1.228374505168798</v>
      </c>
      <c r="W203" t="n">
        <v>1.509511197609712</v>
      </c>
      <c r="X203" t="n">
        <v>1.906024681377617</v>
      </c>
      <c r="Y203" t="n">
        <v>2.231940085937339</v>
      </c>
      <c r="Z203" t="n">
        <v>2.52896643362075</v>
      </c>
      <c r="AA203" t="n">
        <v>2.821934534644158</v>
      </c>
      <c r="AB203" t="n">
        <v>3.03654737552425</v>
      </c>
      <c r="AC203" t="n">
        <v>3.30490940548336</v>
      </c>
      <c r="AD203" t="n">
        <v>3.593261945750482</v>
      </c>
      <c r="AE203" t="n">
        <v>3.012398043422436</v>
      </c>
      <c r="AF203" t="n">
        <v>4.055500643427178</v>
      </c>
      <c r="AG203" t="n">
        <v>5.218256748722054</v>
      </c>
      <c r="AH203" t="n">
        <v>6.13989140356225</v>
      </c>
      <c r="AI203" t="n">
        <v>7.078942284044939</v>
      </c>
    </row>
    <row r="204">
      <c r="A204" t="inlineStr">
        <is>
          <t>no_year_in_pairs</t>
        </is>
      </c>
      <c r="B204" s="2" t="n"/>
      <c r="C204" s="3" t="inlineStr">
        <is>
          <t>EBS.20.72, Sup. 1</t>
        </is>
      </c>
      <c r="D204" s="4" t="inlineStr">
        <is>
          <t>Dominica</t>
        </is>
      </c>
      <c r="E204" s="4" t="inlineStr">
        <is>
          <t>DMA</t>
        </is>
      </c>
      <c r="F204" s="4" t="n"/>
      <c r="G204" s="4" t="inlineStr">
        <is>
          <t>2018gn</t>
        </is>
      </c>
      <c r="H204" s="4" t="n">
        <v>2019</v>
      </c>
      <c r="I204" s="4" t="inlineStr">
        <is>
          <t>new.amt.npc.eximbk</t>
        </is>
      </c>
      <c r="J204" t="inlineStr">
        <is>
          <t>NPC2</t>
        </is>
      </c>
      <c r="M204" t="n">
        <v>398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1.2088558221155</v>
      </c>
      <c r="V204" t="n">
        <v>1.228374505168798</v>
      </c>
      <c r="W204" t="n">
        <v>1.509511197609712</v>
      </c>
      <c r="X204" t="n">
        <v>1.906024681377617</v>
      </c>
      <c r="Y204" t="n">
        <v>2.231940085937339</v>
      </c>
      <c r="Z204" t="n">
        <v>2.52896643362075</v>
      </c>
      <c r="AA204" t="n">
        <v>2.821934534644158</v>
      </c>
      <c r="AB204" t="n">
        <v>3.03654737552425</v>
      </c>
      <c r="AC204" t="n">
        <v>3.30490940548336</v>
      </c>
      <c r="AD204" t="n">
        <v>3.593261945750482</v>
      </c>
      <c r="AE204" t="n">
        <v>3.012398043422436</v>
      </c>
      <c r="AF204" t="n">
        <v>4.055500643427178</v>
      </c>
      <c r="AG204" t="n">
        <v>5.218256748722054</v>
      </c>
      <c r="AH204" t="n">
        <v>6.13989140356225</v>
      </c>
      <c r="AI204" t="n">
        <v>7.078942284044939</v>
      </c>
    </row>
    <row r="205">
      <c r="A205" t="inlineStr">
        <is>
          <t>no_year_in_pairs</t>
        </is>
      </c>
      <c r="B205" s="2" t="n"/>
      <c r="C205" s="3" t="inlineStr">
        <is>
          <t>EBS.20.72, Sup. 1</t>
        </is>
      </c>
      <c r="D205" s="4" t="inlineStr">
        <is>
          <t>Dominica</t>
        </is>
      </c>
      <c r="E205" s="4" t="inlineStr">
        <is>
          <t>DMA</t>
        </is>
      </c>
      <c r="F205" s="4" t="n"/>
      <c r="G205" s="4" t="inlineStr">
        <is>
          <t>2018gn</t>
        </is>
      </c>
      <c r="H205" s="4" t="n">
        <v>2019</v>
      </c>
      <c r="I205" s="4" t="inlineStr">
        <is>
          <t>new.amt.npc2</t>
        </is>
      </c>
      <c r="J205" t="inlineStr">
        <is>
          <t>NPC2</t>
        </is>
      </c>
      <c r="M205" t="n">
        <v>424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</row>
    <row r="206">
      <c r="A206" t="inlineStr">
        <is>
          <t>no_year_in_pairs</t>
        </is>
      </c>
      <c r="B206" s="2" t="n"/>
      <c r="C206" s="3" t="inlineStr">
        <is>
          <t>EBS.20.72, Sup. 1</t>
        </is>
      </c>
      <c r="D206" s="4" t="inlineStr">
        <is>
          <t>Dominica</t>
        </is>
      </c>
      <c r="E206" s="4" t="inlineStr">
        <is>
          <t>DMA</t>
        </is>
      </c>
      <c r="F206" s="4" t="n"/>
      <c r="G206" s="4" t="inlineStr">
        <is>
          <t>2018gn</t>
        </is>
      </c>
      <c r="H206" s="4" t="n">
        <v>2019</v>
      </c>
      <c r="I206" s="4" t="inlineStr">
        <is>
          <t>new.amt.npc3</t>
        </is>
      </c>
      <c r="J206" t="inlineStr">
        <is>
          <t>NPC3</t>
        </is>
      </c>
      <c r="M206" t="n">
        <v>450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</row>
    <row r="207">
      <c r="A207" t="inlineStr">
        <is>
          <t>no_year_in_pairs</t>
        </is>
      </c>
      <c r="B207" s="2" t="n"/>
      <c r="C207" s="3" t="inlineStr">
        <is>
          <t>EBS.20.72, Sup. 1</t>
        </is>
      </c>
      <c r="D207" s="4" t="inlineStr">
        <is>
          <t>Dominica</t>
        </is>
      </c>
      <c r="E207" s="4" t="inlineStr">
        <is>
          <t>DMA</t>
        </is>
      </c>
      <c r="F207" s="4" t="n"/>
      <c r="G207" s="4" t="inlineStr">
        <is>
          <t>2018gn</t>
        </is>
      </c>
      <c r="H207" s="4" t="n">
        <v>2019</v>
      </c>
      <c r="I207" s="4" t="inlineStr">
        <is>
          <t>new.amt.npc4</t>
        </is>
      </c>
      <c r="J207" t="inlineStr">
        <is>
          <t>NPC4</t>
        </is>
      </c>
      <c r="M207" t="n">
        <v>476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</row>
    <row r="208">
      <c r="A208" t="inlineStr">
        <is>
          <t>no_year_in_pairs</t>
        </is>
      </c>
      <c r="B208" s="2" t="n"/>
      <c r="C208" s="3" t="inlineStr">
        <is>
          <t>EBS.20.72, Sup. 1</t>
        </is>
      </c>
      <c r="D208" s="4" t="inlineStr">
        <is>
          <t>Dominica</t>
        </is>
      </c>
      <c r="E208" s="4" t="inlineStr">
        <is>
          <t>DMA</t>
        </is>
      </c>
      <c r="F208" s="4" t="n"/>
      <c r="G208" s="4" t="inlineStr">
        <is>
          <t>2018gn</t>
        </is>
      </c>
      <c r="H208" s="4" t="n">
        <v>2019</v>
      </c>
      <c r="I208" s="4" t="inlineStr">
        <is>
          <t>new.amt.npc5</t>
        </is>
      </c>
      <c r="J208" t="inlineStr">
        <is>
          <t>NPC5</t>
        </is>
      </c>
      <c r="M208" t="n">
        <v>502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</row>
    <row r="209">
      <c r="A209" t="inlineStr">
        <is>
          <t>no_year_in_pairs</t>
        </is>
      </c>
      <c r="B209" s="2" t="n"/>
      <c r="C209" s="3" t="inlineStr">
        <is>
          <t>EBS.20.72, Sup. 1</t>
        </is>
      </c>
      <c r="D209" s="4" t="inlineStr">
        <is>
          <t>Dominica</t>
        </is>
      </c>
      <c r="E209" s="4" t="inlineStr">
        <is>
          <t>DMA</t>
        </is>
      </c>
      <c r="F209" s="4" t="n"/>
      <c r="G209" s="4" t="inlineStr">
        <is>
          <t>2018gn</t>
        </is>
      </c>
      <c r="H209" s="4" t="n">
        <v>2019</v>
      </c>
      <c r="I209" s="4" t="inlineStr">
        <is>
          <t>new.amt.prvt</t>
        </is>
      </c>
      <c r="J209" t="inlineStr">
        <is>
          <t>Commercial</t>
        </is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BI209" t="inlineStr">
        <is>
          <t>NEW_DP_COM</t>
        </is>
      </c>
    </row>
    <row r="210">
      <c r="A210" t="inlineStr">
        <is>
          <t>no_year_in_pairs</t>
        </is>
      </c>
      <c r="B210" s="2" t="n"/>
      <c r="C210" s="3" t="inlineStr">
        <is>
          <t>EBS.20.72, Sup. 1</t>
        </is>
      </c>
      <c r="D210" s="4" t="inlineStr">
        <is>
          <t>Dominica</t>
        </is>
      </c>
      <c r="E210" s="4" t="inlineStr">
        <is>
          <t>DMA</t>
        </is>
      </c>
      <c r="F210" s="4" t="n"/>
      <c r="G210" s="4" t="inlineStr">
        <is>
          <t>2018gn</t>
        </is>
      </c>
      <c r="H210" s="4" t="n">
        <v>2019</v>
      </c>
      <c r="I210" s="4" t="inlineStr">
        <is>
          <t>new.amt.prvt.bnd</t>
        </is>
      </c>
      <c r="J210" t="inlineStr">
        <is>
          <t>Eurobond</t>
        </is>
      </c>
      <c r="M210" t="n">
        <v>528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</row>
    <row r="211">
      <c r="A211" t="inlineStr">
        <is>
          <t>no_year_in_pairs</t>
        </is>
      </c>
      <c r="B211" s="2" t="n"/>
      <c r="C211" s="3" t="inlineStr">
        <is>
          <t>EBS.20.72, Sup. 1</t>
        </is>
      </c>
      <c r="D211" s="4" t="inlineStr">
        <is>
          <t>Dominica</t>
        </is>
      </c>
      <c r="E211" s="4" t="inlineStr">
        <is>
          <t>DMA</t>
        </is>
      </c>
      <c r="F211" s="4" t="n"/>
      <c r="G211" s="4" t="inlineStr">
        <is>
          <t>2018gn</t>
        </is>
      </c>
      <c r="H211" s="4" t="n">
        <v>2019</v>
      </c>
      <c r="I211" s="4" t="inlineStr">
        <is>
          <t>new.amt.prvt.cmbk</t>
        </is>
      </c>
      <c r="J211" t="inlineStr">
        <is>
          <t>Commecial Bank</t>
        </is>
      </c>
      <c r="M211" t="n">
        <v>554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</row>
    <row r="212">
      <c r="A212" t="inlineStr">
        <is>
          <t>no_year_in_pairs</t>
        </is>
      </c>
      <c r="B212" s="2" t="n"/>
      <c r="C212" s="3" t="inlineStr">
        <is>
          <t>EBS.20.72, Sup. 1</t>
        </is>
      </c>
      <c r="D212" s="4" t="inlineStr">
        <is>
          <t>Dominica</t>
        </is>
      </c>
      <c r="E212" s="4" t="inlineStr">
        <is>
          <t>DMA</t>
        </is>
      </c>
      <c r="F212" s="4" t="n"/>
      <c r="G212" s="4" t="inlineStr">
        <is>
          <t>2018gn</t>
        </is>
      </c>
      <c r="H212" s="4" t="n">
        <v>2019</v>
      </c>
      <c r="I212" s="4" t="inlineStr">
        <is>
          <t>new.amt.prvt.com3</t>
        </is>
      </c>
      <c r="J212" t="inlineStr">
        <is>
          <t>COM3</t>
        </is>
      </c>
      <c r="M212" t="n">
        <v>580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</row>
    <row r="213">
      <c r="A213" t="inlineStr">
        <is>
          <t>no_year_in_pairs</t>
        </is>
      </c>
      <c r="B213" s="2" t="n"/>
      <c r="C213" s="3" t="inlineStr">
        <is>
          <t>EBS.20.72, Sup. 1</t>
        </is>
      </c>
      <c r="D213" s="4" t="inlineStr">
        <is>
          <t>Dominica</t>
        </is>
      </c>
      <c r="E213" s="4" t="inlineStr">
        <is>
          <t>DMA</t>
        </is>
      </c>
      <c r="F213" s="4" t="n"/>
      <c r="G213" s="4" t="inlineStr">
        <is>
          <t>2018gn</t>
        </is>
      </c>
      <c r="H213" s="4" t="n">
        <v>2019</v>
      </c>
      <c r="I213" s="4" t="inlineStr">
        <is>
          <t>new.amt.prvt.com4</t>
        </is>
      </c>
      <c r="J213" t="inlineStr">
        <is>
          <t>COM4</t>
        </is>
      </c>
      <c r="M213" t="n">
        <v>606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</row>
    <row r="214">
      <c r="A214" t="inlineStr">
        <is>
          <t>no_year_in_pairs</t>
        </is>
      </c>
      <c r="B214" s="2" t="n"/>
      <c r="C214" s="3" t="inlineStr">
        <is>
          <t>EBS.20.72, Sup. 1</t>
        </is>
      </c>
      <c r="D214" s="4" t="inlineStr">
        <is>
          <t>Dominica</t>
        </is>
      </c>
      <c r="E214" s="4" t="inlineStr">
        <is>
          <t>DMA</t>
        </is>
      </c>
      <c r="F214" s="4" t="n"/>
      <c r="G214" s="4" t="inlineStr">
        <is>
          <t>2018gn</t>
        </is>
      </c>
      <c r="H214" s="4" t="n">
        <v>2019</v>
      </c>
      <c r="I214" s="4" t="inlineStr">
        <is>
          <t>new.amt.prvt.com5</t>
        </is>
      </c>
      <c r="J214" t="inlineStr">
        <is>
          <t>COM5</t>
        </is>
      </c>
      <c r="M214" t="n">
        <v>632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</row>
    <row r="215">
      <c r="A215" t="inlineStr">
        <is>
          <t>no_year_in_pairs</t>
        </is>
      </c>
      <c r="B215" s="2" t="n"/>
      <c r="C215" s="3" t="inlineStr">
        <is>
          <t>EBS.20.72, Sup. 1</t>
        </is>
      </c>
      <c r="D215" s="4" t="inlineStr">
        <is>
          <t>Dominica</t>
        </is>
      </c>
      <c r="E215" s="4" t="inlineStr">
        <is>
          <t>DMA</t>
        </is>
      </c>
      <c r="F215" s="4" t="n"/>
      <c r="G215" s="4" t="inlineStr">
        <is>
          <t>2018gn</t>
        </is>
      </c>
      <c r="H215" s="4" t="n">
        <v>2019</v>
      </c>
      <c r="I215" s="4" t="inlineStr">
        <is>
          <t>new.amt.lcl.nres</t>
        </is>
      </c>
      <c r="J215" t="inlineStr">
        <is>
          <t>Locally-issued debt held by non-residents</t>
        </is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</row>
    <row r="216">
      <c r="A216" t="inlineStr">
        <is>
          <t>no_year_in_pairs</t>
        </is>
      </c>
      <c r="B216" s="2" t="n"/>
      <c r="C216" s="3" t="inlineStr">
        <is>
          <t>EBS.20.72, Sup. 1</t>
        </is>
      </c>
      <c r="D216" s="4" t="inlineStr">
        <is>
          <t>Dominica</t>
        </is>
      </c>
      <c r="E216" s="4" t="inlineStr">
        <is>
          <t>DMA</t>
        </is>
      </c>
      <c r="F216" s="4" t="n"/>
      <c r="G216" s="4" t="inlineStr">
        <is>
          <t>2018gn</t>
        </is>
      </c>
      <c r="H216" s="4" t="n">
        <v>2019</v>
      </c>
      <c r="I216" s="4" t="inlineStr">
        <is>
          <t>new.amt.lcl.nres.lc</t>
        </is>
      </c>
      <c r="J216" t="inlineStr">
        <is>
          <t>Denominated in local currency (LC)</t>
        </is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</row>
    <row r="217">
      <c r="A217" t="inlineStr">
        <is>
          <t>no_year_in_pairs</t>
        </is>
      </c>
      <c r="B217" s="2" t="n"/>
      <c r="C217" s="3" t="inlineStr">
        <is>
          <t>EBS.20.72, Sup. 1</t>
        </is>
      </c>
      <c r="D217" s="4" t="inlineStr">
        <is>
          <t>Dominica</t>
        </is>
      </c>
      <c r="E217" s="4" t="inlineStr">
        <is>
          <t>DMA</t>
        </is>
      </c>
      <c r="F217" s="4" t="n"/>
      <c r="G217" s="4" t="inlineStr">
        <is>
          <t>2018gn</t>
        </is>
      </c>
      <c r="H217" s="4" t="n">
        <v>2019</v>
      </c>
      <c r="I217" s="4" t="inlineStr">
        <is>
          <t>new.amt.lcl.nres.bnd.1to3.lc</t>
        </is>
      </c>
      <c r="J217" t="inlineStr">
        <is>
          <t>Bonds (1 to 3 years)-LC</t>
        </is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</row>
    <row r="218">
      <c r="A218" t="inlineStr">
        <is>
          <t>no_year_in_pairs</t>
        </is>
      </c>
      <c r="B218" s="2" t="n"/>
      <c r="C218" s="3" t="inlineStr">
        <is>
          <t>EBS.20.72, Sup. 1</t>
        </is>
      </c>
      <c r="D218" s="4" t="inlineStr">
        <is>
          <t>Dominica</t>
        </is>
      </c>
      <c r="E218" s="4" t="inlineStr">
        <is>
          <t>DMA</t>
        </is>
      </c>
      <c r="F218" s="4" t="n"/>
      <c r="G218" s="4" t="inlineStr">
        <is>
          <t>2018gn</t>
        </is>
      </c>
      <c r="H218" s="4" t="n">
        <v>2019</v>
      </c>
      <c r="I218" s="4" t="inlineStr">
        <is>
          <t>new.amt.lcl.nres.bnd.4to7.lc</t>
        </is>
      </c>
      <c r="J218" t="inlineStr">
        <is>
          <t>Bonds (4 to 7 years)-LC</t>
        </is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</row>
    <row r="219">
      <c r="A219" t="inlineStr">
        <is>
          <t>no_year_in_pairs</t>
        </is>
      </c>
      <c r="B219" s="2" t="n"/>
      <c r="C219" s="3" t="inlineStr">
        <is>
          <t>EBS.20.72, Sup. 1</t>
        </is>
      </c>
      <c r="D219" s="4" t="inlineStr">
        <is>
          <t>Dominica</t>
        </is>
      </c>
      <c r="E219" s="4" t="inlineStr">
        <is>
          <t>DMA</t>
        </is>
      </c>
      <c r="F219" s="4" t="n"/>
      <c r="G219" s="4" t="inlineStr">
        <is>
          <t>2018gn</t>
        </is>
      </c>
      <c r="H219" s="4" t="n">
        <v>2019</v>
      </c>
      <c r="I219" s="4" t="inlineStr">
        <is>
          <t>new.amt.lcl.nres.bnd.byd7.lc</t>
        </is>
      </c>
      <c r="J219" t="inlineStr">
        <is>
          <t>Bonds (beyond 7 years)-LC</t>
        </is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</row>
    <row r="220">
      <c r="A220" t="inlineStr">
        <is>
          <t>no_year_in_pairs</t>
        </is>
      </c>
      <c r="B220" s="2" t="n"/>
      <c r="C220" s="3" t="inlineStr">
        <is>
          <t>EBS.20.72, Sup. 1</t>
        </is>
      </c>
      <c r="D220" s="4" t="inlineStr">
        <is>
          <t>Dominica</t>
        </is>
      </c>
      <c r="E220" s="4" t="inlineStr">
        <is>
          <t>DMA</t>
        </is>
      </c>
      <c r="F220" s="4" t="n"/>
      <c r="G220" s="4" t="inlineStr">
        <is>
          <t>2018gn</t>
        </is>
      </c>
      <c r="H220" s="4" t="n">
        <v>2019</v>
      </c>
      <c r="I220" s="4" t="inlineStr">
        <is>
          <t>new.amt.lcl.nres.fx</t>
        </is>
      </c>
      <c r="J220" t="inlineStr">
        <is>
          <t>Denominated in foreign currency (FX)</t>
        </is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</row>
    <row r="221">
      <c r="A221" t="inlineStr">
        <is>
          <t>no_year_in_pairs</t>
        </is>
      </c>
      <c r="B221" s="2" t="n"/>
      <c r="C221" s="3" t="inlineStr">
        <is>
          <t>EBS.20.72, Sup. 1</t>
        </is>
      </c>
      <c r="D221" s="4" t="inlineStr">
        <is>
          <t>Dominica</t>
        </is>
      </c>
      <c r="E221" s="4" t="inlineStr">
        <is>
          <t>DMA</t>
        </is>
      </c>
      <c r="F221" s="4" t="n"/>
      <c r="G221" s="4" t="inlineStr">
        <is>
          <t>2018gn</t>
        </is>
      </c>
      <c r="H221" s="4" t="n">
        <v>2019</v>
      </c>
      <c r="I221" s="4" t="inlineStr">
        <is>
          <t>new.amt.lcl.nres.bnd.1to3.fx</t>
        </is>
      </c>
      <c r="J221" t="inlineStr">
        <is>
          <t>Bonds (1 to 3 years)-FX</t>
        </is>
      </c>
      <c r="M221" t="n">
        <v>658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</row>
    <row r="222">
      <c r="A222" t="inlineStr">
        <is>
          <t>no_year_in_pairs</t>
        </is>
      </c>
      <c r="B222" s="2" t="n"/>
      <c r="C222" s="3" t="inlineStr">
        <is>
          <t>EBS.20.72, Sup. 1</t>
        </is>
      </c>
      <c r="D222" s="4" t="inlineStr">
        <is>
          <t>Dominica</t>
        </is>
      </c>
      <c r="E222" s="4" t="inlineStr">
        <is>
          <t>DMA</t>
        </is>
      </c>
      <c r="F222" s="4" t="n"/>
      <c r="G222" s="4" t="inlineStr">
        <is>
          <t>2018gn</t>
        </is>
      </c>
      <c r="H222" s="4" t="n">
        <v>2019</v>
      </c>
      <c r="I222" s="4" t="inlineStr">
        <is>
          <t>new.amt.lcl.nres.bnd.4to7.fx</t>
        </is>
      </c>
      <c r="J222" t="inlineStr">
        <is>
          <t>Bonds (4 to 7 years)-FX</t>
        </is>
      </c>
      <c r="M222" t="n">
        <v>684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</row>
    <row r="223">
      <c r="A223" t="inlineStr">
        <is>
          <t>no_year_in_pairs</t>
        </is>
      </c>
      <c r="B223" s="2" t="n"/>
      <c r="C223" s="3" t="inlineStr">
        <is>
          <t>EBS.20.72, Sup. 1</t>
        </is>
      </c>
      <c r="D223" s="4" t="inlineStr">
        <is>
          <t>Dominica</t>
        </is>
      </c>
      <c r="E223" s="4" t="inlineStr">
        <is>
          <t>DMA</t>
        </is>
      </c>
      <c r="F223" s="4" t="n"/>
      <c r="G223" s="4" t="inlineStr">
        <is>
          <t>2018gn</t>
        </is>
      </c>
      <c r="H223" s="4" t="n">
        <v>2019</v>
      </c>
      <c r="I223" s="4" t="inlineStr">
        <is>
          <t>new.amt.lcl.nres.bnd.byd7.fx</t>
        </is>
      </c>
      <c r="J223" t="inlineStr">
        <is>
          <t>Bonds (beyond 7 years)-FX</t>
        </is>
      </c>
      <c r="M223" t="n">
        <v>710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</row>
    <row r="224">
      <c r="A224" t="inlineStr">
        <is>
          <t>no_year_in_pairs</t>
        </is>
      </c>
      <c r="B224" s="2" t="n"/>
      <c r="C224" s="3" t="inlineStr">
        <is>
          <t>EBS.20.72, Sup. 1</t>
        </is>
      </c>
      <c r="D224" s="4" t="inlineStr">
        <is>
          <t>Dominica</t>
        </is>
      </c>
      <c r="E224" s="4" t="inlineStr">
        <is>
          <t>DMA</t>
        </is>
      </c>
      <c r="F224" s="4" t="n"/>
      <c r="G224" s="4" t="inlineStr">
        <is>
          <t>2018gn</t>
        </is>
      </c>
      <c r="H224" s="4" t="n">
        <v>2019</v>
      </c>
      <c r="I224" s="5" t="n"/>
      <c r="J224" t="inlineStr">
        <is>
          <t>Locally-issued debt held by non-residents</t>
        </is>
      </c>
    </row>
    <row r="225">
      <c r="A225" t="inlineStr">
        <is>
          <t>no_year_in_pairs</t>
        </is>
      </c>
      <c r="B225" s="2" t="n"/>
      <c r="C225" s="3" t="inlineStr">
        <is>
          <t>EBS.20.72, Sup. 1</t>
        </is>
      </c>
      <c r="D225" s="4" t="inlineStr">
        <is>
          <t>Dominica</t>
        </is>
      </c>
      <c r="E225" s="4" t="inlineStr">
        <is>
          <t>DMA</t>
        </is>
      </c>
      <c r="F225" s="4" t="n"/>
      <c r="G225" s="4" t="inlineStr">
        <is>
          <t>2018gn</t>
        </is>
      </c>
      <c r="H225" s="4" t="n">
        <v>2019</v>
      </c>
      <c r="I225" s="4" t="inlineStr">
        <is>
          <t>new.amt.lcl.fx</t>
        </is>
      </c>
      <c r="J225" t="inlineStr">
        <is>
          <t>Denominated in foreign currency (FX)</t>
        </is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</row>
    <row r="226">
      <c r="A226" t="inlineStr">
        <is>
          <t>no_year_in_pairs</t>
        </is>
      </c>
      <c r="B226" s="2" t="n"/>
      <c r="C226" s="3" t="inlineStr">
        <is>
          <t>EBS.20.72, Sup. 1</t>
        </is>
      </c>
      <c r="D226" s="4" t="inlineStr">
        <is>
          <t>Dominica</t>
        </is>
      </c>
      <c r="E226" s="4" t="inlineStr">
        <is>
          <t>DMA</t>
        </is>
      </c>
      <c r="F226" s="4" t="n"/>
      <c r="G226" s="4" t="inlineStr">
        <is>
          <t>2018gn</t>
        </is>
      </c>
      <c r="H226" s="4" t="n">
        <v>2019</v>
      </c>
      <c r="I226" s="4" t="inlineStr">
        <is>
          <t>new.amt.lcl.fx.bnd.1to3.fx</t>
        </is>
      </c>
      <c r="J226" t="inlineStr">
        <is>
          <t>Bonds (1 to 3 years)-FX</t>
        </is>
      </c>
      <c r="M226" t="n">
        <v>736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</row>
    <row r="227">
      <c r="A227" t="inlineStr">
        <is>
          <t>no_year_in_pairs</t>
        </is>
      </c>
      <c r="B227" s="2" t="n"/>
      <c r="C227" s="3" t="inlineStr">
        <is>
          <t>EBS.20.72, Sup. 1</t>
        </is>
      </c>
      <c r="D227" s="4" t="inlineStr">
        <is>
          <t>Dominica</t>
        </is>
      </c>
      <c r="E227" s="4" t="inlineStr">
        <is>
          <t>DMA</t>
        </is>
      </c>
      <c r="F227" s="4" t="n"/>
      <c r="G227" s="4" t="inlineStr">
        <is>
          <t>2018gn</t>
        </is>
      </c>
      <c r="H227" s="4" t="n">
        <v>2019</v>
      </c>
      <c r="I227" s="4" t="inlineStr">
        <is>
          <t>new.amt.lcl.fx.bnd.4to7.fx</t>
        </is>
      </c>
      <c r="J227" t="inlineStr">
        <is>
          <t>Bonds (4 to 7 years)-FX</t>
        </is>
      </c>
      <c r="M227" t="n">
        <v>762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</row>
    <row r="228">
      <c r="A228" t="inlineStr">
        <is>
          <t>no_year_in_pairs</t>
        </is>
      </c>
      <c r="B228" s="2" t="n"/>
      <c r="C228" s="3" t="inlineStr">
        <is>
          <t>EBS.20.72, Sup. 1</t>
        </is>
      </c>
      <c r="D228" s="4" t="inlineStr">
        <is>
          <t>Dominica</t>
        </is>
      </c>
      <c r="E228" s="4" t="inlineStr">
        <is>
          <t>DMA</t>
        </is>
      </c>
      <c r="F228" s="4" t="n"/>
      <c r="G228" s="4" t="inlineStr">
        <is>
          <t>2018gn</t>
        </is>
      </c>
      <c r="H228" s="4" t="n">
        <v>2019</v>
      </c>
      <c r="I228" s="4" t="inlineStr">
        <is>
          <t>new.amt.lcl.fx.bnd.byd7.fx</t>
        </is>
      </c>
      <c r="J228" t="inlineStr">
        <is>
          <t>Bonds (beyond 7 years)-FX</t>
        </is>
      </c>
      <c r="M228" t="n">
        <v>788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</row>
    <row r="229">
      <c r="A229" t="inlineStr">
        <is>
          <t>no_year_in_pairs</t>
        </is>
      </c>
      <c r="B229" s="2" t="n"/>
      <c r="C229" s="3" t="inlineStr">
        <is>
          <t>EBS.20.72, Sup. 1</t>
        </is>
      </c>
      <c r="D229" s="4" t="inlineStr">
        <is>
          <t>Dominica</t>
        </is>
      </c>
      <c r="E229" s="4" t="inlineStr">
        <is>
          <t>DMA</t>
        </is>
      </c>
      <c r="F229" s="4" t="n"/>
      <c r="G229" s="4" t="inlineStr">
        <is>
          <t>2018gn</t>
        </is>
      </c>
      <c r="H229" s="4" t="n">
        <v>2019</v>
      </c>
      <c r="I229" s="5" t="n"/>
    </row>
    <row r="230">
      <c r="A230" t="inlineStr">
        <is>
          <t>no_year_in_pairs</t>
        </is>
      </c>
      <c r="B230" s="2" t="n"/>
      <c r="C230" s="3" t="inlineStr">
        <is>
          <t>EBS.20.72, Sup. 1</t>
        </is>
      </c>
      <c r="D230" s="4" t="inlineStr">
        <is>
          <t>Dominica</t>
        </is>
      </c>
      <c r="E230" s="4" t="inlineStr">
        <is>
          <t>DMA</t>
        </is>
      </c>
      <c r="F230" s="4" t="n"/>
      <c r="G230" s="4" t="inlineStr">
        <is>
          <t>2018gn</t>
        </is>
      </c>
      <c r="H230" s="4" t="n">
        <v>2019</v>
      </c>
      <c r="I230" s="4" t="inlineStr">
        <is>
          <t>pv.old.dbt.mlg.trm</t>
        </is>
      </c>
      <c r="J230" t="inlineStr">
        <is>
          <t>PV of old MLT debt</t>
        </is>
      </c>
      <c r="N230" t="n">
        <v>272.9878593217654</v>
      </c>
      <c r="O230" t="n">
        <v>255.5948204947045</v>
      </c>
      <c r="P230" t="n">
        <v>238.6978912744174</v>
      </c>
      <c r="Q230" t="n">
        <v>222.4223376169058</v>
      </c>
      <c r="R230" t="n">
        <v>204.2343319958541</v>
      </c>
      <c r="S230" t="n">
        <v>186.2145892929044</v>
      </c>
      <c r="T230" t="n">
        <v>169.1750574383795</v>
      </c>
      <c r="U230" t="n">
        <v>152.6484402453385</v>
      </c>
      <c r="V230" t="n">
        <v>136.2285660725722</v>
      </c>
      <c r="W230" t="n">
        <v>120.1527634951677</v>
      </c>
      <c r="X230" t="n">
        <v>104.5889924022424</v>
      </c>
      <c r="Y230" t="n">
        <v>91.37613548003178</v>
      </c>
      <c r="Z230" t="n">
        <v>79.41596621443502</v>
      </c>
      <c r="AA230" t="n">
        <v>68.69367706934867</v>
      </c>
      <c r="AB230" t="n">
        <v>59.88711421932462</v>
      </c>
      <c r="AC230" t="n">
        <v>49.93800418059183</v>
      </c>
      <c r="AD230" t="n">
        <v>41.94975674801302</v>
      </c>
      <c r="AE230" t="n">
        <v>34.03915580626663</v>
      </c>
      <c r="AF230" t="n">
        <v>21.75529687107354</v>
      </c>
      <c r="AG230" t="n">
        <v>14.03614390157652</v>
      </c>
      <c r="AH230" t="n">
        <v>7.399676743709602</v>
      </c>
      <c r="AI230" t="n">
        <v>2.660083283715079</v>
      </c>
      <c r="BI230" t="inlineStr">
        <is>
          <t>PV_OLD_MLT</t>
        </is>
      </c>
    </row>
    <row r="231">
      <c r="A231" t="inlineStr">
        <is>
          <t>no_year_in_pairs</t>
        </is>
      </c>
      <c r="B231" s="2" t="n"/>
      <c r="C231" s="3" t="inlineStr">
        <is>
          <t>EBS.20.72, Sup. 1</t>
        </is>
      </c>
      <c r="D231" s="4" t="inlineStr">
        <is>
          <t>Dominica</t>
        </is>
      </c>
      <c r="E231" s="4" t="inlineStr">
        <is>
          <t>DMA</t>
        </is>
      </c>
      <c r="F231" s="4" t="n"/>
      <c r="G231" s="4" t="inlineStr">
        <is>
          <t>2018gn</t>
        </is>
      </c>
      <c r="H231" s="4" t="n">
        <v>2019</v>
      </c>
      <c r="I231" s="5" t="n"/>
      <c r="J231" t="inlineStr">
        <is>
          <t>Users can replace PV of old external debt by nominal debt stock when a GE is zero and PV is larger than nominal value (e.g., commercial debt) to cap PV at nominal debt outstanding.</t>
        </is>
      </c>
    </row>
    <row r="232">
      <c r="A232" t="inlineStr">
        <is>
          <t>no_year_in_pairs</t>
        </is>
      </c>
      <c r="B232" s="2" t="n"/>
      <c r="C232" s="3" t="inlineStr">
        <is>
          <t>EBS.20.72, Sup. 1</t>
        </is>
      </c>
      <c r="D232" s="4" t="inlineStr">
        <is>
          <t>Dominica</t>
        </is>
      </c>
      <c r="E232" s="4" t="inlineStr">
        <is>
          <t>DMA</t>
        </is>
      </c>
      <c r="F232" s="4" t="n"/>
      <c r="G232" s="4" t="inlineStr">
        <is>
          <t>2018gn</t>
        </is>
      </c>
      <c r="H232" s="4" t="n">
        <v>2019</v>
      </c>
      <c r="I232" s="4" t="inlineStr">
        <is>
          <t>pv.old.dbt.mlt</t>
        </is>
      </c>
      <c r="J232" t="inlineStr">
        <is>
          <t>Multilaterals</t>
        </is>
      </c>
      <c r="N232" t="n">
        <v>112.2982627740333</v>
      </c>
      <c r="O232" t="n">
        <v>110.227378023846</v>
      </c>
      <c r="P232" t="n">
        <v>104.8031667768902</v>
      </c>
      <c r="Q232" t="n">
        <v>98.66482548610507</v>
      </c>
      <c r="R232" t="n">
        <v>92.08248046411404</v>
      </c>
      <c r="S232" t="n">
        <v>84.97870222806051</v>
      </c>
      <c r="T232" t="n">
        <v>78.12540947560827</v>
      </c>
      <c r="U232" t="n">
        <v>71.67604656919238</v>
      </c>
      <c r="V232" t="n">
        <v>65.5840276736609</v>
      </c>
      <c r="W232" t="n">
        <v>59.80742841019665</v>
      </c>
      <c r="X232" t="n">
        <v>54.30841588432249</v>
      </c>
      <c r="Y232" t="n">
        <v>49.05274721808818</v>
      </c>
      <c r="Z232" t="n">
        <v>44.00932799411568</v>
      </c>
      <c r="AA232" t="n">
        <v>39.14982309718757</v>
      </c>
      <c r="AB232" t="n">
        <v>34.44831338060317</v>
      </c>
      <c r="AC232" t="n">
        <v>29.88099240690135</v>
      </c>
      <c r="AD232" t="n">
        <v>25.42589823086483</v>
      </c>
      <c r="AE232" t="n">
        <v>21.06267582016076</v>
      </c>
      <c r="AF232" t="n">
        <v>16.77236625704677</v>
      </c>
      <c r="AG232" t="n">
        <v>12.53721934332435</v>
      </c>
      <c r="AH232" t="n">
        <v>8.340526648923776</v>
      </c>
      <c r="AI232" t="n">
        <v>4.166472409810926</v>
      </c>
      <c r="BI232" t="inlineStr">
        <is>
          <t>PV_OLD_ML</t>
        </is>
      </c>
    </row>
    <row r="233">
      <c r="A233" t="inlineStr">
        <is>
          <t>no_year_in_pairs</t>
        </is>
      </c>
      <c r="B233" s="2" t="n"/>
      <c r="C233" s="3" t="inlineStr">
        <is>
          <t>EBS.20.72, Sup. 1</t>
        </is>
      </c>
      <c r="D233" s="4" t="inlineStr">
        <is>
          <t>Dominica</t>
        </is>
      </c>
      <c r="E233" s="4" t="inlineStr">
        <is>
          <t>DMA</t>
        </is>
      </c>
      <c r="F233" s="4" t="n"/>
      <c r="G233" s="4" t="inlineStr">
        <is>
          <t>2018gn</t>
        </is>
      </c>
      <c r="H233" s="4" t="n">
        <v>2019</v>
      </c>
      <c r="I233" s="4" t="inlineStr">
        <is>
          <t>pv.old.dbt.mlt.imf</t>
        </is>
      </c>
      <c r="J233" t="inlineStr">
        <is>
          <t>IMF</t>
        </is>
      </c>
      <c r="N233" t="n">
        <v>6.75325252308109</v>
      </c>
      <c r="O233" t="n">
        <v>6.808954334420329</v>
      </c>
      <c r="P233" t="n">
        <v>6.16253927336357</v>
      </c>
      <c r="Q233" t="n">
        <v>5.060862237031747</v>
      </c>
      <c r="R233" t="n">
        <v>4.468022941475927</v>
      </c>
      <c r="S233" t="n">
        <v>3.845541681142316</v>
      </c>
      <c r="T233" t="n">
        <v>3.304720681084206</v>
      </c>
      <c r="U233" t="n">
        <v>2.83460504423581</v>
      </c>
      <c r="V233" t="n">
        <v>2.425697183396298</v>
      </c>
      <c r="W233" t="n">
        <v>2.06976234608848</v>
      </c>
      <c r="X233" t="n">
        <v>1.759660061079093</v>
      </c>
      <c r="Y233" t="n">
        <v>1.489198049921201</v>
      </c>
      <c r="Z233" t="n">
        <v>1.253005607743543</v>
      </c>
      <c r="AA233" t="n">
        <v>1.046423856926507</v>
      </c>
      <c r="AB233" t="n">
        <v>0.8654106234626787</v>
      </c>
      <c r="AC233" t="n">
        <v>0.7064579858027107</v>
      </c>
      <c r="AD233" t="n">
        <v>0.5665208059884291</v>
      </c>
      <c r="AE233" t="n">
        <v>0.4429547782081687</v>
      </c>
      <c r="AF233" t="n">
        <v>0.3334627251966681</v>
      </c>
      <c r="AG233" t="n">
        <v>0.2360480421494876</v>
      </c>
      <c r="AH233" t="n">
        <v>0.1489743345017046</v>
      </c>
      <c r="AI233" t="n">
        <v>0.07073042304161201</v>
      </c>
    </row>
    <row r="234">
      <c r="A234" t="inlineStr">
        <is>
          <t>no_year_in_pairs</t>
        </is>
      </c>
      <c r="B234" s="2" t="n"/>
      <c r="C234" s="3" t="inlineStr">
        <is>
          <t>EBS.20.72, Sup. 1</t>
        </is>
      </c>
      <c r="D234" s="4" t="inlineStr">
        <is>
          <t>Dominica</t>
        </is>
      </c>
      <c r="E234" s="4" t="inlineStr">
        <is>
          <t>DMA</t>
        </is>
      </c>
      <c r="F234" s="4" t="n"/>
      <c r="G234" s="4" t="inlineStr">
        <is>
          <t>2018gn</t>
        </is>
      </c>
      <c r="H234" s="4" t="n">
        <v>2019</v>
      </c>
      <c r="I234" s="4" t="inlineStr">
        <is>
          <t>pv.old.dbt.mlt.ida.reg</t>
        </is>
      </c>
      <c r="J234" t="inlineStr">
        <is>
          <t>IDA - small economy</t>
        </is>
      </c>
      <c r="N234" t="n">
        <v>20.76002083892339</v>
      </c>
      <c r="O234" t="n">
        <v>20.61845865864735</v>
      </c>
      <c r="P234" t="n">
        <v>20.31442507306119</v>
      </c>
      <c r="Q234" t="n">
        <v>19.84811699338092</v>
      </c>
      <c r="R234" t="n">
        <v>19.22079139860553</v>
      </c>
      <c r="S234" t="n">
        <v>18.45106652409137</v>
      </c>
      <c r="T234" t="n">
        <v>17.61359539336324</v>
      </c>
      <c r="U234" t="n">
        <v>16.75319879008031</v>
      </c>
      <c r="V234" t="n">
        <v>15.86852644919579</v>
      </c>
      <c r="W234" t="n">
        <v>14.95816278854278</v>
      </c>
      <c r="X234" t="n">
        <v>14.02062361933527</v>
      </c>
      <c r="Y234" t="n">
        <v>13.05435269244842</v>
      </c>
      <c r="Z234" t="n">
        <v>12.05771807226495</v>
      </c>
      <c r="AA234" t="n">
        <v>11.02900832946273</v>
      </c>
      <c r="AB234" t="n">
        <v>9.966428543688258</v>
      </c>
      <c r="AC234" t="n">
        <v>8.868096106607521</v>
      </c>
      <c r="AD234" t="n">
        <v>7.732036315350527</v>
      </c>
      <c r="AE234" t="n">
        <v>6.556177745866645</v>
      </c>
      <c r="AF234" t="n">
        <v>5.338347395183577</v>
      </c>
      <c r="AG234" t="n">
        <v>4.076265581012817</v>
      </c>
      <c r="AH234" t="n">
        <v>2.767540586566218</v>
      </c>
      <c r="AI234" t="n">
        <v>1.409663037841828</v>
      </c>
    </row>
    <row r="235">
      <c r="A235" t="inlineStr">
        <is>
          <t>no_year_in_pairs</t>
        </is>
      </c>
      <c r="B235" s="2" t="n"/>
      <c r="C235" s="3" t="inlineStr">
        <is>
          <t>EBS.20.72, Sup. 1</t>
        </is>
      </c>
      <c r="D235" s="4" t="inlineStr">
        <is>
          <t>Dominica</t>
        </is>
      </c>
      <c r="E235" s="4" t="inlineStr">
        <is>
          <t>DMA</t>
        </is>
      </c>
      <c r="F235" s="4" t="n"/>
      <c r="G235" s="4" t="inlineStr">
        <is>
          <t>2018gn</t>
        </is>
      </c>
      <c r="H235" s="4" t="n">
        <v>2019</v>
      </c>
      <c r="I235" s="4" t="inlineStr">
        <is>
          <t>pv.old.dbt.mlt.ida.bld</t>
        </is>
      </c>
      <c r="J235" t="inlineStr">
        <is>
          <t>IDA - small economy</t>
        </is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</row>
    <row r="236">
      <c r="A236" t="inlineStr">
        <is>
          <t>no_year_in_pairs</t>
        </is>
      </c>
      <c r="B236" s="2" t="n"/>
      <c r="C236" s="3" t="inlineStr">
        <is>
          <t>EBS.20.72, Sup. 1</t>
        </is>
      </c>
      <c r="D236" s="4" t="inlineStr">
        <is>
          <t>Dominica</t>
        </is>
      </c>
      <c r="E236" s="4" t="inlineStr">
        <is>
          <t>DMA</t>
        </is>
      </c>
      <c r="F236" s="4" t="n"/>
      <c r="G236" s="4" t="inlineStr">
        <is>
          <t>2018gn</t>
        </is>
      </c>
      <c r="H236" s="4" t="n">
        <v>2019</v>
      </c>
      <c r="I236" s="4" t="inlineStr">
        <is>
          <t>pv.old.dbt.mlt.afdb</t>
        </is>
      </c>
      <c r="J236" t="inlineStr">
        <is>
          <t>CDB</t>
        </is>
      </c>
      <c r="N236" t="n">
        <v>84.78498941202879</v>
      </c>
      <c r="O236" t="n">
        <v>82.79996503077837</v>
      </c>
      <c r="P236" t="n">
        <v>78.32620243046546</v>
      </c>
      <c r="Q236" t="n">
        <v>73.7558462556924</v>
      </c>
      <c r="R236" t="n">
        <v>68.39366612403259</v>
      </c>
      <c r="S236" t="n">
        <v>62.68209402282682</v>
      </c>
      <c r="T236" t="n">
        <v>57.20709340116082</v>
      </c>
      <c r="U236" t="n">
        <v>52.08824273487627</v>
      </c>
      <c r="V236" t="n">
        <v>47.28980404106881</v>
      </c>
      <c r="W236" t="n">
        <v>42.77950327556538</v>
      </c>
      <c r="X236" t="n">
        <v>38.52813220390814</v>
      </c>
      <c r="Y236" t="n">
        <v>34.50919647571855</v>
      </c>
      <c r="Z236" t="n">
        <v>30.69860431410718</v>
      </c>
      <c r="AA236" t="n">
        <v>27.07439091079834</v>
      </c>
      <c r="AB236" t="n">
        <v>23.61647421345223</v>
      </c>
      <c r="AC236" t="n">
        <v>20.30643831449112</v>
      </c>
      <c r="AD236" t="n">
        <v>17.12734110952587</v>
      </c>
      <c r="AE236" t="n">
        <v>14.06354329608594</v>
      </c>
      <c r="AF236" t="n">
        <v>11.10055613666652</v>
      </c>
      <c r="AG236" t="n">
        <v>8.22490572016204</v>
      </c>
      <c r="AH236" t="n">
        <v>5.424011727855853</v>
      </c>
      <c r="AI236" t="n">
        <v>2.686078948927486</v>
      </c>
    </row>
    <row r="237">
      <c r="A237" t="inlineStr">
        <is>
          <t>no_year_in_pairs</t>
        </is>
      </c>
      <c r="B237" s="2" t="n"/>
      <c r="C237" s="3" t="inlineStr">
        <is>
          <t>EBS.20.72, Sup. 1</t>
        </is>
      </c>
      <c r="D237" s="4" t="inlineStr">
        <is>
          <t>Dominica</t>
        </is>
      </c>
      <c r="E237" s="4" t="inlineStr">
        <is>
          <t>DMA</t>
        </is>
      </c>
      <c r="F237" s="4" t="n"/>
      <c r="G237" s="4" t="inlineStr">
        <is>
          <t>2018gn</t>
        </is>
      </c>
      <c r="H237" s="4" t="n">
        <v>2019</v>
      </c>
      <c r="I237" s="4" t="inlineStr">
        <is>
          <t>pv.old.dbt.mlt2</t>
        </is>
      </c>
      <c r="J237" t="inlineStr">
        <is>
          <t>MULTIRES</t>
        </is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</row>
    <row r="238">
      <c r="A238" t="inlineStr">
        <is>
          <t>no_year_in_pairs</t>
        </is>
      </c>
      <c r="B238" s="2" t="n"/>
      <c r="C238" s="3" t="inlineStr">
        <is>
          <t>EBS.20.72, Sup. 1</t>
        </is>
      </c>
      <c r="D238" s="4" t="inlineStr">
        <is>
          <t>Dominica</t>
        </is>
      </c>
      <c r="E238" s="4" t="inlineStr">
        <is>
          <t>DMA</t>
        </is>
      </c>
      <c r="F238" s="4" t="n"/>
      <c r="G238" s="4" t="inlineStr">
        <is>
          <t>2018gn</t>
        </is>
      </c>
      <c r="H238" s="4" t="n">
        <v>2019</v>
      </c>
      <c r="I238" s="4" t="inlineStr">
        <is>
          <t>pv.old.dbt.mlt3</t>
        </is>
      </c>
      <c r="J238" t="inlineStr">
        <is>
          <t>MULTI3</t>
        </is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</row>
    <row r="239">
      <c r="A239" t="inlineStr">
        <is>
          <t>no_year_in_pairs</t>
        </is>
      </c>
      <c r="B239" s="2" t="n"/>
      <c r="C239" s="3" t="inlineStr">
        <is>
          <t>EBS.20.72, Sup. 1</t>
        </is>
      </c>
      <c r="D239" s="4" t="inlineStr">
        <is>
          <t>Dominica</t>
        </is>
      </c>
      <c r="E239" s="4" t="inlineStr">
        <is>
          <t>DMA</t>
        </is>
      </c>
      <c r="F239" s="4" t="n"/>
      <c r="G239" s="4" t="inlineStr">
        <is>
          <t>2018gn</t>
        </is>
      </c>
      <c r="H239" s="4" t="n">
        <v>2019</v>
      </c>
      <c r="I239" s="4" t="inlineStr">
        <is>
          <t>pv.old.dbt.mlt.oth</t>
        </is>
      </c>
      <c r="J239" t="inlineStr">
        <is>
          <t>Other Multilaterals</t>
        </is>
      </c>
      <c r="N239" t="n">
        <v>25.69928374806636</v>
      </c>
      <c r="O239" t="n">
        <v>23.50109175028449</v>
      </c>
      <c r="P239" t="n">
        <v>21.35210670816909</v>
      </c>
      <c r="Q239" t="n">
        <v>19.20411208061457</v>
      </c>
      <c r="R239" t="n">
        <v>16.79489683279345</v>
      </c>
      <c r="S239" t="n">
        <v>14.15385245221091</v>
      </c>
      <c r="T239" t="n">
        <v>13.0228906640785</v>
      </c>
      <c r="U239" t="n">
        <v>11.09523986990509</v>
      </c>
      <c r="V239" t="n">
        <v>8.759048832022197</v>
      </c>
      <c r="W239" t="n">
        <v>6.115569878670836</v>
      </c>
      <c r="X239" t="n">
        <v>3.292111416627527</v>
      </c>
      <c r="Y239" t="n">
        <v>2.480042218301026</v>
      </c>
      <c r="Z239" t="n">
        <v>2.553391741383365</v>
      </c>
      <c r="AA239" t="n">
        <v>2.517924791277264</v>
      </c>
      <c r="AB239" t="n">
        <v>2.409990805227502</v>
      </c>
      <c r="AC239" t="n">
        <v>2.24878321500526</v>
      </c>
      <c r="AD239" t="n">
        <v>2.041789058892385</v>
      </c>
      <c r="AE239" t="n">
        <v>1.775674212612011</v>
      </c>
      <c r="AF239" t="n">
        <v>1.470745514705158</v>
      </c>
      <c r="AG239" t="n">
        <v>1.13647601059344</v>
      </c>
      <c r="AH239" t="n">
        <v>0.7780180298574884</v>
      </c>
      <c r="AI239" t="n">
        <v>0.3983726929029009</v>
      </c>
    </row>
    <row r="240">
      <c r="A240" t="inlineStr">
        <is>
          <t>no_year_in_pairs</t>
        </is>
      </c>
      <c r="B240" s="2" t="n"/>
      <c r="C240" s="3" t="inlineStr">
        <is>
          <t>EBS.20.72, Sup. 1</t>
        </is>
      </c>
      <c r="D240" s="4" t="inlineStr">
        <is>
          <t>Dominica</t>
        </is>
      </c>
      <c r="E240" s="4" t="inlineStr">
        <is>
          <t>DMA</t>
        </is>
      </c>
      <c r="F240" s="4" t="n"/>
      <c r="G240" s="4" t="inlineStr">
        <is>
          <t>2018gn</t>
        </is>
      </c>
      <c r="H240" s="4" t="n">
        <v>2019</v>
      </c>
      <c r="I240" s="4" t="inlineStr">
        <is>
          <t>pv.old.dbt.mlt.oth1</t>
        </is>
      </c>
      <c r="J240" t="inlineStr">
        <is>
          <t>OTH_MULTI1</t>
        </is>
      </c>
      <c r="N240" t="n">
        <v>25.69928374806636</v>
      </c>
      <c r="O240" t="n">
        <v>23.50109175028449</v>
      </c>
      <c r="P240" t="n">
        <v>21.35210670816909</v>
      </c>
      <c r="Q240" t="n">
        <v>19.20411208061457</v>
      </c>
      <c r="R240" t="n">
        <v>16.79489683279345</v>
      </c>
      <c r="S240" t="n">
        <v>14.15385245221091</v>
      </c>
      <c r="T240" t="n">
        <v>13.0228906640785</v>
      </c>
      <c r="U240" t="n">
        <v>11.09523986990509</v>
      </c>
      <c r="V240" t="n">
        <v>8.759048832022197</v>
      </c>
      <c r="W240" t="n">
        <v>6.115569878670836</v>
      </c>
      <c r="X240" t="n">
        <v>3.292111416627527</v>
      </c>
      <c r="Y240" t="n">
        <v>2.480042218301026</v>
      </c>
      <c r="Z240" t="n">
        <v>2.553391741383365</v>
      </c>
      <c r="AA240" t="n">
        <v>2.517924791277264</v>
      </c>
      <c r="AB240" t="n">
        <v>2.409990805227502</v>
      </c>
      <c r="AC240" t="n">
        <v>2.24878321500526</v>
      </c>
      <c r="AD240" t="n">
        <v>2.041789058892385</v>
      </c>
      <c r="AE240" t="n">
        <v>1.775674212612011</v>
      </c>
      <c r="AF240" t="n">
        <v>1.470745514705158</v>
      </c>
      <c r="AG240" t="n">
        <v>1.13647601059344</v>
      </c>
      <c r="AH240" t="n">
        <v>0.7780180298574884</v>
      </c>
      <c r="AI240" t="n">
        <v>0.3983726929029009</v>
      </c>
    </row>
    <row r="241">
      <c r="A241" t="inlineStr">
        <is>
          <t>no_year_in_pairs</t>
        </is>
      </c>
      <c r="B241" s="2" t="n"/>
      <c r="C241" s="3" t="inlineStr">
        <is>
          <t>EBS.20.72, Sup. 1</t>
        </is>
      </c>
      <c r="D241" s="4" t="inlineStr">
        <is>
          <t>Dominica</t>
        </is>
      </c>
      <c r="E241" s="4" t="inlineStr">
        <is>
          <t>DMA</t>
        </is>
      </c>
      <c r="F241" s="4" t="n"/>
      <c r="G241" s="4" t="inlineStr">
        <is>
          <t>2018gn</t>
        </is>
      </c>
      <c r="H241" s="4" t="n">
        <v>2019</v>
      </c>
      <c r="I241" s="4" t="inlineStr">
        <is>
          <t>pv.old.dbt.mlt.oth2</t>
        </is>
      </c>
      <c r="J241" t="inlineStr">
        <is>
          <t>OTH_MULTI2</t>
        </is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</row>
    <row r="242">
      <c r="A242" t="inlineStr">
        <is>
          <t>no_year_in_pairs</t>
        </is>
      </c>
      <c r="B242" s="2" t="n"/>
      <c r="C242" s="3" t="inlineStr">
        <is>
          <t>EBS.20.72, Sup. 1</t>
        </is>
      </c>
      <c r="D242" s="4" t="inlineStr">
        <is>
          <t>Dominica</t>
        </is>
      </c>
      <c r="E242" s="4" t="inlineStr">
        <is>
          <t>DMA</t>
        </is>
      </c>
      <c r="F242" s="4" t="n"/>
      <c r="G242" s="4" t="inlineStr">
        <is>
          <t>2018gn</t>
        </is>
      </c>
      <c r="H242" s="4" t="n">
        <v>2019</v>
      </c>
      <c r="I242" s="4" t="inlineStr">
        <is>
          <t>pv.old.dbt.mlt.oth3</t>
        </is>
      </c>
      <c r="J242" t="inlineStr">
        <is>
          <t>OTH_MULTI3</t>
        </is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</row>
    <row r="243">
      <c r="A243" t="inlineStr">
        <is>
          <t>no_year_in_pairs</t>
        </is>
      </c>
      <c r="B243" s="2" t="n"/>
      <c r="C243" s="3" t="inlineStr">
        <is>
          <t>EBS.20.72, Sup. 1</t>
        </is>
      </c>
      <c r="D243" s="4" t="inlineStr">
        <is>
          <t>Dominica</t>
        </is>
      </c>
      <c r="E243" s="4" t="inlineStr">
        <is>
          <t>DMA</t>
        </is>
      </c>
      <c r="F243" s="4" t="n"/>
      <c r="G243" s="4" t="inlineStr">
        <is>
          <t>2018gn</t>
        </is>
      </c>
      <c r="H243" s="4" t="n">
        <v>2019</v>
      </c>
      <c r="I243" s="4" t="inlineStr">
        <is>
          <t>pv.old.dbt.blt</t>
        </is>
      </c>
      <c r="J243" t="inlineStr">
        <is>
          <t>Official Bilaterals</t>
        </is>
      </c>
      <c r="N243" t="n">
        <v>57.1914533603541</v>
      </c>
      <c r="O243" t="n">
        <v>52.57038654161596</v>
      </c>
      <c r="P243" t="n">
        <v>47.16356498643861</v>
      </c>
      <c r="Q243" t="n">
        <v>42.10229765588519</v>
      </c>
      <c r="R243" t="n">
        <v>36.97279899376952</v>
      </c>
      <c r="S243" t="n">
        <v>31.73854946888807</v>
      </c>
      <c r="T243" t="n">
        <v>27.11111038318147</v>
      </c>
      <c r="U243" t="n">
        <v>22.50201517388107</v>
      </c>
      <c r="V243" t="n">
        <v>18.0180658103486</v>
      </c>
      <c r="W243" t="n">
        <v>13.62066674372385</v>
      </c>
      <c r="X243" t="n">
        <v>9.335347344946411</v>
      </c>
      <c r="Y243" t="n">
        <v>5.197814187956889</v>
      </c>
      <c r="Z243" t="n">
        <v>1.129553479465744</v>
      </c>
      <c r="AA243" t="n">
        <v>-1.728353068433258</v>
      </c>
      <c r="AB243" t="n">
        <v>-2.695598058166582</v>
      </c>
      <c r="AC243" t="n">
        <v>-2.887307336817081</v>
      </c>
      <c r="AD243" t="n">
        <v>-3.043717488005881</v>
      </c>
      <c r="AE243" t="n">
        <v>-3.201089274885732</v>
      </c>
      <c r="AF243" t="n">
        <v>-3.364969038891039</v>
      </c>
      <c r="AG243" t="n">
        <v>-3.536858393298695</v>
      </c>
      <c r="AH243" t="n">
        <v>-3.716073929043808</v>
      </c>
      <c r="AI243" t="n">
        <v>-1.90476181900812</v>
      </c>
      <c r="BI243" t="inlineStr">
        <is>
          <t>PV_OLD_OB</t>
        </is>
      </c>
    </row>
    <row r="244">
      <c r="A244" t="inlineStr">
        <is>
          <t>no_year_in_pairs</t>
        </is>
      </c>
      <c r="B244" s="2" t="n"/>
      <c r="C244" s="3" t="inlineStr">
        <is>
          <t>EBS.20.72, Sup. 1</t>
        </is>
      </c>
      <c r="D244" s="4" t="inlineStr">
        <is>
          <t>Dominica</t>
        </is>
      </c>
      <c r="E244" s="4" t="inlineStr">
        <is>
          <t>DMA</t>
        </is>
      </c>
      <c r="F244" s="4" t="n"/>
      <c r="G244" s="4" t="inlineStr">
        <is>
          <t>2018gn</t>
        </is>
      </c>
      <c r="H244" s="4" t="n">
        <v>2019</v>
      </c>
      <c r="I244" s="4" t="inlineStr">
        <is>
          <t>pv.old.dbt.pc</t>
        </is>
      </c>
      <c r="J244" t="inlineStr">
        <is>
          <t xml:space="preserve">   Paris Club</t>
        </is>
      </c>
      <c r="N244" t="n">
        <v>17.46809119978489</v>
      </c>
      <c r="O244" t="n">
        <v>15.68792438940376</v>
      </c>
      <c r="P244" t="n">
        <v>13.71334105331839</v>
      </c>
      <c r="Q244" t="n">
        <v>11.69234425413246</v>
      </c>
      <c r="R244" t="n">
        <v>9.620196503876132</v>
      </c>
      <c r="S244" t="n">
        <v>7.493639106847713</v>
      </c>
      <c r="T244" t="n">
        <v>5.83378714198322</v>
      </c>
      <c r="U244" t="n">
        <v>4.538047328629493</v>
      </c>
      <c r="V244" t="n">
        <v>3.526370506885767</v>
      </c>
      <c r="W244" t="n">
        <v>2.736297312879784</v>
      </c>
      <c r="X244" t="n">
        <v>2.11909260178221</v>
      </c>
      <c r="Y244" t="n">
        <v>1.636729357529669</v>
      </c>
      <c r="Z244" t="n">
        <v>1.259535407700553</v>
      </c>
      <c r="AA244" t="n">
        <v>0.964357286710287</v>
      </c>
      <c r="AB244" t="n">
        <v>0.7331275997109412</v>
      </c>
      <c r="AC244" t="n">
        <v>0.5517472145215524</v>
      </c>
      <c r="AD244" t="n">
        <v>0.409213095417653</v>
      </c>
      <c r="AE244" t="n">
        <v>0.2969377967986517</v>
      </c>
      <c r="AF244" t="n">
        <v>0.2082184977015372</v>
      </c>
      <c r="AG244" t="n">
        <v>0.1378227141024482</v>
      </c>
      <c r="AH244" t="n">
        <v>0.08166504784755982</v>
      </c>
      <c r="AI244" t="n">
        <v>0.03655496588488742</v>
      </c>
    </row>
    <row r="245">
      <c r="A245" t="inlineStr">
        <is>
          <t>no_year_in_pairs</t>
        </is>
      </c>
      <c r="B245" s="2" t="n"/>
      <c r="C245" s="3" t="inlineStr">
        <is>
          <t>EBS.20.72, Sup. 1</t>
        </is>
      </c>
      <c r="D245" s="4" t="inlineStr">
        <is>
          <t>Dominica</t>
        </is>
      </c>
      <c r="E245" s="4" t="inlineStr">
        <is>
          <t>DMA</t>
        </is>
      </c>
      <c r="F245" s="4" t="n"/>
      <c r="G245" s="4" t="inlineStr">
        <is>
          <t>2018gn</t>
        </is>
      </c>
      <c r="H245" s="4" t="n">
        <v>2019</v>
      </c>
      <c r="I245" s="4" t="inlineStr">
        <is>
          <t>pv.old.dbt.pc1</t>
        </is>
      </c>
      <c r="J245" t="inlineStr">
        <is>
          <t>Export Credit Agencies</t>
        </is>
      </c>
      <c r="N245" t="n">
        <v>17.46809119978489</v>
      </c>
      <c r="O245" t="n">
        <v>15.68792438940376</v>
      </c>
      <c r="P245" t="n">
        <v>13.71334105331839</v>
      </c>
      <c r="Q245" t="n">
        <v>11.69234425413246</v>
      </c>
      <c r="R245" t="n">
        <v>9.620196503876132</v>
      </c>
      <c r="S245" t="n">
        <v>7.493639106847713</v>
      </c>
      <c r="T245" t="n">
        <v>5.83378714198322</v>
      </c>
      <c r="U245" t="n">
        <v>4.538047328629493</v>
      </c>
      <c r="V245" t="n">
        <v>3.526370506885767</v>
      </c>
      <c r="W245" t="n">
        <v>2.736297312879784</v>
      </c>
      <c r="X245" t="n">
        <v>2.11909260178221</v>
      </c>
      <c r="Y245" t="n">
        <v>1.636729357529669</v>
      </c>
      <c r="Z245" t="n">
        <v>1.259535407700553</v>
      </c>
      <c r="AA245" t="n">
        <v>0.964357286710287</v>
      </c>
      <c r="AB245" t="n">
        <v>0.7331275997109412</v>
      </c>
      <c r="AC245" t="n">
        <v>0.5517472145215524</v>
      </c>
      <c r="AD245" t="n">
        <v>0.409213095417653</v>
      </c>
      <c r="AE245" t="n">
        <v>0.2969377967986517</v>
      </c>
      <c r="AF245" t="n">
        <v>0.2082184977015372</v>
      </c>
      <c r="AG245" t="n">
        <v>0.1378227141024482</v>
      </c>
      <c r="AH245" t="n">
        <v>0.08166504784755982</v>
      </c>
      <c r="AI245" t="n">
        <v>0.03655496588488742</v>
      </c>
    </row>
    <row r="246">
      <c r="A246" t="inlineStr">
        <is>
          <t>no_year_in_pairs</t>
        </is>
      </c>
      <c r="B246" s="2" t="n"/>
      <c r="C246" s="3" t="inlineStr">
        <is>
          <t>EBS.20.72, Sup. 1</t>
        </is>
      </c>
      <c r="D246" s="4" t="inlineStr">
        <is>
          <t>Dominica</t>
        </is>
      </c>
      <c r="E246" s="4" t="inlineStr">
        <is>
          <t>DMA</t>
        </is>
      </c>
      <c r="F246" s="4" t="n"/>
      <c r="G246" s="4" t="inlineStr">
        <is>
          <t>2018gn</t>
        </is>
      </c>
      <c r="H246" s="4" t="n">
        <v>2019</v>
      </c>
      <c r="I246" s="4" t="inlineStr">
        <is>
          <t>pv.old.dbt.pc2</t>
        </is>
      </c>
      <c r="J246" t="inlineStr">
        <is>
          <t>PC2</t>
        </is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</row>
    <row r="247">
      <c r="A247" t="inlineStr">
        <is>
          <t>no_year_in_pairs</t>
        </is>
      </c>
      <c r="B247" s="2" t="n"/>
      <c r="C247" s="3" t="inlineStr">
        <is>
          <t>EBS.20.72, Sup. 1</t>
        </is>
      </c>
      <c r="D247" s="4" t="inlineStr">
        <is>
          <t>Dominica</t>
        </is>
      </c>
      <c r="E247" s="4" t="inlineStr">
        <is>
          <t>DMA</t>
        </is>
      </c>
      <c r="F247" s="4" t="n"/>
      <c r="G247" s="4" t="inlineStr">
        <is>
          <t>2018gn</t>
        </is>
      </c>
      <c r="H247" s="4" t="n">
        <v>2019</v>
      </c>
      <c r="I247" s="4" t="inlineStr">
        <is>
          <t>pv.old.dbt.pc3</t>
        </is>
      </c>
      <c r="J247" t="inlineStr">
        <is>
          <t>PC3</t>
        </is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</row>
    <row r="248">
      <c r="A248" t="inlineStr">
        <is>
          <t>no_year_in_pairs</t>
        </is>
      </c>
      <c r="B248" s="2" t="n"/>
      <c r="C248" s="3" t="inlineStr">
        <is>
          <t>EBS.20.72, Sup. 1</t>
        </is>
      </c>
      <c r="D248" s="4" t="inlineStr">
        <is>
          <t>Dominica</t>
        </is>
      </c>
      <c r="E248" s="4" t="inlineStr">
        <is>
          <t>DMA</t>
        </is>
      </c>
      <c r="F248" s="4" t="n"/>
      <c r="G248" s="4" t="inlineStr">
        <is>
          <t>2018gn</t>
        </is>
      </c>
      <c r="H248" s="4" t="n">
        <v>2019</v>
      </c>
      <c r="I248" s="4" t="inlineStr">
        <is>
          <t>pv.old.dbt.pc4</t>
        </is>
      </c>
      <c r="J248" t="inlineStr">
        <is>
          <t>PC4</t>
        </is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</row>
    <row r="249">
      <c r="A249" t="inlineStr">
        <is>
          <t>no_year_in_pairs</t>
        </is>
      </c>
      <c r="B249" s="2" t="n"/>
      <c r="C249" s="3" t="inlineStr">
        <is>
          <t>EBS.20.72, Sup. 1</t>
        </is>
      </c>
      <c r="D249" s="4" t="inlineStr">
        <is>
          <t>Dominica</t>
        </is>
      </c>
      <c r="E249" s="4" t="inlineStr">
        <is>
          <t>DMA</t>
        </is>
      </c>
      <c r="F249" s="4" t="n"/>
      <c r="G249" s="4" t="inlineStr">
        <is>
          <t>2018gn</t>
        </is>
      </c>
      <c r="H249" s="4" t="n">
        <v>2019</v>
      </c>
      <c r="I249" s="4" t="inlineStr">
        <is>
          <t>pv.old.dbt.pc5</t>
        </is>
      </c>
      <c r="J249" t="inlineStr">
        <is>
          <t>PC5</t>
        </is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</row>
    <row r="250">
      <c r="A250" t="inlineStr">
        <is>
          <t>no_year_in_pairs</t>
        </is>
      </c>
      <c r="B250" s="2" t="n"/>
      <c r="C250" s="3" t="inlineStr">
        <is>
          <t>EBS.20.72, Sup. 1</t>
        </is>
      </c>
      <c r="D250" s="4" t="inlineStr">
        <is>
          <t>Dominica</t>
        </is>
      </c>
      <c r="E250" s="4" t="inlineStr">
        <is>
          <t>DMA</t>
        </is>
      </c>
      <c r="F250" s="4" t="n"/>
      <c r="G250" s="4" t="inlineStr">
        <is>
          <t>2018gn</t>
        </is>
      </c>
      <c r="H250" s="4" t="n">
        <v>2019</v>
      </c>
      <c r="I250" s="4" t="inlineStr">
        <is>
          <t>pv.old.dbt.npc</t>
        </is>
      </c>
      <c r="J250" t="inlineStr">
        <is>
          <t xml:space="preserve">   Non-Paris Club</t>
        </is>
      </c>
      <c r="N250" t="n">
        <v>39.72336216056922</v>
      </c>
      <c r="O250" t="n">
        <v>36.8824621522122</v>
      </c>
      <c r="P250" t="n">
        <v>33.45022393312021</v>
      </c>
      <c r="Q250" t="n">
        <v>30.40995340175272</v>
      </c>
      <c r="R250" t="n">
        <v>27.35260248989339</v>
      </c>
      <c r="S250" t="n">
        <v>24.24491036204036</v>
      </c>
      <c r="T250" t="n">
        <v>21.27732324119825</v>
      </c>
      <c r="U250" t="n">
        <v>17.96396784525157</v>
      </c>
      <c r="V250" t="n">
        <v>14.49169530346283</v>
      </c>
      <c r="W250" t="n">
        <v>10.88436943084406</v>
      </c>
      <c r="X250" t="n">
        <v>7.216254743164201</v>
      </c>
      <c r="Y250" t="n">
        <v>3.56108483042722</v>
      </c>
      <c r="Z250" t="n">
        <v>-0.129981928234808</v>
      </c>
      <c r="AA250" t="n">
        <v>-2.692710355143545</v>
      </c>
      <c r="AB250" t="n">
        <v>-3.428725657877524</v>
      </c>
      <c r="AC250" t="n">
        <v>-3.439054551338633</v>
      </c>
      <c r="AD250" t="n">
        <v>-3.452930583423534</v>
      </c>
      <c r="AE250" t="n">
        <v>-3.498027071684384</v>
      </c>
      <c r="AF250" t="n">
        <v>-3.573187536592576</v>
      </c>
      <c r="AG250" t="n">
        <v>-3.674681107401143</v>
      </c>
      <c r="AH250" t="n">
        <v>-3.797738976891368</v>
      </c>
      <c r="AI250" t="n">
        <v>-1.941316784893008</v>
      </c>
    </row>
    <row r="251">
      <c r="A251" t="inlineStr">
        <is>
          <t>no_year_in_pairs</t>
        </is>
      </c>
      <c r="B251" s="2" t="n"/>
      <c r="C251" s="3" t="inlineStr">
        <is>
          <t>EBS.20.72, Sup. 1</t>
        </is>
      </c>
      <c r="D251" s="4" t="inlineStr">
        <is>
          <t>Dominica</t>
        </is>
      </c>
      <c r="E251" s="4" t="inlineStr">
        <is>
          <t>DMA</t>
        </is>
      </c>
      <c r="F251" s="4" t="n"/>
      <c r="G251" s="4" t="inlineStr">
        <is>
          <t>2018gn</t>
        </is>
      </c>
      <c r="H251" s="4" t="n">
        <v>2019</v>
      </c>
      <c r="I251" s="4" t="inlineStr">
        <is>
          <t>pv.old.dbt.npc.eximbk</t>
        </is>
      </c>
      <c r="J251" t="inlineStr">
        <is>
          <t>NPC2</t>
        </is>
      </c>
      <c r="N251" t="n">
        <v>1.075084092582566</v>
      </c>
      <c r="O251" t="n">
        <v>0.836710000915398</v>
      </c>
      <c r="P251" t="n">
        <v>0.3063415009611679</v>
      </c>
      <c r="Q251" t="n">
        <v>0.2242403537870041</v>
      </c>
      <c r="R251" t="n">
        <v>0.1836720011059839</v>
      </c>
      <c r="S251" t="n">
        <v>0.1426243048649868</v>
      </c>
      <c r="T251" t="n">
        <v>0.1106882117652103</v>
      </c>
      <c r="U251" t="n">
        <v>0.08583808733836308</v>
      </c>
      <c r="V251" t="n">
        <v>0.06649846941103763</v>
      </c>
      <c r="W251" t="n">
        <v>0.05144401515980903</v>
      </c>
      <c r="X251" t="n">
        <v>0.03972168502665299</v>
      </c>
      <c r="Y251" t="n">
        <v>0.03059022131248534</v>
      </c>
      <c r="Z251" t="n">
        <v>0.02347307767454375</v>
      </c>
      <c r="AA251" t="n">
        <v>0.01792181003828244</v>
      </c>
      <c r="AB251" t="n">
        <v>0.01358760385316057</v>
      </c>
      <c r="AC251" t="n">
        <v>0.01019912937225708</v>
      </c>
      <c r="AD251" t="n">
        <v>0.007545318537529122</v>
      </c>
      <c r="AE251" t="n">
        <v>0.005461969631052917</v>
      </c>
      <c r="AF251" t="n">
        <v>0.003821328960006794</v>
      </c>
      <c r="AG251" t="n">
        <v>0.002523987919542424</v>
      </c>
      <c r="AH251" t="n">
        <v>0.001492580831527465</v>
      </c>
      <c r="AI251" t="n">
        <v>0.0006668833280104923</v>
      </c>
    </row>
    <row r="252">
      <c r="A252" t="inlineStr">
        <is>
          <t>no_year_in_pairs</t>
        </is>
      </c>
      <c r="B252" s="2" t="n"/>
      <c r="C252" s="3" t="inlineStr">
        <is>
          <t>EBS.20.72, Sup. 1</t>
        </is>
      </c>
      <c r="D252" s="4" t="inlineStr">
        <is>
          <t>Dominica</t>
        </is>
      </c>
      <c r="E252" s="4" t="inlineStr">
        <is>
          <t>DMA</t>
        </is>
      </c>
      <c r="F252" s="4" t="n"/>
      <c r="G252" s="4" t="inlineStr">
        <is>
          <t>2018gn</t>
        </is>
      </c>
      <c r="H252" s="4" t="n">
        <v>2019</v>
      </c>
      <c r="I252" s="4" t="inlineStr">
        <is>
          <t>pv.old.dbt.npc2</t>
        </is>
      </c>
      <c r="J252" t="inlineStr">
        <is>
          <t>NPC2</t>
        </is>
      </c>
      <c r="N252" t="n">
        <v>1.476255116467854</v>
      </c>
      <c r="O252" t="n">
        <v>1.183219020439395</v>
      </c>
      <c r="P252" t="n">
        <v>0.8878798233132167</v>
      </c>
      <c r="Q252" t="n">
        <v>0.5901223700344337</v>
      </c>
      <c r="R252" t="n">
        <v>0.2898257848324514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</row>
    <row r="253">
      <c r="A253" t="inlineStr">
        <is>
          <t>no_year_in_pairs</t>
        </is>
      </c>
      <c r="B253" s="2" t="n"/>
      <c r="C253" s="3" t="inlineStr">
        <is>
          <t>EBS.20.72, Sup. 1</t>
        </is>
      </c>
      <c r="D253" s="4" t="inlineStr">
        <is>
          <t>Dominica</t>
        </is>
      </c>
      <c r="E253" s="4" t="inlineStr">
        <is>
          <t>DMA</t>
        </is>
      </c>
      <c r="F253" s="4" t="n"/>
      <c r="G253" s="4" t="inlineStr">
        <is>
          <t>2018gn</t>
        </is>
      </c>
      <c r="H253" s="4" t="n">
        <v>2019</v>
      </c>
      <c r="I253" s="4" t="inlineStr">
        <is>
          <t>pv.old.dbt.npc3</t>
        </is>
      </c>
      <c r="J253" t="inlineStr">
        <is>
          <t>NPC3</t>
        </is>
      </c>
      <c r="N253" t="n">
        <v>25.13918443444646</v>
      </c>
      <c r="O253" t="n">
        <v>23.05245580431692</v>
      </c>
      <c r="P253" t="n">
        <v>20.91823252045871</v>
      </c>
      <c r="Q253" t="n">
        <v>18.73247696129646</v>
      </c>
      <c r="R253" t="n">
        <v>16.49261247602795</v>
      </c>
      <c r="S253" t="n">
        <v>14.19487539612565</v>
      </c>
      <c r="T253" t="n">
        <v>12.19856715454435</v>
      </c>
      <c r="U253" t="n">
        <v>10.4632504344261</v>
      </c>
      <c r="V253" t="n">
        <v>8.953867220879701</v>
      </c>
      <c r="W253" t="n">
        <v>7.640020943708057</v>
      </c>
      <c r="X253" t="n">
        <v>6.495354303587431</v>
      </c>
      <c r="Y253" t="n">
        <v>5.497010022362762</v>
      </c>
      <c r="Z253" t="n">
        <v>4.625163459290421</v>
      </c>
      <c r="AA253" t="n">
        <v>3.862617509401599</v>
      </c>
      <c r="AB253" t="n">
        <v>3.194451477917839</v>
      </c>
      <c r="AC253" t="n">
        <v>2.607716732036921</v>
      </c>
      <c r="AD253" t="n">
        <v>2.091172891137625</v>
      </c>
      <c r="AE253" t="n">
        <v>1.635059148213774</v>
      </c>
      <c r="AF253" t="n">
        <v>1.230896036203164</v>
      </c>
      <c r="AG253" t="n">
        <v>0.8713135776130424</v>
      </c>
      <c r="AH253" t="n">
        <v>0.5499022972763187</v>
      </c>
      <c r="AI253" t="n">
        <v>0.2610840473084485</v>
      </c>
    </row>
    <row r="254">
      <c r="A254" t="inlineStr">
        <is>
          <t>no_year_in_pairs</t>
        </is>
      </c>
      <c r="B254" s="2" t="n"/>
      <c r="C254" s="3" t="inlineStr">
        <is>
          <t>EBS.20.72, Sup. 1</t>
        </is>
      </c>
      <c r="D254" s="4" t="inlineStr">
        <is>
          <t>Dominica</t>
        </is>
      </c>
      <c r="E254" s="4" t="inlineStr">
        <is>
          <t>DMA</t>
        </is>
      </c>
      <c r="F254" s="4" t="n"/>
      <c r="G254" s="4" t="inlineStr">
        <is>
          <t>2018gn</t>
        </is>
      </c>
      <c r="H254" s="4" t="n">
        <v>2019</v>
      </c>
      <c r="I254" s="4" t="inlineStr">
        <is>
          <t>pv.old.dbt.npc4</t>
        </is>
      </c>
      <c r="J254" t="inlineStr">
        <is>
          <t>NPC4</t>
        </is>
      </c>
      <c r="N254" t="n">
        <v>0.04797985021799953</v>
      </c>
      <c r="O254" t="n">
        <v>0.04731054115823879</v>
      </c>
      <c r="P254" t="n">
        <v>0.04639985262465142</v>
      </c>
      <c r="Q254" t="n">
        <v>0.04525985797313718</v>
      </c>
      <c r="R254" t="n">
        <v>0.04396038003591485</v>
      </c>
      <c r="S254" t="n">
        <v>0.04249788743076368</v>
      </c>
      <c r="T254" t="n">
        <v>0.04086971186494003</v>
      </c>
      <c r="U254" t="n">
        <v>0.03906460161740235</v>
      </c>
      <c r="V254" t="n">
        <v>0.03708042005497786</v>
      </c>
      <c r="W254" t="n">
        <v>0.03491540496196697</v>
      </c>
      <c r="X254" t="n">
        <v>0.03255638141347733</v>
      </c>
      <c r="Y254" t="n">
        <v>0.02998937201740188</v>
      </c>
      <c r="Z254" t="n">
        <v>0.02719952350367703</v>
      </c>
      <c r="AA254" t="n">
        <v>0.02417093032072629</v>
      </c>
      <c r="AB254" t="n">
        <v>0.020888701051083</v>
      </c>
      <c r="AC254" t="n">
        <v>0.01770293209297101</v>
      </c>
      <c r="AD254" t="n">
        <v>0.01444817010939912</v>
      </c>
      <c r="AE254" t="n">
        <v>0.0111703974992702</v>
      </c>
      <c r="AF254" t="n">
        <v>0.008081476817806231</v>
      </c>
      <c r="AG254" t="n">
        <v>0.004871327151281563</v>
      </c>
      <c r="AH254" t="n">
        <v>0.002746279272020781</v>
      </c>
      <c r="AI254" t="n">
        <v>0</v>
      </c>
    </row>
    <row r="255">
      <c r="A255" t="inlineStr">
        <is>
          <t>no_year_in_pairs</t>
        </is>
      </c>
      <c r="B255" s="2" t="n"/>
      <c r="C255" s="3" t="inlineStr">
        <is>
          <t>EBS.20.72, Sup. 1</t>
        </is>
      </c>
      <c r="D255" s="4" t="inlineStr">
        <is>
          <t>Dominica</t>
        </is>
      </c>
      <c r="E255" s="4" t="inlineStr">
        <is>
          <t>DMA</t>
        </is>
      </c>
      <c r="F255" s="4" t="n"/>
      <c r="G255" s="4" t="inlineStr">
        <is>
          <t>2018gn</t>
        </is>
      </c>
      <c r="H255" s="4" t="n">
        <v>2019</v>
      </c>
      <c r="I255" s="4" t="inlineStr">
        <is>
          <t>pv.old.dbt.npc5</t>
        </is>
      </c>
      <c r="J255" t="inlineStr">
        <is>
          <t>NPC5</t>
        </is>
      </c>
      <c r="N255" t="n">
        <v>11.98485866685433</v>
      </c>
      <c r="O255" t="n">
        <v>11.76276678538224</v>
      </c>
      <c r="P255" t="n">
        <v>11.29137023576246</v>
      </c>
      <c r="Q255" t="n">
        <v>10.81785385866169</v>
      </c>
      <c r="R255" t="n">
        <v>10.34253184789108</v>
      </c>
      <c r="S255" t="n">
        <v>9.864912773618965</v>
      </c>
      <c r="T255" t="n">
        <v>8.927198163023757</v>
      </c>
      <c r="U255" t="n">
        <v>7.375814721869713</v>
      </c>
      <c r="V255" t="n">
        <v>5.434249193117111</v>
      </c>
      <c r="W255" t="n">
        <v>3.157989067014228</v>
      </c>
      <c r="X255" t="n">
        <v>0.6486223731366392</v>
      </c>
      <c r="Y255" t="n">
        <v>-1.996504785265429</v>
      </c>
      <c r="Z255" t="n">
        <v>-4.80581798870345</v>
      </c>
      <c r="AA255" t="n">
        <v>-6.597420604904153</v>
      </c>
      <c r="AB255" t="n">
        <v>-6.657653440699606</v>
      </c>
      <c r="AC255" t="n">
        <v>-6.074673344840782</v>
      </c>
      <c r="AD255" t="n">
        <v>-5.566096963208087</v>
      </c>
      <c r="AE255" t="n">
        <v>-5.149718587028482</v>
      </c>
      <c r="AF255" t="n">
        <v>-4.815986378573553</v>
      </c>
      <c r="AG255" t="n">
        <v>-4.55339000008501</v>
      </c>
      <c r="AH255" t="n">
        <v>-4.351880134271235</v>
      </c>
      <c r="AI255" t="n">
        <v>-2.203067715529467</v>
      </c>
    </row>
    <row r="256">
      <c r="A256" t="inlineStr">
        <is>
          <t>no_year_in_pairs</t>
        </is>
      </c>
      <c r="B256" s="2" t="n"/>
      <c r="C256" s="3" t="inlineStr">
        <is>
          <t>EBS.20.72, Sup. 1</t>
        </is>
      </c>
      <c r="D256" s="4" t="inlineStr">
        <is>
          <t>Dominica</t>
        </is>
      </c>
      <c r="E256" s="4" t="inlineStr">
        <is>
          <t>DMA</t>
        </is>
      </c>
      <c r="F256" s="4" t="n"/>
      <c r="G256" s="4" t="inlineStr">
        <is>
          <t>2018gn</t>
        </is>
      </c>
      <c r="H256" s="4" t="n">
        <v>2019</v>
      </c>
      <c r="I256" s="4" t="inlineStr">
        <is>
          <t>pv.old.dbt.prvt</t>
        </is>
      </c>
      <c r="J256" t="inlineStr">
        <is>
          <t>Commercial</t>
        </is>
      </c>
      <c r="N256" t="n">
        <v>77.79885943931166</v>
      </c>
      <c r="O256" t="n">
        <v>69.29596417895797</v>
      </c>
      <c r="P256" t="n">
        <v>65.37905280291947</v>
      </c>
      <c r="Q256" t="n">
        <v>62.451102394301</v>
      </c>
      <c r="R256" t="n">
        <v>58.38415570517713</v>
      </c>
      <c r="S256" t="n">
        <v>55.34348514374488</v>
      </c>
      <c r="T256" t="n">
        <v>50.91564691551125</v>
      </c>
      <c r="U256" t="n">
        <v>47.37513863235993</v>
      </c>
      <c r="V256" t="n">
        <v>43.86742375654048</v>
      </c>
      <c r="W256" t="n">
        <v>40.60909846257633</v>
      </c>
      <c r="X256" t="n">
        <v>37.65311775634596</v>
      </c>
      <c r="Y256" t="n">
        <v>34.64553185568568</v>
      </c>
      <c r="Z256" t="n">
        <v>31.72369299947023</v>
      </c>
      <c r="AA256" t="n">
        <v>28.75428224931709</v>
      </c>
      <c r="AB256" t="n">
        <v>25.72440809166052</v>
      </c>
      <c r="AC256" t="n">
        <v>20.69553589550231</v>
      </c>
      <c r="AD256" t="n">
        <v>17.52578694626168</v>
      </c>
      <c r="AE256" t="n">
        <v>14.4018950483796</v>
      </c>
      <c r="AF256" t="n">
        <v>6.877154138212651</v>
      </c>
      <c r="AG256" t="n">
        <v>3.899306940957433</v>
      </c>
      <c r="AH256" t="n">
        <v>1.997205993972145</v>
      </c>
      <c r="AI256" t="n">
        <v>9.372590183533008e-12</v>
      </c>
      <c r="BI256" t="inlineStr">
        <is>
          <t>PV_OLD_COM</t>
        </is>
      </c>
    </row>
    <row r="257">
      <c r="A257" t="inlineStr">
        <is>
          <t>no_year_in_pairs</t>
        </is>
      </c>
      <c r="B257" s="2" t="n"/>
      <c r="C257" s="3" t="inlineStr">
        <is>
          <t>EBS.20.72, Sup. 1</t>
        </is>
      </c>
      <c r="D257" s="4" t="inlineStr">
        <is>
          <t>Dominica</t>
        </is>
      </c>
      <c r="E257" s="4" t="inlineStr">
        <is>
          <t>DMA</t>
        </is>
      </c>
      <c r="F257" s="4" t="n"/>
      <c r="G257" s="4" t="inlineStr">
        <is>
          <t>2018gn</t>
        </is>
      </c>
      <c r="H257" s="4" t="n">
        <v>2019</v>
      </c>
      <c r="I257" s="4" t="inlineStr">
        <is>
          <t>pv.old.dbt.prvt.bnd</t>
        </is>
      </c>
      <c r="J257" t="inlineStr">
        <is>
          <t>Eurobond</t>
        </is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</row>
    <row r="258">
      <c r="A258" t="inlineStr">
        <is>
          <t>no_year_in_pairs</t>
        </is>
      </c>
      <c r="B258" s="2" t="n"/>
      <c r="C258" s="3" t="inlineStr">
        <is>
          <t>EBS.20.72, Sup. 1</t>
        </is>
      </c>
      <c r="D258" s="4" t="inlineStr">
        <is>
          <t>Dominica</t>
        </is>
      </c>
      <c r="E258" s="4" t="inlineStr">
        <is>
          <t>DMA</t>
        </is>
      </c>
      <c r="F258" s="4" t="n"/>
      <c r="G258" s="4" t="inlineStr">
        <is>
          <t>2018gn</t>
        </is>
      </c>
      <c r="H258" s="4" t="n">
        <v>2019</v>
      </c>
      <c r="I258" s="4" t="inlineStr">
        <is>
          <t>pv.old.dbt.prvt.cmbk</t>
        </is>
      </c>
      <c r="J258" t="inlineStr">
        <is>
          <t>Commecial Bank</t>
        </is>
      </c>
      <c r="N258" t="n">
        <v>77.79885943931166</v>
      </c>
      <c r="O258" t="n">
        <v>69.29596417895797</v>
      </c>
      <c r="P258" t="n">
        <v>65.37905280291947</v>
      </c>
      <c r="Q258" t="n">
        <v>62.451102394301</v>
      </c>
      <c r="R258" t="n">
        <v>58.38415570517713</v>
      </c>
      <c r="S258" t="n">
        <v>55.34348514374488</v>
      </c>
      <c r="T258" t="n">
        <v>50.91564691551125</v>
      </c>
      <c r="U258" t="n">
        <v>47.37513863235993</v>
      </c>
      <c r="V258" t="n">
        <v>43.86742375654048</v>
      </c>
      <c r="W258" t="n">
        <v>40.60909846257633</v>
      </c>
      <c r="X258" t="n">
        <v>37.65311775634596</v>
      </c>
      <c r="Y258" t="n">
        <v>34.64553185568568</v>
      </c>
      <c r="Z258" t="n">
        <v>31.72369299947023</v>
      </c>
      <c r="AA258" t="n">
        <v>28.75428224931709</v>
      </c>
      <c r="AB258" t="n">
        <v>25.72440809166052</v>
      </c>
      <c r="AC258" t="n">
        <v>20.69553589550231</v>
      </c>
      <c r="AD258" t="n">
        <v>17.52578694626168</v>
      </c>
      <c r="AE258" t="n">
        <v>14.4018950483796</v>
      </c>
      <c r="AF258" t="n">
        <v>6.877154138212651</v>
      </c>
      <c r="AG258" t="n">
        <v>3.899306940957433</v>
      </c>
      <c r="AH258" t="n">
        <v>1.997205993972145</v>
      </c>
      <c r="AI258" t="n">
        <v>9.372590183533008e-12</v>
      </c>
    </row>
    <row r="259">
      <c r="A259" t="inlineStr">
        <is>
          <t>no_year_in_pairs</t>
        </is>
      </c>
      <c r="B259" s="2" t="n"/>
      <c r="C259" s="3" t="inlineStr">
        <is>
          <t>EBS.20.72, Sup. 1</t>
        </is>
      </c>
      <c r="D259" s="4" t="inlineStr">
        <is>
          <t>Dominica</t>
        </is>
      </c>
      <c r="E259" s="4" t="inlineStr">
        <is>
          <t>DMA</t>
        </is>
      </c>
      <c r="F259" s="4" t="n"/>
      <c r="G259" s="4" t="inlineStr">
        <is>
          <t>2018gn</t>
        </is>
      </c>
      <c r="H259" s="4" t="n">
        <v>2019</v>
      </c>
      <c r="I259" s="4" t="inlineStr">
        <is>
          <t>pv.old.dbt.prvt.com3</t>
        </is>
      </c>
      <c r="J259" t="inlineStr">
        <is>
          <t>COM3</t>
        </is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</row>
    <row r="260">
      <c r="A260" t="inlineStr">
        <is>
          <t>no_year_in_pairs</t>
        </is>
      </c>
      <c r="B260" s="2" t="n"/>
      <c r="C260" s="3" t="inlineStr">
        <is>
          <t>EBS.20.72, Sup. 1</t>
        </is>
      </c>
      <c r="D260" s="4" t="inlineStr">
        <is>
          <t>Dominica</t>
        </is>
      </c>
      <c r="E260" s="4" t="inlineStr">
        <is>
          <t>DMA</t>
        </is>
      </c>
      <c r="F260" s="4" t="n"/>
      <c r="G260" s="4" t="inlineStr">
        <is>
          <t>2018gn</t>
        </is>
      </c>
      <c r="H260" s="4" t="n">
        <v>2019</v>
      </c>
      <c r="I260" s="4" t="inlineStr">
        <is>
          <t>pv.old.dbt.prvt.com4</t>
        </is>
      </c>
      <c r="J260" t="inlineStr">
        <is>
          <t>COM4</t>
        </is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</row>
    <row r="261">
      <c r="A261" t="inlineStr">
        <is>
          <t>no_year_in_pairs</t>
        </is>
      </c>
      <c r="B261" s="2" t="n"/>
      <c r="C261" s="3" t="inlineStr">
        <is>
          <t>EBS.20.72, Sup. 1</t>
        </is>
      </c>
      <c r="D261" s="4" t="inlineStr">
        <is>
          <t>Dominica</t>
        </is>
      </c>
      <c r="E261" s="4" t="inlineStr">
        <is>
          <t>DMA</t>
        </is>
      </c>
      <c r="F261" s="4" t="n"/>
      <c r="G261" s="4" t="inlineStr">
        <is>
          <t>2018gn</t>
        </is>
      </c>
      <c r="H261" s="4" t="n">
        <v>2019</v>
      </c>
      <c r="I261" s="4" t="inlineStr">
        <is>
          <t>pv.old.dbt.prvt.com5</t>
        </is>
      </c>
      <c r="J261" t="inlineStr">
        <is>
          <t>COM5</t>
        </is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</row>
    <row r="262">
      <c r="A262" t="inlineStr">
        <is>
          <t>no_year_in_pairs</t>
        </is>
      </c>
      <c r="B262" s="2" t="n"/>
      <c r="C262" s="3" t="inlineStr">
        <is>
          <t>EBS.20.72, Sup. 1</t>
        </is>
      </c>
      <c r="D262" s="4" t="inlineStr">
        <is>
          <t>Dominica</t>
        </is>
      </c>
      <c r="E262" s="4" t="inlineStr">
        <is>
          <t>DMA</t>
        </is>
      </c>
      <c r="F262" s="4" t="n"/>
      <c r="G262" s="4" t="inlineStr">
        <is>
          <t>2018gn</t>
        </is>
      </c>
      <c r="H262" s="4" t="n">
        <v>2019</v>
      </c>
      <c r="I262" s="4" t="inlineStr">
        <is>
          <t>pv.old.dbt.lcl.iss</t>
        </is>
      </c>
      <c r="J262" t="inlineStr">
        <is>
          <t>Locally-issued debt</t>
        </is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</row>
    <row r="263">
      <c r="A263" t="inlineStr">
        <is>
          <t>no_year_in_pairs</t>
        </is>
      </c>
      <c r="B263" s="2" t="n"/>
      <c r="C263" s="3" t="inlineStr">
        <is>
          <t>EBS.20.72, Sup. 1</t>
        </is>
      </c>
      <c r="D263" s="4" t="inlineStr">
        <is>
          <t>Dominica</t>
        </is>
      </c>
      <c r="E263" s="4" t="inlineStr">
        <is>
          <t>DMA</t>
        </is>
      </c>
      <c r="F263" s="4" t="n"/>
      <c r="G263" s="4" t="inlineStr">
        <is>
          <t>2018gn</t>
        </is>
      </c>
      <c r="H263" s="4" t="n">
        <v>2019</v>
      </c>
      <c r="I263" s="5" t="n"/>
      <c r="J263" t="inlineStr">
        <is>
          <t>Assumed that a grant element is zero for old locally-issued debt</t>
        </is>
      </c>
    </row>
    <row r="264">
      <c r="A264" t="inlineStr">
        <is>
          <t>no_year_in_pairs</t>
        </is>
      </c>
      <c r="B264" s="2" t="n"/>
      <c r="C264" s="3" t="inlineStr">
        <is>
          <t>EBS.20.72, Sup. 1</t>
        </is>
      </c>
      <c r="D264" s="4" t="inlineStr">
        <is>
          <t>Dominica</t>
        </is>
      </c>
      <c r="E264" s="4" t="inlineStr">
        <is>
          <t>DMA</t>
        </is>
      </c>
      <c r="F264" s="4" t="n"/>
      <c r="G264" s="4" t="inlineStr">
        <is>
          <t>2018gn</t>
        </is>
      </c>
      <c r="H264" s="4" t="n">
        <v>2019</v>
      </c>
      <c r="I264" s="5" t="n"/>
    </row>
    <row r="265">
      <c r="A265" t="inlineStr">
        <is>
          <t>no_year_in_pairs</t>
        </is>
      </c>
      <c r="B265" s="2" t="n"/>
      <c r="C265" s="3" t="inlineStr">
        <is>
          <t>EBS.20.72, Sup. 1</t>
        </is>
      </c>
      <c r="D265" s="4" t="inlineStr">
        <is>
          <t>Dominica</t>
        </is>
      </c>
      <c r="E265" s="4" t="inlineStr">
        <is>
          <t>DMA</t>
        </is>
      </c>
      <c r="F265" s="4" t="n"/>
      <c r="G265" s="4" t="inlineStr">
        <is>
          <t>2018gn</t>
        </is>
      </c>
      <c r="H265" s="4" t="n">
        <v>2019</v>
      </c>
      <c r="I265" s="4" t="inlineStr">
        <is>
          <t>pv.out.arr</t>
        </is>
      </c>
      <c r="J265" t="inlineStr">
        <is>
          <t>PV of existing arrears</t>
        </is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BI265" t="inlineStr">
        <is>
          <t>PV_ARREARS</t>
        </is>
      </c>
    </row>
    <row r="266">
      <c r="A266" t="inlineStr">
        <is>
          <t>no_year_in_pairs</t>
        </is>
      </c>
      <c r="B266" s="2" t="n"/>
      <c r="C266" s="3" t="inlineStr">
        <is>
          <t>EBS.20.72, Sup. 1</t>
        </is>
      </c>
      <c r="D266" s="4" t="inlineStr">
        <is>
          <t>Dominica</t>
        </is>
      </c>
      <c r="E266" s="4" t="inlineStr">
        <is>
          <t>DMA</t>
        </is>
      </c>
      <c r="F266" s="4" t="n"/>
      <c r="G266" s="4" t="inlineStr">
        <is>
          <t>2018gn</t>
        </is>
      </c>
      <c r="H266" s="4" t="n">
        <v>2019</v>
      </c>
      <c r="I266" s="5" t="n"/>
      <c r="M266" t="n">
        <v>-2</v>
      </c>
    </row>
    <row r="267">
      <c r="A267" t="inlineStr">
        <is>
          <t>no_year_in_pairs</t>
        </is>
      </c>
      <c r="B267" s="2" t="n"/>
      <c r="C267" s="3" t="inlineStr">
        <is>
          <t>EBS.20.72, Sup. 1</t>
        </is>
      </c>
      <c r="D267" s="4" t="inlineStr">
        <is>
          <t>Dominica</t>
        </is>
      </c>
      <c r="E267" s="4" t="inlineStr">
        <is>
          <t>DMA</t>
        </is>
      </c>
      <c r="F267" s="4" t="n"/>
      <c r="G267" s="4" t="inlineStr">
        <is>
          <t>2018gn</t>
        </is>
      </c>
      <c r="H267" s="4" t="n">
        <v>2019</v>
      </c>
      <c r="I267" s="4" t="inlineStr">
        <is>
          <t>pv.new.dbt.mlg.trm</t>
        </is>
      </c>
      <c r="J267" t="inlineStr">
        <is>
          <t>PV of new MLT debt</t>
        </is>
      </c>
      <c r="O267" t="n">
        <v>65.10394968873113</v>
      </c>
      <c r="P267" t="n">
        <v>93.61882080121457</v>
      </c>
      <c r="Q267" t="n">
        <v>120.9429975811373</v>
      </c>
      <c r="R267" t="n">
        <v>149.7905943082844</v>
      </c>
      <c r="S267" t="n">
        <v>173.4019570011291</v>
      </c>
      <c r="T267" t="n">
        <v>192.0480380847847</v>
      </c>
      <c r="U267" t="n">
        <v>207.1591659556717</v>
      </c>
      <c r="V267" t="n">
        <v>220.8061725928265</v>
      </c>
      <c r="W267" t="n">
        <v>233.5667298646409</v>
      </c>
      <c r="X267" t="n">
        <v>242.501285065357</v>
      </c>
      <c r="Y267" t="n">
        <v>251.6500630531321</v>
      </c>
      <c r="Z267" t="n">
        <v>263.3306230529237</v>
      </c>
      <c r="AA267" t="n">
        <v>274.9520278266904</v>
      </c>
      <c r="AB267" t="n">
        <v>284.0952488443363</v>
      </c>
      <c r="AC267" t="n">
        <v>272.5572853616276</v>
      </c>
      <c r="AD267" t="n">
        <v>277.514726458434</v>
      </c>
      <c r="AE267" t="n">
        <v>281.7067413020011</v>
      </c>
      <c r="AF267" t="n">
        <v>284.4004883772461</v>
      </c>
      <c r="AG267" t="n">
        <v>285.8780229448723</v>
      </c>
      <c r="AH267" t="n">
        <v>285.2173091234378</v>
      </c>
      <c r="AI267" t="n">
        <v>285.4868929155732</v>
      </c>
      <c r="BI267" t="inlineStr">
        <is>
          <t>PV_NEW_MLT</t>
        </is>
      </c>
    </row>
    <row r="268">
      <c r="A268" t="inlineStr">
        <is>
          <t>no_year_in_pairs</t>
        </is>
      </c>
      <c r="B268" s="2" t="n"/>
      <c r="C268" s="3" t="inlineStr">
        <is>
          <t>EBS.20.72, Sup. 1</t>
        </is>
      </c>
      <c r="D268" s="4" t="inlineStr">
        <is>
          <t>Dominica</t>
        </is>
      </c>
      <c r="E268" s="4" t="inlineStr">
        <is>
          <t>DMA</t>
        </is>
      </c>
      <c r="F268" s="4" t="n"/>
      <c r="G268" s="4" t="inlineStr">
        <is>
          <t>2018gn</t>
        </is>
      </c>
      <c r="H268" s="4" t="n">
        <v>2019</v>
      </c>
      <c r="I268" s="4" t="inlineStr">
        <is>
          <t>pv.new.dbt.mlt</t>
        </is>
      </c>
      <c r="J268" t="inlineStr">
        <is>
          <t>Multilaterals</t>
        </is>
      </c>
      <c r="O268" t="n">
        <v>54.44781984261746</v>
      </c>
      <c r="P268" t="n">
        <v>82.68092574740409</v>
      </c>
      <c r="Q268" t="n">
        <v>107.4099036108568</v>
      </c>
      <c r="R268" t="n">
        <v>132.6138866248355</v>
      </c>
      <c r="S268" t="n">
        <v>153.1605605476525</v>
      </c>
      <c r="T268" t="n">
        <v>168.9574474226008</v>
      </c>
      <c r="U268" t="n">
        <v>182.425510083268</v>
      </c>
      <c r="V268" t="n">
        <v>195.1177516958232</v>
      </c>
      <c r="W268" t="n">
        <v>206.7152617446371</v>
      </c>
      <c r="X268" t="n">
        <v>214.6900072274857</v>
      </c>
      <c r="Y268" t="n">
        <v>220.1971733309646</v>
      </c>
      <c r="Z268" t="n">
        <v>224.6614649833174</v>
      </c>
      <c r="AA268" t="n">
        <v>225.9212305702218</v>
      </c>
      <c r="AB268" t="n">
        <v>225.9143840650482</v>
      </c>
      <c r="AC268" t="n">
        <v>205.8610853365279</v>
      </c>
      <c r="AD268" t="n">
        <v>204.6080684809182</v>
      </c>
      <c r="AE268" t="n">
        <v>202.4954339588411</v>
      </c>
      <c r="AF268" t="n">
        <v>200.4689122542722</v>
      </c>
      <c r="AG268" t="n">
        <v>199.1277132001895</v>
      </c>
      <c r="AH268" t="n">
        <v>197.4515900328765</v>
      </c>
      <c r="AI268" t="n">
        <v>197.6660933769489</v>
      </c>
      <c r="BI268" t="inlineStr">
        <is>
          <t>PV_NEW_ML</t>
        </is>
      </c>
    </row>
    <row r="269">
      <c r="A269" t="inlineStr">
        <is>
          <t>no_year_in_pairs</t>
        </is>
      </c>
      <c r="B269" s="2" t="n"/>
      <c r="C269" s="3" t="inlineStr">
        <is>
          <t>EBS.20.72, Sup. 1</t>
        </is>
      </c>
      <c r="D269" s="4" t="inlineStr">
        <is>
          <t>Dominica</t>
        </is>
      </c>
      <c r="E269" s="4" t="inlineStr">
        <is>
          <t>DMA</t>
        </is>
      </c>
      <c r="F269" s="4" t="n"/>
      <c r="G269" s="4" t="inlineStr">
        <is>
          <t>2018gn</t>
        </is>
      </c>
      <c r="H269" s="4" t="n">
        <v>2019</v>
      </c>
      <c r="I269" s="4" t="inlineStr">
        <is>
          <t>pv.new.dbt.mlt.imf</t>
        </is>
      </c>
      <c r="J269" t="inlineStr">
        <is>
          <t>IMF</t>
        </is>
      </c>
      <c r="M269" t="n">
        <v>24</v>
      </c>
      <c r="O269" t="n">
        <v>3.81252455338248</v>
      </c>
      <c r="P269" t="n">
        <v>3.9894273649886</v>
      </c>
      <c r="Q269" t="n">
        <v>4.175175317175027</v>
      </c>
      <c r="R269" t="n">
        <v>4.370210666970776</v>
      </c>
      <c r="S269" t="n">
        <v>4.574997784256311</v>
      </c>
      <c r="T269" t="n">
        <v>4.790024257406124</v>
      </c>
      <c r="U269" t="n">
        <v>3.917928769173175</v>
      </c>
      <c r="V269" t="n">
        <v>3.004973189741179</v>
      </c>
      <c r="W269" t="n">
        <v>2.049114514550185</v>
      </c>
      <c r="X269" t="n">
        <v>1.04820758881224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</row>
    <row r="270">
      <c r="A270" t="inlineStr">
        <is>
          <t>no_year_in_pairs</t>
        </is>
      </c>
      <c r="B270" s="2" t="n"/>
      <c r="C270" s="3" t="inlineStr">
        <is>
          <t>EBS.20.72, Sup. 1</t>
        </is>
      </c>
      <c r="D270" s="4" t="inlineStr">
        <is>
          <t>Dominica</t>
        </is>
      </c>
      <c r="E270" s="4" t="inlineStr">
        <is>
          <t>DMA</t>
        </is>
      </c>
      <c r="F270" s="4" t="n"/>
      <c r="G270" s="4" t="inlineStr">
        <is>
          <t>2018gn</t>
        </is>
      </c>
      <c r="H270" s="4" t="n">
        <v>2019</v>
      </c>
      <c r="I270" s="4" t="inlineStr">
        <is>
          <t>pv.new.dbt.mlt.ida.reg</t>
        </is>
      </c>
      <c r="J270" t="inlineStr">
        <is>
          <t>IDA - small economy</t>
        </is>
      </c>
      <c r="M270" t="n">
        <v>58</v>
      </c>
      <c r="O270" t="n">
        <v>12.09873785891116</v>
      </c>
      <c r="P270" t="n">
        <v>22.22822141226894</v>
      </c>
      <c r="Q270" t="n">
        <v>30.72526981121217</v>
      </c>
      <c r="R270" t="n">
        <v>38.71660689726959</v>
      </c>
      <c r="S270" t="n">
        <v>45.80166523838041</v>
      </c>
      <c r="T270" t="n">
        <v>52.12870857478824</v>
      </c>
      <c r="U270" t="n">
        <v>57.84552696391906</v>
      </c>
      <c r="V270" t="n">
        <v>63.91337159160157</v>
      </c>
      <c r="W270" t="n">
        <v>69.70488792560661</v>
      </c>
      <c r="X270" t="n">
        <v>74.70686424721244</v>
      </c>
      <c r="Y270" t="n">
        <v>79.17696012178196</v>
      </c>
      <c r="Z270" t="n">
        <v>82.27236850776099</v>
      </c>
      <c r="AA270" t="n">
        <v>84.28701474044608</v>
      </c>
      <c r="AB270" t="n">
        <v>85.45131310261672</v>
      </c>
      <c r="AC270" t="n">
        <v>85.87656313091195</v>
      </c>
      <c r="AD270" t="n">
        <v>85.68984753167182</v>
      </c>
      <c r="AE270" t="n">
        <v>84.99285225561131</v>
      </c>
      <c r="AF270" t="n">
        <v>83.86561091028516</v>
      </c>
      <c r="AG270" t="n">
        <v>82.15513123140639</v>
      </c>
      <c r="AH270" t="n">
        <v>80.04134642604885</v>
      </c>
      <c r="AI270" t="n">
        <v>77.60449148955041</v>
      </c>
    </row>
    <row r="271">
      <c r="A271" t="inlineStr">
        <is>
          <t>no_year_in_pairs</t>
        </is>
      </c>
      <c r="B271" s="2" t="n"/>
      <c r="C271" s="3" t="inlineStr">
        <is>
          <t>EBS.20.72, Sup. 1</t>
        </is>
      </c>
      <c r="D271" s="4" t="inlineStr">
        <is>
          <t>Dominica</t>
        </is>
      </c>
      <c r="E271" s="4" t="inlineStr">
        <is>
          <t>DMA</t>
        </is>
      </c>
      <c r="F271" s="4" t="n"/>
      <c r="G271" s="4" t="inlineStr">
        <is>
          <t>2018gn</t>
        </is>
      </c>
      <c r="H271" s="4" t="n">
        <v>2019</v>
      </c>
      <c r="I271" s="4" t="inlineStr">
        <is>
          <t>pv.new.dbt.mlt.ida.bld</t>
        </is>
      </c>
      <c r="J271" t="inlineStr">
        <is>
          <t>IDA - small economy</t>
        </is>
      </c>
      <c r="M271" t="n">
        <v>84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</row>
    <row r="272">
      <c r="A272" t="inlineStr">
        <is>
          <t>no_year_in_pairs</t>
        </is>
      </c>
      <c r="B272" s="2" t="n"/>
      <c r="C272" s="3" t="inlineStr">
        <is>
          <t>EBS.20.72, Sup. 1</t>
        </is>
      </c>
      <c r="D272" s="4" t="inlineStr">
        <is>
          <t>Dominica</t>
        </is>
      </c>
      <c r="E272" s="4" t="inlineStr">
        <is>
          <t>DMA</t>
        </is>
      </c>
      <c r="F272" s="4" t="n"/>
      <c r="G272" s="4" t="inlineStr">
        <is>
          <t>2018gn</t>
        </is>
      </c>
      <c r="H272" s="4" t="n">
        <v>2019</v>
      </c>
      <c r="I272" s="4" t="inlineStr">
        <is>
          <t>pv.new.dbt.mlt.afdb</t>
        </is>
      </c>
      <c r="J272" t="inlineStr">
        <is>
          <t>CDB</t>
        </is>
      </c>
      <c r="M272" t="n">
        <v>109</v>
      </c>
      <c r="O272" t="n">
        <v>17.71736147449672</v>
      </c>
      <c r="P272" t="n">
        <v>27.16191028546991</v>
      </c>
      <c r="Q272" t="n">
        <v>35.15695038954209</v>
      </c>
      <c r="R272" t="n">
        <v>43.43174249881788</v>
      </c>
      <c r="S272" t="n">
        <v>50.81911678192435</v>
      </c>
      <c r="T272" t="n">
        <v>57.29470234755303</v>
      </c>
      <c r="U272" t="n">
        <v>62.68147014614359</v>
      </c>
      <c r="V272" t="n">
        <v>67.69305384325204</v>
      </c>
      <c r="W272" t="n">
        <v>72.47062006619515</v>
      </c>
      <c r="X272" t="n">
        <v>74.84015084508393</v>
      </c>
      <c r="Y272" t="n">
        <v>75.57353440610063</v>
      </c>
      <c r="Z272" t="n">
        <v>75.1839760309839</v>
      </c>
      <c r="AA272" t="n">
        <v>73.90718020492915</v>
      </c>
      <c r="AB272" t="n">
        <v>71.87554324226569</v>
      </c>
      <c r="AC272" t="n">
        <v>69.15784203262638</v>
      </c>
      <c r="AD272" t="n">
        <v>65.96530573879105</v>
      </c>
      <c r="AE272" t="n">
        <v>62.42670552905471</v>
      </c>
      <c r="AF272" t="n">
        <v>58.61933506849205</v>
      </c>
      <c r="AG272" t="n">
        <v>54.58857537524899</v>
      </c>
      <c r="AH272" t="n">
        <v>50.35988000702081</v>
      </c>
      <c r="AI272" t="n">
        <v>45.9461016659773</v>
      </c>
    </row>
    <row r="273">
      <c r="A273" t="inlineStr">
        <is>
          <t>no_year_in_pairs</t>
        </is>
      </c>
      <c r="B273" s="2" t="n"/>
      <c r="C273" s="3" t="inlineStr">
        <is>
          <t>EBS.20.72, Sup. 1</t>
        </is>
      </c>
      <c r="D273" s="4" t="inlineStr">
        <is>
          <t>Dominica</t>
        </is>
      </c>
      <c r="E273" s="4" t="inlineStr">
        <is>
          <t>DMA</t>
        </is>
      </c>
      <c r="F273" s="4" t="n"/>
      <c r="G273" s="4" t="inlineStr">
        <is>
          <t>2018gn</t>
        </is>
      </c>
      <c r="H273" s="4" t="n">
        <v>2019</v>
      </c>
      <c r="I273" s="4" t="inlineStr">
        <is>
          <t>pv.new.dbt.mlt2</t>
        </is>
      </c>
      <c r="J273" t="inlineStr">
        <is>
          <t>MULTIRES</t>
        </is>
      </c>
      <c r="M273" t="n">
        <v>135</v>
      </c>
      <c r="O273" t="n">
        <v>20.8191959558271</v>
      </c>
      <c r="P273" t="n">
        <v>29.30136668467664</v>
      </c>
      <c r="Q273" t="n">
        <v>37.35250809292747</v>
      </c>
      <c r="R273" t="n">
        <v>46.09532656177722</v>
      </c>
      <c r="S273" t="n">
        <v>51.96478074309141</v>
      </c>
      <c r="T273" t="n">
        <v>54.74401224285334</v>
      </c>
      <c r="U273" t="n">
        <v>57.98058420403213</v>
      </c>
      <c r="V273" t="n">
        <v>60.50635307122845</v>
      </c>
      <c r="W273" t="n">
        <v>62.49063923828513</v>
      </c>
      <c r="X273" t="n">
        <v>64.0947845463771</v>
      </c>
      <c r="Y273" t="n">
        <v>65.44667880308195</v>
      </c>
      <c r="Z273" t="n">
        <v>67.20512044457253</v>
      </c>
      <c r="AA273" t="n">
        <v>67.72703562484664</v>
      </c>
      <c r="AB273" t="n">
        <v>68.58752772016578</v>
      </c>
      <c r="AC273" t="n">
        <v>50.82668017298959</v>
      </c>
      <c r="AD273" t="n">
        <v>52.95291521045537</v>
      </c>
      <c r="AE273" t="n">
        <v>55.07587617417503</v>
      </c>
      <c r="AF273" t="n">
        <v>57.98396627549501</v>
      </c>
      <c r="AG273" t="n">
        <v>62.38400659353417</v>
      </c>
      <c r="AH273" t="n">
        <v>67.0503635998068</v>
      </c>
      <c r="AI273" t="n">
        <v>74.11550022142114</v>
      </c>
    </row>
    <row r="274">
      <c r="A274" t="inlineStr">
        <is>
          <t>no_year_in_pairs</t>
        </is>
      </c>
      <c r="B274" s="2" t="n"/>
      <c r="C274" s="3" t="inlineStr">
        <is>
          <t>EBS.20.72, Sup. 1</t>
        </is>
      </c>
      <c r="D274" s="4" t="inlineStr">
        <is>
          <t>Dominica</t>
        </is>
      </c>
      <c r="E274" s="4" t="inlineStr">
        <is>
          <t>DMA</t>
        </is>
      </c>
      <c r="F274" s="4" t="n"/>
      <c r="G274" s="4" t="inlineStr">
        <is>
          <t>2018gn</t>
        </is>
      </c>
      <c r="H274" s="4" t="n">
        <v>2019</v>
      </c>
      <c r="I274" s="4" t="inlineStr">
        <is>
          <t>pv.new.dbt.mlt3</t>
        </is>
      </c>
      <c r="J274" t="inlineStr">
        <is>
          <t>MULTI3</t>
        </is>
      </c>
      <c r="M274" t="n">
        <v>161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</row>
    <row r="275">
      <c r="A275" t="inlineStr">
        <is>
          <t>no_year_in_pairs</t>
        </is>
      </c>
      <c r="B275" s="2" t="n"/>
      <c r="C275" s="3" t="inlineStr">
        <is>
          <t>EBS.20.72, Sup. 1</t>
        </is>
      </c>
      <c r="D275" s="4" t="inlineStr">
        <is>
          <t>Dominica</t>
        </is>
      </c>
      <c r="E275" s="4" t="inlineStr">
        <is>
          <t>DMA</t>
        </is>
      </c>
      <c r="F275" s="4" t="n"/>
      <c r="G275" s="4" t="inlineStr">
        <is>
          <t>2018gn</t>
        </is>
      </c>
      <c r="H275" s="4" t="n">
        <v>2019</v>
      </c>
      <c r="I275" s="4" t="inlineStr">
        <is>
          <t>pv.new.dbt.mlt.oth</t>
        </is>
      </c>
      <c r="J275" t="inlineStr">
        <is>
          <t>Other Multilaterals</t>
        </is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</row>
    <row r="276">
      <c r="A276" t="inlineStr">
        <is>
          <t>no_year_in_pairs</t>
        </is>
      </c>
      <c r="B276" s="2" t="n"/>
      <c r="C276" s="3" t="inlineStr">
        <is>
          <t>EBS.20.72, Sup. 1</t>
        </is>
      </c>
      <c r="D276" s="4" t="inlineStr">
        <is>
          <t>Dominica</t>
        </is>
      </c>
      <c r="E276" s="4" t="inlineStr">
        <is>
          <t>DMA</t>
        </is>
      </c>
      <c r="F276" s="4" t="n"/>
      <c r="G276" s="4" t="inlineStr">
        <is>
          <t>2018gn</t>
        </is>
      </c>
      <c r="H276" s="4" t="n">
        <v>2019</v>
      </c>
      <c r="I276" s="4" t="inlineStr">
        <is>
          <t>pv.new.dbt.mlt.oth1</t>
        </is>
      </c>
      <c r="J276" t="inlineStr">
        <is>
          <t>OTH_MULTI1</t>
        </is>
      </c>
      <c r="M276" t="n">
        <v>187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</row>
    <row r="277">
      <c r="A277" t="inlineStr">
        <is>
          <t>no_year_in_pairs</t>
        </is>
      </c>
      <c r="B277" s="2" t="n"/>
      <c r="C277" s="3" t="inlineStr">
        <is>
          <t>EBS.20.72, Sup. 1</t>
        </is>
      </c>
      <c r="D277" s="4" t="inlineStr">
        <is>
          <t>Dominica</t>
        </is>
      </c>
      <c r="E277" s="4" t="inlineStr">
        <is>
          <t>DMA</t>
        </is>
      </c>
      <c r="F277" s="4" t="n"/>
      <c r="G277" s="4" t="inlineStr">
        <is>
          <t>2018gn</t>
        </is>
      </c>
      <c r="H277" s="4" t="n">
        <v>2019</v>
      </c>
      <c r="I277" s="4" t="inlineStr">
        <is>
          <t>pv.new.dbt.mlt.oth2</t>
        </is>
      </c>
      <c r="J277" t="inlineStr">
        <is>
          <t>OTH_MULTI2</t>
        </is>
      </c>
      <c r="M277" t="n">
        <v>213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</row>
    <row r="278">
      <c r="A278" t="inlineStr">
        <is>
          <t>no_year_in_pairs</t>
        </is>
      </c>
      <c r="B278" s="2" t="n"/>
      <c r="C278" s="3" t="inlineStr">
        <is>
          <t>EBS.20.72, Sup. 1</t>
        </is>
      </c>
      <c r="D278" s="4" t="inlineStr">
        <is>
          <t>Dominica</t>
        </is>
      </c>
      <c r="E278" s="4" t="inlineStr">
        <is>
          <t>DMA</t>
        </is>
      </c>
      <c r="F278" s="4" t="n"/>
      <c r="G278" s="4" t="inlineStr">
        <is>
          <t>2018gn</t>
        </is>
      </c>
      <c r="H278" s="4" t="n">
        <v>2019</v>
      </c>
      <c r="I278" s="4" t="inlineStr">
        <is>
          <t>pv.new.dbt.mlt.oth3</t>
        </is>
      </c>
      <c r="J278" t="inlineStr">
        <is>
          <t>OTH_MULTI3</t>
        </is>
      </c>
      <c r="M278" t="n">
        <v>239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</row>
    <row r="279">
      <c r="A279" t="inlineStr">
        <is>
          <t>no_year_in_pairs</t>
        </is>
      </c>
      <c r="B279" s="2" t="n"/>
      <c r="C279" s="3" t="inlineStr">
        <is>
          <t>EBS.20.72, Sup. 1</t>
        </is>
      </c>
      <c r="D279" s="4" t="inlineStr">
        <is>
          <t>Dominica</t>
        </is>
      </c>
      <c r="E279" s="4" t="inlineStr">
        <is>
          <t>DMA</t>
        </is>
      </c>
      <c r="F279" s="4" t="n"/>
      <c r="G279" s="4" t="inlineStr">
        <is>
          <t>2018gn</t>
        </is>
      </c>
      <c r="H279" s="4" t="n">
        <v>2019</v>
      </c>
      <c r="I279" s="4" t="inlineStr">
        <is>
          <t>pv.new.dbt.blt</t>
        </is>
      </c>
      <c r="J279" t="inlineStr">
        <is>
          <t>Official Bilaterals</t>
        </is>
      </c>
      <c r="O279" t="n">
        <v>10.65612984611368</v>
      </c>
      <c r="P279" t="n">
        <v>10.93789505381048</v>
      </c>
      <c r="Q279" t="n">
        <v>13.5330939702805</v>
      </c>
      <c r="R279" t="n">
        <v>17.17670768344891</v>
      </c>
      <c r="S279" t="n">
        <v>20.24139645347665</v>
      </c>
      <c r="T279" t="n">
        <v>23.09059066218394</v>
      </c>
      <c r="U279" t="n">
        <v>24.73365587240372</v>
      </c>
      <c r="V279" t="n">
        <v>25.68842089700322</v>
      </c>
      <c r="W279" t="n">
        <v>26.85146812000384</v>
      </c>
      <c r="X279" t="n">
        <v>27.81127783787132</v>
      </c>
      <c r="Y279" t="n">
        <v>31.45288972216753</v>
      </c>
      <c r="Z279" t="n">
        <v>38.66915806960635</v>
      </c>
      <c r="AA279" t="n">
        <v>49.0307972564686</v>
      </c>
      <c r="AB279" t="n">
        <v>58.18086477928809</v>
      </c>
      <c r="AC279" t="n">
        <v>66.69620002509966</v>
      </c>
      <c r="AD279" t="n">
        <v>72.90665797751579</v>
      </c>
      <c r="AE279" t="n">
        <v>79.21130734316</v>
      </c>
      <c r="AF279" t="n">
        <v>83.93157612297389</v>
      </c>
      <c r="AG279" t="n">
        <v>86.75030974468277</v>
      </c>
      <c r="AH279" t="n">
        <v>87.76571909056128</v>
      </c>
      <c r="AI279" t="n">
        <v>87.82079953862434</v>
      </c>
      <c r="BI279" t="inlineStr">
        <is>
          <t>PV_NEW_OB</t>
        </is>
      </c>
    </row>
    <row r="280">
      <c r="A280" t="inlineStr">
        <is>
          <t>no_year_in_pairs</t>
        </is>
      </c>
      <c r="B280" s="2" t="n"/>
      <c r="C280" s="3" t="inlineStr">
        <is>
          <t>EBS.20.72, Sup. 1</t>
        </is>
      </c>
      <c r="D280" s="4" t="inlineStr">
        <is>
          <t>Dominica</t>
        </is>
      </c>
      <c r="E280" s="4" t="inlineStr">
        <is>
          <t>DMA</t>
        </is>
      </c>
      <c r="F280" s="4" t="n"/>
      <c r="G280" s="4" t="inlineStr">
        <is>
          <t>2018gn</t>
        </is>
      </c>
      <c r="H280" s="4" t="n">
        <v>2019</v>
      </c>
      <c r="I280" s="4" t="inlineStr">
        <is>
          <t>pv.new.dbt.pc</t>
        </is>
      </c>
      <c r="J280" t="inlineStr">
        <is>
          <t xml:space="preserve">   Paris Club</t>
        </is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</row>
    <row r="281">
      <c r="A281" t="inlineStr">
        <is>
          <t>no_year_in_pairs</t>
        </is>
      </c>
      <c r="B281" s="2" t="n"/>
      <c r="C281" s="3" t="inlineStr">
        <is>
          <t>EBS.20.72, Sup. 1</t>
        </is>
      </c>
      <c r="D281" s="4" t="inlineStr">
        <is>
          <t>Dominica</t>
        </is>
      </c>
      <c r="E281" s="4" t="inlineStr">
        <is>
          <t>DMA</t>
        </is>
      </c>
      <c r="F281" s="4" t="n"/>
      <c r="G281" s="4" t="inlineStr">
        <is>
          <t>2018gn</t>
        </is>
      </c>
      <c r="H281" s="4" t="n">
        <v>2019</v>
      </c>
      <c r="I281" s="4" t="inlineStr">
        <is>
          <t>pv.new.dbt.pc1</t>
        </is>
      </c>
      <c r="J281" t="inlineStr">
        <is>
          <t>Export Credit Agencies</t>
        </is>
      </c>
      <c r="M281" t="n">
        <v>265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</row>
    <row r="282">
      <c r="A282" t="inlineStr">
        <is>
          <t>no_year_in_pairs</t>
        </is>
      </c>
      <c r="B282" s="2" t="n"/>
      <c r="C282" s="3" t="inlineStr">
        <is>
          <t>EBS.20.72, Sup. 1</t>
        </is>
      </c>
      <c r="D282" s="4" t="inlineStr">
        <is>
          <t>Dominica</t>
        </is>
      </c>
      <c r="E282" s="4" t="inlineStr">
        <is>
          <t>DMA</t>
        </is>
      </c>
      <c r="F282" s="4" t="n"/>
      <c r="G282" s="4" t="inlineStr">
        <is>
          <t>2018gn</t>
        </is>
      </c>
      <c r="H282" s="4" t="n">
        <v>2019</v>
      </c>
      <c r="I282" s="4" t="inlineStr">
        <is>
          <t>pv.new.dbt.pc2</t>
        </is>
      </c>
      <c r="J282" t="inlineStr">
        <is>
          <t>PC2</t>
        </is>
      </c>
      <c r="M282" t="n">
        <v>291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</row>
    <row r="283">
      <c r="A283" t="inlineStr">
        <is>
          <t>no_year_in_pairs</t>
        </is>
      </c>
      <c r="B283" s="2" t="n"/>
      <c r="C283" s="3" t="inlineStr">
        <is>
          <t>EBS.20.72, Sup. 1</t>
        </is>
      </c>
      <c r="D283" s="4" t="inlineStr">
        <is>
          <t>Dominica</t>
        </is>
      </c>
      <c r="E283" s="4" t="inlineStr">
        <is>
          <t>DMA</t>
        </is>
      </c>
      <c r="F283" s="4" t="n"/>
      <c r="G283" s="4" t="inlineStr">
        <is>
          <t>2018gn</t>
        </is>
      </c>
      <c r="H283" s="4" t="n">
        <v>2019</v>
      </c>
      <c r="I283" s="4" t="inlineStr">
        <is>
          <t>pv.new.dbt.pc3</t>
        </is>
      </c>
      <c r="J283" t="inlineStr">
        <is>
          <t>PC3</t>
        </is>
      </c>
      <c r="M283" t="n">
        <v>317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</row>
    <row r="284">
      <c r="A284" t="inlineStr">
        <is>
          <t>no_year_in_pairs</t>
        </is>
      </c>
      <c r="B284" s="2" t="n"/>
      <c r="C284" s="3" t="inlineStr">
        <is>
          <t>EBS.20.72, Sup. 1</t>
        </is>
      </c>
      <c r="D284" s="4" t="inlineStr">
        <is>
          <t>Dominica</t>
        </is>
      </c>
      <c r="E284" s="4" t="inlineStr">
        <is>
          <t>DMA</t>
        </is>
      </c>
      <c r="F284" s="4" t="n"/>
      <c r="G284" s="4" t="inlineStr">
        <is>
          <t>2018gn</t>
        </is>
      </c>
      <c r="H284" s="4" t="n">
        <v>2019</v>
      </c>
      <c r="I284" s="4" t="inlineStr">
        <is>
          <t>pv.new.dbt.pc4</t>
        </is>
      </c>
      <c r="J284" t="inlineStr">
        <is>
          <t>PC4</t>
        </is>
      </c>
      <c r="M284" t="n">
        <v>343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</row>
    <row r="285">
      <c r="A285" t="inlineStr">
        <is>
          <t>no_year_in_pairs</t>
        </is>
      </c>
      <c r="B285" s="2" t="n"/>
      <c r="C285" s="3" t="inlineStr">
        <is>
          <t>EBS.20.72, Sup. 1</t>
        </is>
      </c>
      <c r="D285" s="4" t="inlineStr">
        <is>
          <t>Dominica</t>
        </is>
      </c>
      <c r="E285" s="4" t="inlineStr">
        <is>
          <t>DMA</t>
        </is>
      </c>
      <c r="F285" s="4" t="n"/>
      <c r="G285" s="4" t="inlineStr">
        <is>
          <t>2018gn</t>
        </is>
      </c>
      <c r="H285" s="4" t="n">
        <v>2019</v>
      </c>
      <c r="I285" s="4" t="inlineStr">
        <is>
          <t>pv.new.dbt.pc5</t>
        </is>
      </c>
      <c r="J285" t="inlineStr">
        <is>
          <t>PC5</t>
        </is>
      </c>
      <c r="M285" t="n">
        <v>369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</row>
    <row r="286">
      <c r="A286" t="inlineStr">
        <is>
          <t>no_year_in_pairs</t>
        </is>
      </c>
      <c r="B286" s="2" t="n"/>
      <c r="C286" s="3" t="inlineStr">
        <is>
          <t>EBS.20.72, Sup. 1</t>
        </is>
      </c>
      <c r="D286" s="4" t="inlineStr">
        <is>
          <t>Dominica</t>
        </is>
      </c>
      <c r="E286" s="4" t="inlineStr">
        <is>
          <t>DMA</t>
        </is>
      </c>
      <c r="F286" s="4" t="n"/>
      <c r="G286" s="4" t="inlineStr">
        <is>
          <t>2018gn</t>
        </is>
      </c>
      <c r="H286" s="4" t="n">
        <v>2019</v>
      </c>
      <c r="I286" s="4" t="inlineStr">
        <is>
          <t>pv.new.dbt.npc</t>
        </is>
      </c>
      <c r="J286" t="inlineStr">
        <is>
          <t xml:space="preserve">   Non-Paris Club</t>
        </is>
      </c>
      <c r="M286" t="n">
        <v>-2</v>
      </c>
      <c r="O286" t="n">
        <v>10.65612984611368</v>
      </c>
      <c r="P286" t="n">
        <v>10.93789505381048</v>
      </c>
      <c r="Q286" t="n">
        <v>13.5330939702805</v>
      </c>
      <c r="R286" t="n">
        <v>17.17670768344891</v>
      </c>
      <c r="S286" t="n">
        <v>20.24139645347665</v>
      </c>
      <c r="T286" t="n">
        <v>23.09059066218394</v>
      </c>
      <c r="U286" t="n">
        <v>24.73365587240372</v>
      </c>
      <c r="V286" t="n">
        <v>25.68842089700322</v>
      </c>
      <c r="W286" t="n">
        <v>26.85146812000384</v>
      </c>
      <c r="X286" t="n">
        <v>27.81127783787132</v>
      </c>
      <c r="Y286" t="n">
        <v>31.45288972216753</v>
      </c>
      <c r="Z286" t="n">
        <v>38.66915806960635</v>
      </c>
      <c r="AA286" t="n">
        <v>49.0307972564686</v>
      </c>
      <c r="AB286" t="n">
        <v>58.18086477928809</v>
      </c>
      <c r="AC286" t="n">
        <v>66.69620002509966</v>
      </c>
      <c r="AD286" t="n">
        <v>72.90665797751579</v>
      </c>
      <c r="AE286" t="n">
        <v>79.21130734316</v>
      </c>
      <c r="AF286" t="n">
        <v>83.93157612297389</v>
      </c>
      <c r="AG286" t="n">
        <v>86.75030974468277</v>
      </c>
      <c r="AH286" t="n">
        <v>87.76571909056128</v>
      </c>
      <c r="AI286" t="n">
        <v>87.82079953862434</v>
      </c>
    </row>
    <row r="287">
      <c r="A287" t="inlineStr">
        <is>
          <t>no_year_in_pairs</t>
        </is>
      </c>
      <c r="B287" s="2" t="n"/>
      <c r="C287" s="3" t="inlineStr">
        <is>
          <t>EBS.20.72, Sup. 1</t>
        </is>
      </c>
      <c r="D287" s="4" t="inlineStr">
        <is>
          <t>Dominica</t>
        </is>
      </c>
      <c r="E287" s="4" t="inlineStr">
        <is>
          <t>DMA</t>
        </is>
      </c>
      <c r="F287" s="4" t="n"/>
      <c r="G287" s="4" t="inlineStr">
        <is>
          <t>2018gn</t>
        </is>
      </c>
      <c r="H287" s="4" t="n">
        <v>2019</v>
      </c>
      <c r="I287" s="4" t="inlineStr">
        <is>
          <t>pv.new.dbt.npc.eximbk</t>
        </is>
      </c>
      <c r="J287" t="inlineStr">
        <is>
          <t>NPC2</t>
        </is>
      </c>
      <c r="M287" t="n">
        <v>395</v>
      </c>
      <c r="O287" t="n">
        <v>10.65612984611368</v>
      </c>
      <c r="P287" t="n">
        <v>10.93789505381048</v>
      </c>
      <c r="Q287" t="n">
        <v>13.5330939702805</v>
      </c>
      <c r="R287" t="n">
        <v>17.17670768344891</v>
      </c>
      <c r="S287" t="n">
        <v>20.24139645347665</v>
      </c>
      <c r="T287" t="n">
        <v>23.09059066218394</v>
      </c>
      <c r="U287" t="n">
        <v>24.73365587240372</v>
      </c>
      <c r="V287" t="n">
        <v>25.68842089700322</v>
      </c>
      <c r="W287" t="n">
        <v>26.85146812000384</v>
      </c>
      <c r="X287" t="n">
        <v>27.81127783787132</v>
      </c>
      <c r="Y287" t="n">
        <v>31.45288972216753</v>
      </c>
      <c r="Z287" t="n">
        <v>38.66915806960635</v>
      </c>
      <c r="AA287" t="n">
        <v>49.0307972564686</v>
      </c>
      <c r="AB287" t="n">
        <v>58.18086477928809</v>
      </c>
      <c r="AC287" t="n">
        <v>66.69620002509966</v>
      </c>
      <c r="AD287" t="n">
        <v>72.90665797751579</v>
      </c>
      <c r="AE287" t="n">
        <v>79.21130734316</v>
      </c>
      <c r="AF287" t="n">
        <v>83.93157612297389</v>
      </c>
      <c r="AG287" t="n">
        <v>86.75030974468277</v>
      </c>
      <c r="AH287" t="n">
        <v>87.76571909056128</v>
      </c>
      <c r="AI287" t="n">
        <v>87.82079953862434</v>
      </c>
    </row>
    <row r="288">
      <c r="A288" t="inlineStr">
        <is>
          <t>no_year_in_pairs</t>
        </is>
      </c>
      <c r="B288" s="2" t="n"/>
      <c r="C288" s="3" t="inlineStr">
        <is>
          <t>EBS.20.72, Sup. 1</t>
        </is>
      </c>
      <c r="D288" s="4" t="inlineStr">
        <is>
          <t>Dominica</t>
        </is>
      </c>
      <c r="E288" s="4" t="inlineStr">
        <is>
          <t>DMA</t>
        </is>
      </c>
      <c r="F288" s="4" t="n"/>
      <c r="G288" s="4" t="inlineStr">
        <is>
          <t>2018gn</t>
        </is>
      </c>
      <c r="H288" s="4" t="n">
        <v>2019</v>
      </c>
      <c r="I288" s="4" t="inlineStr">
        <is>
          <t>pv.new.dbt.npc2</t>
        </is>
      </c>
      <c r="J288" t="inlineStr">
        <is>
          <t>NPC2</t>
        </is>
      </c>
      <c r="M288" t="n">
        <v>421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</row>
    <row r="289">
      <c r="A289" t="inlineStr">
        <is>
          <t>no_year_in_pairs</t>
        </is>
      </c>
      <c r="B289" s="2" t="n"/>
      <c r="C289" s="3" t="inlineStr">
        <is>
          <t>EBS.20.72, Sup. 1</t>
        </is>
      </c>
      <c r="D289" s="4" t="inlineStr">
        <is>
          <t>Dominica</t>
        </is>
      </c>
      <c r="E289" s="4" t="inlineStr">
        <is>
          <t>DMA</t>
        </is>
      </c>
      <c r="F289" s="4" t="n"/>
      <c r="G289" s="4" t="inlineStr">
        <is>
          <t>2018gn</t>
        </is>
      </c>
      <c r="H289" s="4" t="n">
        <v>2019</v>
      </c>
      <c r="I289" s="4" t="inlineStr">
        <is>
          <t>pv.new.dbt.npc3</t>
        </is>
      </c>
      <c r="J289" t="inlineStr">
        <is>
          <t>NPC3</t>
        </is>
      </c>
      <c r="M289" t="n">
        <v>447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</row>
    <row r="290">
      <c r="A290" t="inlineStr">
        <is>
          <t>no_year_in_pairs</t>
        </is>
      </c>
      <c r="B290" s="2" t="n"/>
      <c r="C290" s="3" t="inlineStr">
        <is>
          <t>EBS.20.72, Sup. 1</t>
        </is>
      </c>
      <c r="D290" s="4" t="inlineStr">
        <is>
          <t>Dominica</t>
        </is>
      </c>
      <c r="E290" s="4" t="inlineStr">
        <is>
          <t>DMA</t>
        </is>
      </c>
      <c r="F290" s="4" t="n"/>
      <c r="G290" s="4" t="inlineStr">
        <is>
          <t>2018gn</t>
        </is>
      </c>
      <c r="H290" s="4" t="n">
        <v>2019</v>
      </c>
      <c r="I290" s="4" t="inlineStr">
        <is>
          <t>pv.new.dbt.npc4</t>
        </is>
      </c>
      <c r="J290" t="inlineStr">
        <is>
          <t>NPC4</t>
        </is>
      </c>
      <c r="M290" t="n">
        <v>473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</row>
    <row r="291">
      <c r="A291" t="inlineStr">
        <is>
          <t>no_year_in_pairs</t>
        </is>
      </c>
      <c r="B291" s="2" t="n"/>
      <c r="C291" s="3" t="inlineStr">
        <is>
          <t>EBS.20.72, Sup. 1</t>
        </is>
      </c>
      <c r="D291" s="4" t="inlineStr">
        <is>
          <t>Dominica</t>
        </is>
      </c>
      <c r="E291" s="4" t="inlineStr">
        <is>
          <t>DMA</t>
        </is>
      </c>
      <c r="F291" s="4" t="n"/>
      <c r="G291" s="4" t="inlineStr">
        <is>
          <t>2018gn</t>
        </is>
      </c>
      <c r="H291" s="4" t="n">
        <v>2019</v>
      </c>
      <c r="I291" s="4" t="inlineStr">
        <is>
          <t>pv.new.dbt.npc5</t>
        </is>
      </c>
      <c r="J291" t="inlineStr">
        <is>
          <t>NPC5</t>
        </is>
      </c>
      <c r="M291" t="n">
        <v>499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</row>
    <row r="292">
      <c r="A292" t="inlineStr">
        <is>
          <t>no_year_in_pairs</t>
        </is>
      </c>
      <c r="B292" s="2" t="n"/>
      <c r="C292" s="3" t="inlineStr">
        <is>
          <t>EBS.20.72, Sup. 1</t>
        </is>
      </c>
      <c r="D292" s="4" t="inlineStr">
        <is>
          <t>Dominica</t>
        </is>
      </c>
      <c r="E292" s="4" t="inlineStr">
        <is>
          <t>DMA</t>
        </is>
      </c>
      <c r="F292" s="4" t="n"/>
      <c r="G292" s="4" t="inlineStr">
        <is>
          <t>2018gn</t>
        </is>
      </c>
      <c r="H292" s="4" t="n">
        <v>2019</v>
      </c>
      <c r="I292" s="4" t="inlineStr">
        <is>
          <t>pv.new.dbt.prvt</t>
        </is>
      </c>
      <c r="J292" t="inlineStr">
        <is>
          <t>Commercial</t>
        </is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BI292" t="inlineStr">
        <is>
          <t>PV_NEW_COM</t>
        </is>
      </c>
    </row>
    <row r="293">
      <c r="A293" t="inlineStr">
        <is>
          <t>no_year_in_pairs</t>
        </is>
      </c>
      <c r="B293" s="2" t="n"/>
      <c r="C293" s="3" t="inlineStr">
        <is>
          <t>EBS.20.72, Sup. 1</t>
        </is>
      </c>
      <c r="D293" s="4" t="inlineStr">
        <is>
          <t>Dominica</t>
        </is>
      </c>
      <c r="E293" s="4" t="inlineStr">
        <is>
          <t>DMA</t>
        </is>
      </c>
      <c r="F293" s="4" t="n"/>
      <c r="G293" s="4" t="inlineStr">
        <is>
          <t>2018gn</t>
        </is>
      </c>
      <c r="H293" s="4" t="n">
        <v>2019</v>
      </c>
      <c r="I293" s="4" t="inlineStr">
        <is>
          <t>pv.new.dbt.prvt.bnd</t>
        </is>
      </c>
      <c r="J293" t="inlineStr">
        <is>
          <t>Eurobond</t>
        </is>
      </c>
      <c r="M293" t="n">
        <v>525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</row>
    <row r="294">
      <c r="A294" t="inlineStr">
        <is>
          <t>no_year_in_pairs</t>
        </is>
      </c>
      <c r="B294" s="2" t="n"/>
      <c r="C294" s="3" t="inlineStr">
        <is>
          <t>EBS.20.72, Sup. 1</t>
        </is>
      </c>
      <c r="D294" s="4" t="inlineStr">
        <is>
          <t>Dominica</t>
        </is>
      </c>
      <c r="E294" s="4" t="inlineStr">
        <is>
          <t>DMA</t>
        </is>
      </c>
      <c r="F294" s="4" t="n"/>
      <c r="G294" s="4" t="inlineStr">
        <is>
          <t>2018gn</t>
        </is>
      </c>
      <c r="H294" s="4" t="n">
        <v>2019</v>
      </c>
      <c r="I294" s="4" t="inlineStr">
        <is>
          <t>pv.new.dbt.prvt.cmbk</t>
        </is>
      </c>
      <c r="J294" t="inlineStr">
        <is>
          <t>Commecial Bank</t>
        </is>
      </c>
      <c r="M294" t="n">
        <v>551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</row>
    <row r="295">
      <c r="A295" t="inlineStr">
        <is>
          <t>no_year_in_pairs</t>
        </is>
      </c>
      <c r="B295" s="2" t="n"/>
      <c r="C295" s="3" t="inlineStr">
        <is>
          <t>EBS.20.72, Sup. 1</t>
        </is>
      </c>
      <c r="D295" s="4" t="inlineStr">
        <is>
          <t>Dominica</t>
        </is>
      </c>
      <c r="E295" s="4" t="inlineStr">
        <is>
          <t>DMA</t>
        </is>
      </c>
      <c r="F295" s="4" t="n"/>
      <c r="G295" s="4" t="inlineStr">
        <is>
          <t>2018gn</t>
        </is>
      </c>
      <c r="H295" s="4" t="n">
        <v>2019</v>
      </c>
      <c r="I295" s="4" t="inlineStr">
        <is>
          <t>pv.new.dbt.prvt.com3</t>
        </is>
      </c>
      <c r="J295" t="inlineStr">
        <is>
          <t>COM3</t>
        </is>
      </c>
      <c r="M295" t="n">
        <v>577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</row>
    <row r="296">
      <c r="A296" t="inlineStr">
        <is>
          <t>no_year_in_pairs</t>
        </is>
      </c>
      <c r="B296" s="2" t="n"/>
      <c r="C296" s="3" t="inlineStr">
        <is>
          <t>EBS.20.72, Sup. 1</t>
        </is>
      </c>
      <c r="D296" s="4" t="inlineStr">
        <is>
          <t>Dominica</t>
        </is>
      </c>
      <c r="E296" s="4" t="inlineStr">
        <is>
          <t>DMA</t>
        </is>
      </c>
      <c r="F296" s="4" t="n"/>
      <c r="G296" s="4" t="inlineStr">
        <is>
          <t>2018gn</t>
        </is>
      </c>
      <c r="H296" s="4" t="n">
        <v>2019</v>
      </c>
      <c r="I296" s="4" t="inlineStr">
        <is>
          <t>pv.new.dbt.prvt.com4</t>
        </is>
      </c>
      <c r="J296" t="inlineStr">
        <is>
          <t>COM4</t>
        </is>
      </c>
      <c r="M296" t="n">
        <v>603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</row>
    <row r="297">
      <c r="A297" t="inlineStr">
        <is>
          <t>no_year_in_pairs</t>
        </is>
      </c>
      <c r="B297" s="2" t="n"/>
      <c r="C297" s="3" t="inlineStr">
        <is>
          <t>EBS.20.72, Sup. 1</t>
        </is>
      </c>
      <c r="D297" s="4" t="inlineStr">
        <is>
          <t>Dominica</t>
        </is>
      </c>
      <c r="E297" s="4" t="inlineStr">
        <is>
          <t>DMA</t>
        </is>
      </c>
      <c r="F297" s="4" t="n"/>
      <c r="G297" s="4" t="inlineStr">
        <is>
          <t>2018gn</t>
        </is>
      </c>
      <c r="H297" s="4" t="n">
        <v>2019</v>
      </c>
      <c r="I297" s="4" t="inlineStr">
        <is>
          <t>pv.new.dbt.prvt.com5</t>
        </is>
      </c>
      <c r="J297" t="inlineStr">
        <is>
          <t>COM5</t>
        </is>
      </c>
      <c r="M297" t="n">
        <v>629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</row>
    <row r="298">
      <c r="A298" t="inlineStr">
        <is>
          <t>no_year_in_pairs</t>
        </is>
      </c>
      <c r="B298" s="2" t="n"/>
      <c r="C298" s="3" t="inlineStr">
        <is>
          <t>EBS.20.72, Sup. 1</t>
        </is>
      </c>
      <c r="D298" s="4" t="inlineStr">
        <is>
          <t>Dominica</t>
        </is>
      </c>
      <c r="E298" s="4" t="inlineStr">
        <is>
          <t>DMA</t>
        </is>
      </c>
      <c r="F298" s="4" t="n"/>
      <c r="G298" s="4" t="inlineStr">
        <is>
          <t>2018gn</t>
        </is>
      </c>
      <c r="H298" s="4" t="n">
        <v>2019</v>
      </c>
      <c r="I298" s="4" t="inlineStr">
        <is>
          <t>pv.new.dbt.lcl.iss.nres</t>
        </is>
      </c>
      <c r="J298" t="inlineStr">
        <is>
          <t>Locally-issued debt held by non-residents</t>
        </is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</row>
    <row r="299">
      <c r="A299" t="inlineStr">
        <is>
          <t>no_year_in_pairs</t>
        </is>
      </c>
      <c r="B299" s="2" t="n"/>
      <c r="C299" s="3" t="inlineStr">
        <is>
          <t>EBS.20.72, Sup. 1</t>
        </is>
      </c>
      <c r="D299" s="4" t="inlineStr">
        <is>
          <t>Dominica</t>
        </is>
      </c>
      <c r="E299" s="4" t="inlineStr">
        <is>
          <t>DMA</t>
        </is>
      </c>
      <c r="F299" s="4" t="n"/>
      <c r="G299" s="4" t="inlineStr">
        <is>
          <t>2018gn</t>
        </is>
      </c>
      <c r="H299" s="4" t="n">
        <v>2019</v>
      </c>
      <c r="I299" s="4" t="inlineStr">
        <is>
          <t>pn.new.dbt.lcl.nres.lc</t>
        </is>
      </c>
      <c r="J299" t="inlineStr">
        <is>
          <t>Denominated in local currency (LC)</t>
        </is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</row>
    <row r="300">
      <c r="A300" t="inlineStr">
        <is>
          <t>no_year_in_pairs</t>
        </is>
      </c>
      <c r="B300" s="2" t="n"/>
      <c r="C300" s="3" t="inlineStr">
        <is>
          <t>EBS.20.72, Sup. 1</t>
        </is>
      </c>
      <c r="D300" s="4" t="inlineStr">
        <is>
          <t>Dominica</t>
        </is>
      </c>
      <c r="E300" s="4" t="inlineStr">
        <is>
          <t>DMA</t>
        </is>
      </c>
      <c r="F300" s="4" t="n"/>
      <c r="G300" s="4" t="inlineStr">
        <is>
          <t>2018gn</t>
        </is>
      </c>
      <c r="H300" s="4" t="n">
        <v>2019</v>
      </c>
      <c r="I300" s="4" t="inlineStr">
        <is>
          <t>pn.new.dbt.lcl.nres.bnd.1to3.lc</t>
        </is>
      </c>
      <c r="J300" t="inlineStr">
        <is>
          <t>Bonds (1 to 3 years)-LC</t>
        </is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</row>
    <row r="301">
      <c r="A301" t="inlineStr">
        <is>
          <t>no_year_in_pairs</t>
        </is>
      </c>
      <c r="B301" s="2" t="n"/>
      <c r="C301" s="3" t="inlineStr">
        <is>
          <t>EBS.20.72, Sup. 1</t>
        </is>
      </c>
      <c r="D301" s="4" t="inlineStr">
        <is>
          <t>Dominica</t>
        </is>
      </c>
      <c r="E301" s="4" t="inlineStr">
        <is>
          <t>DMA</t>
        </is>
      </c>
      <c r="F301" s="4" t="n"/>
      <c r="G301" s="4" t="inlineStr">
        <is>
          <t>2018gn</t>
        </is>
      </c>
      <c r="H301" s="4" t="n">
        <v>2019</v>
      </c>
      <c r="I301" s="4" t="inlineStr">
        <is>
          <t>pn.new.dbt.lcl.nres.bnd.4to7.lc</t>
        </is>
      </c>
      <c r="J301" t="inlineStr">
        <is>
          <t>Bonds (4 to 7 years)-LC</t>
        </is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</row>
    <row r="302">
      <c r="A302" t="inlineStr">
        <is>
          <t>no_year_in_pairs</t>
        </is>
      </c>
      <c r="B302" s="2" t="n"/>
      <c r="C302" s="3" t="inlineStr">
        <is>
          <t>EBS.20.72, Sup. 1</t>
        </is>
      </c>
      <c r="D302" s="4" t="inlineStr">
        <is>
          <t>Dominica</t>
        </is>
      </c>
      <c r="E302" s="4" t="inlineStr">
        <is>
          <t>DMA</t>
        </is>
      </c>
      <c r="F302" s="4" t="n"/>
      <c r="G302" s="4" t="inlineStr">
        <is>
          <t>2018gn</t>
        </is>
      </c>
      <c r="H302" s="4" t="n">
        <v>2019</v>
      </c>
      <c r="I302" s="4" t="inlineStr">
        <is>
          <t>pn.new.dbt.lcl.nres.bnd.byd7.lc</t>
        </is>
      </c>
      <c r="J302" t="inlineStr">
        <is>
          <t>Bonds (beyond 7 years)-LC</t>
        </is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</row>
    <row r="303">
      <c r="A303" t="inlineStr">
        <is>
          <t>no_year_in_pairs</t>
        </is>
      </c>
      <c r="B303" s="2" t="n"/>
      <c r="C303" s="3" t="inlineStr">
        <is>
          <t>EBS.20.72, Sup. 1</t>
        </is>
      </c>
      <c r="D303" s="4" t="inlineStr">
        <is>
          <t>Dominica</t>
        </is>
      </c>
      <c r="E303" s="4" t="inlineStr">
        <is>
          <t>DMA</t>
        </is>
      </c>
      <c r="F303" s="4" t="n"/>
      <c r="G303" s="4" t="inlineStr">
        <is>
          <t>2018gn</t>
        </is>
      </c>
      <c r="H303" s="4" t="n">
        <v>2019</v>
      </c>
      <c r="I303" s="4" t="inlineStr">
        <is>
          <t>pn.new.dbt.lcl.nres.fx</t>
        </is>
      </c>
      <c r="J303" t="inlineStr">
        <is>
          <t>Denominated in foreign currency (FX)</t>
        </is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</row>
    <row r="304">
      <c r="A304" t="inlineStr">
        <is>
          <t>no_year_in_pairs</t>
        </is>
      </c>
      <c r="B304" s="2" t="n"/>
      <c r="C304" s="3" t="inlineStr">
        <is>
          <t>EBS.20.72, Sup. 1</t>
        </is>
      </c>
      <c r="D304" s="4" t="inlineStr">
        <is>
          <t>Dominica</t>
        </is>
      </c>
      <c r="E304" s="4" t="inlineStr">
        <is>
          <t>DMA</t>
        </is>
      </c>
      <c r="F304" s="4" t="n"/>
      <c r="G304" s="4" t="inlineStr">
        <is>
          <t>2018gn</t>
        </is>
      </c>
      <c r="H304" s="4" t="n">
        <v>2019</v>
      </c>
      <c r="I304" s="4" t="inlineStr">
        <is>
          <t>pn.new.dbt.lcl.nres.bnd.1to3.fx</t>
        </is>
      </c>
      <c r="J304" t="inlineStr">
        <is>
          <t>Bonds (1 to 3 years)-FX</t>
        </is>
      </c>
      <c r="M304" t="n">
        <v>655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</row>
    <row r="305">
      <c r="A305" t="inlineStr">
        <is>
          <t>no_year_in_pairs</t>
        </is>
      </c>
      <c r="B305" s="2" t="n"/>
      <c r="C305" s="3" t="inlineStr">
        <is>
          <t>EBS.20.72, Sup. 1</t>
        </is>
      </c>
      <c r="D305" s="4" t="inlineStr">
        <is>
          <t>Dominica</t>
        </is>
      </c>
      <c r="E305" s="4" t="inlineStr">
        <is>
          <t>DMA</t>
        </is>
      </c>
      <c r="F305" s="4" t="n"/>
      <c r="G305" s="4" t="inlineStr">
        <is>
          <t>2018gn</t>
        </is>
      </c>
      <c r="H305" s="4" t="n">
        <v>2019</v>
      </c>
      <c r="I305" s="4" t="inlineStr">
        <is>
          <t>pn.new.dbt.lcl.nres.bnd.4to7.fx</t>
        </is>
      </c>
      <c r="J305" t="inlineStr">
        <is>
          <t>Bonds (4 to 7 years)-FX</t>
        </is>
      </c>
      <c r="M305" t="n">
        <v>681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</row>
    <row r="306">
      <c r="A306" t="inlineStr">
        <is>
          <t>no_year_in_pairs</t>
        </is>
      </c>
      <c r="B306" s="2" t="n"/>
      <c r="C306" s="3" t="inlineStr">
        <is>
          <t>EBS.20.72, Sup. 1</t>
        </is>
      </c>
      <c r="D306" s="4" t="inlineStr">
        <is>
          <t>Dominica</t>
        </is>
      </c>
      <c r="E306" s="4" t="inlineStr">
        <is>
          <t>DMA</t>
        </is>
      </c>
      <c r="F306" s="4" t="n"/>
      <c r="G306" s="4" t="inlineStr">
        <is>
          <t>2018gn</t>
        </is>
      </c>
      <c r="H306" s="4" t="n">
        <v>2019</v>
      </c>
      <c r="I306" s="4" t="inlineStr">
        <is>
          <t>pn.new.dbt.lcl.nres.bnd.byd7.fx</t>
        </is>
      </c>
      <c r="J306" t="inlineStr">
        <is>
          <t>Bonds (beyond 7 years)-FX</t>
        </is>
      </c>
      <c r="M306" t="n">
        <v>707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</row>
    <row r="307">
      <c r="A307" t="inlineStr">
        <is>
          <t>no_year_in_pairs</t>
        </is>
      </c>
      <c r="B307" s="2" t="n"/>
      <c r="C307" s="3" t="inlineStr">
        <is>
          <t>EBS.20.72, Sup. 1</t>
        </is>
      </c>
      <c r="D307" s="4" t="inlineStr">
        <is>
          <t>Dominica</t>
        </is>
      </c>
      <c r="E307" s="4" t="inlineStr">
        <is>
          <t>DMA</t>
        </is>
      </c>
      <c r="F307" s="4" t="n"/>
      <c r="G307" s="4" t="inlineStr">
        <is>
          <t>2018gn</t>
        </is>
      </c>
      <c r="H307" s="4" t="n">
        <v>2019</v>
      </c>
      <c r="I307" s="5" t="n"/>
      <c r="J307" t="inlineStr">
        <is>
          <t>Locally-issued debt held by residents</t>
        </is>
      </c>
    </row>
    <row r="308">
      <c r="A308" t="inlineStr">
        <is>
          <t>no_year_in_pairs</t>
        </is>
      </c>
      <c r="B308" s="2" t="n"/>
      <c r="C308" s="3" t="inlineStr">
        <is>
          <t>EBS.20.72, Sup. 1</t>
        </is>
      </c>
      <c r="D308" s="4" t="inlineStr">
        <is>
          <t>Dominica</t>
        </is>
      </c>
      <c r="E308" s="4" t="inlineStr">
        <is>
          <t>DMA</t>
        </is>
      </c>
      <c r="F308" s="4" t="n"/>
      <c r="G308" s="4" t="inlineStr">
        <is>
          <t>2018gn</t>
        </is>
      </c>
      <c r="H308" s="4" t="n">
        <v>2019</v>
      </c>
      <c r="I308" s="4" t="inlineStr">
        <is>
          <t>pn.new.dbt.lcl.fx</t>
        </is>
      </c>
      <c r="J308" t="inlineStr">
        <is>
          <t>Denominated in foreign currency (FX)</t>
        </is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</row>
    <row r="309">
      <c r="A309" t="inlineStr">
        <is>
          <t>no_year_in_pairs</t>
        </is>
      </c>
      <c r="B309" s="2" t="n"/>
      <c r="C309" s="3" t="inlineStr">
        <is>
          <t>EBS.20.72, Sup. 1</t>
        </is>
      </c>
      <c r="D309" s="4" t="inlineStr">
        <is>
          <t>Dominica</t>
        </is>
      </c>
      <c r="E309" s="4" t="inlineStr">
        <is>
          <t>DMA</t>
        </is>
      </c>
      <c r="F309" s="4" t="n"/>
      <c r="G309" s="4" t="inlineStr">
        <is>
          <t>2018gn</t>
        </is>
      </c>
      <c r="H309" s="4" t="n">
        <v>2019</v>
      </c>
      <c r="I309" s="4" t="inlineStr">
        <is>
          <t>pn.new.dbt.lcl.fx.bnd.1to3.fx</t>
        </is>
      </c>
      <c r="J309" t="inlineStr">
        <is>
          <t>Bonds (1 to 3 years)-FX</t>
        </is>
      </c>
      <c r="M309" t="n">
        <v>733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</row>
    <row r="310">
      <c r="A310" t="inlineStr">
        <is>
          <t>no_year_in_pairs</t>
        </is>
      </c>
      <c r="B310" s="2" t="n"/>
      <c r="C310" s="3" t="inlineStr">
        <is>
          <t>EBS.20.72, Sup. 1</t>
        </is>
      </c>
      <c r="D310" s="4" t="inlineStr">
        <is>
          <t>Dominica</t>
        </is>
      </c>
      <c r="E310" s="4" t="inlineStr">
        <is>
          <t>DMA</t>
        </is>
      </c>
      <c r="F310" s="4" t="n"/>
      <c r="G310" s="4" t="inlineStr">
        <is>
          <t>2018gn</t>
        </is>
      </c>
      <c r="H310" s="4" t="n">
        <v>2019</v>
      </c>
      <c r="I310" s="4" t="inlineStr">
        <is>
          <t>pn.new.dbt.lcl.fx.bnd.4to7.fx</t>
        </is>
      </c>
      <c r="J310" t="inlineStr">
        <is>
          <t>Bonds (4 to 7 years)-FX</t>
        </is>
      </c>
      <c r="M310" t="n">
        <v>759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</row>
    <row r="311">
      <c r="A311" t="inlineStr">
        <is>
          <t>no_year_in_pairs</t>
        </is>
      </c>
      <c r="B311" s="2" t="n"/>
      <c r="C311" s="3" t="inlineStr">
        <is>
          <t>EBS.20.72, Sup. 1</t>
        </is>
      </c>
      <c r="D311" s="4" t="inlineStr">
        <is>
          <t>Dominica</t>
        </is>
      </c>
      <c r="E311" s="4" t="inlineStr">
        <is>
          <t>DMA</t>
        </is>
      </c>
      <c r="F311" s="4" t="n"/>
      <c r="G311" s="4" t="inlineStr">
        <is>
          <t>2018gn</t>
        </is>
      </c>
      <c r="H311" s="4" t="n">
        <v>2019</v>
      </c>
      <c r="I311" s="4" t="inlineStr">
        <is>
          <t>pn.new.dbt.lcl.fx.bnd.byd7.fx</t>
        </is>
      </c>
      <c r="J311" t="inlineStr">
        <is>
          <t>Bonds (beyond 7 years)-FX</t>
        </is>
      </c>
      <c r="M311" t="n">
        <v>785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</row>
    <row r="312">
      <c r="A312" t="inlineStr">
        <is>
          <t>no_year_in_pairs</t>
        </is>
      </c>
      <c r="B312" s="2" t="n"/>
      <c r="C312" s="3" t="inlineStr">
        <is>
          <t>EBS.20.72, Sup. 1</t>
        </is>
      </c>
      <c r="D312" s="4" t="inlineStr">
        <is>
          <t>Dominica</t>
        </is>
      </c>
      <c r="E312" s="4" t="inlineStr">
        <is>
          <t>DMA</t>
        </is>
      </c>
      <c r="F312" s="4" t="n"/>
      <c r="G312" s="4" t="inlineStr">
        <is>
          <t>2018gn</t>
        </is>
      </c>
      <c r="H312" s="4" t="n">
        <v>2019</v>
      </c>
      <c r="I312" s="5" t="n"/>
    </row>
    <row r="313">
      <c r="A313" t="inlineStr">
        <is>
          <t>no_year_in_pairs</t>
        </is>
      </c>
      <c r="B313" s="2" t="n"/>
      <c r="C313" s="3" t="inlineStr">
        <is>
          <t>EBS.20.72, Sup. 1</t>
        </is>
      </c>
      <c r="D313" s="4" t="inlineStr">
        <is>
          <t>Dominica</t>
        </is>
      </c>
      <c r="E313" s="4" t="inlineStr">
        <is>
          <t>DMA</t>
        </is>
      </c>
      <c r="F313" s="4" t="n"/>
      <c r="G313" s="4" t="inlineStr">
        <is>
          <t>2018gn</t>
        </is>
      </c>
      <c r="H313" s="4" t="n">
        <v>2019</v>
      </c>
      <c r="I313" s="4" t="inlineStr">
        <is>
          <t>nom.val.dbt.mlg.trm</t>
        </is>
      </c>
      <c r="J313" t="inlineStr">
        <is>
          <t>Nominal value of new MLT debt</t>
        </is>
      </c>
      <c r="M313" t="n">
        <v>-4</v>
      </c>
      <c r="O313" t="n">
        <v>113.8301194821313</v>
      </c>
      <c r="P313" t="n">
        <v>167.2220786830333</v>
      </c>
      <c r="Q313" t="n">
        <v>214.0057069787355</v>
      </c>
      <c r="R313" t="n">
        <v>260.635377719366</v>
      </c>
      <c r="S313" t="n">
        <v>296.1679830136931</v>
      </c>
      <c r="T313" t="n">
        <v>321.2437426204624</v>
      </c>
      <c r="U313" t="n">
        <v>342.4098122208514</v>
      </c>
      <c r="V313" t="n">
        <v>361.7196638259331</v>
      </c>
      <c r="W313" t="n">
        <v>379.0345579139258</v>
      </c>
      <c r="X313" t="n">
        <v>389.2625890443161</v>
      </c>
      <c r="Y313" t="n">
        <v>397.813021428187</v>
      </c>
      <c r="Z313" t="n">
        <v>408.0815476241248</v>
      </c>
      <c r="AA313" t="n">
        <v>416.8045968634261</v>
      </c>
      <c r="AB313" t="n">
        <v>422.4396591426285</v>
      </c>
      <c r="AC313" t="n">
        <v>393.9736924682048</v>
      </c>
      <c r="AD313" t="n">
        <v>396.3069537767128</v>
      </c>
      <c r="AE313" t="n">
        <v>397.6641316029082</v>
      </c>
      <c r="AF313" t="n">
        <v>397.9697983596548</v>
      </c>
      <c r="AG313" t="n">
        <v>397.7339798953267</v>
      </c>
      <c r="AH313" t="n">
        <v>395.4298261259659</v>
      </c>
      <c r="AI313" t="n">
        <v>394.6950732106673</v>
      </c>
      <c r="BI313" t="inlineStr">
        <is>
          <t>NOM_NEW_MLT</t>
        </is>
      </c>
    </row>
    <row r="314">
      <c r="A314" t="inlineStr">
        <is>
          <t>no_year_in_pairs</t>
        </is>
      </c>
      <c r="B314" s="2" t="n"/>
      <c r="C314" s="3" t="inlineStr">
        <is>
          <t>EBS.20.72, Sup. 1</t>
        </is>
      </c>
      <c r="D314" s="4" t="inlineStr">
        <is>
          <t>Dominica</t>
        </is>
      </c>
      <c r="E314" s="4" t="inlineStr">
        <is>
          <t>DMA</t>
        </is>
      </c>
      <c r="F314" s="4" t="n"/>
      <c r="G314" s="4" t="inlineStr">
        <is>
          <t>2018gn</t>
        </is>
      </c>
      <c r="H314" s="4" t="n">
        <v>2019</v>
      </c>
      <c r="I314" s="4" t="inlineStr">
        <is>
          <t>nom.val.dbt.mlt</t>
        </is>
      </c>
      <c r="J314" t="inlineStr">
        <is>
          <t>Multilaterals</t>
        </is>
      </c>
      <c r="O314" t="n">
        <v>101.7415612609763</v>
      </c>
      <c r="P314" t="n">
        <v>154.9383336313453</v>
      </c>
      <c r="Q314" t="n">
        <v>198.9105950026384</v>
      </c>
      <c r="R314" t="n">
        <v>241.5751309055898</v>
      </c>
      <c r="S314" t="n">
        <v>273.8485821543197</v>
      </c>
      <c r="T314" t="n">
        <v>295.9540782842549</v>
      </c>
      <c r="U314" t="n">
        <v>315.3993226965253</v>
      </c>
      <c r="V314" t="n">
        <v>333.7914203979749</v>
      </c>
      <c r="W314" t="n">
        <v>349.9322053839862</v>
      </c>
      <c r="X314" t="n">
        <v>359.1827357930829</v>
      </c>
      <c r="Y314" t="n">
        <v>363.6851890650166</v>
      </c>
      <c r="Z314" t="n">
        <v>365.8564688639948</v>
      </c>
      <c r="AA314" t="n">
        <v>362.9625246605823</v>
      </c>
      <c r="AB314" t="n">
        <v>358.452652929228</v>
      </c>
      <c r="AC314" t="n">
        <v>320.6419328098635</v>
      </c>
      <c r="AD314" t="n">
        <v>316.3183531555887</v>
      </c>
      <c r="AE314" t="n">
        <v>311.0778742964852</v>
      </c>
      <c r="AF314" t="n">
        <v>306.5386734213688</v>
      </c>
      <c r="AG314" t="n">
        <v>303.5342058859601</v>
      </c>
      <c r="AH314" t="n">
        <v>300.4331997770781</v>
      </c>
      <c r="AI314" t="n">
        <v>299.8907399917116</v>
      </c>
      <c r="BI314" t="inlineStr">
        <is>
          <t>NOM_NEW_ML</t>
        </is>
      </c>
    </row>
    <row r="315">
      <c r="A315" t="inlineStr">
        <is>
          <t>no_year_in_pairs</t>
        </is>
      </c>
      <c r="B315" s="2" t="n"/>
      <c r="C315" s="3" t="inlineStr">
        <is>
          <t>EBS.20.72, Sup. 1</t>
        </is>
      </c>
      <c r="D315" s="4" t="inlineStr">
        <is>
          <t>Dominica</t>
        </is>
      </c>
      <c r="E315" s="4" t="inlineStr">
        <is>
          <t>DMA</t>
        </is>
      </c>
      <c r="F315" s="4" t="n"/>
      <c r="G315" s="4" t="inlineStr">
        <is>
          <t>2018gn</t>
        </is>
      </c>
      <c r="H315" s="4" t="n">
        <v>2019</v>
      </c>
      <c r="I315" s="4" t="inlineStr">
        <is>
          <t>nom.val.dbt.mlt.imf</t>
        </is>
      </c>
      <c r="J315" t="inlineStr">
        <is>
          <t>IMF</t>
        </is>
      </c>
      <c r="M315" t="n">
        <v>23</v>
      </c>
      <c r="O315" t="n">
        <v>5.48936642520126</v>
      </c>
      <c r="P315" t="n">
        <v>5.48936642520126</v>
      </c>
      <c r="Q315" t="n">
        <v>5.48936642520126</v>
      </c>
      <c r="R315" t="n">
        <v>5.48936642520126</v>
      </c>
      <c r="S315" t="n">
        <v>5.48936642520126</v>
      </c>
      <c r="T315" t="n">
        <v>5.48936642520126</v>
      </c>
      <c r="U315" t="n">
        <v>4.391493140161008</v>
      </c>
      <c r="V315" t="n">
        <v>3.293619855120756</v>
      </c>
      <c r="W315" t="n">
        <v>2.195746570080504</v>
      </c>
      <c r="X315" t="n">
        <v>1.097873285040252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</row>
    <row r="316">
      <c r="A316" t="inlineStr">
        <is>
          <t>no_year_in_pairs</t>
        </is>
      </c>
      <c r="B316" s="2" t="n"/>
      <c r="C316" s="3" t="inlineStr">
        <is>
          <t>EBS.20.72, Sup. 1</t>
        </is>
      </c>
      <c r="D316" s="4" t="inlineStr">
        <is>
          <t>Dominica</t>
        </is>
      </c>
      <c r="E316" s="4" t="inlineStr">
        <is>
          <t>DMA</t>
        </is>
      </c>
      <c r="F316" s="4" t="n"/>
      <c r="G316" s="4" t="inlineStr">
        <is>
          <t>2018gn</t>
        </is>
      </c>
      <c r="H316" s="4" t="n">
        <v>2019</v>
      </c>
      <c r="I316" s="4" t="inlineStr">
        <is>
          <t>nom.val.dbt.mlt.ida.reg</t>
        </is>
      </c>
      <c r="J316" t="inlineStr">
        <is>
          <t>IDA - small economy</t>
        </is>
      </c>
      <c r="M316" t="n">
        <v>57</v>
      </c>
      <c r="O316" t="n">
        <v>31</v>
      </c>
      <c r="P316" t="n">
        <v>56</v>
      </c>
      <c r="Q316" t="n">
        <v>76</v>
      </c>
      <c r="R316" t="n">
        <v>94</v>
      </c>
      <c r="S316" t="n">
        <v>109</v>
      </c>
      <c r="T316" t="n">
        <v>121.4383439052953</v>
      </c>
      <c r="U316" t="n">
        <v>131.7415910856035</v>
      </c>
      <c r="V316" t="n">
        <v>142.409855667964</v>
      </c>
      <c r="W316" t="n">
        <v>151.7977416734715</v>
      </c>
      <c r="X316" t="n">
        <v>158.601068233981</v>
      </c>
      <c r="Y316" t="n">
        <v>163.5315065646983</v>
      </c>
      <c r="Z316" t="n">
        <v>166.0760489479076</v>
      </c>
      <c r="AA316" t="n">
        <v>166.8056208674111</v>
      </c>
      <c r="AB316" t="n">
        <v>166.153807476907</v>
      </c>
      <c r="AC316" t="n">
        <v>164.3840303535018</v>
      </c>
      <c r="AD316" t="n">
        <v>161.7388797629129</v>
      </c>
      <c r="AE316" t="n">
        <v>158.4070808249261</v>
      </c>
      <c r="AF316" t="n">
        <v>154.5346924797317</v>
      </c>
      <c r="AG316" t="n">
        <v>149.7934499488919</v>
      </c>
      <c r="AH316" t="n">
        <v>144.635734954472</v>
      </c>
      <c r="AI316" t="n">
        <v>139.1762038171238</v>
      </c>
    </row>
    <row r="317">
      <c r="A317" t="inlineStr">
        <is>
          <t>no_year_in_pairs</t>
        </is>
      </c>
      <c r="B317" s="2" t="n"/>
      <c r="C317" s="3" t="inlineStr">
        <is>
          <t>EBS.20.72, Sup. 1</t>
        </is>
      </c>
      <c r="D317" s="4" t="inlineStr">
        <is>
          <t>Dominica</t>
        </is>
      </c>
      <c r="E317" s="4" t="inlineStr">
        <is>
          <t>DMA</t>
        </is>
      </c>
      <c r="F317" s="4" t="n"/>
      <c r="G317" s="4" t="inlineStr">
        <is>
          <t>2018gn</t>
        </is>
      </c>
      <c r="H317" s="4" t="n">
        <v>2019</v>
      </c>
      <c r="I317" s="4" t="inlineStr">
        <is>
          <t>nom.val.dbt.mlt.ida.bld</t>
        </is>
      </c>
      <c r="J317" t="inlineStr">
        <is>
          <t>IDA - small economy</t>
        </is>
      </c>
      <c r="M317" t="n">
        <v>83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</row>
    <row r="318">
      <c r="A318" t="inlineStr">
        <is>
          <t>no_year_in_pairs</t>
        </is>
      </c>
      <c r="B318" s="2" t="n"/>
      <c r="C318" s="3" t="inlineStr">
        <is>
          <t>EBS.20.72, Sup. 1</t>
        </is>
      </c>
      <c r="D318" s="4" t="inlineStr">
        <is>
          <t>Dominica</t>
        </is>
      </c>
      <c r="E318" s="4" t="inlineStr">
        <is>
          <t>DMA</t>
        </is>
      </c>
      <c r="F318" s="4" t="n"/>
      <c r="G318" s="4" t="inlineStr">
        <is>
          <t>2018gn</t>
        </is>
      </c>
      <c r="H318" s="4" t="n">
        <v>2019</v>
      </c>
      <c r="I318" s="4" t="inlineStr">
        <is>
          <t>nom.val.dbt.mlt.afdb</t>
        </is>
      </c>
      <c r="J318" t="inlineStr">
        <is>
          <t>CDB</t>
        </is>
      </c>
      <c r="M318" t="n">
        <v>108</v>
      </c>
      <c r="O318" t="n">
        <v>30</v>
      </c>
      <c r="P318" t="n">
        <v>45</v>
      </c>
      <c r="Q318" t="n">
        <v>57</v>
      </c>
      <c r="R318" t="n">
        <v>69</v>
      </c>
      <c r="S318" t="n">
        <v>79</v>
      </c>
      <c r="T318" t="n">
        <v>87</v>
      </c>
      <c r="U318" t="n">
        <v>93.78345578700544</v>
      </c>
      <c r="V318" t="n">
        <v>100.1103729904434</v>
      </c>
      <c r="W318" t="n">
        <v>106.1398282099468</v>
      </c>
      <c r="X318" t="n">
        <v>108.2054317534552</v>
      </c>
      <c r="Y318" t="n">
        <v>107.681614042296</v>
      </c>
      <c r="Z318" t="n">
        <v>105.4627119151021</v>
      </c>
      <c r="AA318" t="n">
        <v>102.0240275999089</v>
      </c>
      <c r="AB318" t="n">
        <v>97.654375826958</v>
      </c>
      <c r="AC318" t="n">
        <v>92.52884341239937</v>
      </c>
      <c r="AD318" t="n">
        <v>86.9337798986972</v>
      </c>
      <c r="AE318" t="n">
        <v>81.04705308236329</v>
      </c>
      <c r="AF318" t="n">
        <v>74.97900976368209</v>
      </c>
      <c r="AG318" t="n">
        <v>68.79825160886926</v>
      </c>
      <c r="AH318" t="n">
        <v>62.54747725711998</v>
      </c>
      <c r="AI318" t="n">
        <v>56.25321024759741</v>
      </c>
    </row>
    <row r="319">
      <c r="A319" t="inlineStr">
        <is>
          <t>no_year_in_pairs</t>
        </is>
      </c>
      <c r="B319" s="2" t="n"/>
      <c r="C319" s="3" t="inlineStr">
        <is>
          <t>EBS.20.72, Sup. 1</t>
        </is>
      </c>
      <c r="D319" s="4" t="inlineStr">
        <is>
          <t>Dominica</t>
        </is>
      </c>
      <c r="E319" s="4" t="inlineStr">
        <is>
          <t>DMA</t>
        </is>
      </c>
      <c r="F319" s="4" t="n"/>
      <c r="G319" s="4" t="inlineStr">
        <is>
          <t>2018gn</t>
        </is>
      </c>
      <c r="H319" s="4" t="n">
        <v>2019</v>
      </c>
      <c r="I319" s="4" t="inlineStr">
        <is>
          <t>nom.val.dbt.mlt2</t>
        </is>
      </c>
      <c r="J319" t="inlineStr">
        <is>
          <t>MULTIRES</t>
        </is>
      </c>
      <c r="M319" t="n">
        <v>134</v>
      </c>
      <c r="O319" t="n">
        <v>35.25219483577505</v>
      </c>
      <c r="P319" t="n">
        <v>48.44896720614403</v>
      </c>
      <c r="Q319" t="n">
        <v>60.42122857743711</v>
      </c>
      <c r="R319" t="n">
        <v>73.08576448038856</v>
      </c>
      <c r="S319" t="n">
        <v>80.35921572911842</v>
      </c>
      <c r="T319" t="n">
        <v>82.02636795375832</v>
      </c>
      <c r="U319" t="n">
        <v>85.48278268375539</v>
      </c>
      <c r="V319" t="n">
        <v>87.97757188444673</v>
      </c>
      <c r="W319" t="n">
        <v>89.79888893048741</v>
      </c>
      <c r="X319" t="n">
        <v>91.27836252060649</v>
      </c>
      <c r="Y319" t="n">
        <v>92.47206845802219</v>
      </c>
      <c r="Z319" t="n">
        <v>94.31770800098505</v>
      </c>
      <c r="AA319" t="n">
        <v>94.13287619326233</v>
      </c>
      <c r="AB319" t="n">
        <v>94.64446962536287</v>
      </c>
      <c r="AC319" t="n">
        <v>63.72905904396237</v>
      </c>
      <c r="AD319" t="n">
        <v>67.64569349397863</v>
      </c>
      <c r="AE319" t="n">
        <v>71.62374038919582</v>
      </c>
      <c r="AF319" t="n">
        <v>77.02497117795497</v>
      </c>
      <c r="AG319" t="n">
        <v>84.94250432819894</v>
      </c>
      <c r="AH319" t="n">
        <v>93.24998756548608</v>
      </c>
      <c r="AI319" t="n">
        <v>104.4613259269903</v>
      </c>
    </row>
    <row r="320">
      <c r="A320" t="inlineStr">
        <is>
          <t>no_year_in_pairs</t>
        </is>
      </c>
      <c r="B320" s="2" t="n"/>
      <c r="C320" s="3" t="inlineStr">
        <is>
          <t>EBS.20.72, Sup. 1</t>
        </is>
      </c>
      <c r="D320" s="4" t="inlineStr">
        <is>
          <t>Dominica</t>
        </is>
      </c>
      <c r="E320" s="4" t="inlineStr">
        <is>
          <t>DMA</t>
        </is>
      </c>
      <c r="F320" s="4" t="n"/>
      <c r="G320" s="4" t="inlineStr">
        <is>
          <t>2018gn</t>
        </is>
      </c>
      <c r="H320" s="4" t="n">
        <v>2019</v>
      </c>
      <c r="I320" s="4" t="inlineStr">
        <is>
          <t>nom.val.dbt.mlt3</t>
        </is>
      </c>
      <c r="J320" t="inlineStr">
        <is>
          <t>MULTI3</t>
        </is>
      </c>
      <c r="M320" t="n">
        <v>160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</row>
    <row r="321">
      <c r="A321" t="inlineStr">
        <is>
          <t>no_year_in_pairs</t>
        </is>
      </c>
      <c r="B321" s="2" t="n"/>
      <c r="C321" s="3" t="inlineStr">
        <is>
          <t>EBS.20.72, Sup. 1</t>
        </is>
      </c>
      <c r="D321" s="4" t="inlineStr">
        <is>
          <t>Dominica</t>
        </is>
      </c>
      <c r="E321" s="4" t="inlineStr">
        <is>
          <t>DMA</t>
        </is>
      </c>
      <c r="F321" s="4" t="n"/>
      <c r="G321" s="4" t="inlineStr">
        <is>
          <t>2018gn</t>
        </is>
      </c>
      <c r="H321" s="4" t="n">
        <v>2019</v>
      </c>
      <c r="I321" s="4" t="inlineStr">
        <is>
          <t>nom.val.dbt.mlt.oth</t>
        </is>
      </c>
      <c r="J321" t="inlineStr">
        <is>
          <t>Other Multilaterals</t>
        </is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</row>
    <row r="322">
      <c r="A322" t="inlineStr">
        <is>
          <t>no_year_in_pairs</t>
        </is>
      </c>
      <c r="B322" s="2" t="n"/>
      <c r="C322" s="3" t="inlineStr">
        <is>
          <t>EBS.20.72, Sup. 1</t>
        </is>
      </c>
      <c r="D322" s="4" t="inlineStr">
        <is>
          <t>Dominica</t>
        </is>
      </c>
      <c r="E322" s="4" t="inlineStr">
        <is>
          <t>DMA</t>
        </is>
      </c>
      <c r="F322" s="4" t="n"/>
      <c r="G322" s="4" t="inlineStr">
        <is>
          <t>2018gn</t>
        </is>
      </c>
      <c r="H322" s="4" t="n">
        <v>2019</v>
      </c>
      <c r="I322" s="4" t="inlineStr">
        <is>
          <t>nom.val.dbt.mlt.oth1</t>
        </is>
      </c>
      <c r="J322" t="inlineStr">
        <is>
          <t>OTH_MULTI1</t>
        </is>
      </c>
      <c r="M322" t="n">
        <v>186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</row>
    <row r="323">
      <c r="A323" t="inlineStr">
        <is>
          <t>no_year_in_pairs</t>
        </is>
      </c>
      <c r="B323" s="2" t="n"/>
      <c r="C323" s="3" t="inlineStr">
        <is>
          <t>EBS.20.72, Sup. 1</t>
        </is>
      </c>
      <c r="D323" s="4" t="inlineStr">
        <is>
          <t>Dominica</t>
        </is>
      </c>
      <c r="E323" s="4" t="inlineStr">
        <is>
          <t>DMA</t>
        </is>
      </c>
      <c r="F323" s="4" t="n"/>
      <c r="G323" s="4" t="inlineStr">
        <is>
          <t>2018gn</t>
        </is>
      </c>
      <c r="H323" s="4" t="n">
        <v>2019</v>
      </c>
      <c r="I323" s="4" t="inlineStr">
        <is>
          <t>nom.val.dbt.mlt.oth2</t>
        </is>
      </c>
      <c r="J323" t="inlineStr">
        <is>
          <t>OTH_MULTI2</t>
        </is>
      </c>
      <c r="M323" t="n">
        <v>212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</row>
    <row r="324">
      <c r="A324" t="inlineStr">
        <is>
          <t>no_year_in_pairs</t>
        </is>
      </c>
      <c r="B324" s="2" t="n"/>
      <c r="C324" s="3" t="inlineStr">
        <is>
          <t>EBS.20.72, Sup. 1</t>
        </is>
      </c>
      <c r="D324" s="4" t="inlineStr">
        <is>
          <t>Dominica</t>
        </is>
      </c>
      <c r="E324" s="4" t="inlineStr">
        <is>
          <t>DMA</t>
        </is>
      </c>
      <c r="F324" s="4" t="n"/>
      <c r="G324" s="4" t="inlineStr">
        <is>
          <t>2018gn</t>
        </is>
      </c>
      <c r="H324" s="4" t="n">
        <v>2019</v>
      </c>
      <c r="I324" s="4" t="inlineStr">
        <is>
          <t>nom.val.dbt.mlt.oth3</t>
        </is>
      </c>
      <c r="J324" t="inlineStr">
        <is>
          <t>OTH_MULTI3</t>
        </is>
      </c>
      <c r="M324" t="n">
        <v>238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</row>
    <row r="325">
      <c r="A325" t="inlineStr">
        <is>
          <t>no_year_in_pairs</t>
        </is>
      </c>
      <c r="B325" s="2" t="n"/>
      <c r="C325" s="3" t="inlineStr">
        <is>
          <t>EBS.20.72, Sup. 1</t>
        </is>
      </c>
      <c r="D325" s="4" t="inlineStr">
        <is>
          <t>Dominica</t>
        </is>
      </c>
      <c r="E325" s="4" t="inlineStr">
        <is>
          <t>DMA</t>
        </is>
      </c>
      <c r="F325" s="4" t="n"/>
      <c r="G325" s="4" t="inlineStr">
        <is>
          <t>2018gn</t>
        </is>
      </c>
      <c r="H325" s="4" t="n">
        <v>2019</v>
      </c>
      <c r="I325" s="4" t="inlineStr">
        <is>
          <t>nom.val.dbt.blt</t>
        </is>
      </c>
      <c r="J325" t="inlineStr">
        <is>
          <t>Official Bilaterals</t>
        </is>
      </c>
      <c r="O325" t="n">
        <v>12.088558221155</v>
      </c>
      <c r="P325" t="n">
        <v>12.28374505168798</v>
      </c>
      <c r="Q325" t="n">
        <v>15.09511197609712</v>
      </c>
      <c r="R325" t="n">
        <v>19.06024681377617</v>
      </c>
      <c r="S325" t="n">
        <v>22.31940085937339</v>
      </c>
      <c r="T325" t="n">
        <v>25.28966433620749</v>
      </c>
      <c r="U325" t="n">
        <v>27.01048952432609</v>
      </c>
      <c r="V325" t="n">
        <v>27.9282434279582</v>
      </c>
      <c r="W325" t="n">
        <v>29.10235252993959</v>
      </c>
      <c r="X325" t="n">
        <v>30.07985325123319</v>
      </c>
      <c r="Y325" t="n">
        <v>34.1278323631704</v>
      </c>
      <c r="Z325" t="n">
        <v>42.22507876013005</v>
      </c>
      <c r="AA325" t="n">
        <v>53.84207220284379</v>
      </c>
      <c r="AB325" t="n">
        <v>63.98700621340053</v>
      </c>
      <c r="AC325" t="n">
        <v>73.33175965834127</v>
      </c>
      <c r="AD325" t="n">
        <v>79.98860062112409</v>
      </c>
      <c r="AE325" t="n">
        <v>86.58625730642295</v>
      </c>
      <c r="AF325" t="n">
        <v>91.43112493828595</v>
      </c>
      <c r="AG325" t="n">
        <v>94.19977400936661</v>
      </c>
      <c r="AH325" t="n">
        <v>94.9966263488877</v>
      </c>
      <c r="AI325" t="n">
        <v>94.80433321895563</v>
      </c>
      <c r="BI325" t="inlineStr">
        <is>
          <t>NOM_NEW_OB</t>
        </is>
      </c>
    </row>
    <row r="326">
      <c r="A326" t="inlineStr">
        <is>
          <t>no_year_in_pairs</t>
        </is>
      </c>
      <c r="B326" s="2" t="n"/>
      <c r="C326" s="3" t="inlineStr">
        <is>
          <t>EBS.20.72, Sup. 1</t>
        </is>
      </c>
      <c r="D326" s="4" t="inlineStr">
        <is>
          <t>Dominica</t>
        </is>
      </c>
      <c r="E326" s="4" t="inlineStr">
        <is>
          <t>DMA</t>
        </is>
      </c>
      <c r="F326" s="4" t="n"/>
      <c r="G326" s="4" t="inlineStr">
        <is>
          <t>2018gn</t>
        </is>
      </c>
      <c r="H326" s="4" t="n">
        <v>2019</v>
      </c>
      <c r="I326" s="4" t="inlineStr">
        <is>
          <t>nom.val.dbt.pc</t>
        </is>
      </c>
      <c r="J326" t="inlineStr">
        <is>
          <t xml:space="preserve">   Paris Club</t>
        </is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</row>
    <row r="327">
      <c r="A327" t="inlineStr">
        <is>
          <t>no_year_in_pairs</t>
        </is>
      </c>
      <c r="B327" s="2" t="n"/>
      <c r="C327" s="3" t="inlineStr">
        <is>
          <t>EBS.20.72, Sup. 1</t>
        </is>
      </c>
      <c r="D327" s="4" t="inlineStr">
        <is>
          <t>Dominica</t>
        </is>
      </c>
      <c r="E327" s="4" t="inlineStr">
        <is>
          <t>DMA</t>
        </is>
      </c>
      <c r="F327" s="4" t="n"/>
      <c r="G327" s="4" t="inlineStr">
        <is>
          <t>2018gn</t>
        </is>
      </c>
      <c r="H327" s="4" t="n">
        <v>2019</v>
      </c>
      <c r="I327" s="4" t="inlineStr">
        <is>
          <t>nom.val.dbt.pc1</t>
        </is>
      </c>
      <c r="J327" t="inlineStr">
        <is>
          <t>Export Credit Agencies</t>
        </is>
      </c>
      <c r="M327" t="n">
        <v>264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</row>
    <row r="328">
      <c r="A328" t="inlineStr">
        <is>
          <t>no_year_in_pairs</t>
        </is>
      </c>
      <c r="B328" s="2" t="n"/>
      <c r="C328" s="3" t="inlineStr">
        <is>
          <t>EBS.20.72, Sup. 1</t>
        </is>
      </c>
      <c r="D328" s="4" t="inlineStr">
        <is>
          <t>Dominica</t>
        </is>
      </c>
      <c r="E328" s="4" t="inlineStr">
        <is>
          <t>DMA</t>
        </is>
      </c>
      <c r="F328" s="4" t="n"/>
      <c r="G328" s="4" t="inlineStr">
        <is>
          <t>2018gn</t>
        </is>
      </c>
      <c r="H328" s="4" t="n">
        <v>2019</v>
      </c>
      <c r="I328" s="4" t="inlineStr">
        <is>
          <t>nom.val.dbt.pc2</t>
        </is>
      </c>
      <c r="J328" t="inlineStr">
        <is>
          <t>PC2</t>
        </is>
      </c>
      <c r="M328" t="n">
        <v>290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</row>
    <row r="329">
      <c r="A329" t="inlineStr">
        <is>
          <t>no_year_in_pairs</t>
        </is>
      </c>
      <c r="B329" s="2" t="n"/>
      <c r="C329" s="3" t="inlineStr">
        <is>
          <t>EBS.20.72, Sup. 1</t>
        </is>
      </c>
      <c r="D329" s="4" t="inlineStr">
        <is>
          <t>Dominica</t>
        </is>
      </c>
      <c r="E329" s="4" t="inlineStr">
        <is>
          <t>DMA</t>
        </is>
      </c>
      <c r="F329" s="4" t="n"/>
      <c r="G329" s="4" t="inlineStr">
        <is>
          <t>2018gn</t>
        </is>
      </c>
      <c r="H329" s="4" t="n">
        <v>2019</v>
      </c>
      <c r="I329" s="4" t="inlineStr">
        <is>
          <t>nom.val.dbt.pc3</t>
        </is>
      </c>
      <c r="J329" t="inlineStr">
        <is>
          <t>PC3</t>
        </is>
      </c>
      <c r="M329" t="n">
        <v>316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</row>
    <row r="330">
      <c r="A330" t="inlineStr">
        <is>
          <t>no_year_in_pairs</t>
        </is>
      </c>
      <c r="B330" s="2" t="n"/>
      <c r="C330" s="3" t="inlineStr">
        <is>
          <t>EBS.20.72, Sup. 1</t>
        </is>
      </c>
      <c r="D330" s="4" t="inlineStr">
        <is>
          <t>Dominica</t>
        </is>
      </c>
      <c r="E330" s="4" t="inlineStr">
        <is>
          <t>DMA</t>
        </is>
      </c>
      <c r="F330" s="4" t="n"/>
      <c r="G330" s="4" t="inlineStr">
        <is>
          <t>2018gn</t>
        </is>
      </c>
      <c r="H330" s="4" t="n">
        <v>2019</v>
      </c>
      <c r="I330" s="4" t="inlineStr">
        <is>
          <t>nom.val.dbt.pc4</t>
        </is>
      </c>
      <c r="J330" t="inlineStr">
        <is>
          <t>PC4</t>
        </is>
      </c>
      <c r="M330" t="n">
        <v>342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</row>
    <row r="331">
      <c r="A331" t="inlineStr">
        <is>
          <t>no_year_in_pairs</t>
        </is>
      </c>
      <c r="B331" s="2" t="n"/>
      <c r="C331" s="3" t="inlineStr">
        <is>
          <t>EBS.20.72, Sup. 1</t>
        </is>
      </c>
      <c r="D331" s="4" t="inlineStr">
        <is>
          <t>Dominica</t>
        </is>
      </c>
      <c r="E331" s="4" t="inlineStr">
        <is>
          <t>DMA</t>
        </is>
      </c>
      <c r="F331" s="4" t="n"/>
      <c r="G331" s="4" t="inlineStr">
        <is>
          <t>2018gn</t>
        </is>
      </c>
      <c r="H331" s="4" t="n">
        <v>2019</v>
      </c>
      <c r="I331" s="4" t="inlineStr">
        <is>
          <t>nom.val.dbt.pc5</t>
        </is>
      </c>
      <c r="J331" t="inlineStr">
        <is>
          <t>PC5</t>
        </is>
      </c>
      <c r="M331" t="n">
        <v>368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</row>
    <row r="332">
      <c r="A332" t="inlineStr">
        <is>
          <t>no_year_in_pairs</t>
        </is>
      </c>
      <c r="B332" s="2" t="n"/>
      <c r="C332" s="3" t="inlineStr">
        <is>
          <t>EBS.20.72, Sup. 1</t>
        </is>
      </c>
      <c r="D332" s="4" t="inlineStr">
        <is>
          <t>Dominica</t>
        </is>
      </c>
      <c r="E332" s="4" t="inlineStr">
        <is>
          <t>DMA</t>
        </is>
      </c>
      <c r="F332" s="4" t="n"/>
      <c r="G332" s="4" t="inlineStr">
        <is>
          <t>2018gn</t>
        </is>
      </c>
      <c r="H332" s="4" t="n">
        <v>2019</v>
      </c>
      <c r="I332" s="4" t="inlineStr">
        <is>
          <t>nom.val.dbt.npc</t>
        </is>
      </c>
      <c r="J332" t="inlineStr">
        <is>
          <t xml:space="preserve">   Non-Paris Club</t>
        </is>
      </c>
      <c r="O332" t="n">
        <v>12.088558221155</v>
      </c>
      <c r="P332" t="n">
        <v>12.28374505168798</v>
      </c>
      <c r="Q332" t="n">
        <v>15.09511197609712</v>
      </c>
      <c r="R332" t="n">
        <v>19.06024681377617</v>
      </c>
      <c r="S332" t="n">
        <v>22.31940085937339</v>
      </c>
      <c r="T332" t="n">
        <v>25.28966433620749</v>
      </c>
      <c r="U332" t="n">
        <v>27.01048952432609</v>
      </c>
      <c r="V332" t="n">
        <v>27.9282434279582</v>
      </c>
      <c r="W332" t="n">
        <v>29.10235252993959</v>
      </c>
      <c r="X332" t="n">
        <v>30.07985325123319</v>
      </c>
      <c r="Y332" t="n">
        <v>34.1278323631704</v>
      </c>
      <c r="Z332" t="n">
        <v>42.22507876013005</v>
      </c>
      <c r="AA332" t="n">
        <v>53.84207220284379</v>
      </c>
      <c r="AB332" t="n">
        <v>63.98700621340053</v>
      </c>
      <c r="AC332" t="n">
        <v>73.33175965834127</v>
      </c>
      <c r="AD332" t="n">
        <v>79.98860062112409</v>
      </c>
      <c r="AE332" t="n">
        <v>86.58625730642295</v>
      </c>
      <c r="AF332" t="n">
        <v>91.43112493828595</v>
      </c>
      <c r="AG332" t="n">
        <v>94.19977400936661</v>
      </c>
      <c r="AH332" t="n">
        <v>94.9966263488877</v>
      </c>
      <c r="AI332" t="n">
        <v>94.80433321895563</v>
      </c>
    </row>
    <row r="333">
      <c r="A333" t="inlineStr">
        <is>
          <t>no_year_in_pairs</t>
        </is>
      </c>
      <c r="B333" s="2" t="n"/>
      <c r="C333" s="3" t="inlineStr">
        <is>
          <t>EBS.20.72, Sup. 1</t>
        </is>
      </c>
      <c r="D333" s="4" t="inlineStr">
        <is>
          <t>Dominica</t>
        </is>
      </c>
      <c r="E333" s="4" t="inlineStr">
        <is>
          <t>DMA</t>
        </is>
      </c>
      <c r="F333" s="4" t="n"/>
      <c r="G333" s="4" t="inlineStr">
        <is>
          <t>2018gn</t>
        </is>
      </c>
      <c r="H333" s="4" t="n">
        <v>2019</v>
      </c>
      <c r="I333" s="4" t="inlineStr">
        <is>
          <t>nom.val.dbt.npc.eximbk</t>
        </is>
      </c>
      <c r="J333" t="inlineStr">
        <is>
          <t>NPC2</t>
        </is>
      </c>
      <c r="M333" t="n">
        <v>394</v>
      </c>
      <c r="O333" t="n">
        <v>12.088558221155</v>
      </c>
      <c r="P333" t="n">
        <v>12.28374505168798</v>
      </c>
      <c r="Q333" t="n">
        <v>15.09511197609712</v>
      </c>
      <c r="R333" t="n">
        <v>19.06024681377617</v>
      </c>
      <c r="S333" t="n">
        <v>22.31940085937339</v>
      </c>
      <c r="T333" t="n">
        <v>25.28966433620749</v>
      </c>
      <c r="U333" t="n">
        <v>27.01048952432609</v>
      </c>
      <c r="V333" t="n">
        <v>27.9282434279582</v>
      </c>
      <c r="W333" t="n">
        <v>29.10235252993959</v>
      </c>
      <c r="X333" t="n">
        <v>30.07985325123319</v>
      </c>
      <c r="Y333" t="n">
        <v>34.1278323631704</v>
      </c>
      <c r="Z333" t="n">
        <v>42.22507876013005</v>
      </c>
      <c r="AA333" t="n">
        <v>53.84207220284379</v>
      </c>
      <c r="AB333" t="n">
        <v>63.98700621340053</v>
      </c>
      <c r="AC333" t="n">
        <v>73.33175965834127</v>
      </c>
      <c r="AD333" t="n">
        <v>79.98860062112409</v>
      </c>
      <c r="AE333" t="n">
        <v>86.58625730642295</v>
      </c>
      <c r="AF333" t="n">
        <v>91.43112493828595</v>
      </c>
      <c r="AG333" t="n">
        <v>94.19977400936661</v>
      </c>
      <c r="AH333" t="n">
        <v>94.9966263488877</v>
      </c>
      <c r="AI333" t="n">
        <v>94.80433321895563</v>
      </c>
    </row>
    <row r="334">
      <c r="A334" t="inlineStr">
        <is>
          <t>no_year_in_pairs</t>
        </is>
      </c>
      <c r="B334" s="2" t="n"/>
      <c r="C334" s="3" t="inlineStr">
        <is>
          <t>EBS.20.72, Sup. 1</t>
        </is>
      </c>
      <c r="D334" s="4" t="inlineStr">
        <is>
          <t>Dominica</t>
        </is>
      </c>
      <c r="E334" s="4" t="inlineStr">
        <is>
          <t>DMA</t>
        </is>
      </c>
      <c r="F334" s="4" t="n"/>
      <c r="G334" s="4" t="inlineStr">
        <is>
          <t>2018gn</t>
        </is>
      </c>
      <c r="H334" s="4" t="n">
        <v>2019</v>
      </c>
      <c r="I334" s="4" t="inlineStr">
        <is>
          <t>nom.val.dbt.npc2</t>
        </is>
      </c>
      <c r="J334" t="inlineStr">
        <is>
          <t>NPC2</t>
        </is>
      </c>
      <c r="M334" t="n">
        <v>420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</row>
    <row r="335">
      <c r="A335" t="inlineStr">
        <is>
          <t>no_year_in_pairs</t>
        </is>
      </c>
      <c r="B335" s="2" t="n"/>
      <c r="C335" s="3" t="inlineStr">
        <is>
          <t>EBS.20.72, Sup. 1</t>
        </is>
      </c>
      <c r="D335" s="4" t="inlineStr">
        <is>
          <t>Dominica</t>
        </is>
      </c>
      <c r="E335" s="4" t="inlineStr">
        <is>
          <t>DMA</t>
        </is>
      </c>
      <c r="F335" s="4" t="n"/>
      <c r="G335" s="4" t="inlineStr">
        <is>
          <t>2018gn</t>
        </is>
      </c>
      <c r="H335" s="4" t="n">
        <v>2019</v>
      </c>
      <c r="I335" s="4" t="inlineStr">
        <is>
          <t>nom.val.dbt.npc3</t>
        </is>
      </c>
      <c r="J335" t="inlineStr">
        <is>
          <t>NPC3</t>
        </is>
      </c>
      <c r="M335" t="n">
        <v>446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</row>
    <row r="336">
      <c r="A336" t="inlineStr">
        <is>
          <t>no_year_in_pairs</t>
        </is>
      </c>
      <c r="B336" s="2" t="n"/>
      <c r="C336" s="3" t="inlineStr">
        <is>
          <t>EBS.20.72, Sup. 1</t>
        </is>
      </c>
      <c r="D336" s="4" t="inlineStr">
        <is>
          <t>Dominica</t>
        </is>
      </c>
      <c r="E336" s="4" t="inlineStr">
        <is>
          <t>DMA</t>
        </is>
      </c>
      <c r="F336" s="4" t="n"/>
      <c r="G336" s="4" t="inlineStr">
        <is>
          <t>2018gn</t>
        </is>
      </c>
      <c r="H336" s="4" t="n">
        <v>2019</v>
      </c>
      <c r="I336" s="4" t="inlineStr">
        <is>
          <t>nom.val.dbt.npc4</t>
        </is>
      </c>
      <c r="J336" t="inlineStr">
        <is>
          <t>NPC4</t>
        </is>
      </c>
      <c r="M336" t="n">
        <v>472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</row>
    <row r="337">
      <c r="A337" t="inlineStr">
        <is>
          <t>no_year_in_pairs</t>
        </is>
      </c>
      <c r="B337" s="2" t="n"/>
      <c r="C337" s="3" t="inlineStr">
        <is>
          <t>EBS.20.72, Sup. 1</t>
        </is>
      </c>
      <c r="D337" s="4" t="inlineStr">
        <is>
          <t>Dominica</t>
        </is>
      </c>
      <c r="E337" s="4" t="inlineStr">
        <is>
          <t>DMA</t>
        </is>
      </c>
      <c r="F337" s="4" t="n"/>
      <c r="G337" s="4" t="inlineStr">
        <is>
          <t>2018gn</t>
        </is>
      </c>
      <c r="H337" s="4" t="n">
        <v>2019</v>
      </c>
      <c r="I337" s="4" t="inlineStr">
        <is>
          <t>nom.val.dbt.npc5</t>
        </is>
      </c>
      <c r="J337" t="inlineStr">
        <is>
          <t>NPC5</t>
        </is>
      </c>
      <c r="M337" t="n">
        <v>498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</row>
    <row r="338">
      <c r="A338" t="inlineStr">
        <is>
          <t>no_year_in_pairs</t>
        </is>
      </c>
      <c r="B338" s="2" t="n"/>
      <c r="C338" s="3" t="inlineStr">
        <is>
          <t>EBS.20.72, Sup. 1</t>
        </is>
      </c>
      <c r="D338" s="4" t="inlineStr">
        <is>
          <t>Dominica</t>
        </is>
      </c>
      <c r="E338" s="4" t="inlineStr">
        <is>
          <t>DMA</t>
        </is>
      </c>
      <c r="F338" s="4" t="n"/>
      <c r="G338" s="4" t="inlineStr">
        <is>
          <t>2018gn</t>
        </is>
      </c>
      <c r="H338" s="4" t="n">
        <v>2019</v>
      </c>
      <c r="I338" s="4" t="inlineStr">
        <is>
          <t>nom.val.dbt.prvt</t>
        </is>
      </c>
      <c r="J338" t="inlineStr">
        <is>
          <t>Commercial</t>
        </is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BI338" t="inlineStr">
        <is>
          <t>NOM_NEW_COM</t>
        </is>
      </c>
    </row>
    <row r="339">
      <c r="A339" t="inlineStr">
        <is>
          <t>no_year_in_pairs</t>
        </is>
      </c>
      <c r="B339" s="2" t="n"/>
      <c r="C339" s="3" t="inlineStr">
        <is>
          <t>EBS.20.72, Sup. 1</t>
        </is>
      </c>
      <c r="D339" s="4" t="inlineStr">
        <is>
          <t>Dominica</t>
        </is>
      </c>
      <c r="E339" s="4" t="inlineStr">
        <is>
          <t>DMA</t>
        </is>
      </c>
      <c r="F339" s="4" t="n"/>
      <c r="G339" s="4" t="inlineStr">
        <is>
          <t>2018gn</t>
        </is>
      </c>
      <c r="H339" s="4" t="n">
        <v>2019</v>
      </c>
      <c r="I339" s="4" t="inlineStr">
        <is>
          <t>nom.val.dbt.prvt.bnd</t>
        </is>
      </c>
      <c r="J339" t="inlineStr">
        <is>
          <t>Eurobond</t>
        </is>
      </c>
      <c r="M339" t="n">
        <v>524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</row>
    <row r="340">
      <c r="A340" t="inlineStr">
        <is>
          <t>no_year_in_pairs</t>
        </is>
      </c>
      <c r="B340" s="2" t="n"/>
      <c r="C340" s="3" t="inlineStr">
        <is>
          <t>EBS.20.72, Sup. 1</t>
        </is>
      </c>
      <c r="D340" s="4" t="inlineStr">
        <is>
          <t>Dominica</t>
        </is>
      </c>
      <c r="E340" s="4" t="inlineStr">
        <is>
          <t>DMA</t>
        </is>
      </c>
      <c r="F340" s="4" t="n"/>
      <c r="G340" s="4" t="inlineStr">
        <is>
          <t>2018gn</t>
        </is>
      </c>
      <c r="H340" s="4" t="n">
        <v>2019</v>
      </c>
      <c r="I340" s="4" t="inlineStr">
        <is>
          <t>nom.val.dbt.prvt.cmbk</t>
        </is>
      </c>
      <c r="J340" t="inlineStr">
        <is>
          <t>Commecial Bank</t>
        </is>
      </c>
      <c r="M340" t="n">
        <v>550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</row>
    <row r="341">
      <c r="A341" t="inlineStr">
        <is>
          <t>no_year_in_pairs</t>
        </is>
      </c>
      <c r="B341" s="2" t="n"/>
      <c r="C341" s="3" t="inlineStr">
        <is>
          <t>EBS.20.72, Sup. 1</t>
        </is>
      </c>
      <c r="D341" s="4" t="inlineStr">
        <is>
          <t>Dominica</t>
        </is>
      </c>
      <c r="E341" s="4" t="inlineStr">
        <is>
          <t>DMA</t>
        </is>
      </c>
      <c r="F341" s="4" t="n"/>
      <c r="G341" s="4" t="inlineStr">
        <is>
          <t>2018gn</t>
        </is>
      </c>
      <c r="H341" s="4" t="n">
        <v>2019</v>
      </c>
      <c r="I341" s="4" t="inlineStr">
        <is>
          <t>nom.val.dbt.prvt.com3</t>
        </is>
      </c>
      <c r="J341" t="inlineStr">
        <is>
          <t>COM3</t>
        </is>
      </c>
      <c r="M341" t="n">
        <v>576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</row>
    <row r="342">
      <c r="A342" t="inlineStr">
        <is>
          <t>no_year_in_pairs</t>
        </is>
      </c>
      <c r="B342" s="2" t="n"/>
      <c r="C342" s="3" t="inlineStr">
        <is>
          <t>EBS.20.72, Sup. 1</t>
        </is>
      </c>
      <c r="D342" s="4" t="inlineStr">
        <is>
          <t>Dominica</t>
        </is>
      </c>
      <c r="E342" s="4" t="inlineStr">
        <is>
          <t>DMA</t>
        </is>
      </c>
      <c r="F342" s="4" t="n"/>
      <c r="G342" s="4" t="inlineStr">
        <is>
          <t>2018gn</t>
        </is>
      </c>
      <c r="H342" s="4" t="n">
        <v>2019</v>
      </c>
      <c r="I342" s="4" t="inlineStr">
        <is>
          <t>nom.val.dbt.prvt.com4</t>
        </is>
      </c>
      <c r="J342" t="inlineStr">
        <is>
          <t>COM4</t>
        </is>
      </c>
      <c r="M342" t="n">
        <v>602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</row>
    <row r="343">
      <c r="A343" t="inlineStr">
        <is>
          <t>no_year_in_pairs</t>
        </is>
      </c>
      <c r="B343" s="2" t="n"/>
      <c r="C343" s="3" t="inlineStr">
        <is>
          <t>EBS.20.72, Sup. 1</t>
        </is>
      </c>
      <c r="D343" s="4" t="inlineStr">
        <is>
          <t>Dominica</t>
        </is>
      </c>
      <c r="E343" s="4" t="inlineStr">
        <is>
          <t>DMA</t>
        </is>
      </c>
      <c r="F343" s="4" t="n"/>
      <c r="G343" s="4" t="inlineStr">
        <is>
          <t>2018gn</t>
        </is>
      </c>
      <c r="H343" s="4" t="n">
        <v>2019</v>
      </c>
      <c r="I343" s="4" t="inlineStr">
        <is>
          <t>nom.val.dbt.prvt.com5</t>
        </is>
      </c>
      <c r="J343" t="inlineStr">
        <is>
          <t>COM5</t>
        </is>
      </c>
      <c r="M343" t="n">
        <v>628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</row>
    <row r="344">
      <c r="A344" t="inlineStr">
        <is>
          <t>no_year_in_pairs</t>
        </is>
      </c>
      <c r="B344" s="2" t="n"/>
      <c r="C344" s="3" t="inlineStr">
        <is>
          <t>EBS.20.72, Sup. 1</t>
        </is>
      </c>
      <c r="D344" s="4" t="inlineStr">
        <is>
          <t>Dominica</t>
        </is>
      </c>
      <c r="E344" s="4" t="inlineStr">
        <is>
          <t>DMA</t>
        </is>
      </c>
      <c r="F344" s="4" t="n"/>
      <c r="G344" s="4" t="inlineStr">
        <is>
          <t>2018gn</t>
        </is>
      </c>
      <c r="H344" s="4" t="n">
        <v>2019</v>
      </c>
      <c r="I344" s="4" t="inlineStr">
        <is>
          <t>nom.val.dbt.lcl.iss.nres</t>
        </is>
      </c>
      <c r="J344" t="inlineStr">
        <is>
          <t>Locally-issued debt held by non-residents</t>
        </is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</row>
    <row r="345">
      <c r="A345" t="inlineStr">
        <is>
          <t>no_year_in_pairs</t>
        </is>
      </c>
      <c r="B345" s="2" t="n"/>
      <c r="C345" s="3" t="inlineStr">
        <is>
          <t>EBS.20.72, Sup. 1</t>
        </is>
      </c>
      <c r="D345" s="4" t="inlineStr">
        <is>
          <t>Dominica</t>
        </is>
      </c>
      <c r="E345" s="4" t="inlineStr">
        <is>
          <t>DMA</t>
        </is>
      </c>
      <c r="F345" s="4" t="n"/>
      <c r="G345" s="4" t="inlineStr">
        <is>
          <t>2018gn</t>
        </is>
      </c>
      <c r="H345" s="4" t="n">
        <v>2019</v>
      </c>
      <c r="I345" s="4" t="inlineStr">
        <is>
          <t>pn.new.dbt.lcl.nres.lc</t>
        </is>
      </c>
      <c r="J345" t="inlineStr">
        <is>
          <t>Denominated in local currency (LC)</t>
        </is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</row>
    <row r="346">
      <c r="A346" t="inlineStr">
        <is>
          <t>no_year_in_pairs</t>
        </is>
      </c>
      <c r="B346" s="2" t="n"/>
      <c r="C346" s="3" t="inlineStr">
        <is>
          <t>EBS.20.72, Sup. 1</t>
        </is>
      </c>
      <c r="D346" s="4" t="inlineStr">
        <is>
          <t>Dominica</t>
        </is>
      </c>
      <c r="E346" s="4" t="inlineStr">
        <is>
          <t>DMA</t>
        </is>
      </c>
      <c r="F346" s="4" t="n"/>
      <c r="G346" s="4" t="inlineStr">
        <is>
          <t>2018gn</t>
        </is>
      </c>
      <c r="H346" s="4" t="n">
        <v>2019</v>
      </c>
      <c r="I346" s="4" t="inlineStr">
        <is>
          <t>pn.new.dbt.lcl.nres.bnd.1to3.lc</t>
        </is>
      </c>
      <c r="J346" t="inlineStr">
        <is>
          <t>Bonds (1 to 3 years)-LC</t>
        </is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</row>
    <row r="347">
      <c r="A347" t="inlineStr">
        <is>
          <t>no_year_in_pairs</t>
        </is>
      </c>
      <c r="B347" s="2" t="n"/>
      <c r="C347" s="3" t="inlineStr">
        <is>
          <t>EBS.20.72, Sup. 1</t>
        </is>
      </c>
      <c r="D347" s="4" t="inlineStr">
        <is>
          <t>Dominica</t>
        </is>
      </c>
      <c r="E347" s="4" t="inlineStr">
        <is>
          <t>DMA</t>
        </is>
      </c>
      <c r="F347" s="4" t="n"/>
      <c r="G347" s="4" t="inlineStr">
        <is>
          <t>2018gn</t>
        </is>
      </c>
      <c r="H347" s="4" t="n">
        <v>2019</v>
      </c>
      <c r="I347" s="4" t="inlineStr">
        <is>
          <t>pn.new.dbt.lcl.nres.bnd.4to7.lc</t>
        </is>
      </c>
      <c r="J347" t="inlineStr">
        <is>
          <t>Bonds (4 to 7 years)-LC</t>
        </is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</row>
    <row r="348">
      <c r="A348" t="inlineStr">
        <is>
          <t>no_year_in_pairs</t>
        </is>
      </c>
      <c r="B348" s="2" t="n"/>
      <c r="C348" s="3" t="inlineStr">
        <is>
          <t>EBS.20.72, Sup. 1</t>
        </is>
      </c>
      <c r="D348" s="4" t="inlineStr">
        <is>
          <t>Dominica</t>
        </is>
      </c>
      <c r="E348" s="4" t="inlineStr">
        <is>
          <t>DMA</t>
        </is>
      </c>
      <c r="F348" s="4" t="n"/>
      <c r="G348" s="4" t="inlineStr">
        <is>
          <t>2018gn</t>
        </is>
      </c>
      <c r="H348" s="4" t="n">
        <v>2019</v>
      </c>
      <c r="I348" s="4" t="inlineStr">
        <is>
          <t>pn.new.dbt.lcl.nres.bnd.byd7.lc</t>
        </is>
      </c>
      <c r="J348" t="inlineStr">
        <is>
          <t>Bonds (beyond 7 years)-LC</t>
        </is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</row>
    <row r="349">
      <c r="A349" t="inlineStr">
        <is>
          <t>no_year_in_pairs</t>
        </is>
      </c>
      <c r="B349" s="2" t="n"/>
      <c r="C349" s="3" t="inlineStr">
        <is>
          <t>EBS.20.72, Sup. 1</t>
        </is>
      </c>
      <c r="D349" s="4" t="inlineStr">
        <is>
          <t>Dominica</t>
        </is>
      </c>
      <c r="E349" s="4" t="inlineStr">
        <is>
          <t>DMA</t>
        </is>
      </c>
      <c r="F349" s="4" t="n"/>
      <c r="G349" s="4" t="inlineStr">
        <is>
          <t>2018gn</t>
        </is>
      </c>
      <c r="H349" s="4" t="n">
        <v>2019</v>
      </c>
      <c r="I349" s="4" t="inlineStr">
        <is>
          <t>pn.new.dbt.lcl.nres.fx</t>
        </is>
      </c>
      <c r="J349" t="inlineStr">
        <is>
          <t>Denominated in foreign currency (FX)</t>
        </is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</row>
    <row r="350">
      <c r="A350" t="inlineStr">
        <is>
          <t>no_year_in_pairs</t>
        </is>
      </c>
      <c r="B350" s="2" t="n"/>
      <c r="C350" s="3" t="inlineStr">
        <is>
          <t>EBS.20.72, Sup. 1</t>
        </is>
      </c>
      <c r="D350" s="4" t="inlineStr">
        <is>
          <t>Dominica</t>
        </is>
      </c>
      <c r="E350" s="4" t="inlineStr">
        <is>
          <t>DMA</t>
        </is>
      </c>
      <c r="F350" s="4" t="n"/>
      <c r="G350" s="4" t="inlineStr">
        <is>
          <t>2018gn</t>
        </is>
      </c>
      <c r="H350" s="4" t="n">
        <v>2019</v>
      </c>
      <c r="I350" s="4" t="inlineStr">
        <is>
          <t>pn.new.dbt.lcl.nres.bnd.1to3.fx</t>
        </is>
      </c>
      <c r="J350" t="inlineStr">
        <is>
          <t>Bonds (1 to 3 years)-FX</t>
        </is>
      </c>
      <c r="M350" t="n">
        <v>654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</row>
    <row r="351">
      <c r="A351" t="inlineStr">
        <is>
          <t>no_year_in_pairs</t>
        </is>
      </c>
      <c r="B351" s="2" t="n"/>
      <c r="C351" s="3" t="inlineStr">
        <is>
          <t>EBS.20.72, Sup. 1</t>
        </is>
      </c>
      <c r="D351" s="4" t="inlineStr">
        <is>
          <t>Dominica</t>
        </is>
      </c>
      <c r="E351" s="4" t="inlineStr">
        <is>
          <t>DMA</t>
        </is>
      </c>
      <c r="F351" s="4" t="n"/>
      <c r="G351" s="4" t="inlineStr">
        <is>
          <t>2018gn</t>
        </is>
      </c>
      <c r="H351" s="4" t="n">
        <v>2019</v>
      </c>
      <c r="I351" s="4" t="inlineStr">
        <is>
          <t>pn.new.dbt.lcl.nres.bnd.4to7.fx</t>
        </is>
      </c>
      <c r="J351" t="inlineStr">
        <is>
          <t>Bonds (4 to 7 years)-FX</t>
        </is>
      </c>
      <c r="M351" t="n">
        <v>680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</row>
    <row r="352">
      <c r="A352" t="inlineStr">
        <is>
          <t>no_year_in_pairs</t>
        </is>
      </c>
      <c r="B352" s="2" t="n"/>
      <c r="C352" s="3" t="inlineStr">
        <is>
          <t>EBS.20.72, Sup. 1</t>
        </is>
      </c>
      <c r="D352" s="4" t="inlineStr">
        <is>
          <t>Dominica</t>
        </is>
      </c>
      <c r="E352" s="4" t="inlineStr">
        <is>
          <t>DMA</t>
        </is>
      </c>
      <c r="F352" s="4" t="n"/>
      <c r="G352" s="4" t="inlineStr">
        <is>
          <t>2018gn</t>
        </is>
      </c>
      <c r="H352" s="4" t="n">
        <v>2019</v>
      </c>
      <c r="I352" s="4" t="inlineStr">
        <is>
          <t>pn.new.dbt.lcl.nres.bnd.byd7.fx</t>
        </is>
      </c>
      <c r="J352" t="inlineStr">
        <is>
          <t>Bonds (beyond 7 years)-FX</t>
        </is>
      </c>
      <c r="M352" t="n">
        <v>706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</row>
    <row r="353">
      <c r="A353" t="inlineStr">
        <is>
          <t>no_year_in_pairs</t>
        </is>
      </c>
      <c r="B353" s="2" t="n"/>
      <c r="C353" s="3" t="inlineStr">
        <is>
          <t>EBS.20.72, Sup. 1</t>
        </is>
      </c>
      <c r="D353" s="4" t="inlineStr">
        <is>
          <t>Dominica</t>
        </is>
      </c>
      <c r="E353" s="4" t="inlineStr">
        <is>
          <t>DMA</t>
        </is>
      </c>
      <c r="F353" s="4" t="n"/>
      <c r="G353" s="4" t="inlineStr">
        <is>
          <t>2018gn</t>
        </is>
      </c>
      <c r="H353" s="4" t="n">
        <v>2019</v>
      </c>
      <c r="I353" s="5" t="n"/>
      <c r="J353" t="inlineStr">
        <is>
          <t>Locally-issued debt held by residents</t>
        </is>
      </c>
    </row>
    <row r="354">
      <c r="A354" t="inlineStr">
        <is>
          <t>no_year_in_pairs</t>
        </is>
      </c>
      <c r="B354" s="2" t="n"/>
      <c r="C354" s="3" t="inlineStr">
        <is>
          <t>EBS.20.72, Sup. 1</t>
        </is>
      </c>
      <c r="D354" s="4" t="inlineStr">
        <is>
          <t>Dominica</t>
        </is>
      </c>
      <c r="E354" s="4" t="inlineStr">
        <is>
          <t>DMA</t>
        </is>
      </c>
      <c r="F354" s="4" t="n"/>
      <c r="G354" s="4" t="inlineStr">
        <is>
          <t>2018gn</t>
        </is>
      </c>
      <c r="H354" s="4" t="n">
        <v>2019</v>
      </c>
      <c r="I354" s="4" t="inlineStr">
        <is>
          <t>pn.new.dbt.lcl.fx</t>
        </is>
      </c>
      <c r="J354" t="inlineStr">
        <is>
          <t>Denominated in foreign currency (FX)</t>
        </is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</row>
    <row r="355">
      <c r="A355" t="inlineStr">
        <is>
          <t>no_year_in_pairs</t>
        </is>
      </c>
      <c r="B355" s="2" t="n"/>
      <c r="C355" s="3" t="inlineStr">
        <is>
          <t>EBS.20.72, Sup. 1</t>
        </is>
      </c>
      <c r="D355" s="4" t="inlineStr">
        <is>
          <t>Dominica</t>
        </is>
      </c>
      <c r="E355" s="4" t="inlineStr">
        <is>
          <t>DMA</t>
        </is>
      </c>
      <c r="F355" s="4" t="n"/>
      <c r="G355" s="4" t="inlineStr">
        <is>
          <t>2018gn</t>
        </is>
      </c>
      <c r="H355" s="4" t="n">
        <v>2019</v>
      </c>
      <c r="I355" s="4" t="inlineStr">
        <is>
          <t>pn.new.dbt.lcl.fx.bnd.1to3.fx</t>
        </is>
      </c>
      <c r="J355" t="inlineStr">
        <is>
          <t>Bonds (1 to 3 years)-FX</t>
        </is>
      </c>
      <c r="M355" t="n">
        <v>732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</row>
    <row r="356">
      <c r="A356" t="inlineStr">
        <is>
          <t>no_year_in_pairs</t>
        </is>
      </c>
      <c r="B356" s="2" t="n"/>
      <c r="C356" s="3" t="inlineStr">
        <is>
          <t>EBS.20.72, Sup. 1</t>
        </is>
      </c>
      <c r="D356" s="4" t="inlineStr">
        <is>
          <t>Dominica</t>
        </is>
      </c>
      <c r="E356" s="4" t="inlineStr">
        <is>
          <t>DMA</t>
        </is>
      </c>
      <c r="F356" s="4" t="n"/>
      <c r="G356" s="4" t="inlineStr">
        <is>
          <t>2018gn</t>
        </is>
      </c>
      <c r="H356" s="4" t="n">
        <v>2019</v>
      </c>
      <c r="I356" s="4" t="inlineStr">
        <is>
          <t>pn.new.dbt.lcl.fx.bnd.4to7.fx</t>
        </is>
      </c>
      <c r="J356" t="inlineStr">
        <is>
          <t>Bonds (4 to 7 years)-FX</t>
        </is>
      </c>
      <c r="M356" t="n">
        <v>758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</row>
    <row r="357">
      <c r="A357" t="inlineStr">
        <is>
          <t>no_year_in_pairs</t>
        </is>
      </c>
      <c r="B357" s="2" t="n"/>
      <c r="C357" s="3" t="inlineStr">
        <is>
          <t>EBS.20.72, Sup. 1</t>
        </is>
      </c>
      <c r="D357" s="4" t="inlineStr">
        <is>
          <t>Dominica</t>
        </is>
      </c>
      <c r="E357" s="4" t="inlineStr">
        <is>
          <t>DMA</t>
        </is>
      </c>
      <c r="F357" s="4" t="n"/>
      <c r="G357" s="4" t="inlineStr">
        <is>
          <t>2018gn</t>
        </is>
      </c>
      <c r="H357" s="4" t="n">
        <v>2019</v>
      </c>
      <c r="I357" s="4" t="inlineStr">
        <is>
          <t>pn.new.dbt.lcl.fx.bnd.byd7.fx</t>
        </is>
      </c>
      <c r="J357" t="inlineStr">
        <is>
          <t>Bonds (beyond 7 years)-FX</t>
        </is>
      </c>
      <c r="M357" t="n">
        <v>784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</row>
    <row r="358">
      <c r="A358" t="inlineStr">
        <is>
          <t>no_year_in_pairs</t>
        </is>
      </c>
      <c r="B358" s="2" t="n"/>
      <c r="C358" s="3" t="inlineStr">
        <is>
          <t>EBS.20.72, Sup. 1</t>
        </is>
      </c>
      <c r="D358" s="4" t="inlineStr">
        <is>
          <t>Dominica</t>
        </is>
      </c>
      <c r="E358" s="4" t="inlineStr">
        <is>
          <t>DMA</t>
        </is>
      </c>
      <c r="F358" s="4" t="n"/>
      <c r="G358" s="4" t="inlineStr">
        <is>
          <t>2018gn</t>
        </is>
      </c>
      <c r="H358" s="4" t="n">
        <v>2019</v>
      </c>
      <c r="I358" s="5" t="n"/>
    </row>
    <row r="359">
      <c r="A359" t="inlineStr">
        <is>
          <t>no_year_in_pairs</t>
        </is>
      </c>
      <c r="B359" s="2" t="n"/>
      <c r="C359" s="3" t="inlineStr">
        <is>
          <t>EBS.20.72, Sup. 1</t>
        </is>
      </c>
      <c r="D359" s="4" t="inlineStr">
        <is>
          <t>Dominica</t>
        </is>
      </c>
      <c r="E359" s="4" t="inlineStr">
        <is>
          <t>DMA</t>
        </is>
      </c>
      <c r="F359" s="4" t="n"/>
      <c r="G359" s="4" t="inlineStr">
        <is>
          <t>2018gn</t>
        </is>
      </c>
      <c r="H359" s="4" t="n">
        <v>2019</v>
      </c>
      <c r="I359" s="4" t="inlineStr">
        <is>
          <t>sht.trm.dbt</t>
        </is>
      </c>
      <c r="J359" t="inlineStr">
        <is>
          <t>Nominal value (=PV) of ST debt (excluding locally-issued debt)</t>
        </is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BI359" t="inlineStr">
        <is>
          <t>NOM_NEW_ST</t>
        </is>
      </c>
    </row>
    <row r="360">
      <c r="A360" t="inlineStr">
        <is>
          <t>no_year_in_pairs</t>
        </is>
      </c>
      <c r="B360" s="2" t="n"/>
      <c r="C360" s="3" t="inlineStr">
        <is>
          <t>EBS.20.72, Sup. 1</t>
        </is>
      </c>
      <c r="D360" s="4" t="inlineStr">
        <is>
          <t>Dominica</t>
        </is>
      </c>
      <c r="E360" s="4" t="inlineStr">
        <is>
          <t>DMA</t>
        </is>
      </c>
      <c r="F360" s="4" t="n"/>
      <c r="G360" s="4" t="inlineStr">
        <is>
          <t>2018gn</t>
        </is>
      </c>
      <c r="H360" s="4" t="n">
        <v>2019</v>
      </c>
      <c r="I360" s="4" t="inlineStr">
        <is>
          <t>sht.trm.dbt.int</t>
        </is>
      </c>
      <c r="J360" t="inlineStr">
        <is>
          <t>Interest</t>
        </is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BI360" t="inlineStr">
        <is>
          <t>NOM_NEW_ST_I</t>
        </is>
      </c>
    </row>
    <row r="361">
      <c r="A361" t="inlineStr">
        <is>
          <t>no_year_in_pairs</t>
        </is>
      </c>
      <c r="B361" s="2" t="n"/>
      <c r="C361" s="3" t="inlineStr">
        <is>
          <t>EBS.20.72, Sup. 1</t>
        </is>
      </c>
      <c r="D361" s="4" t="inlineStr">
        <is>
          <t>Dominica</t>
        </is>
      </c>
      <c r="E361" s="4" t="inlineStr">
        <is>
          <t>DMA</t>
        </is>
      </c>
      <c r="F361" s="4" t="n"/>
      <c r="G361" s="4" t="inlineStr">
        <is>
          <t>2018gn</t>
        </is>
      </c>
      <c r="H361" s="4" t="n">
        <v>2019</v>
      </c>
      <c r="I361" s="5" t="n"/>
      <c r="N361" t="inlineStr">
        <is>
          <t>Note: interest associated with 2017 ST debt should be included in aggregate data.</t>
        </is>
      </c>
    </row>
    <row r="362">
      <c r="A362" t="inlineStr">
        <is>
          <t>no_year_in_pairs</t>
        </is>
      </c>
      <c r="B362" s="2" t="n"/>
      <c r="C362" s="3" t="inlineStr">
        <is>
          <t>EBS.20.72, Sup. 1</t>
        </is>
      </c>
      <c r="D362" s="4" t="inlineStr">
        <is>
          <t>Dominica</t>
        </is>
      </c>
      <c r="E362" s="4" t="inlineStr">
        <is>
          <t>DMA</t>
        </is>
      </c>
      <c r="F362" s="4" t="n"/>
      <c r="G362" s="4" t="inlineStr">
        <is>
          <t>2018gn</t>
        </is>
      </c>
      <c r="H362" s="4" t="n">
        <v>2019</v>
      </c>
      <c r="I362" s="4" t="inlineStr">
        <is>
          <t>sht.trm.dbt.lcl.iss</t>
        </is>
      </c>
      <c r="J362" t="inlineStr">
        <is>
          <t>Nominal value (=PV) of ST debt (locally-issued debt)</t>
        </is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</row>
    <row r="363">
      <c r="A363" t="inlineStr">
        <is>
          <t>no_year_in_pairs</t>
        </is>
      </c>
      <c r="B363" s="2" t="n"/>
      <c r="C363" s="3" t="inlineStr">
        <is>
          <t>EBS.20.72, Sup. 1</t>
        </is>
      </c>
      <c r="D363" s="4" t="inlineStr">
        <is>
          <t>Dominica</t>
        </is>
      </c>
      <c r="E363" s="4" t="inlineStr">
        <is>
          <t>DMA</t>
        </is>
      </c>
      <c r="F363" s="4" t="n"/>
      <c r="G363" s="4" t="inlineStr">
        <is>
          <t>2018gn</t>
        </is>
      </c>
      <c r="H363" s="4" t="n">
        <v>2019</v>
      </c>
      <c r="I363" s="4" t="inlineStr">
        <is>
          <t>sht.trm.dbt.lcl.amt</t>
        </is>
      </c>
      <c r="J363" t="inlineStr">
        <is>
          <t>Principal</t>
        </is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</row>
    <row r="364">
      <c r="A364" t="inlineStr">
        <is>
          <t>no_year_in_pairs</t>
        </is>
      </c>
      <c r="B364" s="2" t="n"/>
      <c r="C364" s="3" t="inlineStr">
        <is>
          <t>EBS.20.72, Sup. 1</t>
        </is>
      </c>
      <c r="D364" s="4" t="inlineStr">
        <is>
          <t>Dominica</t>
        </is>
      </c>
      <c r="E364" s="4" t="inlineStr">
        <is>
          <t>DMA</t>
        </is>
      </c>
      <c r="F364" s="4" t="n"/>
      <c r="G364" s="4" t="inlineStr">
        <is>
          <t>2018gn</t>
        </is>
      </c>
      <c r="H364" s="4" t="n">
        <v>2019</v>
      </c>
      <c r="I364" s="4" t="inlineStr">
        <is>
          <t>sht.trm.dbt.lcl.int</t>
        </is>
      </c>
      <c r="J364" t="inlineStr">
        <is>
          <t>Interest</t>
        </is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</row>
    <row r="365">
      <c r="A365" t="inlineStr">
        <is>
          <t>no_year_in_pairs</t>
        </is>
      </c>
      <c r="B365" s="2" t="n"/>
      <c r="C365" s="3" t="inlineStr">
        <is>
          <t>EBS.20.72, Sup. 1</t>
        </is>
      </c>
      <c r="D365" s="4" t="inlineStr">
        <is>
          <t>Dominica</t>
        </is>
      </c>
      <c r="E365" s="4" t="inlineStr">
        <is>
          <t>DMA</t>
        </is>
      </c>
      <c r="F365" s="4" t="n"/>
      <c r="G365" s="4" t="inlineStr">
        <is>
          <t>2018gn</t>
        </is>
      </c>
      <c r="H365" s="4" t="n">
        <v>2019</v>
      </c>
      <c r="I365" s="5" t="n"/>
      <c r="N365" t="inlineStr">
        <is>
          <t>Note: Debt service associated with 2017 and 2018 ST debt  is captured in aggregate data on existing debt.</t>
        </is>
      </c>
    </row>
    <row r="366">
      <c r="A366" t="inlineStr">
        <is>
          <t>no_year_in_pairs</t>
        </is>
      </c>
      <c r="B366" s="2" t="n"/>
      <c r="C366" s="3" t="inlineStr">
        <is>
          <t>EBS.20.72, Sup. 1</t>
        </is>
      </c>
      <c r="D366" s="4" t="inlineStr">
        <is>
          <t>Dominica</t>
        </is>
      </c>
      <c r="E366" s="4" t="inlineStr">
        <is>
          <t>DMA</t>
        </is>
      </c>
      <c r="F366" s="4" t="n"/>
      <c r="G366" s="4" t="inlineStr">
        <is>
          <t>2018gn</t>
        </is>
      </c>
      <c r="H366" s="4" t="n">
        <v>2019</v>
      </c>
      <c r="I366" s="4" t="inlineStr">
        <is>
          <t>sht.trm.dbt.tot</t>
        </is>
      </c>
      <c r="J366" t="inlineStr">
        <is>
          <t>Total ST external debt</t>
        </is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</row>
    <row r="367">
      <c r="A367" t="inlineStr">
        <is>
          <t>no_year_in_pairs</t>
        </is>
      </c>
      <c r="B367" s="2" t="n"/>
      <c r="C367" s="3" t="inlineStr">
        <is>
          <t>EBS.20.72, Sup. 1</t>
        </is>
      </c>
      <c r="D367" s="4" t="inlineStr">
        <is>
          <t>Dominica</t>
        </is>
      </c>
      <c r="E367" s="4" t="inlineStr">
        <is>
          <t>DMA</t>
        </is>
      </c>
      <c r="F367" s="4" t="n"/>
      <c r="G367" s="4" t="inlineStr">
        <is>
          <t>2018gn</t>
        </is>
      </c>
      <c r="H367" s="4" t="n">
        <v>2019</v>
      </c>
      <c r="I367" s="4" t="inlineStr">
        <is>
          <t>sht.trm.dbt.tot.amt</t>
        </is>
      </c>
      <c r="J367" t="inlineStr">
        <is>
          <t>Principal</t>
        </is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</row>
    <row r="368">
      <c r="A368" t="inlineStr">
        <is>
          <t>no_year_in_pairs</t>
        </is>
      </c>
      <c r="B368" s="2" t="n"/>
      <c r="C368" s="3" t="inlineStr">
        <is>
          <t>EBS.20.72, Sup. 1</t>
        </is>
      </c>
      <c r="D368" s="4" t="inlineStr">
        <is>
          <t>Dominica</t>
        </is>
      </c>
      <c r="E368" s="4" t="inlineStr">
        <is>
          <t>DMA</t>
        </is>
      </c>
      <c r="F368" s="4" t="n"/>
      <c r="G368" s="4" t="inlineStr">
        <is>
          <t>2018gn</t>
        </is>
      </c>
      <c r="H368" s="4" t="n">
        <v>2019</v>
      </c>
      <c r="I368" s="4" t="inlineStr">
        <is>
          <t>sht.trm.dbt.tot.int</t>
        </is>
      </c>
      <c r="J368" t="inlineStr">
        <is>
          <t>Interest</t>
        </is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</row>
    <row r="369">
      <c r="A369" t="inlineStr">
        <is>
          <t>no_year_in_pairs</t>
        </is>
      </c>
      <c r="B369" s="2" t="n"/>
      <c r="C369" s="3" t="inlineStr">
        <is>
          <t>EBS.20.72, Sup. 1</t>
        </is>
      </c>
      <c r="D369" s="4" t="inlineStr">
        <is>
          <t>Dominica</t>
        </is>
      </c>
      <c r="E369" s="4" t="inlineStr">
        <is>
          <t>DMA</t>
        </is>
      </c>
      <c r="F369" s="4" t="n"/>
      <c r="G369" s="4" t="inlineStr">
        <is>
          <t>2018gn</t>
        </is>
      </c>
      <c r="H369" s="4" t="n">
        <v>2019</v>
      </c>
      <c r="I369" s="5" t="n"/>
    </row>
    <row r="370">
      <c r="A370" t="inlineStr">
        <is>
          <t>no_year_in_pairs</t>
        </is>
      </c>
      <c r="B370" s="2" t="n"/>
      <c r="C370" s="3" t="inlineStr">
        <is>
          <t>EBS.20.72, Sup. 1</t>
        </is>
      </c>
      <c r="D370" s="4" t="inlineStr">
        <is>
          <t>Dominica</t>
        </is>
      </c>
      <c r="E370" s="4" t="inlineStr">
        <is>
          <t>DMA</t>
        </is>
      </c>
      <c r="F370" s="4" t="n"/>
      <c r="G370" s="4" t="inlineStr">
        <is>
          <t>2018gn</t>
        </is>
      </c>
      <c r="H370" s="4" t="n">
        <v>2019</v>
      </c>
      <c r="I370" s="4" t="inlineStr">
        <is>
          <t>pv.net.use.sdr</t>
        </is>
      </c>
      <c r="J370" t="inlineStr">
        <is>
          <t>PV of net use of SDRs</t>
        </is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BI370" t="inlineStr">
        <is>
          <t>PV_SDR</t>
        </is>
      </c>
    </row>
    <row r="371">
      <c r="A371" t="inlineStr">
        <is>
          <t>no_year_in_pairs</t>
        </is>
      </c>
      <c r="B371" s="2" t="n"/>
      <c r="C371" s="3" t="inlineStr">
        <is>
          <t>EBS.20.72, Sup. 1</t>
        </is>
      </c>
      <c r="D371" s="4" t="inlineStr">
        <is>
          <t>Dominica</t>
        </is>
      </c>
      <c r="E371" s="4" t="inlineStr">
        <is>
          <t>DMA</t>
        </is>
      </c>
      <c r="F371" s="4" t="n"/>
      <c r="G371" s="4" t="inlineStr">
        <is>
          <t>2018gn</t>
        </is>
      </c>
      <c r="H371" s="4" t="n">
        <v>2019</v>
      </c>
      <c r="I371" s="4" t="inlineStr">
        <is>
          <t>tot.pv.dbt</t>
        </is>
      </c>
      <c r="J371" t="inlineStr">
        <is>
          <t>Total PV of debt</t>
        </is>
      </c>
      <c r="N371" t="n">
        <v>272.9878593217654</v>
      </c>
      <c r="O371" t="n">
        <v>320.6987701834356</v>
      </c>
      <c r="P371" t="n">
        <v>332.3167120756319</v>
      </c>
      <c r="Q371" t="n">
        <v>343.3653351980431</v>
      </c>
      <c r="R371" t="n">
        <v>354.0249263041385</v>
      </c>
      <c r="S371" t="n">
        <v>359.6165462940335</v>
      </c>
      <c r="T371" t="n">
        <v>361.2230955231641</v>
      </c>
      <c r="U371" t="n">
        <v>359.8076062010101</v>
      </c>
      <c r="V371" t="n">
        <v>357.0347386653987</v>
      </c>
      <c r="W371" t="n">
        <v>353.7194933598086</v>
      </c>
      <c r="X371" t="n">
        <v>347.0902774675994</v>
      </c>
      <c r="Y371" t="n">
        <v>343.0261985331639</v>
      </c>
      <c r="Z371" t="n">
        <v>342.7465892673587</v>
      </c>
      <c r="AA371" t="n">
        <v>343.6457048960391</v>
      </c>
      <c r="AB371" t="n">
        <v>343.9823630636608</v>
      </c>
      <c r="AC371" t="n">
        <v>322.4952895422194</v>
      </c>
      <c r="AD371" t="n">
        <v>319.4644832064471</v>
      </c>
      <c r="AE371" t="n">
        <v>315.7458971082677</v>
      </c>
      <c r="AF371" t="n">
        <v>306.1557852483197</v>
      </c>
      <c r="AG371" t="n">
        <v>299.9141668464488</v>
      </c>
      <c r="AH371" t="n">
        <v>292.6169858671474</v>
      </c>
      <c r="AI371" t="n">
        <v>288.1469761992883</v>
      </c>
      <c r="BI371" t="inlineStr">
        <is>
          <t>PV_D_TOT</t>
        </is>
      </c>
    </row>
    <row r="372">
      <c r="A372" t="inlineStr">
        <is>
          <t>no_year_in_pairs</t>
        </is>
      </c>
      <c r="B372" s="2" t="n"/>
      <c r="C372" s="3" t="inlineStr">
        <is>
          <t>EBS.20.72, Sup. 1</t>
        </is>
      </c>
      <c r="D372" s="4" t="inlineStr">
        <is>
          <t>Dominica</t>
        </is>
      </c>
      <c r="E372" s="4" t="inlineStr">
        <is>
          <t>DMA</t>
        </is>
      </c>
      <c r="F372" s="4" t="n"/>
      <c r="G372" s="4" t="inlineStr">
        <is>
          <t>2018gn</t>
        </is>
      </c>
      <c r="H372" s="4" t="n">
        <v>2019</v>
      </c>
      <c r="I372" s="5" t="n"/>
    </row>
    <row r="373">
      <c r="A373" t="inlineStr">
        <is>
          <t>no_year_in_pairs</t>
        </is>
      </c>
      <c r="B373" s="2" t="n"/>
      <c r="C373" s="3" t="inlineStr">
        <is>
          <t>EBS.20.72, Sup. 1</t>
        </is>
      </c>
      <c r="D373" s="4" t="inlineStr">
        <is>
          <t>Dominica</t>
        </is>
      </c>
      <c r="E373" s="4" t="inlineStr">
        <is>
          <t>DMA</t>
        </is>
      </c>
      <c r="F373" s="4" t="n"/>
      <c r="G373" s="4" t="inlineStr">
        <is>
          <t>2018gn</t>
        </is>
      </c>
      <c r="H373" s="4" t="n">
        <v>2019</v>
      </c>
      <c r="I373" s="4" t="inlineStr">
        <is>
          <t>nom.ppg.dbt.delta</t>
        </is>
      </c>
      <c r="J373" t="inlineStr">
        <is>
          <t>Nominal PPG debt check</t>
        </is>
      </c>
      <c r="N373" t="n">
        <v>0</v>
      </c>
      <c r="O373" t="n">
        <v>0</v>
      </c>
      <c r="P373" t="n">
        <v>5.684341886080801e-14</v>
      </c>
      <c r="Q373" t="n">
        <v>0</v>
      </c>
      <c r="R373" t="n">
        <v>0</v>
      </c>
      <c r="S373" t="n">
        <v>2.842170943040401e-14</v>
      </c>
      <c r="T373" t="n">
        <v>2.842170943040401e-14</v>
      </c>
      <c r="U373" t="n">
        <v>-2.842170943040401e-14</v>
      </c>
      <c r="V373" t="n">
        <v>0</v>
      </c>
      <c r="W373" t="n">
        <v>0</v>
      </c>
      <c r="X373" t="n">
        <v>-2.842170943040401e-14</v>
      </c>
      <c r="Y373" t="n">
        <v>1.4210854715202e-14</v>
      </c>
      <c r="Z373" t="n">
        <v>-1.4210854715202e-14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1.4210854715202e-14</v>
      </c>
      <c r="AG373" t="n">
        <v>-7.105427357601002e-15</v>
      </c>
      <c r="AH373" t="n">
        <v>1.4210854715202e-14</v>
      </c>
      <c r="AI373" t="n">
        <v>2.131628207280301e-14</v>
      </c>
    </row>
    <row r="374">
      <c r="A374" t="inlineStr">
        <is>
          <t>no_year_in_pairs</t>
        </is>
      </c>
      <c r="B374" s="2" t="n"/>
      <c r="C374" s="3" t="inlineStr">
        <is>
          <t>EBS.20.72, Sup. 1</t>
        </is>
      </c>
      <c r="D374" s="4" t="inlineStr">
        <is>
          <t>Dominica</t>
        </is>
      </c>
      <c r="E374" s="4" t="inlineStr">
        <is>
          <t>DMA</t>
        </is>
      </c>
      <c r="F374" s="4" t="n"/>
      <c r="G374" s="4" t="inlineStr">
        <is>
          <t>2018gn</t>
        </is>
      </c>
      <c r="H374" s="4" t="n">
        <v>2019</v>
      </c>
      <c r="I374" s="4" t="inlineStr">
        <is>
          <t>tot.pub.tds</t>
        </is>
      </c>
      <c r="J374" t="inlineStr">
        <is>
          <t>Total public debt service</t>
        </is>
      </c>
      <c r="N374" t="n">
        <v>28.61313235905446</v>
      </c>
      <c r="O374" t="n">
        <v>31.04243179314922</v>
      </c>
      <c r="P374" t="n">
        <v>30.99851514718349</v>
      </c>
      <c r="Q374" t="n">
        <v>30.00859238616594</v>
      </c>
      <c r="R374" t="n">
        <v>31.59538712289777</v>
      </c>
      <c r="S374" t="n">
        <v>31.03814900209155</v>
      </c>
      <c r="T374" t="n">
        <v>29.55625592260237</v>
      </c>
      <c r="U374" t="n">
        <v>34.05462184056206</v>
      </c>
      <c r="V374" t="n">
        <v>34.78806251960095</v>
      </c>
      <c r="W374" t="n">
        <v>35.3003527284299</v>
      </c>
      <c r="X374" t="n">
        <v>35.80153739704944</v>
      </c>
      <c r="Y374" t="n">
        <v>33.97996620125749</v>
      </c>
      <c r="Z374" t="n">
        <v>32.96509146118973</v>
      </c>
      <c r="AA374" t="n">
        <v>33.22938339062114</v>
      </c>
      <c r="AB374" t="n">
        <v>32.7093612827352</v>
      </c>
      <c r="AC374" t="n">
        <v>35.27763755015482</v>
      </c>
      <c r="AD374" t="n">
        <v>34.09352386240151</v>
      </c>
      <c r="AE374" t="n">
        <v>34.07847152538866</v>
      </c>
      <c r="AF374" t="n">
        <v>40.03348912784197</v>
      </c>
      <c r="AG374" t="n">
        <v>36.78196078370574</v>
      </c>
      <c r="AH374" t="n">
        <v>36.92374725081869</v>
      </c>
      <c r="AI374" t="n">
        <v>34.59296762771363</v>
      </c>
      <c r="BI374" t="inlineStr">
        <is>
          <t>DS_TOT</t>
        </is>
      </c>
    </row>
    <row r="375">
      <c r="A375" t="inlineStr">
        <is>
          <t>no_year_in_pairs</t>
        </is>
      </c>
      <c r="B375" s="2" t="n"/>
      <c r="C375" s="3" t="inlineStr">
        <is>
          <t>EBS.20.72, Sup. 1</t>
        </is>
      </c>
      <c r="D375" s="4" t="inlineStr">
        <is>
          <t>Dominica</t>
        </is>
      </c>
      <c r="E375" s="4" t="inlineStr">
        <is>
          <t>DMA</t>
        </is>
      </c>
      <c r="F375" s="4" t="n"/>
      <c r="G375" s="4" t="inlineStr">
        <is>
          <t>2018gn</t>
        </is>
      </c>
      <c r="H375" s="4" t="n">
        <v>2019</v>
      </c>
      <c r="I375" s="4" t="inlineStr">
        <is>
          <t>tot.pub.amt</t>
        </is>
      </c>
      <c r="J375" t="inlineStr">
        <is>
          <t xml:space="preserve">    of which: principal</t>
        </is>
      </c>
      <c r="N375" t="n">
        <v>19.29098507407407</v>
      </c>
      <c r="O375" t="n">
        <v>23.2000262931217</v>
      </c>
      <c r="P375" t="n">
        <v>20.56026573796296</v>
      </c>
      <c r="Q375" t="n">
        <v>19.35892920740741</v>
      </c>
      <c r="R375" t="n">
        <v>21.72283074592593</v>
      </c>
      <c r="S375" t="n">
        <v>19.37554563481481</v>
      </c>
      <c r="T375" t="n">
        <v>18.23202283533567</v>
      </c>
      <c r="U375" t="n">
        <v>21.61918769841484</v>
      </c>
      <c r="V375" t="n">
        <v>21.97412548266199</v>
      </c>
      <c r="W375" t="n">
        <v>22.37008669225408</v>
      </c>
      <c r="X375" t="n">
        <v>22.93538490400415</v>
      </c>
      <c r="Y375" t="n">
        <v>23.4490543929614</v>
      </c>
      <c r="Z375" t="n">
        <v>23.47909513172055</v>
      </c>
      <c r="AA375" t="n">
        <v>23.62515841596204</v>
      </c>
      <c r="AB375" t="n">
        <v>22.92194211367318</v>
      </c>
      <c r="AC375" t="n">
        <v>23.40229262523072</v>
      </c>
      <c r="AD375" t="n">
        <v>22.48422117785904</v>
      </c>
      <c r="AE375" t="n">
        <v>22.44384260393961</v>
      </c>
      <c r="AF375" t="n">
        <v>24.02539953830513</v>
      </c>
      <c r="AG375" t="n">
        <v>25.62800766147788</v>
      </c>
      <c r="AH375" t="n">
        <v>27.02137301728004</v>
      </c>
      <c r="AI375" t="n">
        <v>26.78133919746454</v>
      </c>
      <c r="BI375" t="inlineStr">
        <is>
          <t>DS_TOT_P</t>
        </is>
      </c>
    </row>
    <row r="376">
      <c r="A376" t="inlineStr">
        <is>
          <t>no_year_in_pairs</t>
        </is>
      </c>
      <c r="B376" s="2" t="n"/>
      <c r="C376" s="3" t="inlineStr">
        <is>
          <t>EBS.20.72, Sup. 1</t>
        </is>
      </c>
      <c r="D376" s="4" t="inlineStr">
        <is>
          <t>Dominica</t>
        </is>
      </c>
      <c r="E376" s="4" t="inlineStr">
        <is>
          <t>DMA</t>
        </is>
      </c>
      <c r="F376" s="4" t="n"/>
      <c r="G376" s="4" t="inlineStr">
        <is>
          <t>2018gn</t>
        </is>
      </c>
      <c r="H376" s="4" t="n">
        <v>2019</v>
      </c>
      <c r="I376" s="4" t="inlineStr">
        <is>
          <t>tot.pub.int</t>
        </is>
      </c>
      <c r="J376" t="inlineStr">
        <is>
          <t xml:space="preserve">    of which: interest</t>
        </is>
      </c>
      <c r="N376" t="n">
        <v>9.322147284980392</v>
      </c>
      <c r="O376" t="n">
        <v>7.842405500027514</v>
      </c>
      <c r="P376" t="n">
        <v>10.43824940922052</v>
      </c>
      <c r="Q376" t="n">
        <v>10.64966317875853</v>
      </c>
      <c r="R376" t="n">
        <v>9.872556376971842</v>
      </c>
      <c r="S376" t="n">
        <v>11.66260336727674</v>
      </c>
      <c r="T376" t="n">
        <v>11.3242330872667</v>
      </c>
      <c r="U376" t="n">
        <v>12.43543414214722</v>
      </c>
      <c r="V376" t="n">
        <v>12.81393703693896</v>
      </c>
      <c r="W376" t="n">
        <v>12.93026603617582</v>
      </c>
      <c r="X376" t="n">
        <v>12.86615249304529</v>
      </c>
      <c r="Y376" t="n">
        <v>10.53091180829609</v>
      </c>
      <c r="Z376" t="n">
        <v>9.485996329469183</v>
      </c>
      <c r="AA376" t="n">
        <v>9.604224974659102</v>
      </c>
      <c r="AB376" t="n">
        <v>9.787419169062019</v>
      </c>
      <c r="AC376" t="n">
        <v>11.8753449249241</v>
      </c>
      <c r="AD376" t="n">
        <v>11.60930268454247</v>
      </c>
      <c r="AE376" t="n">
        <v>11.63462892144906</v>
      </c>
      <c r="AF376" t="n">
        <v>16.00808958953684</v>
      </c>
      <c r="AG376" t="n">
        <v>11.15395312222786</v>
      </c>
      <c r="AH376" t="n">
        <v>9.902374233538648</v>
      </c>
      <c r="AI376" t="n">
        <v>7.811628430249082</v>
      </c>
      <c r="BI376" t="inlineStr">
        <is>
          <t>DS_TOT_I</t>
        </is>
      </c>
    </row>
    <row r="377">
      <c r="A377" t="inlineStr">
        <is>
          <t>no_year_in_pairs</t>
        </is>
      </c>
      <c r="B377" s="2" t="n"/>
      <c r="C377" s="3" t="inlineStr">
        <is>
          <t>EBS.20.72, Sup. 1</t>
        </is>
      </c>
      <c r="D377" s="4" t="inlineStr">
        <is>
          <t>Dominica</t>
        </is>
      </c>
      <c r="E377" s="4" t="inlineStr">
        <is>
          <t>DMA</t>
        </is>
      </c>
      <c r="F377" s="4" t="n"/>
      <c r="G377" s="4" t="inlineStr">
        <is>
          <t>2018gn</t>
        </is>
      </c>
      <c r="H377" s="4" t="n">
        <v>2019</v>
      </c>
      <c r="I377" s="5" t="n"/>
    </row>
    <row r="378">
      <c r="A378" t="inlineStr">
        <is>
          <t>no_year_in_pairs</t>
        </is>
      </c>
      <c r="B378" s="2" t="n"/>
      <c r="C378" s="3" t="inlineStr">
        <is>
          <t>EBS.20.72, Sup. 1</t>
        </is>
      </c>
      <c r="D378" s="4" t="inlineStr">
        <is>
          <t>Dominica</t>
        </is>
      </c>
      <c r="E378" s="4" t="inlineStr">
        <is>
          <t>DMA</t>
        </is>
      </c>
      <c r="F378" s="4" t="n"/>
      <c r="G378" s="4" t="inlineStr">
        <is>
          <t>2018gn</t>
        </is>
      </c>
      <c r="H378" s="4" t="n">
        <v>2019</v>
      </c>
      <c r="I378" s="4" t="inlineStr">
        <is>
          <t>ext.dbt.out</t>
        </is>
      </c>
      <c r="J378" t="inlineStr">
        <is>
          <t>External debt outstanding</t>
        </is>
      </c>
      <c r="N378" t="n">
        <v>305.242179722623</v>
      </c>
      <c r="O378" t="n">
        <v>395.8722729116326</v>
      </c>
      <c r="P378" t="n">
        <v>428.7039663745717</v>
      </c>
      <c r="Q378" t="n">
        <v>456.1286654628664</v>
      </c>
      <c r="R378" t="n">
        <v>481.035505457571</v>
      </c>
      <c r="S378" t="n">
        <v>497.1925651170833</v>
      </c>
      <c r="T378" t="n">
        <v>504.036301888517</v>
      </c>
      <c r="U378" t="n">
        <v>509.1525226394356</v>
      </c>
      <c r="V378" t="n">
        <v>513.4869449123715</v>
      </c>
      <c r="W378" t="n">
        <v>516.910198219632</v>
      </c>
      <c r="X378" t="n">
        <v>514.3110306364555</v>
      </c>
      <c r="Y378" t="n">
        <v>510.7101827847985</v>
      </c>
      <c r="Z378" t="n">
        <v>509.5132320136577</v>
      </c>
      <c r="AA378" t="n">
        <v>508.4261664489353</v>
      </c>
      <c r="AB378" t="n">
        <v>506.5103174721714</v>
      </c>
      <c r="AC378" t="n">
        <v>471.5675427449038</v>
      </c>
      <c r="AD378" t="n">
        <v>469.662888256089</v>
      </c>
      <c r="AE378" t="n">
        <v>467.0881688706984</v>
      </c>
      <c r="AF378" t="n">
        <v>463.6708284448481</v>
      </c>
      <c r="AG378" t="n">
        <v>459.9029059138428</v>
      </c>
      <c r="AH378" t="n">
        <v>454.2050015007597</v>
      </c>
      <c r="AI378" t="n">
        <v>450.2046751359345</v>
      </c>
    </row>
    <row r="379">
      <c r="A379" t="inlineStr">
        <is>
          <t>no_year_in_pairs</t>
        </is>
      </c>
      <c r="B379" s="2" t="n"/>
      <c r="C379" s="3" t="inlineStr">
        <is>
          <t>EBS.20.72, Sup. 1</t>
        </is>
      </c>
      <c r="D379" s="4" t="inlineStr">
        <is>
          <t>Dominica</t>
        </is>
      </c>
      <c r="E379" s="4" t="inlineStr">
        <is>
          <t>DMA</t>
        </is>
      </c>
      <c r="F379" s="4" t="n"/>
      <c r="G379" s="4" t="inlineStr">
        <is>
          <t>2018gn</t>
        </is>
      </c>
      <c r="H379" s="4" t="n">
        <v>2019</v>
      </c>
      <c r="I379" s="4" t="inlineStr">
        <is>
          <t>ext.dbt.out.fx</t>
        </is>
      </c>
      <c r="J379" t="inlineStr">
        <is>
          <t>FX-denominated debt outstanding</t>
        </is>
      </c>
      <c r="N379" t="n">
        <v>305.242179722623</v>
      </c>
      <c r="O379" t="n">
        <v>395.8722729116326</v>
      </c>
      <c r="P379" t="n">
        <v>428.7039663745716</v>
      </c>
      <c r="Q379" t="n">
        <v>456.1286654628664</v>
      </c>
      <c r="R379" t="n">
        <v>481.035505457571</v>
      </c>
      <c r="S379" t="n">
        <v>497.1925651170832</v>
      </c>
      <c r="T379" t="n">
        <v>504.0363018885168</v>
      </c>
      <c r="U379" t="n">
        <v>509.1525226394356</v>
      </c>
      <c r="V379" t="n">
        <v>513.4869449123715</v>
      </c>
      <c r="W379" t="n">
        <v>516.910198219632</v>
      </c>
      <c r="X379" t="n">
        <v>514.3110306364555</v>
      </c>
      <c r="Y379" t="n">
        <v>510.7101827847985</v>
      </c>
      <c r="Z379" t="n">
        <v>509.5132320136577</v>
      </c>
      <c r="AA379" t="n">
        <v>508.4261664489353</v>
      </c>
      <c r="AB379" t="n">
        <v>506.5103174721714</v>
      </c>
      <c r="AC379" t="n">
        <v>471.5675427449038</v>
      </c>
      <c r="AD379" t="n">
        <v>469.662888256089</v>
      </c>
      <c r="AE379" t="n">
        <v>467.0881688706984</v>
      </c>
      <c r="AF379" t="n">
        <v>463.6708284448481</v>
      </c>
      <c r="AG379" t="n">
        <v>459.9029059138428</v>
      </c>
      <c r="AH379" t="n">
        <v>454.2050015007596</v>
      </c>
      <c r="AI379" t="n">
        <v>450.2046751359345</v>
      </c>
    </row>
    <row r="380">
      <c r="A380" t="inlineStr">
        <is>
          <t>no_year_in_pairs</t>
        </is>
      </c>
      <c r="B380" s="2" t="n"/>
      <c r="C380" s="3" t="inlineStr">
        <is>
          <t>EBS.20.72, Sup. 1</t>
        </is>
      </c>
      <c r="D380" s="4" t="inlineStr">
        <is>
          <t>Dominica</t>
        </is>
      </c>
      <c r="E380" s="4" t="inlineStr">
        <is>
          <t>DMA</t>
        </is>
      </c>
      <c r="F380" s="4" t="n"/>
      <c r="G380" s="4" t="inlineStr">
        <is>
          <t>2018gn</t>
        </is>
      </c>
      <c r="H380" s="4" t="n">
        <v>2019</v>
      </c>
      <c r="I380" s="5" t="n"/>
    </row>
    <row r="381">
      <c r="A381" t="inlineStr">
        <is>
          <t>no_year_in_pairs</t>
        </is>
      </c>
      <c r="B381" s="2" t="n"/>
      <c r="C381" s="3" t="inlineStr">
        <is>
          <t>EBS.20.72, Sup. 1</t>
        </is>
      </c>
      <c r="D381" s="4" t="inlineStr">
        <is>
          <t>Dominica</t>
        </is>
      </c>
      <c r="E381" s="4" t="inlineStr">
        <is>
          <t>DMA</t>
        </is>
      </c>
      <c r="F381" s="4" t="n"/>
      <c r="G381" s="4" t="inlineStr">
        <is>
          <t>2018gn</t>
        </is>
      </c>
      <c r="H381" s="4" t="n">
        <v>2019</v>
      </c>
      <c r="I381" s="5" t="n"/>
      <c r="J381" t="inlineStr">
        <is>
          <t>Memorandum item</t>
        </is>
      </c>
    </row>
    <row r="382">
      <c r="A382" t="inlineStr">
        <is>
          <t>no_year_in_pairs</t>
        </is>
      </c>
      <c r="B382" s="2" t="n"/>
      <c r="C382" s="3" t="inlineStr">
        <is>
          <t>EBS.20.72, Sup. 1</t>
        </is>
      </c>
      <c r="D382" s="4" t="inlineStr">
        <is>
          <t>Dominica</t>
        </is>
      </c>
      <c r="E382" s="4" t="inlineStr">
        <is>
          <t>DMA</t>
        </is>
      </c>
      <c r="F382" s="4" t="n"/>
      <c r="G382" s="4" t="inlineStr">
        <is>
          <t>2018gn</t>
        </is>
      </c>
      <c r="H382" s="4" t="n">
        <v>2019</v>
      </c>
      <c r="I382" s="4" t="inlineStr">
        <is>
          <t>xcg.rat.eop</t>
        </is>
      </c>
      <c r="J382" t="inlineStr">
        <is>
          <t>Exchange rate (eop)</t>
        </is>
      </c>
      <c r="N382" t="n">
        <v>2.7</v>
      </c>
      <c r="O382" t="n">
        <v>2.7</v>
      </c>
      <c r="P382" t="n">
        <v>2.7</v>
      </c>
      <c r="Q382" t="n">
        <v>2.7</v>
      </c>
      <c r="R382" t="n">
        <v>2.7</v>
      </c>
      <c r="S382" t="n">
        <v>2.7</v>
      </c>
      <c r="T382" t="n">
        <v>2.7</v>
      </c>
      <c r="U382" t="n">
        <v>2.7</v>
      </c>
      <c r="V382" t="n">
        <v>2.7</v>
      </c>
      <c r="W382" t="n">
        <v>2.7</v>
      </c>
      <c r="X382" t="n">
        <v>2.7</v>
      </c>
      <c r="Y382" t="n">
        <v>2.7</v>
      </c>
      <c r="Z382" t="n">
        <v>2.7</v>
      </c>
      <c r="AA382" t="n">
        <v>2.7</v>
      </c>
      <c r="AB382" t="n">
        <v>2.7</v>
      </c>
      <c r="AC382" t="n">
        <v>2.7</v>
      </c>
      <c r="AD382" t="n">
        <v>2.7</v>
      </c>
      <c r="AE382" t="n">
        <v>2.7</v>
      </c>
      <c r="AF382" t="n">
        <v>2.7</v>
      </c>
      <c r="AG382" t="n">
        <v>2.7</v>
      </c>
      <c r="AH382" t="n">
        <v>2.7</v>
      </c>
      <c r="AI382" t="n">
        <v>2.7</v>
      </c>
    </row>
    <row r="383">
      <c r="A383" t="inlineStr">
        <is>
          <t>no_year_in_pairs</t>
        </is>
      </c>
      <c r="B383" s="2" t="n"/>
      <c r="C383" s="3" t="inlineStr">
        <is>
          <t>EBS.20.72, Sup. 1</t>
        </is>
      </c>
      <c r="D383" s="4" t="inlineStr">
        <is>
          <t>Dominica</t>
        </is>
      </c>
      <c r="E383" s="4" t="inlineStr">
        <is>
          <t>DMA</t>
        </is>
      </c>
      <c r="F383" s="4" t="n"/>
      <c r="G383" s="4" t="inlineStr">
        <is>
          <t>2018gn</t>
        </is>
      </c>
      <c r="H383" s="4" t="n">
        <v>2019</v>
      </c>
      <c r="I383" s="4" t="inlineStr">
        <is>
          <t>xcg.rat.pa</t>
        </is>
      </c>
      <c r="J383" t="inlineStr">
        <is>
          <t>Exchange rate (pa)</t>
        </is>
      </c>
      <c r="N383" t="n">
        <v>2.7</v>
      </c>
      <c r="O383" t="n">
        <v>2.7</v>
      </c>
      <c r="P383" t="n">
        <v>2.7</v>
      </c>
      <c r="Q383" t="n">
        <v>2.7</v>
      </c>
      <c r="R383" t="n">
        <v>2.7</v>
      </c>
      <c r="S383" t="n">
        <v>2.7</v>
      </c>
      <c r="T383" t="n">
        <v>2.7</v>
      </c>
      <c r="U383" t="n">
        <v>2.7</v>
      </c>
      <c r="V383" t="n">
        <v>2.7</v>
      </c>
      <c r="W383" t="n">
        <v>2.7</v>
      </c>
      <c r="X383" t="n">
        <v>2.7</v>
      </c>
      <c r="Y383" t="n">
        <v>2.7</v>
      </c>
      <c r="Z383" t="n">
        <v>2.7</v>
      </c>
      <c r="AA383" t="n">
        <v>2.7</v>
      </c>
      <c r="AB383" t="n">
        <v>2.7</v>
      </c>
      <c r="AC383" t="n">
        <v>2.7</v>
      </c>
      <c r="AD383" t="n">
        <v>2.7</v>
      </c>
      <c r="AE383" t="n">
        <v>2.7</v>
      </c>
      <c r="AF383" t="n">
        <v>2.7</v>
      </c>
      <c r="AG383" t="n">
        <v>2.7</v>
      </c>
      <c r="AH383" t="n">
        <v>2.7</v>
      </c>
      <c r="AI383" t="n">
        <v>2.7</v>
      </c>
    </row>
    <row r="384">
      <c r="A384" t="inlineStr">
        <is>
          <t>no_year_in_pairs</t>
        </is>
      </c>
      <c r="B384" s="2" t="n"/>
      <c r="C384" s="3" t="inlineStr">
        <is>
          <t>EBS.20.72, Sup. 1</t>
        </is>
      </c>
      <c r="D384" s="4" t="inlineStr">
        <is>
          <t>Dominica</t>
        </is>
      </c>
      <c r="E384" s="4" t="inlineStr">
        <is>
          <t>DMA</t>
        </is>
      </c>
      <c r="F384" s="4" t="n"/>
      <c r="G384" s="4" t="inlineStr">
        <is>
          <t>2018gn</t>
        </is>
      </c>
      <c r="H384" s="4" t="n">
        <v>2019</v>
      </c>
      <c r="I384" s="5" t="n"/>
    </row>
    <row r="385">
      <c r="A385" t="inlineStr">
        <is>
          <t>no_year_in_pairs</t>
        </is>
      </c>
      <c r="B385" s="2" t="n"/>
      <c r="C385" s="3" t="inlineStr">
        <is>
          <t>EBS.20.72, Sup. 1</t>
        </is>
      </c>
      <c r="D385" s="4" t="inlineStr">
        <is>
          <t>Dominica</t>
        </is>
      </c>
      <c r="E385" s="4" t="inlineStr">
        <is>
          <t>DMA</t>
        </is>
      </c>
      <c r="F385" s="4" t="n"/>
      <c r="G385" s="4" t="inlineStr">
        <is>
          <t>2018gn</t>
        </is>
      </c>
      <c r="H385" s="4" t="n">
        <v>2019</v>
      </c>
      <c r="I385" s="5" t="n"/>
      <c r="J385" t="inlineStr">
        <is>
          <t>Calculation of grant implicit in new borrowing and average discount rates</t>
        </is>
      </c>
    </row>
    <row r="386">
      <c r="A386" t="inlineStr">
        <is>
          <t>no_year_in_pairs</t>
        </is>
      </c>
      <c r="B386" s="2" t="n"/>
      <c r="C386" s="3" t="inlineStr">
        <is>
          <t>EBS.20.72, Sup. 1</t>
        </is>
      </c>
      <c r="D386" s="4" t="inlineStr">
        <is>
          <t>Dominica</t>
        </is>
      </c>
      <c r="E386" s="4" t="inlineStr">
        <is>
          <t>DMA</t>
        </is>
      </c>
      <c r="F386" s="4" t="n"/>
      <c r="G386" s="4" t="inlineStr">
        <is>
          <t>2018gn</t>
        </is>
      </c>
      <c r="H386" s="4" t="n">
        <v>2019</v>
      </c>
      <c r="I386" s="5" t="n"/>
    </row>
    <row r="387">
      <c r="A387" t="inlineStr">
        <is>
          <t>no_year_in_pairs</t>
        </is>
      </c>
      <c r="B387" s="2" t="n"/>
      <c r="C387" s="3" t="inlineStr">
        <is>
          <t>EBS.20.72, Sup. 1</t>
        </is>
      </c>
      <c r="D387" s="4" t="inlineStr">
        <is>
          <t>Dominica</t>
        </is>
      </c>
      <c r="E387" s="4" t="inlineStr">
        <is>
          <t>DMA</t>
        </is>
      </c>
      <c r="F387" s="4" t="n"/>
      <c r="G387" s="4" t="inlineStr">
        <is>
          <t>2018gn</t>
        </is>
      </c>
      <c r="H387" s="4" t="n">
        <v>2019</v>
      </c>
      <c r="I387" s="4" t="inlineStr">
        <is>
          <t>pv.new.dis.ppg</t>
        </is>
      </c>
      <c r="J387" t="inlineStr">
        <is>
          <t>PV of new disbursements PPG</t>
        </is>
      </c>
      <c r="O387" t="n">
        <v>65.10394968873113</v>
      </c>
      <c r="P387" t="n">
        <v>26.58151853020806</v>
      </c>
      <c r="Q387" t="n">
        <v>24.44137990479548</v>
      </c>
      <c r="R387" t="n">
        <v>25.08671146909101</v>
      </c>
      <c r="S387" t="n">
        <v>18.92852267677958</v>
      </c>
      <c r="T387" t="n">
        <v>13.18197783703135</v>
      </c>
      <c r="U387" t="n">
        <v>14.57797774224981</v>
      </c>
      <c r="V387" t="n">
        <v>14.0248146739389</v>
      </c>
      <c r="W387" t="n">
        <v>14.13337048956993</v>
      </c>
      <c r="X387" t="n">
        <v>11.48634683684978</v>
      </c>
      <c r="Y387" t="n">
        <v>12.56137339344193</v>
      </c>
      <c r="Z387" t="n">
        <v>15.53417226872646</v>
      </c>
      <c r="AA387" t="n">
        <v>16.99116955593352</v>
      </c>
      <c r="AB387" t="n">
        <v>15.86373420555499</v>
      </c>
      <c r="AC387" t="n">
        <v>-3.408554124469721</v>
      </c>
      <c r="AD387" t="n">
        <v>14.93795304951816</v>
      </c>
      <c r="AE387" t="n">
        <v>14.38666126688694</v>
      </c>
      <c r="AF387" t="n">
        <v>14.65608241248052</v>
      </c>
      <c r="AG387" t="n">
        <v>15.23255311941896</v>
      </c>
      <c r="AH387" t="n">
        <v>14.63085792919472</v>
      </c>
      <c r="AI387" t="n">
        <v>15.49210866649719</v>
      </c>
      <c r="BI387" t="inlineStr">
        <is>
          <t>PV_NEW_DIS_GE</t>
        </is>
      </c>
    </row>
    <row r="388">
      <c r="A388" t="inlineStr">
        <is>
          <t>no_year_in_pairs</t>
        </is>
      </c>
      <c r="B388" s="2" t="n"/>
      <c r="C388" s="3" t="inlineStr">
        <is>
          <t>EBS.20.72, Sup. 1</t>
        </is>
      </c>
      <c r="D388" s="4" t="inlineStr">
        <is>
          <t>Dominica</t>
        </is>
      </c>
      <c r="E388" s="4" t="inlineStr">
        <is>
          <t>DMA</t>
        </is>
      </c>
      <c r="F388" s="4" t="n"/>
      <c r="G388" s="4" t="inlineStr">
        <is>
          <t>2018gn</t>
        </is>
      </c>
      <c r="H388" s="4" t="n">
        <v>2019</v>
      </c>
      <c r="I388" s="4" t="inlineStr">
        <is>
          <t>new.dis.grt.lmt</t>
        </is>
      </c>
      <c r="J388" t="inlineStr">
        <is>
          <t>Grant element of new disbursement (percent)</t>
        </is>
      </c>
      <c r="O388" t="n">
        <v>42.80604291296476</v>
      </c>
      <c r="P388" t="n">
        <v>50.21437885396232</v>
      </c>
      <c r="Q388" t="n">
        <v>47.75655331751857</v>
      </c>
      <c r="R388" t="n">
        <v>46.20011020744383</v>
      </c>
      <c r="S388" t="n">
        <v>46.72914490792603</v>
      </c>
      <c r="T388" t="n">
        <v>47.43139173549575</v>
      </c>
      <c r="U388" t="n">
        <v>45.47314371547143</v>
      </c>
      <c r="V388" t="n">
        <v>46.69103439601788</v>
      </c>
      <c r="W388" t="n">
        <v>45.20534955986334</v>
      </c>
      <c r="X388" t="n">
        <v>43.51778083583986</v>
      </c>
      <c r="Y388" t="n">
        <v>36.71280391353452</v>
      </c>
      <c r="Z388" t="n">
        <v>30.28421314687955</v>
      </c>
      <c r="AA388" t="n">
        <v>24.61132506604718</v>
      </c>
      <c r="AB388" t="n">
        <v>24.48032053289673</v>
      </c>
      <c r="AC388" t="n">
        <v>70.46436973488206</v>
      </c>
      <c r="AD388" t="n">
        <v>27.41366582091095</v>
      </c>
      <c r="AE388" t="n">
        <v>27.59287307929067</v>
      </c>
      <c r="AF388" t="n">
        <v>28.8817916694402</v>
      </c>
      <c r="AG388" t="n">
        <v>30.31796066436623</v>
      </c>
      <c r="AH388" t="n">
        <v>31.38612577169972</v>
      </c>
      <c r="AI388" t="n">
        <v>31.99552284918179</v>
      </c>
      <c r="BI388" t="inlineStr">
        <is>
          <t>NEW_DIS_GE_PCT</t>
        </is>
      </c>
    </row>
    <row r="389">
      <c r="A389" t="inlineStr">
        <is>
          <t>no_year_in_pairs</t>
        </is>
      </c>
      <c r="B389" s="2" t="n"/>
      <c r="C389" s="3" t="inlineStr">
        <is>
          <t>EBS.20.72, Sup. 1</t>
        </is>
      </c>
      <c r="D389" s="4" t="inlineStr">
        <is>
          <t>Dominica</t>
        </is>
      </c>
      <c r="E389" s="4" t="inlineStr">
        <is>
          <t>DMA</t>
        </is>
      </c>
      <c r="F389" s="4" t="n"/>
      <c r="G389" s="4" t="inlineStr">
        <is>
          <t>2018gn</t>
        </is>
      </c>
      <c r="H389" s="4" t="n">
        <v>2019</v>
      </c>
      <c r="I389" s="4" t="inlineStr">
        <is>
          <t>new.dis.grt.ipct</t>
        </is>
      </c>
      <c r="J389" t="inlineStr">
        <is>
          <t>Grant implicit in new disbursements (US billion)</t>
        </is>
      </c>
      <c r="O389" t="n">
        <v>48.72616979340019</v>
      </c>
      <c r="P389" t="n">
        <v>26.8104406706939</v>
      </c>
      <c r="Q389" t="n">
        <v>22.34224839090674</v>
      </c>
      <c r="R389" t="n">
        <v>21.54295927153948</v>
      </c>
      <c r="S389" t="n">
        <v>16.6040826175475</v>
      </c>
      <c r="T389" t="n">
        <v>11.89378176973796</v>
      </c>
      <c r="U389" t="n">
        <v>12.15743070708374</v>
      </c>
      <c r="V389" t="n">
        <v>12.28373308165901</v>
      </c>
      <c r="W389" t="n">
        <v>11.65996950994459</v>
      </c>
      <c r="X389" t="n">
        <v>8.849870483977888</v>
      </c>
      <c r="Y389" t="n">
        <v>7.286833147862389</v>
      </c>
      <c r="Z389" t="n">
        <v>6.747972091853407</v>
      </c>
      <c r="AA389" t="n">
        <v>5.54692329530613</v>
      </c>
      <c r="AB389" t="n">
        <v>5.142358931354192</v>
      </c>
      <c r="AC389" t="n">
        <v>-8.13192797756715</v>
      </c>
      <c r="AD389" t="n">
        <v>5.641613639526102</v>
      </c>
      <c r="AE389" t="n">
        <v>5.482461951662114</v>
      </c>
      <c r="AF389" t="n">
        <v>5.951976699974283</v>
      </c>
      <c r="AG389" t="n">
        <v>6.62753201105366</v>
      </c>
      <c r="AH389" t="n">
        <v>6.692610675002124</v>
      </c>
      <c r="AI389" t="n">
        <v>7.288904166142158</v>
      </c>
      <c r="BI389" t="inlineStr">
        <is>
          <t>NEW_DIS_GE_USD</t>
        </is>
      </c>
    </row>
    <row r="390">
      <c r="A390" t="inlineStr">
        <is>
          <t>no_year_in_pairs</t>
        </is>
      </c>
      <c r="B390" s="2" t="n"/>
      <c r="C390" s="3" t="inlineStr">
        <is>
          <t>EBS.20.72, Sup. 1</t>
        </is>
      </c>
      <c r="D390" s="4" t="inlineStr">
        <is>
          <t>Dominica</t>
        </is>
      </c>
      <c r="E390" s="4" t="inlineStr">
        <is>
          <t>DMA</t>
        </is>
      </c>
      <c r="F390" s="4" t="n"/>
      <c r="G390" s="4" t="inlineStr">
        <is>
          <t>2018gn</t>
        </is>
      </c>
      <c r="H390" s="4" t="n">
        <v>2019</v>
      </c>
      <c r="I390" s="4" t="inlineStr">
        <is>
          <t>avg.disc.rat</t>
        </is>
      </c>
      <c r="J390" t="inlineStr">
        <is>
          <t>Average discount rate</t>
        </is>
      </c>
      <c r="O390" t="n">
        <v>5.000000000000001</v>
      </c>
      <c r="P390" t="n">
        <v>5</v>
      </c>
      <c r="Q390" t="n">
        <v>5</v>
      </c>
      <c r="R390" t="n">
        <v>5</v>
      </c>
      <c r="S390" t="n">
        <v>5</v>
      </c>
      <c r="T390" t="n">
        <v>5</v>
      </c>
      <c r="U390" t="n">
        <v>5</v>
      </c>
      <c r="V390" t="n">
        <v>5</v>
      </c>
      <c r="W390" t="n">
        <v>5</v>
      </c>
      <c r="X390" t="n">
        <v>5</v>
      </c>
      <c r="Y390" t="n">
        <v>5</v>
      </c>
      <c r="Z390" t="n">
        <v>5</v>
      </c>
      <c r="AA390" t="n">
        <v>5</v>
      </c>
      <c r="AB390" t="n">
        <v>5.000000000000001</v>
      </c>
      <c r="AC390" t="n">
        <v>5</v>
      </c>
      <c r="AD390" t="n">
        <v>5</v>
      </c>
      <c r="AE390" t="n">
        <v>5</v>
      </c>
      <c r="AF390" t="n">
        <v>5</v>
      </c>
      <c r="AG390" t="n">
        <v>5</v>
      </c>
      <c r="AH390" t="n">
        <v>5.000000000000001</v>
      </c>
      <c r="AI390" t="n">
        <v>5</v>
      </c>
      <c r="BI390" t="inlineStr">
        <is>
          <t>DIS_RATE_AVG</t>
        </is>
      </c>
    </row>
    <row r="391">
      <c r="A391" t="inlineStr">
        <is>
          <t>no_year_in_pairs</t>
        </is>
      </c>
      <c r="B391" s="2" t="n"/>
      <c r="C391" s="3" t="inlineStr">
        <is>
          <t>EBS.20.72, Sup. 1</t>
        </is>
      </c>
      <c r="D391" s="4" t="inlineStr">
        <is>
          <t>Dominica</t>
        </is>
      </c>
      <c r="E391" s="4" t="inlineStr">
        <is>
          <t>DMA</t>
        </is>
      </c>
      <c r="F391" s="4" t="n"/>
      <c r="G391" s="4" t="inlineStr">
        <is>
          <t>2018gn</t>
        </is>
      </c>
      <c r="H391" s="4" t="n">
        <v>2019</v>
      </c>
      <c r="I391" s="5" t="n"/>
    </row>
    <row r="392">
      <c r="A392" t="inlineStr">
        <is>
          <t>no_year_in_pairs</t>
        </is>
      </c>
      <c r="B392" s="2" t="n"/>
      <c r="C392" s="3" t="inlineStr">
        <is>
          <t>EBS.20.72, Sup. 1</t>
        </is>
      </c>
      <c r="D392" s="4" t="inlineStr">
        <is>
          <t>Dominica</t>
        </is>
      </c>
      <c r="E392" s="4" t="inlineStr">
        <is>
          <t>DMA</t>
        </is>
      </c>
      <c r="F392" s="4" t="n"/>
      <c r="G392" s="4" t="inlineStr">
        <is>
          <t>2018gn</t>
        </is>
      </c>
      <c r="H392" s="4" t="n">
        <v>2019</v>
      </c>
      <c r="I392" s="5" t="n"/>
    </row>
    <row r="393">
      <c r="A393" t="inlineStr">
        <is>
          <t>no_year_in_pairs</t>
        </is>
      </c>
      <c r="B393" s="2" t="n"/>
      <c r="C393" s="3" t="inlineStr">
        <is>
          <t>EBS.20.72, Sup. 1</t>
        </is>
      </c>
      <c r="D393" s="4" t="inlineStr">
        <is>
          <t>Dominica</t>
        </is>
      </c>
      <c r="E393" s="4" t="inlineStr">
        <is>
          <t>DMA</t>
        </is>
      </c>
      <c r="F393" s="4" t="n"/>
      <c r="G393" s="4" t="inlineStr">
        <is>
          <t>2018gn</t>
        </is>
      </c>
      <c r="H393" s="4" t="n">
        <v>2019</v>
      </c>
      <c r="I393" s="5" t="n"/>
      <c r="J393" t="inlineStr">
        <is>
          <t xml:space="preserve">1/ After rescheduling if a rescheduling has been agreed or is imminent. For HIPCs that have reached their decision or completion points, </t>
        </is>
      </c>
    </row>
    <row r="394">
      <c r="A394" t="inlineStr">
        <is>
          <t>no_year_in_pairs</t>
        </is>
      </c>
      <c r="B394" s="2" t="n"/>
      <c r="C394" s="3" t="inlineStr">
        <is>
          <t>EBS.20.72, Sup. 1</t>
        </is>
      </c>
      <c r="D394" s="4" t="inlineStr">
        <is>
          <t>Dominica</t>
        </is>
      </c>
      <c r="E394" s="4" t="inlineStr">
        <is>
          <t>DMA</t>
        </is>
      </c>
      <c r="F394" s="4" t="n"/>
      <c r="G394" s="4" t="inlineStr">
        <is>
          <t>2018gn</t>
        </is>
      </c>
      <c r="H394" s="4" t="n">
        <v>2019</v>
      </c>
      <c r="I394" s="5" t="n"/>
      <c r="J394" t="inlineStr">
        <is>
          <t>enter debt service due after HIPC assistance (including additional bilateral assistance for completion point cases).</t>
        </is>
      </c>
    </row>
    <row r="395">
      <c r="A395" t="inlineStr">
        <is>
          <t>no_year_in_pairs</t>
        </is>
      </c>
      <c r="B395" s="2" t="n"/>
      <c r="C395" s="3" t="inlineStr">
        <is>
          <t>EBS.20.72, Sup. 1</t>
        </is>
      </c>
      <c r="D395" s="4" t="inlineStr">
        <is>
          <t>Dominica</t>
        </is>
      </c>
      <c r="E395" s="4" t="inlineStr">
        <is>
          <t>DMA</t>
        </is>
      </c>
      <c r="F395" s="4" t="n"/>
      <c r="G395" s="4" t="inlineStr">
        <is>
          <t>2018gn</t>
        </is>
      </c>
      <c r="H395" s="4" t="n">
        <v>2019</v>
      </c>
      <c r="I395" s="5" t="n"/>
    </row>
    <row r="396">
      <c r="A396" t="inlineStr">
        <is>
          <t>no_year_in_pairs</t>
        </is>
      </c>
      <c r="B396" s="2" t="n"/>
      <c r="C396" s="3" t="inlineStr">
        <is>
          <t>EBS.20.72, Sup. 1</t>
        </is>
      </c>
      <c r="D396" s="4" t="inlineStr">
        <is>
          <t>Dominica</t>
        </is>
      </c>
      <c r="E396" s="4" t="inlineStr">
        <is>
          <t>DMA</t>
        </is>
      </c>
      <c r="F396" s="4" t="n"/>
      <c r="G396" s="4" t="inlineStr">
        <is>
          <t>2018gn</t>
        </is>
      </c>
      <c r="H396" s="4" t="n">
        <v>2019</v>
      </c>
      <c r="I396" s="5" t="n"/>
    </row>
    <row r="397">
      <c r="A397" t="inlineStr">
        <is>
          <t>no_year_in_pairs</t>
        </is>
      </c>
      <c r="B397" s="2" t="n"/>
      <c r="C397" s="3" t="inlineStr">
        <is>
          <t>EBS.20.72, Sup. 1</t>
        </is>
      </c>
      <c r="D397" s="4" t="inlineStr">
        <is>
          <t>Dominica</t>
        </is>
      </c>
      <c r="E397" s="4" t="inlineStr">
        <is>
          <t>DMA</t>
        </is>
      </c>
      <c r="F397" s="4" t="n"/>
      <c r="G397" s="4" t="inlineStr">
        <is>
          <t>2018gn</t>
        </is>
      </c>
      <c r="H397" s="4" t="n">
        <v>2019</v>
      </c>
      <c r="I397" s="4" t="inlineStr">
        <is>
          <t>css.loan</t>
        </is>
      </c>
      <c r="J397" t="inlineStr">
        <is>
          <t>Concessional loans</t>
        </is>
      </c>
      <c r="K397" t="inlineStr">
        <is>
          <t>Minimum Concessionality Requirement</t>
        </is>
      </c>
      <c r="M397" t="n">
        <v>0.35</v>
      </c>
      <c r="O397" t="n">
        <v>96.25219483577504</v>
      </c>
      <c r="P397" t="n">
        <v>53.19677237036898</v>
      </c>
      <c r="Q397" t="n">
        <v>43.97226137129308</v>
      </c>
      <c r="R397" t="n">
        <v>42.66453590295144</v>
      </c>
      <c r="S397" t="n">
        <v>32.27345124872986</v>
      </c>
      <c r="T397" t="n">
        <v>22.1054961299352</v>
      </c>
      <c r="U397" t="n">
        <v>23.80572743909946</v>
      </c>
      <c r="V397" t="n">
        <v>24.16241934679699</v>
      </c>
      <c r="W397" t="n">
        <v>23.10971969992342</v>
      </c>
      <c r="X397" t="n">
        <v>17.45269191815644</v>
      </c>
      <c r="Y397" t="n">
        <v>13.56828734342977</v>
      </c>
      <c r="Z397" t="n">
        <v>11.65593152999946</v>
      </c>
      <c r="AA397" t="n">
        <v>8.099164873881747</v>
      </c>
      <c r="AB397" t="n">
        <v>7.824611750828186</v>
      </c>
      <c r="AC397" t="n">
        <v>-24.19014495246097</v>
      </c>
      <c r="AD397" t="n">
        <v>10.32946378051096</v>
      </c>
      <c r="AE397" t="n">
        <v>10.25906848982776</v>
      </c>
      <c r="AF397" t="n">
        <v>11.70769083716463</v>
      </c>
      <c r="AG397" t="n">
        <v>13.87317931066991</v>
      </c>
      <c r="AH397" t="n">
        <v>14.3867248611135</v>
      </c>
      <c r="AI397" t="n">
        <v>15.89436367852647</v>
      </c>
    </row>
    <row r="398">
      <c r="A398" t="inlineStr">
        <is>
          <t>no_year_in_pairs</t>
        </is>
      </c>
      <c r="B398" s="2" t="n"/>
      <c r="C398" s="3" t="inlineStr">
        <is>
          <t>EBS.20.72, Sup. 1</t>
        </is>
      </c>
      <c r="D398" s="4" t="inlineStr">
        <is>
          <t>Dominica</t>
        </is>
      </c>
      <c r="E398" s="4" t="inlineStr">
        <is>
          <t>DMA</t>
        </is>
      </c>
      <c r="F398" s="4" t="n"/>
      <c r="G398" s="4" t="inlineStr">
        <is>
          <t>2018gn</t>
        </is>
      </c>
      <c r="H398" s="4" t="n">
        <v>2019</v>
      </c>
      <c r="I398" s="4" t="inlineStr">
        <is>
          <t>css.loan.mlt</t>
        </is>
      </c>
      <c r="J398" t="inlineStr">
        <is>
          <t>Multilaterals</t>
        </is>
      </c>
    </row>
    <row r="399">
      <c r="A399" t="inlineStr">
        <is>
          <t>no_year_in_pairs</t>
        </is>
      </c>
      <c r="B399" s="2" t="n"/>
      <c r="C399" s="3" t="inlineStr">
        <is>
          <t>EBS.20.72, Sup. 1</t>
        </is>
      </c>
      <c r="D399" s="4" t="inlineStr">
        <is>
          <t>Dominica</t>
        </is>
      </c>
      <c r="E399" s="4" t="inlineStr">
        <is>
          <t>DMA</t>
        </is>
      </c>
      <c r="F399" s="4" t="n"/>
      <c r="G399" s="4" t="inlineStr">
        <is>
          <t>2018gn</t>
        </is>
      </c>
      <c r="H399" s="4" t="n">
        <v>2019</v>
      </c>
      <c r="I399" s="4" t="inlineStr">
        <is>
          <t>css.loan.mlt.imf</t>
        </is>
      </c>
      <c r="J399" t="inlineStr">
        <is>
          <t>IMF</t>
        </is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</row>
    <row r="400">
      <c r="A400" t="inlineStr">
        <is>
          <t>no_year_in_pairs</t>
        </is>
      </c>
      <c r="B400" s="2" t="n"/>
      <c r="C400" s="3" t="inlineStr">
        <is>
          <t>EBS.20.72, Sup. 1</t>
        </is>
      </c>
      <c r="D400" s="4" t="inlineStr">
        <is>
          <t>Dominica</t>
        </is>
      </c>
      <c r="E400" s="4" t="inlineStr">
        <is>
          <t>DMA</t>
        </is>
      </c>
      <c r="F400" s="4" t="n"/>
      <c r="G400" s="4" t="inlineStr">
        <is>
          <t>2018gn</t>
        </is>
      </c>
      <c r="H400" s="4" t="n">
        <v>2019</v>
      </c>
      <c r="I400" s="4" t="inlineStr">
        <is>
          <t>css.loan.mlt.ida.reg</t>
        </is>
      </c>
      <c r="J400" t="inlineStr">
        <is>
          <t>IDA - small economy</t>
        </is>
      </c>
      <c r="O400" t="n">
        <v>31</v>
      </c>
      <c r="P400" t="n">
        <v>25</v>
      </c>
      <c r="Q400" t="n">
        <v>20</v>
      </c>
      <c r="R400" t="n">
        <v>18</v>
      </c>
      <c r="S400" t="n">
        <v>15</v>
      </c>
      <c r="T400" t="n">
        <v>12.4383439052953</v>
      </c>
      <c r="U400" t="n">
        <v>10.3032471803082</v>
      </c>
      <c r="V400" t="n">
        <v>10.6682645823605</v>
      </c>
      <c r="W400" t="n">
        <v>9.387886005507481</v>
      </c>
      <c r="X400" t="n">
        <v>6.80332656050949</v>
      </c>
      <c r="Y400" t="n">
        <v>4.93043833071733</v>
      </c>
      <c r="Z400" t="n">
        <v>3.57787571654262</v>
      </c>
      <c r="AA400" t="n">
        <v>2.59623858617019</v>
      </c>
      <c r="AB400" t="n">
        <v>1.88151994282926</v>
      </c>
      <c r="AC400" t="n">
        <v>1.36355620992806</v>
      </c>
      <c r="AD400" t="n">
        <v>0.9881827427444291</v>
      </c>
      <c r="AE400" t="n">
        <v>0.7161458588563989</v>
      </c>
      <c r="AF400" t="n">
        <v>0.518998024325761</v>
      </c>
      <c r="AG400" t="n">
        <v>0.00575265809226268</v>
      </c>
      <c r="AH400" t="n">
        <v>-0.09779027197079181</v>
      </c>
      <c r="AI400" t="n">
        <v>-0.172828862882201</v>
      </c>
    </row>
    <row r="401">
      <c r="A401" t="inlineStr">
        <is>
          <t>no_year_in_pairs</t>
        </is>
      </c>
      <c r="B401" s="2" t="n"/>
      <c r="C401" s="3" t="inlineStr">
        <is>
          <t>EBS.20.72, Sup. 1</t>
        </is>
      </c>
      <c r="D401" s="4" t="inlineStr">
        <is>
          <t>Dominica</t>
        </is>
      </c>
      <c r="E401" s="4" t="inlineStr">
        <is>
          <t>DMA</t>
        </is>
      </c>
      <c r="F401" s="4" t="n"/>
      <c r="G401" s="4" t="inlineStr">
        <is>
          <t>2018gn</t>
        </is>
      </c>
      <c r="H401" s="4" t="n">
        <v>2019</v>
      </c>
      <c r="I401" s="4" t="inlineStr">
        <is>
          <t>css.loan.mlt.ida.bld</t>
        </is>
      </c>
      <c r="J401" t="inlineStr">
        <is>
          <t>IDA - small economy</t>
        </is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</row>
    <row r="402">
      <c r="A402" t="inlineStr">
        <is>
          <t>no_year_in_pairs</t>
        </is>
      </c>
      <c r="B402" s="2" t="n"/>
      <c r="C402" s="3" t="inlineStr">
        <is>
          <t>EBS.20.72, Sup. 1</t>
        </is>
      </c>
      <c r="D402" s="4" t="inlineStr">
        <is>
          <t>Dominica</t>
        </is>
      </c>
      <c r="E402" s="4" t="inlineStr">
        <is>
          <t>DMA</t>
        </is>
      </c>
      <c r="F402" s="4" t="n"/>
      <c r="G402" s="4" t="inlineStr">
        <is>
          <t>2018gn</t>
        </is>
      </c>
      <c r="H402" s="4" t="n">
        <v>2019</v>
      </c>
      <c r="I402" s="4" t="inlineStr">
        <is>
          <t>css.loan.mlt.afdb</t>
        </is>
      </c>
      <c r="J402" t="inlineStr">
        <is>
          <t>CDB</t>
        </is>
      </c>
      <c r="O402" t="n">
        <v>30</v>
      </c>
      <c r="P402" t="n">
        <v>15</v>
      </c>
      <c r="Q402" t="n">
        <v>12</v>
      </c>
      <c r="R402" t="n">
        <v>12</v>
      </c>
      <c r="S402" t="n">
        <v>10</v>
      </c>
      <c r="T402" t="n">
        <v>8</v>
      </c>
      <c r="U402" t="n">
        <v>8.28345578700544</v>
      </c>
      <c r="V402" t="n">
        <v>8.576917203437951</v>
      </c>
      <c r="W402" t="n">
        <v>8.8794552195034</v>
      </c>
      <c r="X402" t="n">
        <v>5.515603543508441</v>
      </c>
      <c r="Y402" t="n">
        <v>3.42618228884083</v>
      </c>
      <c r="Z402" t="n">
        <v>2.13109787280606</v>
      </c>
      <c r="AA402" t="n">
        <v>1.32548847415707</v>
      </c>
      <c r="AB402" t="n">
        <v>0.823366876571258</v>
      </c>
      <c r="AC402" t="n">
        <v>0.511458995938713</v>
      </c>
      <c r="AD402" t="n">
        <v>0.317708073970591</v>
      </c>
      <c r="AE402" t="n">
        <v>0.197353885780901</v>
      </c>
      <c r="AF402" t="n">
        <v>0.12259227707391</v>
      </c>
      <c r="AG402" t="n">
        <v>0.07615186465013911</v>
      </c>
      <c r="AH402" t="n">
        <v>0.0473040115422351</v>
      </c>
      <c r="AI402" t="n">
        <v>0.0293843035658856</v>
      </c>
    </row>
    <row r="403">
      <c r="A403" t="inlineStr">
        <is>
          <t>no_year_in_pairs</t>
        </is>
      </c>
      <c r="B403" s="2" t="n"/>
      <c r="C403" s="3" t="inlineStr">
        <is>
          <t>EBS.20.72, Sup. 1</t>
        </is>
      </c>
      <c r="D403" s="4" t="inlineStr">
        <is>
          <t>Dominica</t>
        </is>
      </c>
      <c r="E403" s="4" t="inlineStr">
        <is>
          <t>DMA</t>
        </is>
      </c>
      <c r="F403" s="4" t="n"/>
      <c r="G403" s="4" t="inlineStr">
        <is>
          <t>2018gn</t>
        </is>
      </c>
      <c r="H403" s="4" t="n">
        <v>2019</v>
      </c>
      <c r="I403" s="4" t="inlineStr">
        <is>
          <t>css.loan.mlt2</t>
        </is>
      </c>
      <c r="J403" t="inlineStr">
        <is>
          <t>MULTIRES</t>
        </is>
      </c>
      <c r="O403" t="n">
        <v>35.25219483577505</v>
      </c>
      <c r="P403" t="n">
        <v>13.19677237036898</v>
      </c>
      <c r="Q403" t="n">
        <v>11.97226137129308</v>
      </c>
      <c r="R403" t="n">
        <v>12.66453590295144</v>
      </c>
      <c r="S403" t="n">
        <v>7.27345124872986</v>
      </c>
      <c r="T403" t="n">
        <v>1.667152224639903</v>
      </c>
      <c r="U403" t="n">
        <v>5.219024471785813</v>
      </c>
      <c r="V403" t="n">
        <v>4.917237560998542</v>
      </c>
      <c r="W403" t="n">
        <v>4.842378474912542</v>
      </c>
      <c r="X403" t="n">
        <v>5.133761814138513</v>
      </c>
      <c r="Y403" t="n">
        <v>5.211666723871612</v>
      </c>
      <c r="Z403" t="n">
        <v>5.946957940650783</v>
      </c>
      <c r="AA403" t="n">
        <v>4.177437813554487</v>
      </c>
      <c r="AB403" t="n">
        <v>5.119724931427668</v>
      </c>
      <c r="AC403" t="n">
        <v>-26.06516015832775</v>
      </c>
      <c r="AD403" t="n">
        <v>9.023572963795942</v>
      </c>
      <c r="AE403" t="n">
        <v>9.345568745190464</v>
      </c>
      <c r="AF403" t="n">
        <v>11.06610053576496</v>
      </c>
      <c r="AG403" t="n">
        <v>13.79127478792751</v>
      </c>
      <c r="AH403" t="n">
        <v>14.43721112154206</v>
      </c>
      <c r="AI403" t="n">
        <v>16.03780823784279</v>
      </c>
    </row>
    <row r="404">
      <c r="A404" t="inlineStr">
        <is>
          <t>no_year_in_pairs</t>
        </is>
      </c>
      <c r="B404" s="2" t="n"/>
      <c r="C404" s="3" t="inlineStr">
        <is>
          <t>EBS.20.72, Sup. 1</t>
        </is>
      </c>
      <c r="D404" s="4" t="inlineStr">
        <is>
          <t>Dominica</t>
        </is>
      </c>
      <c r="E404" s="4" t="inlineStr">
        <is>
          <t>DMA</t>
        </is>
      </c>
      <c r="F404" s="4" t="n"/>
      <c r="G404" s="4" t="inlineStr">
        <is>
          <t>2018gn</t>
        </is>
      </c>
      <c r="H404" s="4" t="n">
        <v>2019</v>
      </c>
      <c r="I404" s="4" t="inlineStr">
        <is>
          <t>css.loan.mlt3</t>
        </is>
      </c>
      <c r="J404" t="inlineStr">
        <is>
          <t>MULTI3</t>
        </is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</row>
    <row r="405">
      <c r="A405" t="inlineStr">
        <is>
          <t>no_year_in_pairs</t>
        </is>
      </c>
      <c r="B405" s="2" t="n"/>
      <c r="C405" s="3" t="inlineStr">
        <is>
          <t>EBS.20.72, Sup. 1</t>
        </is>
      </c>
      <c r="D405" s="4" t="inlineStr">
        <is>
          <t>Dominica</t>
        </is>
      </c>
      <c r="E405" s="4" t="inlineStr">
        <is>
          <t>DMA</t>
        </is>
      </c>
      <c r="F405" s="4" t="n"/>
      <c r="G405" s="4" t="inlineStr">
        <is>
          <t>2018gn</t>
        </is>
      </c>
      <c r="H405" s="4" t="n">
        <v>2019</v>
      </c>
      <c r="I405" s="4" t="inlineStr">
        <is>
          <t>css.loan.blt</t>
        </is>
      </c>
      <c r="J405" t="inlineStr">
        <is>
          <t>Official Bilaterals</t>
        </is>
      </c>
    </row>
    <row r="406">
      <c r="A406" t="inlineStr">
        <is>
          <t>no_year_in_pairs</t>
        </is>
      </c>
      <c r="B406" s="2" t="n"/>
      <c r="C406" s="3" t="inlineStr">
        <is>
          <t>EBS.20.72, Sup. 1</t>
        </is>
      </c>
      <c r="D406" s="4" t="inlineStr">
        <is>
          <t>Dominica</t>
        </is>
      </c>
      <c r="E406" s="4" t="inlineStr">
        <is>
          <t>DMA</t>
        </is>
      </c>
      <c r="F406" s="4" t="n"/>
      <c r="G406" s="4" t="inlineStr">
        <is>
          <t>2018gn</t>
        </is>
      </c>
      <c r="H406" s="4" t="n">
        <v>2019</v>
      </c>
      <c r="I406" s="4" t="inlineStr">
        <is>
          <t>css.loan.pc</t>
        </is>
      </c>
      <c r="J406" t="inlineStr">
        <is>
          <t xml:space="preserve">   Paris Club</t>
        </is>
      </c>
    </row>
    <row r="407">
      <c r="A407" t="inlineStr">
        <is>
          <t>no_year_in_pairs</t>
        </is>
      </c>
      <c r="B407" s="2" t="n"/>
      <c r="C407" s="3" t="inlineStr">
        <is>
          <t>EBS.20.72, Sup. 1</t>
        </is>
      </c>
      <c r="D407" s="4" t="inlineStr">
        <is>
          <t>Dominica</t>
        </is>
      </c>
      <c r="E407" s="4" t="inlineStr">
        <is>
          <t>DMA</t>
        </is>
      </c>
      <c r="F407" s="4" t="n"/>
      <c r="G407" s="4" t="inlineStr">
        <is>
          <t>2018gn</t>
        </is>
      </c>
      <c r="H407" s="4" t="n">
        <v>2019</v>
      </c>
      <c r="I407" s="4" t="inlineStr">
        <is>
          <t>css.loan.pc1</t>
        </is>
      </c>
      <c r="J407" t="inlineStr">
        <is>
          <t>Export Credit Agencies</t>
        </is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</row>
    <row r="408">
      <c r="A408" t="inlineStr">
        <is>
          <t>no_year_in_pairs</t>
        </is>
      </c>
      <c r="B408" s="2" t="n"/>
      <c r="C408" s="3" t="inlineStr">
        <is>
          <t>EBS.20.72, Sup. 1</t>
        </is>
      </c>
      <c r="D408" s="4" t="inlineStr">
        <is>
          <t>Dominica</t>
        </is>
      </c>
      <c r="E408" s="4" t="inlineStr">
        <is>
          <t>DMA</t>
        </is>
      </c>
      <c r="F408" s="4" t="n"/>
      <c r="G408" s="4" t="inlineStr">
        <is>
          <t>2018gn</t>
        </is>
      </c>
      <c r="H408" s="4" t="n">
        <v>2019</v>
      </c>
      <c r="I408" s="4" t="inlineStr">
        <is>
          <t>css.loan.pc2</t>
        </is>
      </c>
      <c r="J408" t="inlineStr">
        <is>
          <t>PC2</t>
        </is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</row>
    <row r="409">
      <c r="A409" t="inlineStr">
        <is>
          <t>no_year_in_pairs</t>
        </is>
      </c>
      <c r="B409" s="2" t="n"/>
      <c r="C409" s="3" t="inlineStr">
        <is>
          <t>EBS.20.72, Sup. 1</t>
        </is>
      </c>
      <c r="D409" s="4" t="inlineStr">
        <is>
          <t>Dominica</t>
        </is>
      </c>
      <c r="E409" s="4" t="inlineStr">
        <is>
          <t>DMA</t>
        </is>
      </c>
      <c r="F409" s="4" t="n"/>
      <c r="G409" s="4" t="inlineStr">
        <is>
          <t>2018gn</t>
        </is>
      </c>
      <c r="H409" s="4" t="n">
        <v>2019</v>
      </c>
      <c r="I409" s="4" t="inlineStr">
        <is>
          <t>css.loan.pc3</t>
        </is>
      </c>
      <c r="J409" t="inlineStr">
        <is>
          <t>PC3</t>
        </is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</row>
    <row r="410">
      <c r="A410" t="inlineStr">
        <is>
          <t>no_year_in_pairs</t>
        </is>
      </c>
      <c r="B410" s="2" t="n"/>
      <c r="C410" s="3" t="inlineStr">
        <is>
          <t>EBS.20.72, Sup. 1</t>
        </is>
      </c>
      <c r="D410" s="4" t="inlineStr">
        <is>
          <t>Dominica</t>
        </is>
      </c>
      <c r="E410" s="4" t="inlineStr">
        <is>
          <t>DMA</t>
        </is>
      </c>
      <c r="F410" s="4" t="n"/>
      <c r="G410" s="4" t="inlineStr">
        <is>
          <t>2018gn</t>
        </is>
      </c>
      <c r="H410" s="4" t="n">
        <v>2019</v>
      </c>
      <c r="I410" s="4" t="inlineStr">
        <is>
          <t>css.loan.pc4</t>
        </is>
      </c>
      <c r="J410" t="inlineStr">
        <is>
          <t>PC4</t>
        </is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</row>
    <row r="411">
      <c r="A411" t="inlineStr">
        <is>
          <t>no_year_in_pairs</t>
        </is>
      </c>
      <c r="B411" s="2" t="n"/>
      <c r="C411" s="3" t="inlineStr">
        <is>
          <t>EBS.20.72, Sup. 1</t>
        </is>
      </c>
      <c r="D411" s="4" t="inlineStr">
        <is>
          <t>Dominica</t>
        </is>
      </c>
      <c r="E411" s="4" t="inlineStr">
        <is>
          <t>DMA</t>
        </is>
      </c>
      <c r="F411" s="4" t="n"/>
      <c r="G411" s="4" t="inlineStr">
        <is>
          <t>2018gn</t>
        </is>
      </c>
      <c r="H411" s="4" t="n">
        <v>2019</v>
      </c>
      <c r="I411" s="4" t="inlineStr">
        <is>
          <t>css.loan.pc5</t>
        </is>
      </c>
      <c r="J411" t="inlineStr">
        <is>
          <t>PC5</t>
        </is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</row>
    <row r="412">
      <c r="A412" t="inlineStr">
        <is>
          <t>no_year_in_pairs</t>
        </is>
      </c>
      <c r="B412" s="2" t="n"/>
      <c r="C412" s="3" t="inlineStr">
        <is>
          <t>EBS.20.72, Sup. 1</t>
        </is>
      </c>
      <c r="D412" s="4" t="inlineStr">
        <is>
          <t>Dominica</t>
        </is>
      </c>
      <c r="E412" s="4" t="inlineStr">
        <is>
          <t>DMA</t>
        </is>
      </c>
      <c r="F412" s="4" t="n"/>
      <c r="G412" s="4" t="inlineStr">
        <is>
          <t>2018gn</t>
        </is>
      </c>
      <c r="H412" s="4" t="n">
        <v>2019</v>
      </c>
      <c r="I412" s="4" t="inlineStr">
        <is>
          <t>css.loan.npc</t>
        </is>
      </c>
      <c r="J412" t="inlineStr">
        <is>
          <t xml:space="preserve">   Non-Paris Club</t>
        </is>
      </c>
    </row>
    <row r="413">
      <c r="A413" t="inlineStr">
        <is>
          <t>no_year_in_pairs</t>
        </is>
      </c>
      <c r="B413" s="2" t="n"/>
      <c r="C413" s="3" t="inlineStr">
        <is>
          <t>EBS.20.72, Sup. 1</t>
        </is>
      </c>
      <c r="D413" s="4" t="inlineStr">
        <is>
          <t>Dominica</t>
        </is>
      </c>
      <c r="E413" s="4" t="inlineStr">
        <is>
          <t>DMA</t>
        </is>
      </c>
      <c r="F413" s="4" t="n"/>
      <c r="G413" s="4" t="inlineStr">
        <is>
          <t>2018gn</t>
        </is>
      </c>
      <c r="H413" s="4" t="n">
        <v>2019</v>
      </c>
      <c r="I413" s="4" t="inlineStr">
        <is>
          <t>css.loan.npc.eximbk</t>
        </is>
      </c>
      <c r="J413" t="inlineStr">
        <is>
          <t>NPC2</t>
        </is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</row>
    <row r="414">
      <c r="A414" t="inlineStr">
        <is>
          <t>no_year_in_pairs</t>
        </is>
      </c>
      <c r="B414" s="2" t="n"/>
      <c r="C414" s="3" t="inlineStr">
        <is>
          <t>EBS.20.72, Sup. 1</t>
        </is>
      </c>
      <c r="D414" s="4" t="inlineStr">
        <is>
          <t>Dominica</t>
        </is>
      </c>
      <c r="E414" s="4" t="inlineStr">
        <is>
          <t>DMA</t>
        </is>
      </c>
      <c r="F414" s="4" t="n"/>
      <c r="G414" s="4" t="inlineStr">
        <is>
          <t>2018gn</t>
        </is>
      </c>
      <c r="H414" s="4" t="n">
        <v>2019</v>
      </c>
      <c r="I414" s="4" t="inlineStr">
        <is>
          <t>css.loan.npc2</t>
        </is>
      </c>
      <c r="J414" t="inlineStr">
        <is>
          <t>NPC2</t>
        </is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</row>
    <row r="415">
      <c r="A415" t="inlineStr">
        <is>
          <t>no_year_in_pairs</t>
        </is>
      </c>
      <c r="B415" s="2" t="n"/>
      <c r="C415" s="3" t="inlineStr">
        <is>
          <t>EBS.20.72, Sup. 1</t>
        </is>
      </c>
      <c r="D415" s="4" t="inlineStr">
        <is>
          <t>Dominica</t>
        </is>
      </c>
      <c r="E415" s="4" t="inlineStr">
        <is>
          <t>DMA</t>
        </is>
      </c>
      <c r="F415" s="4" t="n"/>
      <c r="G415" s="4" t="inlineStr">
        <is>
          <t>2018gn</t>
        </is>
      </c>
      <c r="H415" s="4" t="n">
        <v>2019</v>
      </c>
      <c r="I415" s="4" t="inlineStr">
        <is>
          <t>css.loan.npc3</t>
        </is>
      </c>
      <c r="J415" t="inlineStr">
        <is>
          <t>NPC3</t>
        </is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</row>
    <row r="416">
      <c r="A416" t="inlineStr">
        <is>
          <t>no_year_in_pairs</t>
        </is>
      </c>
      <c r="B416" s="2" t="n"/>
      <c r="C416" s="3" t="inlineStr">
        <is>
          <t>EBS.20.72, Sup. 1</t>
        </is>
      </c>
      <c r="D416" s="4" t="inlineStr">
        <is>
          <t>Dominica</t>
        </is>
      </c>
      <c r="E416" s="4" t="inlineStr">
        <is>
          <t>DMA</t>
        </is>
      </c>
      <c r="F416" s="4" t="n"/>
      <c r="G416" s="4" t="inlineStr">
        <is>
          <t>2018gn</t>
        </is>
      </c>
      <c r="H416" s="4" t="n">
        <v>2019</v>
      </c>
      <c r="I416" s="4" t="inlineStr">
        <is>
          <t>css.loan.npc4</t>
        </is>
      </c>
      <c r="J416" t="inlineStr">
        <is>
          <t>NPC4</t>
        </is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</row>
    <row r="417">
      <c r="A417" t="inlineStr">
        <is>
          <t>no_year_in_pairs</t>
        </is>
      </c>
      <c r="B417" s="2" t="n"/>
      <c r="C417" s="3" t="inlineStr">
        <is>
          <t>EBS.20.72, Sup. 1</t>
        </is>
      </c>
      <c r="D417" s="4" t="inlineStr">
        <is>
          <t>Dominica</t>
        </is>
      </c>
      <c r="E417" s="4" t="inlineStr">
        <is>
          <t>DMA</t>
        </is>
      </c>
      <c r="F417" s="4" t="n"/>
      <c r="G417" s="4" t="inlineStr">
        <is>
          <t>2018gn</t>
        </is>
      </c>
      <c r="H417" s="4" t="n">
        <v>2019</v>
      </c>
      <c r="I417" s="4" t="inlineStr">
        <is>
          <t>css.loan.npc5</t>
        </is>
      </c>
      <c r="J417" t="inlineStr">
        <is>
          <t>NPC5</t>
        </is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</row>
    <row r="418">
      <c r="A418" t="inlineStr">
        <is>
          <t>no_year_in_pairs</t>
        </is>
      </c>
      <c r="B418" s="2" t="n"/>
      <c r="C418" s="3" t="inlineStr">
        <is>
          <t>EBS.20.72, Sup. 1</t>
        </is>
      </c>
      <c r="D418" s="4" t="inlineStr">
        <is>
          <t>Dominica</t>
        </is>
      </c>
      <c r="E418" s="4" t="inlineStr">
        <is>
          <t>DMA</t>
        </is>
      </c>
      <c r="F418" s="4" t="n"/>
      <c r="G418" s="4" t="inlineStr">
        <is>
          <t>2018gn</t>
        </is>
      </c>
      <c r="H418" s="4" t="n">
        <v>2019</v>
      </c>
      <c r="I418" s="4" t="inlineStr">
        <is>
          <t>css.loan.prvt</t>
        </is>
      </c>
      <c r="J418" t="inlineStr">
        <is>
          <t>Commercial</t>
        </is>
      </c>
    </row>
    <row r="419">
      <c r="A419" t="inlineStr">
        <is>
          <t>no_year_in_pairs</t>
        </is>
      </c>
      <c r="B419" s="2" t="n"/>
      <c r="C419" s="3" t="inlineStr">
        <is>
          <t>EBS.20.72, Sup. 1</t>
        </is>
      </c>
      <c r="D419" s="4" t="inlineStr">
        <is>
          <t>Dominica</t>
        </is>
      </c>
      <c r="E419" s="4" t="inlineStr">
        <is>
          <t>DMA</t>
        </is>
      </c>
      <c r="F419" s="4" t="n"/>
      <c r="G419" s="4" t="inlineStr">
        <is>
          <t>2018gn</t>
        </is>
      </c>
      <c r="H419" s="4" t="n">
        <v>2019</v>
      </c>
      <c r="I419" s="4" t="inlineStr">
        <is>
          <t>css.loan.prvt.bnd</t>
        </is>
      </c>
      <c r="J419" t="inlineStr">
        <is>
          <t>Eurobond</t>
        </is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</row>
    <row r="420">
      <c r="A420" t="inlineStr">
        <is>
          <t>no_year_in_pairs</t>
        </is>
      </c>
      <c r="B420" s="2" t="n"/>
      <c r="C420" s="3" t="inlineStr">
        <is>
          <t>EBS.20.72, Sup. 1</t>
        </is>
      </c>
      <c r="D420" s="4" t="inlineStr">
        <is>
          <t>Dominica</t>
        </is>
      </c>
      <c r="E420" s="4" t="inlineStr">
        <is>
          <t>DMA</t>
        </is>
      </c>
      <c r="F420" s="4" t="n"/>
      <c r="G420" s="4" t="inlineStr">
        <is>
          <t>2018gn</t>
        </is>
      </c>
      <c r="H420" s="4" t="n">
        <v>2019</v>
      </c>
      <c r="I420" s="4" t="inlineStr">
        <is>
          <t>css.loan.prvt.cmbk</t>
        </is>
      </c>
      <c r="J420" t="inlineStr">
        <is>
          <t>Commecial Bank</t>
        </is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</row>
    <row r="421">
      <c r="A421" t="inlineStr">
        <is>
          <t>no_year_in_pairs</t>
        </is>
      </c>
      <c r="B421" s="2" t="n"/>
      <c r="C421" s="3" t="inlineStr">
        <is>
          <t>EBS.20.72, Sup. 1</t>
        </is>
      </c>
      <c r="D421" s="4" t="inlineStr">
        <is>
          <t>Dominica</t>
        </is>
      </c>
      <c r="E421" s="4" t="inlineStr">
        <is>
          <t>DMA</t>
        </is>
      </c>
      <c r="F421" s="4" t="n"/>
      <c r="G421" s="4" t="inlineStr">
        <is>
          <t>2018gn</t>
        </is>
      </c>
      <c r="H421" s="4" t="n">
        <v>2019</v>
      </c>
      <c r="I421" s="4" t="inlineStr">
        <is>
          <t>css.loan.prvt.com3</t>
        </is>
      </c>
      <c r="J421" t="inlineStr">
        <is>
          <t>COM3</t>
        </is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</row>
    <row r="422">
      <c r="A422" t="inlineStr">
        <is>
          <t>no_year_in_pairs</t>
        </is>
      </c>
      <c r="B422" s="2" t="n"/>
      <c r="C422" s="3" t="inlineStr">
        <is>
          <t>EBS.20.72, Sup. 1</t>
        </is>
      </c>
      <c r="D422" s="4" t="inlineStr">
        <is>
          <t>Dominica</t>
        </is>
      </c>
      <c r="E422" s="4" t="inlineStr">
        <is>
          <t>DMA</t>
        </is>
      </c>
      <c r="F422" s="4" t="n"/>
      <c r="G422" s="4" t="inlineStr">
        <is>
          <t>2018gn</t>
        </is>
      </c>
      <c r="H422" s="4" t="n">
        <v>2019</v>
      </c>
      <c r="I422" s="4" t="inlineStr">
        <is>
          <t>css.loan.prvt.com4</t>
        </is>
      </c>
      <c r="J422" t="inlineStr">
        <is>
          <t>COM4</t>
        </is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</row>
    <row r="423">
      <c r="A423" t="inlineStr">
        <is>
          <t>no_year_in_pairs</t>
        </is>
      </c>
      <c r="B423" s="2" t="n"/>
      <c r="C423" s="3" t="inlineStr">
        <is>
          <t>EBS.20.72, Sup. 1</t>
        </is>
      </c>
      <c r="D423" s="4" t="inlineStr">
        <is>
          <t>Dominica</t>
        </is>
      </c>
      <c r="E423" s="4" t="inlineStr">
        <is>
          <t>DMA</t>
        </is>
      </c>
      <c r="F423" s="4" t="n"/>
      <c r="G423" s="4" t="inlineStr">
        <is>
          <t>2018gn</t>
        </is>
      </c>
      <c r="H423" s="4" t="n">
        <v>2019</v>
      </c>
      <c r="I423" s="4" t="inlineStr">
        <is>
          <t>css.loan.prvt.com5</t>
        </is>
      </c>
      <c r="J423" t="inlineStr">
        <is>
          <t>COM5</t>
        </is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</row>
    <row r="424">
      <c r="A424" t="inlineStr">
        <is>
          <t>no_year_in_pairs</t>
        </is>
      </c>
      <c r="C424" t="inlineStr">
        <is>
          <t>EBS.20.72, Sup. 1</t>
        </is>
      </c>
      <c r="D424" t="inlineStr">
        <is>
          <t>Dominica</t>
        </is>
      </c>
      <c r="E424" t="inlineStr">
        <is>
          <t>DMA</t>
        </is>
      </c>
      <c r="G424" t="inlineStr">
        <is>
          <t>2018gn</t>
        </is>
      </c>
      <c r="H424" t="n">
        <v>2019</v>
      </c>
      <c r="I424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t="inlineStr">
        <is>
          <t>link.staff.report</t>
        </is>
      </c>
      <c r="C1" t="inlineStr">
        <is>
          <t>dsa.vintage</t>
        </is>
      </c>
      <c r="D1" t="inlineStr">
        <is>
          <t>country.name</t>
        </is>
      </c>
      <c r="E1" t="inlineStr">
        <is>
          <t>country.code</t>
        </is>
      </c>
      <c r="F1" t="inlineStr">
        <is>
          <t>issue.date</t>
        </is>
      </c>
      <c r="G1" t="inlineStr">
        <is>
          <t>methodo.gn</t>
        </is>
      </c>
      <c r="H1" t="inlineStr">
        <is>
          <t>first.year.proj</t>
        </is>
      </c>
      <c r="I1" t="inlineStr">
        <is>
          <t>indicator</t>
        </is>
      </c>
      <c r="K1" t="inlineStr">
        <is>
          <t>Units</t>
        </is>
      </c>
      <c r="L1" t="inlineStr">
        <is>
          <t>Scale</t>
        </is>
      </c>
      <c r="M1" t="inlineStr">
        <is>
          <t>Descriptor</t>
        </is>
      </c>
      <c r="P1" t="n">
        <v>2006</v>
      </c>
      <c r="Q1" t="n">
        <v>2007</v>
      </c>
      <c r="R1" t="n">
        <v>2008</v>
      </c>
      <c r="S1" t="n">
        <v>2009</v>
      </c>
      <c r="T1" t="n">
        <v>2010</v>
      </c>
      <c r="U1" t="n">
        <v>2011</v>
      </c>
      <c r="V1" t="n">
        <v>2012</v>
      </c>
      <c r="W1" t="n">
        <v>2013</v>
      </c>
      <c r="X1" t="n">
        <v>2014</v>
      </c>
      <c r="Y1" t="n">
        <v>2015</v>
      </c>
      <c r="Z1" t="n">
        <v>2016</v>
      </c>
      <c r="AA1" t="n">
        <v>2017</v>
      </c>
      <c r="AB1" t="n">
        <v>2018</v>
      </c>
      <c r="AC1" t="n">
        <v>2019</v>
      </c>
      <c r="AD1" t="n">
        <v>2020</v>
      </c>
      <c r="AE1" t="n">
        <v>2021</v>
      </c>
      <c r="AF1" t="n">
        <v>2022</v>
      </c>
      <c r="AG1" t="n">
        <v>2023</v>
      </c>
      <c r="AH1" t="n">
        <v>2024</v>
      </c>
      <c r="AI1" t="n">
        <v>2025</v>
      </c>
      <c r="AJ1" t="n">
        <v>2026</v>
      </c>
      <c r="AK1" t="n">
        <v>2027</v>
      </c>
      <c r="AL1" t="n">
        <v>2028</v>
      </c>
      <c r="AM1" t="n">
        <v>2029</v>
      </c>
      <c r="AN1" t="n">
        <v>2030</v>
      </c>
      <c r="AO1" t="n">
        <v>2031</v>
      </c>
      <c r="AP1" t="n">
        <v>2032</v>
      </c>
      <c r="AQ1" t="n">
        <v>2033</v>
      </c>
      <c r="AR1" t="n">
        <v>2034</v>
      </c>
      <c r="AS1" t="n">
        <v>2035</v>
      </c>
      <c r="AT1" t="n">
        <v>2036</v>
      </c>
      <c r="AU1" t="n">
        <v>2037</v>
      </c>
      <c r="AV1" t="n">
        <v>2038</v>
      </c>
      <c r="AW1" t="n">
        <v>2039</v>
      </c>
    </row>
    <row r="2">
      <c r="A2" t="inlineStr">
        <is>
          <t>no_year_in_pairs</t>
        </is>
      </c>
      <c r="C2" t="inlineStr">
        <is>
          <t>EBS.20.72, Sup. 1</t>
        </is>
      </c>
      <c r="D2" t="inlineStr">
        <is>
          <t>Dominica</t>
        </is>
      </c>
      <c r="E2" t="inlineStr">
        <is>
          <t>DMA</t>
        </is>
      </c>
      <c r="G2" t="inlineStr">
        <is>
          <t>2018gn</t>
        </is>
      </c>
      <c r="H2" t="n">
        <v>2019</v>
      </c>
      <c r="I2" t="inlineStr">
        <is>
          <t>dod.ext.dbt.all</t>
        </is>
      </c>
      <c r="K2" t="inlineStr">
        <is>
          <t>US Dollars</t>
        </is>
      </c>
      <c r="L2" t="inlineStr">
        <is>
          <t>Million</t>
        </is>
      </c>
      <c r="M2" t="inlineStr">
        <is>
          <t>Total External Debt (public external + private external)</t>
        </is>
      </c>
      <c r="P2" t="n">
        <v>305.7398148148149</v>
      </c>
      <c r="Q2" t="n">
        <v>325.038185185186</v>
      </c>
      <c r="R2" t="n">
        <v>304.5638518518523</v>
      </c>
      <c r="S2" t="n">
        <v>317.401</v>
      </c>
      <c r="T2" t="n">
        <v>338.8516986185189</v>
      </c>
      <c r="U2" t="n">
        <v>364.870335018519</v>
      </c>
      <c r="V2" t="n">
        <v>375.280216407407</v>
      </c>
      <c r="W2" t="n">
        <v>434.818925121401</v>
      </c>
      <c r="X2" t="n">
        <v>465.897403611743</v>
      </c>
      <c r="Y2" t="n">
        <v>458.748467229188</v>
      </c>
      <c r="Z2" t="n">
        <v>444.02128535822</v>
      </c>
      <c r="AA2" t="n">
        <v>433.588391319483</v>
      </c>
      <c r="AB2" t="n">
        <v>527.665950338814</v>
      </c>
      <c r="AC2" t="n">
        <v>626.0691038044865</v>
      </c>
      <c r="AD2" t="n">
        <v>670.8147960711057</v>
      </c>
      <c r="AE2" t="n">
        <v>709.2187823481274</v>
      </c>
      <c r="AF2" t="n">
        <v>733.151967206648</v>
      </c>
      <c r="AG2" t="n">
        <v>741.7202461394903</v>
      </c>
      <c r="AH2" t="n">
        <v>740.6515027808889</v>
      </c>
      <c r="AI2" t="n">
        <v>735.8617734036326</v>
      </c>
      <c r="AJ2" t="n">
        <v>679.6848781580395</v>
      </c>
      <c r="AK2" t="n">
        <v>677.416193409748</v>
      </c>
      <c r="AL2" t="n">
        <v>674.8170258265715</v>
      </c>
      <c r="AM2" t="n">
        <v>671.2161779749144</v>
      </c>
      <c r="AN2" t="n">
        <v>670.0192272037737</v>
      </c>
      <c r="AO2" t="n">
        <v>668.9321616390513</v>
      </c>
      <c r="AP2" t="n">
        <v>667.0163126622874</v>
      </c>
      <c r="AQ2" t="n">
        <v>632.0735379350198</v>
      </c>
      <c r="AR2" t="n">
        <v>630.168883446205</v>
      </c>
      <c r="AS2" t="n">
        <v>627.5941640608144</v>
      </c>
      <c r="AT2" t="n">
        <v>624.1768236349641</v>
      </c>
      <c r="AU2" t="n">
        <v>620.4089011039588</v>
      </c>
      <c r="AV2" t="n">
        <v>614.7109966908756</v>
      </c>
      <c r="AW2" t="n">
        <v>610.7106703260505</v>
      </c>
    </row>
    <row r="3">
      <c r="A3" t="inlineStr">
        <is>
          <t>no_year_in_pairs</t>
        </is>
      </c>
      <c r="C3" t="inlineStr">
        <is>
          <t>EBS.20.72, Sup. 1</t>
        </is>
      </c>
      <c r="D3" t="inlineStr">
        <is>
          <t>Dominica</t>
        </is>
      </c>
      <c r="E3" t="inlineStr">
        <is>
          <t>DMA</t>
        </is>
      </c>
      <c r="G3" t="inlineStr">
        <is>
          <t>2018gn</t>
        </is>
      </c>
      <c r="H3" t="n">
        <v>2019</v>
      </c>
      <c r="I3" t="inlineStr">
        <is>
          <t>dod.ext.mlt</t>
        </is>
      </c>
      <c r="K3" t="inlineStr">
        <is>
          <t>US Dollars</t>
        </is>
      </c>
      <c r="L3" t="inlineStr">
        <is>
          <t>Million</t>
        </is>
      </c>
      <c r="M3" t="inlineStr">
        <is>
          <t>Total MLT debt outstanding at year-end 1/</t>
        </is>
      </c>
      <c r="P3" t="n">
        <v>305.7398148148149</v>
      </c>
      <c r="Q3" t="n">
        <v>325.038185185186</v>
      </c>
      <c r="R3" t="n">
        <v>304.5638518518523</v>
      </c>
      <c r="S3" t="n">
        <v>317.401</v>
      </c>
      <c r="T3" t="n">
        <v>338.8516986185189</v>
      </c>
      <c r="U3" t="n">
        <v>364.870335018519</v>
      </c>
      <c r="V3" t="n">
        <v>375.280216407407</v>
      </c>
      <c r="W3" t="n">
        <v>434.818925121401</v>
      </c>
      <c r="X3" t="n">
        <v>465.897403611743</v>
      </c>
      <c r="Y3" t="n">
        <v>458.748467229188</v>
      </c>
      <c r="Z3" t="n">
        <v>444.02128535822</v>
      </c>
      <c r="AA3" t="n">
        <v>433.588391319483</v>
      </c>
      <c r="AB3" t="n">
        <v>527.665950338814</v>
      </c>
      <c r="AC3" t="n">
        <v>626.0691038044865</v>
      </c>
      <c r="AD3" t="n">
        <v>670.8147960711057</v>
      </c>
      <c r="AE3" t="n">
        <v>709.2187823481274</v>
      </c>
      <c r="AF3" t="n">
        <v>733.151967206648</v>
      </c>
      <c r="AG3" t="n">
        <v>741.7202461394903</v>
      </c>
      <c r="AH3" t="n">
        <v>740.6515027808889</v>
      </c>
      <c r="AI3" t="n">
        <v>735.8617734036326</v>
      </c>
      <c r="AJ3" t="n">
        <v>679.6848781580395</v>
      </c>
      <c r="AK3" t="n">
        <v>677.416193409748</v>
      </c>
      <c r="AL3" t="n">
        <v>674.8170258265715</v>
      </c>
      <c r="AM3" t="n">
        <v>671.2161779749144</v>
      </c>
      <c r="AN3" t="n">
        <v>670.0192272037737</v>
      </c>
      <c r="AO3" t="n">
        <v>668.9321616390513</v>
      </c>
      <c r="AP3" t="n">
        <v>667.0163126622874</v>
      </c>
      <c r="AQ3" t="n">
        <v>632.0735379350198</v>
      </c>
      <c r="AR3" t="n">
        <v>630.168883446205</v>
      </c>
      <c r="AS3" t="n">
        <v>627.5941640608144</v>
      </c>
      <c r="AT3" t="n">
        <v>624.1768236349641</v>
      </c>
      <c r="AU3" t="n">
        <v>620.4089011039588</v>
      </c>
      <c r="AV3" t="n">
        <v>614.7109966908756</v>
      </c>
      <c r="AW3" t="n">
        <v>610.7106703260505</v>
      </c>
    </row>
    <row r="4">
      <c r="A4" t="inlineStr">
        <is>
          <t>no_year_in_pairs</t>
        </is>
      </c>
      <c r="C4" t="inlineStr">
        <is>
          <t>EBS.20.72, Sup. 1</t>
        </is>
      </c>
      <c r="D4" t="inlineStr">
        <is>
          <t>Dominica</t>
        </is>
      </c>
      <c r="E4" t="inlineStr">
        <is>
          <t>DMA</t>
        </is>
      </c>
      <c r="G4" t="inlineStr">
        <is>
          <t>2018gn</t>
        </is>
      </c>
      <c r="H4" t="n">
        <v>2019</v>
      </c>
      <c r="I4" t="inlineStr">
        <is>
          <t>dod.ext.ppg</t>
        </is>
      </c>
      <c r="K4" t="inlineStr">
        <is>
          <t>US Dollars</t>
        </is>
      </c>
      <c r="L4" t="inlineStr">
        <is>
          <t>Million</t>
        </is>
      </c>
      <c r="M4" t="inlineStr">
        <is>
          <t>Public and publicly guaranteed external debt</t>
        </is>
      </c>
      <c r="P4" t="n">
        <v>222.670925925926</v>
      </c>
      <c r="Q4" t="n">
        <v>224.32262962963</v>
      </c>
      <c r="R4" t="n">
        <v>214.040518518519</v>
      </c>
      <c r="S4" t="n">
        <v>215.132851851852</v>
      </c>
      <c r="T4" t="n">
        <v>243.755772692593</v>
      </c>
      <c r="U4" t="n">
        <v>244.621129092593</v>
      </c>
      <c r="V4" t="n">
        <v>262.513586037037</v>
      </c>
      <c r="W4" t="n">
        <v>320.77976401029</v>
      </c>
      <c r="X4" t="n">
        <v>325.252379991724</v>
      </c>
      <c r="Y4" t="n">
        <v>325.219948710669</v>
      </c>
      <c r="Z4" t="n">
        <v>315.583877950813</v>
      </c>
      <c r="AA4" t="n">
        <v>306.248391319483</v>
      </c>
      <c r="AB4" t="n">
        <v>305.242179722623</v>
      </c>
      <c r="AC4" t="n">
        <v>395.8722729116326</v>
      </c>
      <c r="AD4" t="n">
        <v>428.7039663745717</v>
      </c>
      <c r="AE4" t="n">
        <v>456.1286654628664</v>
      </c>
      <c r="AF4" t="n">
        <v>481.035505457571</v>
      </c>
      <c r="AG4" t="n">
        <v>497.1925651170833</v>
      </c>
      <c r="AH4" t="n">
        <v>504.036301888517</v>
      </c>
      <c r="AI4" t="n">
        <v>509.1525226394356</v>
      </c>
      <c r="AJ4" t="n">
        <v>513.4869449123715</v>
      </c>
      <c r="AK4" t="n">
        <v>516.910198219632</v>
      </c>
      <c r="AL4" t="n">
        <v>514.3110306364555</v>
      </c>
      <c r="AM4" t="n">
        <v>510.7101827847985</v>
      </c>
      <c r="AN4" t="n">
        <v>509.5132320136577</v>
      </c>
      <c r="AO4" t="n">
        <v>508.4261664489353</v>
      </c>
      <c r="AP4" t="n">
        <v>506.5103174721714</v>
      </c>
      <c r="AQ4" t="n">
        <v>471.5675427449038</v>
      </c>
      <c r="AR4" t="n">
        <v>469.662888256089</v>
      </c>
      <c r="AS4" t="n">
        <v>467.0881688706984</v>
      </c>
      <c r="AT4" t="n">
        <v>463.6708284448481</v>
      </c>
      <c r="AU4" t="n">
        <v>459.9029059138428</v>
      </c>
      <c r="AV4" t="n">
        <v>454.2050015007597</v>
      </c>
      <c r="AW4" t="n">
        <v>450.2046751359345</v>
      </c>
    </row>
    <row r="5">
      <c r="A5" t="inlineStr">
        <is>
          <t>no_year_in_pairs</t>
        </is>
      </c>
      <c r="C5" t="inlineStr">
        <is>
          <t>EBS.20.72, Sup. 1</t>
        </is>
      </c>
      <c r="D5" t="inlineStr">
        <is>
          <t>Dominica</t>
        </is>
      </c>
      <c r="E5" t="inlineStr">
        <is>
          <t>DMA</t>
        </is>
      </c>
      <c r="G5" t="inlineStr">
        <is>
          <t>2018gn</t>
        </is>
      </c>
      <c r="H5" t="n">
        <v>2019</v>
      </c>
      <c r="I5" t="inlineStr">
        <is>
          <t>dod.ext.ppg,mlg.trm</t>
        </is>
      </c>
      <c r="K5" t="inlineStr">
        <is>
          <t>US Dollars</t>
        </is>
      </c>
      <c r="L5" t="inlineStr">
        <is>
          <t>Million</t>
        </is>
      </c>
      <c r="M5" t="inlineStr">
        <is>
          <t>Medium and Long Term (MLT) external</t>
        </is>
      </c>
      <c r="P5" t="n">
        <v>222.670925925926</v>
      </c>
      <c r="Q5" t="n">
        <v>224.32262962963</v>
      </c>
      <c r="R5" t="n">
        <v>214.040518518519</v>
      </c>
      <c r="S5" t="n">
        <v>215.132851851852</v>
      </c>
      <c r="T5" t="n">
        <v>243.755772692593</v>
      </c>
      <c r="U5" t="n">
        <v>244.621129092593</v>
      </c>
      <c r="V5" t="n">
        <v>262.513586037037</v>
      </c>
      <c r="W5" t="n">
        <v>320.77976401029</v>
      </c>
      <c r="X5" t="n">
        <v>325.252379991724</v>
      </c>
      <c r="Y5" t="n">
        <v>325.219948710669</v>
      </c>
      <c r="Z5" t="n">
        <v>315.583877950813</v>
      </c>
      <c r="AA5" t="n">
        <v>306.248391319483</v>
      </c>
      <c r="AB5" t="n">
        <v>305.242179722623</v>
      </c>
      <c r="AC5" t="n">
        <v>395.8722729116326</v>
      </c>
      <c r="AD5" t="n">
        <v>428.7039663745717</v>
      </c>
      <c r="AE5" t="n">
        <v>456.1286654628664</v>
      </c>
      <c r="AF5" t="n">
        <v>481.035505457571</v>
      </c>
      <c r="AG5" t="n">
        <v>497.1925651170833</v>
      </c>
      <c r="AH5" t="n">
        <v>504.036301888517</v>
      </c>
      <c r="AI5" t="n">
        <v>509.1525226394356</v>
      </c>
      <c r="AJ5" t="n">
        <v>513.4869449123715</v>
      </c>
      <c r="AK5" t="n">
        <v>516.910198219632</v>
      </c>
      <c r="AL5" t="n">
        <v>514.3110306364555</v>
      </c>
      <c r="AM5" t="n">
        <v>510.7101827847985</v>
      </c>
      <c r="AN5" t="n">
        <v>509.5132320136577</v>
      </c>
      <c r="AO5" t="n">
        <v>508.4261664489353</v>
      </c>
      <c r="AP5" t="n">
        <v>506.5103174721714</v>
      </c>
      <c r="AQ5" t="n">
        <v>471.5675427449038</v>
      </c>
      <c r="AR5" t="n">
        <v>469.662888256089</v>
      </c>
      <c r="AS5" t="n">
        <v>467.0881688706984</v>
      </c>
      <c r="AT5" t="n">
        <v>463.6708284448481</v>
      </c>
      <c r="AU5" t="n">
        <v>459.9029059138428</v>
      </c>
      <c r="AV5" t="n">
        <v>454.2050015007597</v>
      </c>
      <c r="AW5" t="n">
        <v>450.2046751359345</v>
      </c>
    </row>
    <row r="6">
      <c r="A6" t="inlineStr">
        <is>
          <t>no_year_in_pairs</t>
        </is>
      </c>
      <c r="C6" t="inlineStr">
        <is>
          <t>EBS.20.72, Sup. 1</t>
        </is>
      </c>
      <c r="D6" t="inlineStr">
        <is>
          <t>Dominica</t>
        </is>
      </c>
      <c r="E6" t="inlineStr">
        <is>
          <t>DMA</t>
        </is>
      </c>
      <c r="G6" t="inlineStr">
        <is>
          <t>2018gn</t>
        </is>
      </c>
      <c r="H6" t="n">
        <v>2019</v>
      </c>
      <c r="I6" t="inlineStr">
        <is>
          <t>dod.ext.ppg,sht.trm</t>
        </is>
      </c>
      <c r="K6" t="inlineStr">
        <is>
          <t>US Dollars</t>
        </is>
      </c>
      <c r="L6" t="inlineStr">
        <is>
          <t>Million</t>
        </is>
      </c>
      <c r="M6" t="inlineStr">
        <is>
          <t>Short Term</t>
        </is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</row>
    <row r="7">
      <c r="A7" t="inlineStr">
        <is>
          <t>no_year_in_pairs</t>
        </is>
      </c>
      <c r="C7" t="inlineStr">
        <is>
          <t>EBS.20.72, Sup. 1</t>
        </is>
      </c>
      <c r="D7" t="inlineStr">
        <is>
          <t>Dominica</t>
        </is>
      </c>
      <c r="E7" t="inlineStr">
        <is>
          <t>DMA</t>
        </is>
      </c>
      <c r="G7" t="inlineStr">
        <is>
          <t>2018gn</t>
        </is>
      </c>
      <c r="H7" t="n">
        <v>2019</v>
      </c>
      <c r="I7" t="inlineStr">
        <is>
          <t>dod.ext.png</t>
        </is>
      </c>
      <c r="K7" t="inlineStr">
        <is>
          <t>US Dollars</t>
        </is>
      </c>
      <c r="L7" t="inlineStr">
        <is>
          <t>Million</t>
        </is>
      </c>
      <c r="M7" t="inlineStr">
        <is>
          <t>Private sector external debt</t>
        </is>
      </c>
      <c r="P7" t="n">
        <v>83.06888888888889</v>
      </c>
      <c r="Q7" t="n">
        <v>100.715555555556</v>
      </c>
      <c r="R7" t="n">
        <v>90.5233333333333</v>
      </c>
      <c r="S7" t="n">
        <v>102.268148148148</v>
      </c>
      <c r="T7" t="n">
        <v>95.0959259259259</v>
      </c>
      <c r="U7" t="n">
        <v>120.249205925926</v>
      </c>
      <c r="V7" t="n">
        <v>112.76663037037</v>
      </c>
      <c r="W7" t="n">
        <v>114.039161111111</v>
      </c>
      <c r="X7" t="n">
        <v>140.645023620019</v>
      </c>
      <c r="Y7" t="n">
        <v>133.528518518519</v>
      </c>
      <c r="Z7" t="n">
        <v>128.437407407407</v>
      </c>
      <c r="AA7" t="n">
        <v>127.34</v>
      </c>
      <c r="AB7" t="n">
        <v>222.423770616191</v>
      </c>
      <c r="AC7" t="n">
        <v>230.196830892854</v>
      </c>
      <c r="AD7" t="n">
        <v>242.110829696534</v>
      </c>
      <c r="AE7" t="n">
        <v>253.090116885261</v>
      </c>
      <c r="AF7" t="n">
        <v>252.116461749077</v>
      </c>
      <c r="AG7" t="n">
        <v>244.527681022407</v>
      </c>
      <c r="AH7" t="n">
        <v>236.615200892372</v>
      </c>
      <c r="AI7" t="n">
        <v>226.709250764197</v>
      </c>
      <c r="AJ7" t="n">
        <v>166.197933245668</v>
      </c>
      <c r="AK7" t="n">
        <v>160.505995190116</v>
      </c>
      <c r="AL7" t="n">
        <v>160.505995190116</v>
      </c>
      <c r="AM7" t="n">
        <v>160.505995190116</v>
      </c>
      <c r="AN7" t="n">
        <v>160.505995190116</v>
      </c>
      <c r="AO7" t="n">
        <v>160.505995190116</v>
      </c>
      <c r="AP7" t="n">
        <v>160.505995190116</v>
      </c>
      <c r="AQ7" t="n">
        <v>160.505995190116</v>
      </c>
      <c r="AR7" t="n">
        <v>160.505995190116</v>
      </c>
      <c r="AS7" t="n">
        <v>160.505995190116</v>
      </c>
      <c r="AT7" t="n">
        <v>160.505995190116</v>
      </c>
      <c r="AU7" t="n">
        <v>160.505995190116</v>
      </c>
      <c r="AV7" t="n">
        <v>160.505995190116</v>
      </c>
      <c r="AW7" t="n">
        <v>160.505995190116</v>
      </c>
    </row>
    <row r="8">
      <c r="A8" t="inlineStr">
        <is>
          <t>no_year_in_pairs</t>
        </is>
      </c>
      <c r="C8" t="inlineStr">
        <is>
          <t>EBS.20.72, Sup. 1</t>
        </is>
      </c>
      <c r="D8" t="inlineStr">
        <is>
          <t>Dominica</t>
        </is>
      </c>
      <c r="E8" t="inlineStr">
        <is>
          <t>DMA</t>
        </is>
      </c>
      <c r="G8" t="inlineStr">
        <is>
          <t>2018gn</t>
        </is>
      </c>
      <c r="H8" t="n">
        <v>2019</v>
      </c>
      <c r="I8" t="inlineStr">
        <is>
          <t>dod.ext.png.mlg.trm</t>
        </is>
      </c>
      <c r="K8" t="inlineStr">
        <is>
          <t>US Dollars</t>
        </is>
      </c>
      <c r="L8" t="inlineStr">
        <is>
          <t>Million</t>
        </is>
      </c>
      <c r="M8" t="inlineStr">
        <is>
          <t>Medium and Long Term (MLT) external</t>
        </is>
      </c>
      <c r="P8" t="n">
        <v>83.06888888888889</v>
      </c>
      <c r="Q8" t="n">
        <v>100.715555555556</v>
      </c>
      <c r="R8" t="n">
        <v>90.5233333333333</v>
      </c>
      <c r="S8" t="n">
        <v>102.268148148148</v>
      </c>
      <c r="T8" t="n">
        <v>95.0959259259259</v>
      </c>
      <c r="U8" t="n">
        <v>120.249205925926</v>
      </c>
      <c r="V8" t="n">
        <v>112.76663037037</v>
      </c>
      <c r="W8" t="n">
        <v>114.039161111111</v>
      </c>
      <c r="X8" t="n">
        <v>140.645023620019</v>
      </c>
      <c r="Y8" t="n">
        <v>133.528518518519</v>
      </c>
      <c r="Z8" t="n">
        <v>128.437407407407</v>
      </c>
      <c r="AA8" t="n">
        <v>127.34</v>
      </c>
      <c r="AB8" t="n">
        <v>222.423770616191</v>
      </c>
      <c r="AC8" t="n">
        <v>230.196830892854</v>
      </c>
      <c r="AD8" t="n">
        <v>242.110829696534</v>
      </c>
      <c r="AE8" t="n">
        <v>253.090116885261</v>
      </c>
      <c r="AF8" t="n">
        <v>252.116461749077</v>
      </c>
      <c r="AG8" t="n">
        <v>244.527681022407</v>
      </c>
      <c r="AH8" t="n">
        <v>236.615200892372</v>
      </c>
      <c r="AI8" t="n">
        <v>226.709250764197</v>
      </c>
      <c r="AJ8" t="n">
        <v>166.197933245668</v>
      </c>
      <c r="AK8" t="n">
        <v>160.505995190116</v>
      </c>
      <c r="AL8" t="n">
        <v>160.505995190116</v>
      </c>
      <c r="AM8" t="n">
        <v>160.505995190116</v>
      </c>
      <c r="AN8" t="n">
        <v>160.505995190116</v>
      </c>
      <c r="AO8" t="n">
        <v>160.505995190116</v>
      </c>
      <c r="AP8" t="n">
        <v>160.505995190116</v>
      </c>
      <c r="AQ8" t="n">
        <v>160.505995190116</v>
      </c>
      <c r="AR8" t="n">
        <v>160.505995190116</v>
      </c>
      <c r="AS8" t="n">
        <v>160.505995190116</v>
      </c>
      <c r="AT8" t="n">
        <v>160.505995190116</v>
      </c>
      <c r="AU8" t="n">
        <v>160.505995190116</v>
      </c>
      <c r="AV8" t="n">
        <v>160.505995190116</v>
      </c>
      <c r="AW8" t="n">
        <v>160.505995190116</v>
      </c>
    </row>
    <row r="9">
      <c r="A9" t="inlineStr">
        <is>
          <t>no_year_in_pairs</t>
        </is>
      </c>
      <c r="C9" t="inlineStr">
        <is>
          <t>EBS.20.72, Sup. 1</t>
        </is>
      </c>
      <c r="D9" t="inlineStr">
        <is>
          <t>Dominica</t>
        </is>
      </c>
      <c r="E9" t="inlineStr">
        <is>
          <t>DMA</t>
        </is>
      </c>
      <c r="G9" t="inlineStr">
        <is>
          <t>2018gn</t>
        </is>
      </c>
      <c r="H9" t="n">
        <v>2019</v>
      </c>
      <c r="I9" t="inlineStr">
        <is>
          <t>dod.ext.png.sht.trm</t>
        </is>
      </c>
      <c r="K9" t="inlineStr">
        <is>
          <t>US Dollars</t>
        </is>
      </c>
      <c r="L9" t="inlineStr">
        <is>
          <t>Million</t>
        </is>
      </c>
      <c r="M9" t="inlineStr">
        <is>
          <t>Short Term</t>
        </is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</row>
    <row r="10">
      <c r="A10" t="inlineStr">
        <is>
          <t>no_year_in_pairs</t>
        </is>
      </c>
      <c r="C10" t="inlineStr">
        <is>
          <t>EBS.20.72, Sup. 1</t>
        </is>
      </c>
      <c r="D10" t="inlineStr">
        <is>
          <t>Dominica</t>
        </is>
      </c>
      <c r="E10" t="inlineStr">
        <is>
          <t>DMA</t>
        </is>
      </c>
      <c r="G10" t="inlineStr">
        <is>
          <t>2018gn</t>
        </is>
      </c>
      <c r="H10" t="n">
        <v>2019</v>
      </c>
      <c r="I10" t="inlineStr">
        <is>
          <t>dod.pub.dbt.all</t>
        </is>
      </c>
      <c r="K10" t="inlineStr">
        <is>
          <t>National Currency</t>
        </is>
      </c>
      <c r="L10" t="inlineStr">
        <is>
          <t>Million</t>
        </is>
      </c>
      <c r="M10" t="inlineStr">
        <is>
          <t>Total public domestic debt</t>
        </is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251.75557599</v>
      </c>
      <c r="Y10" t="n">
        <v>256.44059799</v>
      </c>
      <c r="Z10" t="n">
        <v>179.2861679</v>
      </c>
      <c r="AA10" t="n">
        <v>271.006537</v>
      </c>
      <c r="AB10" t="n">
        <v>368.846114748918</v>
      </c>
      <c r="AC10" t="n">
        <v>291.7655496165714</v>
      </c>
      <c r="AD10" t="n">
        <v>239.5392611442365</v>
      </c>
      <c r="AE10" t="n">
        <v>189.2618412514637</v>
      </c>
      <c r="AF10" t="n">
        <v>117.3791351132992</v>
      </c>
      <c r="AG10" t="n">
        <v>74.22900116503499</v>
      </c>
      <c r="AH10" t="n">
        <v>43.93690389166028</v>
      </c>
      <c r="AI10" t="n">
        <v>18.04477283315867</v>
      </c>
      <c r="AJ10" t="n">
        <v>-7.02345451749693</v>
      </c>
      <c r="AK10" t="n">
        <v>-31.37787565056888</v>
      </c>
      <c r="AL10" t="n">
        <v>-41.30401868856819</v>
      </c>
      <c r="AM10" t="n">
        <v>-50.71566190128237</v>
      </c>
      <c r="AN10" t="n">
        <v>-59.63176375820686</v>
      </c>
      <c r="AO10" t="n">
        <v>-68.29420576282709</v>
      </c>
      <c r="AP10" t="n">
        <v>-76.62517505340034</v>
      </c>
      <c r="AQ10" t="n">
        <v>3.226013439214015</v>
      </c>
      <c r="AR10" t="n">
        <v>-7.00917010243036</v>
      </c>
      <c r="AS10" t="n">
        <v>-16.08002957682066</v>
      </c>
      <c r="AT10" t="n">
        <v>-22.84378827018727</v>
      </c>
      <c r="AU10" t="n">
        <v>-29.51647669781271</v>
      </c>
      <c r="AV10" t="n">
        <v>-28.53927584805785</v>
      </c>
      <c r="AW10" t="n">
        <v>-29.89431254212135</v>
      </c>
    </row>
    <row r="11">
      <c r="A11" t="inlineStr">
        <is>
          <t>no_year_in_pairs</t>
        </is>
      </c>
      <c r="C11" t="inlineStr">
        <is>
          <t>EBS.20.72, Sup. 1</t>
        </is>
      </c>
      <c r="D11" t="inlineStr">
        <is>
          <t>Dominica</t>
        </is>
      </c>
      <c r="E11" t="inlineStr">
        <is>
          <t>DMA</t>
        </is>
      </c>
      <c r="G11" t="inlineStr">
        <is>
          <t>2018gn</t>
        </is>
      </c>
      <c r="H11" t="n">
        <v>2019</v>
      </c>
      <c r="I11" t="inlineStr">
        <is>
          <t>dod.pub.dbt.mlg.trm</t>
        </is>
      </c>
      <c r="K11" t="inlineStr">
        <is>
          <t>National Currency</t>
        </is>
      </c>
      <c r="L11" t="inlineStr">
        <is>
          <t>Million</t>
        </is>
      </c>
      <c r="M11" t="inlineStr">
        <is>
          <t xml:space="preserve">Medium and Long Term (MLT) </t>
        </is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251.75557599</v>
      </c>
      <c r="Y11" t="n">
        <v>256.44059799</v>
      </c>
      <c r="Z11" t="n">
        <v>179.2861679</v>
      </c>
      <c r="AA11" t="n">
        <v>271.006537</v>
      </c>
      <c r="AB11" t="n">
        <v>368.846114748918</v>
      </c>
      <c r="AC11" t="n">
        <v>291.7655496165714</v>
      </c>
      <c r="AD11" t="n">
        <v>239.5392611442365</v>
      </c>
      <c r="AE11" t="n">
        <v>189.2618412514637</v>
      </c>
      <c r="AF11" t="n">
        <v>117.3791351132992</v>
      </c>
      <c r="AG11" t="n">
        <v>74.22900116503499</v>
      </c>
      <c r="AH11" t="n">
        <v>43.93690389166028</v>
      </c>
      <c r="AI11" t="n">
        <v>18.04477283315867</v>
      </c>
      <c r="AJ11" t="n">
        <v>-7.02345451749693</v>
      </c>
      <c r="AK11" t="n">
        <v>-31.37787565056888</v>
      </c>
      <c r="AL11" t="n">
        <v>-41.30401868856819</v>
      </c>
      <c r="AM11" t="n">
        <v>-50.71566190128237</v>
      </c>
      <c r="AN11" t="n">
        <v>-59.63176375820686</v>
      </c>
      <c r="AO11" t="n">
        <v>-68.29420576282709</v>
      </c>
      <c r="AP11" t="n">
        <v>-76.62517505340034</v>
      </c>
      <c r="AQ11" t="n">
        <v>3.226013439214015</v>
      </c>
      <c r="AR11" t="n">
        <v>-7.00917010243036</v>
      </c>
      <c r="AS11" t="n">
        <v>-16.08002957682066</v>
      </c>
      <c r="AT11" t="n">
        <v>-22.84378827018727</v>
      </c>
      <c r="AU11" t="n">
        <v>-29.51647669781271</v>
      </c>
      <c r="AV11" t="n">
        <v>-28.53927584805785</v>
      </c>
      <c r="AW11" t="n">
        <v>-29.89431254212135</v>
      </c>
    </row>
    <row r="12">
      <c r="A12" t="inlineStr">
        <is>
          <t>no_year_in_pairs</t>
        </is>
      </c>
      <c r="C12" t="inlineStr">
        <is>
          <t>EBS.20.72, Sup. 1</t>
        </is>
      </c>
      <c r="D12" t="inlineStr">
        <is>
          <t>Dominica</t>
        </is>
      </c>
      <c r="E12" t="inlineStr">
        <is>
          <t>DMA</t>
        </is>
      </c>
      <c r="G12" t="inlineStr">
        <is>
          <t>2018gn</t>
        </is>
      </c>
      <c r="H12" t="n">
        <v>2019</v>
      </c>
      <c r="I12" t="inlineStr">
        <is>
          <t>dod.pub.dbt.sht.trm</t>
        </is>
      </c>
      <c r="K12" t="inlineStr">
        <is>
          <t>National Currency</t>
        </is>
      </c>
      <c r="L12" t="inlineStr">
        <is>
          <t>Million</t>
        </is>
      </c>
      <c r="M12" t="inlineStr">
        <is>
          <t>Short Term</t>
        </is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</row>
    <row r="13">
      <c r="A13" t="inlineStr">
        <is>
          <t>no_year_in_pairs</t>
        </is>
      </c>
      <c r="C13" t="inlineStr">
        <is>
          <t>EBS.20.72, Sup. 1</t>
        </is>
      </c>
      <c r="D13" t="inlineStr">
        <is>
          <t>Dominica</t>
        </is>
      </c>
      <c r="E13" t="inlineStr">
        <is>
          <t>DMA</t>
        </is>
      </c>
      <c r="G13" t="inlineStr">
        <is>
          <t>2018gn</t>
        </is>
      </c>
      <c r="H13" t="n">
        <v>2019</v>
      </c>
      <c r="I13" t="inlineStr">
        <is>
          <t>int.all</t>
        </is>
      </c>
      <c r="K13" t="inlineStr">
        <is>
          <t>US Dollars</t>
        </is>
      </c>
      <c r="L13" t="inlineStr">
        <is>
          <t>Million</t>
        </is>
      </c>
      <c r="M13" t="inlineStr">
        <is>
          <t>Total debt interest due</t>
        </is>
      </c>
    </row>
    <row r="14">
      <c r="A14" t="inlineStr">
        <is>
          <t>no_year_in_pairs</t>
        </is>
      </c>
      <c r="C14" t="inlineStr">
        <is>
          <t>EBS.20.72, Sup. 1</t>
        </is>
      </c>
      <c r="D14" t="inlineStr">
        <is>
          <t>Dominica</t>
        </is>
      </c>
      <c r="E14" t="inlineStr">
        <is>
          <t>DMA</t>
        </is>
      </c>
      <c r="G14" t="inlineStr">
        <is>
          <t>2018gn</t>
        </is>
      </c>
      <c r="H14" t="n">
        <v>2019</v>
      </c>
      <c r="I14" t="inlineStr">
        <is>
          <t>int.ext.all</t>
        </is>
      </c>
      <c r="K14" t="inlineStr">
        <is>
          <t>US Dollars</t>
        </is>
      </c>
      <c r="L14" t="inlineStr">
        <is>
          <t>Million</t>
        </is>
      </c>
      <c r="M14" t="inlineStr">
        <is>
          <t>Total external debt interest due (include interest from new debt)</t>
        </is>
      </c>
      <c r="P14" t="n">
        <v>8.54039391851852</v>
      </c>
      <c r="Q14" t="n">
        <v>8.28236393892762</v>
      </c>
      <c r="R14" t="n">
        <v>7.035490740740741</v>
      </c>
      <c r="S14" t="n">
        <v>9.08603703703703</v>
      </c>
      <c r="T14" t="n">
        <v>6.68894603703704</v>
      </c>
      <c r="U14" t="n">
        <v>7.150133703703711</v>
      </c>
      <c r="V14" t="n">
        <v>17.65390188888886</v>
      </c>
      <c r="W14" t="n">
        <v>8.581830592592601</v>
      </c>
      <c r="X14" t="n">
        <v>9.350976888888891</v>
      </c>
      <c r="Y14" t="n">
        <v>8.50852170370371</v>
      </c>
      <c r="Z14" t="n">
        <v>9.6940032962963</v>
      </c>
      <c r="AA14" t="n">
        <v>9.097555229629631</v>
      </c>
      <c r="AB14" t="n">
        <v>8.47120252222223</v>
      </c>
      <c r="AC14" t="n">
        <v>10.65496105558307</v>
      </c>
      <c r="AD14" t="n">
        <v>13.25080496477609</v>
      </c>
      <c r="AE14" t="n">
        <v>13.46221873431409</v>
      </c>
      <c r="AF14" t="n">
        <v>12.6851119325274</v>
      </c>
      <c r="AG14" t="n">
        <v>14.4751589228323</v>
      </c>
      <c r="AH14" t="n">
        <v>14.13678864282226</v>
      </c>
      <c r="AI14" t="n">
        <v>15.24798969770278</v>
      </c>
      <c r="AJ14" t="n">
        <v>15.62649259249452</v>
      </c>
      <c r="AK14" t="n">
        <v>15.74282159173138</v>
      </c>
      <c r="AL14" t="n">
        <v>15.67870804860085</v>
      </c>
      <c r="AM14" t="n">
        <v>13.34346736385165</v>
      </c>
      <c r="AN14" t="n">
        <v>12.29855188502474</v>
      </c>
      <c r="AO14" t="n">
        <v>12.41678053021466</v>
      </c>
      <c r="AP14" t="n">
        <v>12.59997472461758</v>
      </c>
      <c r="AQ14" t="n">
        <v>14.68790048047966</v>
      </c>
      <c r="AR14" t="n">
        <v>14.42185824009803</v>
      </c>
      <c r="AS14" t="n">
        <v>14.44718447700462</v>
      </c>
      <c r="AT14" t="n">
        <v>18.82064514509241</v>
      </c>
      <c r="AU14" t="n">
        <v>13.96650867778343</v>
      </c>
      <c r="AV14" t="n">
        <v>12.71492978909421</v>
      </c>
      <c r="AW14" t="n">
        <v>10.62418398580464</v>
      </c>
    </row>
    <row r="15">
      <c r="A15" t="inlineStr">
        <is>
          <t>no_year_in_pairs</t>
        </is>
      </c>
      <c r="C15" t="inlineStr">
        <is>
          <t>EBS.20.72, Sup. 1</t>
        </is>
      </c>
      <c r="D15" t="inlineStr">
        <is>
          <t>Dominica</t>
        </is>
      </c>
      <c r="E15" t="inlineStr">
        <is>
          <t>DMA</t>
        </is>
      </c>
      <c r="G15" t="inlineStr">
        <is>
          <t>2018gn</t>
        </is>
      </c>
      <c r="H15" t="n">
        <v>2019</v>
      </c>
      <c r="I15" t="inlineStr">
        <is>
          <t>int.ext.ppg</t>
        </is>
      </c>
      <c r="K15" t="inlineStr">
        <is>
          <t>US Dollars</t>
        </is>
      </c>
      <c r="L15" t="inlineStr">
        <is>
          <t>Million</t>
        </is>
      </c>
      <c r="M15" t="inlineStr">
        <is>
          <t>Public and publicly guaranteed</t>
        </is>
      </c>
      <c r="P15" t="n">
        <v>6.463671696296299</v>
      </c>
      <c r="Q15" t="n">
        <v>5.76447505003873</v>
      </c>
      <c r="R15" t="n">
        <v>4.77240740740741</v>
      </c>
      <c r="S15" t="n">
        <v>6.52933333333333</v>
      </c>
      <c r="T15" t="n">
        <v>4.31154788888889</v>
      </c>
      <c r="U15" t="n">
        <v>4.33757814814815</v>
      </c>
      <c r="V15" t="n">
        <v>14.8413463333333</v>
      </c>
      <c r="W15" t="n">
        <v>5.76927503703704</v>
      </c>
      <c r="X15" t="n">
        <v>6.53842133333333</v>
      </c>
      <c r="Y15" t="n">
        <v>5.69596614814815</v>
      </c>
      <c r="Z15" t="n">
        <v>6.88144774074074</v>
      </c>
      <c r="AA15" t="n">
        <v>6.284999674074069</v>
      </c>
      <c r="AB15" t="n">
        <v>5.658646966666669</v>
      </c>
      <c r="AC15" t="n">
        <v>7.842405500027514</v>
      </c>
      <c r="AD15" t="n">
        <v>10.43824940922052</v>
      </c>
      <c r="AE15" t="n">
        <v>10.64966317875853</v>
      </c>
      <c r="AF15" t="n">
        <v>9.872556376971842</v>
      </c>
      <c r="AG15" t="n">
        <v>11.66260336727674</v>
      </c>
      <c r="AH15" t="n">
        <v>11.3242330872667</v>
      </c>
      <c r="AI15" t="n">
        <v>12.43543414214722</v>
      </c>
      <c r="AJ15" t="n">
        <v>12.81393703693896</v>
      </c>
      <c r="AK15" t="n">
        <v>12.93026603617582</v>
      </c>
      <c r="AL15" t="n">
        <v>12.86615249304529</v>
      </c>
      <c r="AM15" t="n">
        <v>10.53091180829609</v>
      </c>
      <c r="AN15" t="n">
        <v>9.485996329469183</v>
      </c>
      <c r="AO15" t="n">
        <v>9.604224974659102</v>
      </c>
      <c r="AP15" t="n">
        <v>9.787419169062019</v>
      </c>
      <c r="AQ15" t="n">
        <v>11.8753449249241</v>
      </c>
      <c r="AR15" t="n">
        <v>11.60930268454247</v>
      </c>
      <c r="AS15" t="n">
        <v>11.63462892144906</v>
      </c>
      <c r="AT15" t="n">
        <v>16.00808958953684</v>
      </c>
      <c r="AU15" t="n">
        <v>11.15395312222786</v>
      </c>
      <c r="AV15" t="n">
        <v>9.902374233538648</v>
      </c>
      <c r="AW15" t="n">
        <v>7.811628430249082</v>
      </c>
    </row>
    <row r="16">
      <c r="A16" t="inlineStr">
        <is>
          <t>no_year_in_pairs</t>
        </is>
      </c>
      <c r="C16" t="inlineStr">
        <is>
          <t>EBS.20.72, Sup. 1</t>
        </is>
      </c>
      <c r="D16" t="inlineStr">
        <is>
          <t>Dominica</t>
        </is>
      </c>
      <c r="E16" t="inlineStr">
        <is>
          <t>DMA</t>
        </is>
      </c>
      <c r="G16" t="inlineStr">
        <is>
          <t>2018gn</t>
        </is>
      </c>
      <c r="H16" t="n">
        <v>2019</v>
      </c>
      <c r="I16" t="inlineStr">
        <is>
          <t>int.ext.png</t>
        </is>
      </c>
      <c r="K16" t="inlineStr">
        <is>
          <t>US Dollars</t>
        </is>
      </c>
      <c r="L16" t="inlineStr">
        <is>
          <t>Million</t>
        </is>
      </c>
      <c r="M16" t="inlineStr">
        <is>
          <t xml:space="preserve">Private </t>
        </is>
      </c>
      <c r="P16" t="n">
        <v>2.07672222222222</v>
      </c>
      <c r="Q16" t="n">
        <v>2.51788888888889</v>
      </c>
      <c r="R16" t="n">
        <v>2.26308333333333</v>
      </c>
      <c r="S16" t="n">
        <v>2.5567037037037</v>
      </c>
      <c r="T16" t="n">
        <v>2.37739814814815</v>
      </c>
      <c r="U16" t="n">
        <v>2.81255555555556</v>
      </c>
      <c r="V16" t="n">
        <v>2.81255555555556</v>
      </c>
      <c r="W16" t="n">
        <v>2.81255555555556</v>
      </c>
      <c r="X16" t="n">
        <v>2.81255555555556</v>
      </c>
      <c r="Y16" t="n">
        <v>2.81255555555556</v>
      </c>
      <c r="Z16" t="n">
        <v>2.81255555555556</v>
      </c>
      <c r="AA16" t="n">
        <v>2.81255555555556</v>
      </c>
      <c r="AB16" t="n">
        <v>2.81255555555556</v>
      </c>
      <c r="AC16" t="n">
        <v>2.81255555555556</v>
      </c>
      <c r="AD16" t="n">
        <v>2.81255555555556</v>
      </c>
      <c r="AE16" t="n">
        <v>2.81255555555556</v>
      </c>
      <c r="AF16" t="n">
        <v>2.81255555555556</v>
      </c>
      <c r="AG16" t="n">
        <v>2.81255555555556</v>
      </c>
      <c r="AH16" t="n">
        <v>2.81255555555556</v>
      </c>
      <c r="AI16" t="n">
        <v>2.81255555555556</v>
      </c>
      <c r="AJ16" t="n">
        <v>2.81255555555556</v>
      </c>
      <c r="AK16" t="n">
        <v>2.81255555555556</v>
      </c>
      <c r="AL16" t="n">
        <v>2.81255555555556</v>
      </c>
      <c r="AM16" t="n">
        <v>2.81255555555556</v>
      </c>
      <c r="AN16" t="n">
        <v>2.81255555555556</v>
      </c>
      <c r="AO16" t="n">
        <v>2.81255555555556</v>
      </c>
      <c r="AP16" t="n">
        <v>2.81255555555556</v>
      </c>
      <c r="AQ16" t="n">
        <v>2.81255555555556</v>
      </c>
      <c r="AR16" t="n">
        <v>2.81255555555556</v>
      </c>
      <c r="AS16" t="n">
        <v>2.81255555555556</v>
      </c>
      <c r="AT16" t="n">
        <v>2.81255555555556</v>
      </c>
      <c r="AU16" t="n">
        <v>2.81255555555556</v>
      </c>
      <c r="AV16" t="n">
        <v>2.81255555555556</v>
      </c>
      <c r="AW16" t="n">
        <v>2.81255555555556</v>
      </c>
    </row>
    <row r="17">
      <c r="A17" t="inlineStr">
        <is>
          <t>no_year_in_pairs</t>
        </is>
      </c>
      <c r="C17" t="inlineStr">
        <is>
          <t>EBS.20.72, Sup. 1</t>
        </is>
      </c>
      <c r="D17" t="inlineStr">
        <is>
          <t>Dominica</t>
        </is>
      </c>
      <c r="E17" t="inlineStr">
        <is>
          <t>DMA</t>
        </is>
      </c>
      <c r="G17" t="inlineStr">
        <is>
          <t>2018gn</t>
        </is>
      </c>
      <c r="H17" t="n">
        <v>2019</v>
      </c>
      <c r="I17" t="inlineStr">
        <is>
          <t>int.dom.all</t>
        </is>
      </c>
      <c r="K17" t="inlineStr">
        <is>
          <t>US Dollars</t>
        </is>
      </c>
      <c r="L17" t="inlineStr">
        <is>
          <t>Million</t>
        </is>
      </c>
      <c r="M17" t="inlineStr">
        <is>
          <t>Total public domestic debt interest due</t>
        </is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2.003136259259259</v>
      </c>
      <c r="Y17" t="n">
        <v>0.9051378148148148</v>
      </c>
      <c r="Z17" t="n">
        <v>1.818312148148148</v>
      </c>
      <c r="AA17" t="n">
        <v>1.981576481481482</v>
      </c>
      <c r="AB17" t="n">
        <v>1.837305444444444</v>
      </c>
      <c r="AC17" t="n">
        <v>1.935320777777777</v>
      </c>
      <c r="AD17" t="n">
        <v>0.949034444866105</v>
      </c>
      <c r="AE17" t="n">
        <v>0.4726581837471945</v>
      </c>
      <c r="AF17" t="n">
        <v>-0.172215472778042</v>
      </c>
      <c r="AG17" t="n">
        <v>-1.13264773255153</v>
      </c>
      <c r="AH17" t="n">
        <v>-1.363050462915346</v>
      </c>
      <c r="AI17" t="n">
        <v>-1.663346068308536</v>
      </c>
      <c r="AJ17" t="n">
        <v>-1.908717212227634</v>
      </c>
      <c r="AK17" t="n">
        <v>-2.166041028801871</v>
      </c>
      <c r="AL17" t="n">
        <v>-2.149954805934069</v>
      </c>
      <c r="AM17" t="n">
        <v>-1.802002779667448</v>
      </c>
      <c r="AN17" t="n">
        <v>-1.721747769924483</v>
      </c>
      <c r="AO17" t="n">
        <v>-1.642480740597891</v>
      </c>
      <c r="AP17" t="n">
        <v>-1.559549735626902</v>
      </c>
      <c r="AQ17" t="n">
        <v>-1.477445199675238</v>
      </c>
      <c r="AR17" t="n">
        <v>-0.3426746382997494</v>
      </c>
      <c r="AS17" t="n">
        <v>-0.538299367481176</v>
      </c>
      <c r="AT17" t="n">
        <v>-0.6499510658417467</v>
      </c>
      <c r="AU17" t="n">
        <v>-0.7349786185875309</v>
      </c>
      <c r="AV17" t="n">
        <v>-0.8400898544948279</v>
      </c>
      <c r="AW17" t="n">
        <v>-0.8347026897288592</v>
      </c>
    </row>
    <row r="18">
      <c r="A18" t="inlineStr">
        <is>
          <t>no_year_in_pairs</t>
        </is>
      </c>
      <c r="C18" t="inlineStr">
        <is>
          <t>EBS.20.72, Sup. 1</t>
        </is>
      </c>
      <c r="D18" t="inlineStr">
        <is>
          <t>Dominica</t>
        </is>
      </c>
      <c r="E18" t="inlineStr">
        <is>
          <t>DMA</t>
        </is>
      </c>
      <c r="G18" t="inlineStr">
        <is>
          <t>2018gn</t>
        </is>
      </c>
      <c r="H18" t="n">
        <v>2019</v>
      </c>
      <c r="I18" t="inlineStr">
        <is>
          <t>amt.all</t>
        </is>
      </c>
      <c r="K18" t="inlineStr">
        <is>
          <t>US Dollars</t>
        </is>
      </c>
      <c r="L18" t="inlineStr">
        <is>
          <t>Million</t>
        </is>
      </c>
      <c r="M18" t="inlineStr">
        <is>
          <t>Total debt amortization due</t>
        </is>
      </c>
    </row>
    <row r="19">
      <c r="A19" t="inlineStr">
        <is>
          <t>no_year_in_pairs</t>
        </is>
      </c>
      <c r="C19" t="inlineStr">
        <is>
          <t>EBS.20.72, Sup. 1</t>
        </is>
      </c>
      <c r="D19" t="inlineStr">
        <is>
          <t>Dominica</t>
        </is>
      </c>
      <c r="E19" t="inlineStr">
        <is>
          <t>DMA</t>
        </is>
      </c>
      <c r="G19" t="inlineStr">
        <is>
          <t>2018gn</t>
        </is>
      </c>
      <c r="H19" t="n">
        <v>2019</v>
      </c>
      <c r="I19" t="inlineStr">
        <is>
          <t>amt.ext.all</t>
        </is>
      </c>
      <c r="K19" t="inlineStr">
        <is>
          <t>US Dollars</t>
        </is>
      </c>
      <c r="L19" t="inlineStr">
        <is>
          <t>Million</t>
        </is>
      </c>
      <c r="M19" t="inlineStr">
        <is>
          <t>Total external amortization due (include amortization from new debt)</t>
        </is>
      </c>
      <c r="P19" t="n">
        <v>10.8595925925926</v>
      </c>
      <c r="Q19" t="n">
        <v>10.443037037037</v>
      </c>
      <c r="R19" t="n">
        <v>10.0148518518519</v>
      </c>
      <c r="S19" t="n">
        <v>12.117</v>
      </c>
      <c r="T19" t="n">
        <v>10.4749040740741</v>
      </c>
      <c r="U19" t="n">
        <v>13.9658275718519</v>
      </c>
      <c r="V19" t="n">
        <v>18.5304636518442</v>
      </c>
      <c r="W19" t="n">
        <v>15.4373486064475</v>
      </c>
      <c r="X19" t="n">
        <v>17.3305127669757</v>
      </c>
      <c r="Y19" t="n">
        <v>21.201572452072</v>
      </c>
      <c r="Z19" t="n">
        <v>22.0565005988216</v>
      </c>
      <c r="AA19" t="n">
        <v>28.023203762928</v>
      </c>
      <c r="AB19" t="n">
        <v>24.6713968733609</v>
      </c>
      <c r="AC19" t="n">
        <v>23.2000262931217</v>
      </c>
      <c r="AD19" t="n">
        <v>20.56026573796296</v>
      </c>
      <c r="AE19" t="n">
        <v>19.35892920740741</v>
      </c>
      <c r="AF19" t="n">
        <v>21.72283074592593</v>
      </c>
      <c r="AG19" t="n">
        <v>19.37554563481481</v>
      </c>
      <c r="AH19" t="n">
        <v>18.23202283533567</v>
      </c>
      <c r="AI19" t="n">
        <v>21.61918769841484</v>
      </c>
      <c r="AJ19" t="n">
        <v>21.97412548266199</v>
      </c>
      <c r="AK19" t="n">
        <v>22.37008669225408</v>
      </c>
      <c r="AL19" t="n">
        <v>22.93538490400415</v>
      </c>
      <c r="AM19" t="n">
        <v>23.4490543929614</v>
      </c>
      <c r="AN19" t="n">
        <v>23.47909513172055</v>
      </c>
      <c r="AO19" t="n">
        <v>23.62515841596204</v>
      </c>
      <c r="AP19" t="n">
        <v>22.92194211367318</v>
      </c>
      <c r="AQ19" t="n">
        <v>23.40229262523072</v>
      </c>
      <c r="AR19" t="n">
        <v>22.48422117785904</v>
      </c>
      <c r="AS19" t="n">
        <v>22.44384260393961</v>
      </c>
      <c r="AT19" t="n">
        <v>24.02539953830513</v>
      </c>
      <c r="AU19" t="n">
        <v>25.62800766147788</v>
      </c>
      <c r="AV19" t="n">
        <v>27.02137301728004</v>
      </c>
      <c r="AW19" t="n">
        <v>26.78133919746454</v>
      </c>
    </row>
    <row r="20">
      <c r="A20" t="inlineStr">
        <is>
          <t>no_year_in_pairs</t>
        </is>
      </c>
      <c r="C20" t="inlineStr">
        <is>
          <t>EBS.20.72, Sup. 1</t>
        </is>
      </c>
      <c r="D20" t="inlineStr">
        <is>
          <t>Dominica</t>
        </is>
      </c>
      <c r="E20" t="inlineStr">
        <is>
          <t>DMA</t>
        </is>
      </c>
      <c r="G20" t="inlineStr">
        <is>
          <t>2018gn</t>
        </is>
      </c>
      <c r="H20" t="n">
        <v>2019</v>
      </c>
      <c r="I20" t="inlineStr">
        <is>
          <t>amt.ext.ppg</t>
        </is>
      </c>
      <c r="K20" t="inlineStr">
        <is>
          <t>US Dollars</t>
        </is>
      </c>
      <c r="L20" t="inlineStr">
        <is>
          <t>Million</t>
        </is>
      </c>
      <c r="M20" t="inlineStr">
        <is>
          <t>Public and publicly guaranteed</t>
        </is>
      </c>
      <c r="P20" t="n">
        <v>10.8595925925926</v>
      </c>
      <c r="Q20" t="n">
        <v>10.443037037037</v>
      </c>
      <c r="R20" t="n">
        <v>10.0148518518519</v>
      </c>
      <c r="S20" t="n">
        <v>12.117</v>
      </c>
      <c r="T20" t="n">
        <v>10.4749040740741</v>
      </c>
      <c r="U20" t="n">
        <v>13.9658275718519</v>
      </c>
      <c r="V20" t="n">
        <v>18.5304636518442</v>
      </c>
      <c r="W20" t="n">
        <v>15.4373486064475</v>
      </c>
      <c r="X20" t="n">
        <v>17.3305127669757</v>
      </c>
      <c r="Y20" t="n">
        <v>21.201572452072</v>
      </c>
      <c r="Z20" t="n">
        <v>22.0565005988216</v>
      </c>
      <c r="AA20" t="n">
        <v>28.023203762928</v>
      </c>
      <c r="AB20" t="n">
        <v>24.6713968733609</v>
      </c>
      <c r="AC20" t="n">
        <v>23.2000262931217</v>
      </c>
      <c r="AD20" t="n">
        <v>20.56026573796296</v>
      </c>
      <c r="AE20" t="n">
        <v>19.35892920740741</v>
      </c>
      <c r="AF20" t="n">
        <v>21.72283074592593</v>
      </c>
      <c r="AG20" t="n">
        <v>19.37554563481481</v>
      </c>
      <c r="AH20" t="n">
        <v>18.23202283533567</v>
      </c>
      <c r="AI20" t="n">
        <v>21.61918769841484</v>
      </c>
      <c r="AJ20" t="n">
        <v>21.97412548266199</v>
      </c>
      <c r="AK20" t="n">
        <v>22.37008669225408</v>
      </c>
      <c r="AL20" t="n">
        <v>22.93538490400415</v>
      </c>
      <c r="AM20" t="n">
        <v>23.4490543929614</v>
      </c>
      <c r="AN20" t="n">
        <v>23.47909513172055</v>
      </c>
      <c r="AO20" t="n">
        <v>23.62515841596204</v>
      </c>
      <c r="AP20" t="n">
        <v>22.92194211367318</v>
      </c>
      <c r="AQ20" t="n">
        <v>23.40229262523072</v>
      </c>
      <c r="AR20" t="n">
        <v>22.48422117785904</v>
      </c>
      <c r="AS20" t="n">
        <v>22.44384260393961</v>
      </c>
      <c r="AT20" t="n">
        <v>24.02539953830513</v>
      </c>
      <c r="AU20" t="n">
        <v>25.62800766147788</v>
      </c>
      <c r="AV20" t="n">
        <v>27.02137301728004</v>
      </c>
      <c r="AW20" t="n">
        <v>26.78133919746454</v>
      </c>
    </row>
    <row r="21">
      <c r="A21" t="inlineStr">
        <is>
          <t>no_year_in_pairs</t>
        </is>
      </c>
      <c r="C21" t="inlineStr">
        <is>
          <t>EBS.20.72, Sup. 1</t>
        </is>
      </c>
      <c r="D21" t="inlineStr">
        <is>
          <t>Dominica</t>
        </is>
      </c>
      <c r="E21" t="inlineStr">
        <is>
          <t>DMA</t>
        </is>
      </c>
      <c r="G21" t="inlineStr">
        <is>
          <t>2018gn</t>
        </is>
      </c>
      <c r="H21" t="n">
        <v>2019</v>
      </c>
      <c r="I21" t="inlineStr">
        <is>
          <t>amt.ext.png</t>
        </is>
      </c>
      <c r="K21" t="inlineStr">
        <is>
          <t>US Dollars</t>
        </is>
      </c>
      <c r="L21" t="inlineStr">
        <is>
          <t>Million</t>
        </is>
      </c>
      <c r="M21" t="inlineStr">
        <is>
          <t xml:space="preserve">MLT private external debt </t>
        </is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no_year_in_pairs</t>
        </is>
      </c>
      <c r="C22" t="inlineStr">
        <is>
          <t>EBS.20.72, Sup. 1</t>
        </is>
      </c>
      <c r="D22" t="inlineStr">
        <is>
          <t>Dominica</t>
        </is>
      </c>
      <c r="E22" t="inlineStr">
        <is>
          <t>DMA</t>
        </is>
      </c>
      <c r="G22" t="inlineStr">
        <is>
          <t>2018gn</t>
        </is>
      </c>
      <c r="H22" t="n">
        <v>2019</v>
      </c>
      <c r="I22" t="inlineStr">
        <is>
          <t>amt.dom.all</t>
        </is>
      </c>
      <c r="K22" t="inlineStr">
        <is>
          <t>US Dollars</t>
        </is>
      </c>
      <c r="L22" t="inlineStr">
        <is>
          <t>Million</t>
        </is>
      </c>
      <c r="M22" t="inlineStr">
        <is>
          <t>Total MLT public domestic debt amortization debt</t>
        </is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5.128867407407407</v>
      </c>
      <c r="Y22" t="n">
        <v>3.267087259259259</v>
      </c>
      <c r="Z22" t="n">
        <v>1.939266111111111</v>
      </c>
      <c r="AA22" t="n">
        <v>1.432947592592593</v>
      </c>
      <c r="AB22" t="n">
        <v>8.670284777777777</v>
      </c>
      <c r="AC22" t="n">
        <v>3.015898777777782</v>
      </c>
      <c r="AD22" t="n">
        <v>7.008496503961395</v>
      </c>
      <c r="AE22" t="n">
        <v>0.8678939547479584</v>
      </c>
      <c r="AF22" t="n">
        <v>-0.7859033858228592</v>
      </c>
      <c r="AG22" t="n">
        <v>4.873034012160769</v>
      </c>
      <c r="AH22" t="n">
        <v>-2.788626062432838</v>
      </c>
      <c r="AI22" t="n">
        <v>-4.177987383710392</v>
      </c>
      <c r="AJ22" t="n">
        <v>-5.327989380158867</v>
      </c>
      <c r="AK22" t="n">
        <v>-0.2105608507677756</v>
      </c>
      <c r="AL22" t="n">
        <v>1.56419196303206</v>
      </c>
      <c r="AM22" t="n">
        <v>-5.682403893459952</v>
      </c>
      <c r="AN22" t="n">
        <v>-6.724743076121773</v>
      </c>
      <c r="AO22" t="n">
        <v>-5.315156198347589</v>
      </c>
      <c r="AP22" t="n">
        <v>-5.112651270014918</v>
      </c>
      <c r="AQ22" t="n">
        <v>-9.912620684313245</v>
      </c>
      <c r="AR22" t="n">
        <v>-5.636399878762573</v>
      </c>
      <c r="AS22" t="n">
        <v>-5.483555471317228</v>
      </c>
      <c r="AT22" t="n">
        <v>-5.185840633101854</v>
      </c>
      <c r="AU22" t="n">
        <v>-5.182106677149732</v>
      </c>
      <c r="AV22" t="n">
        <v>-4.549466198322968</v>
      </c>
      <c r="AW22" t="n">
        <v>-4.090995573931461</v>
      </c>
    </row>
    <row r="23">
      <c r="A23" t="inlineStr">
        <is>
          <t>no_year_in_pairs</t>
        </is>
      </c>
      <c r="C23" t="inlineStr">
        <is>
          <t>EBS.20.72, Sup. 1</t>
        </is>
      </c>
      <c r="D23" t="inlineStr">
        <is>
          <t>Dominica</t>
        </is>
      </c>
      <c r="E23" t="inlineStr">
        <is>
          <t>DMA</t>
        </is>
      </c>
      <c r="G23" t="inlineStr">
        <is>
          <t>2018gn</t>
        </is>
      </c>
      <c r="H23" t="n">
        <v>2019</v>
      </c>
    </row>
    <row r="24">
      <c r="A24" t="inlineStr">
        <is>
          <t>no_year_in_pairs</t>
        </is>
      </c>
      <c r="C24" t="inlineStr">
        <is>
          <t>EBS.20.72, Sup. 1</t>
        </is>
      </c>
      <c r="D24" t="inlineStr">
        <is>
          <t>Dominica</t>
        </is>
      </c>
      <c r="E24" t="inlineStr">
        <is>
          <t>DMA</t>
        </is>
      </c>
      <c r="G24" t="inlineStr">
        <is>
          <t>2018gn</t>
        </is>
      </c>
      <c r="H24" t="n">
        <v>2019</v>
      </c>
      <c r="I24" t="inlineStr">
        <is>
          <t>cab</t>
        </is>
      </c>
      <c r="K24" t="inlineStr">
        <is>
          <t>US Dollars</t>
        </is>
      </c>
      <c r="L24" t="inlineStr">
        <is>
          <t>Million</t>
        </is>
      </c>
      <c r="M24" t="inlineStr">
        <is>
          <t>Current account balance</t>
        </is>
      </c>
      <c r="P24" t="n">
        <v>-49.851557037037</v>
      </c>
      <c r="Q24" t="n">
        <v>-86.94947518518519</v>
      </c>
      <c r="R24" t="n">
        <v>-129.885324814815</v>
      </c>
      <c r="S24" t="n">
        <v>-111.079073703704</v>
      </c>
      <c r="T24" t="n">
        <v>-78.6036796296296</v>
      </c>
      <c r="U24" t="n">
        <v>-38.3675637037037</v>
      </c>
      <c r="V24" t="n">
        <v>-84.23725</v>
      </c>
      <c r="W24" t="n">
        <v>-49.4000222222222</v>
      </c>
      <c r="X24" t="n">
        <v>-28.1762</v>
      </c>
      <c r="Y24" t="n">
        <v>-25.1649</v>
      </c>
      <c r="Z24" t="n">
        <v>-44.1933</v>
      </c>
      <c r="AA24" t="n">
        <v>-46.2403</v>
      </c>
      <c r="AB24" t="n">
        <v>-237.8953</v>
      </c>
      <c r="AC24" t="n">
        <v>-164.6679</v>
      </c>
      <c r="AD24" t="n">
        <v>-171.5578</v>
      </c>
      <c r="AE24" t="n">
        <v>-146.784</v>
      </c>
      <c r="AF24" t="n">
        <v>-125.3649</v>
      </c>
      <c r="AG24" t="n">
        <v>-87.94889999999999</v>
      </c>
      <c r="AH24" t="n">
        <v>-74.9714</v>
      </c>
      <c r="AI24" t="n">
        <v>-70.60290000000001</v>
      </c>
      <c r="AJ24" t="n">
        <v>-32.9598</v>
      </c>
      <c r="AK24" t="n">
        <v>-34.2192</v>
      </c>
      <c r="AL24" t="n">
        <v>-35.5499</v>
      </c>
      <c r="AM24" t="n">
        <v>-36.9711</v>
      </c>
      <c r="AN24" t="n">
        <v>-38.5147</v>
      </c>
      <c r="AO24" t="n">
        <v>-40.1594</v>
      </c>
      <c r="AP24" t="n">
        <v>-41.7868</v>
      </c>
      <c r="AQ24" t="n">
        <v>-43.4459</v>
      </c>
      <c r="AR24" t="n">
        <v>-44.6461</v>
      </c>
      <c r="AS24" t="n">
        <v>-41.7685</v>
      </c>
      <c r="AT24" t="n">
        <v>-38.7438</v>
      </c>
      <c r="AU24" t="n">
        <v>-35.5952</v>
      </c>
      <c r="AV24" t="n">
        <v>-32.3021</v>
      </c>
      <c r="AW24" t="n">
        <v>-32.2071</v>
      </c>
    </row>
    <row r="25">
      <c r="A25" t="inlineStr">
        <is>
          <t>no_year_in_pairs</t>
        </is>
      </c>
      <c r="C25" t="inlineStr">
        <is>
          <t>EBS.20.72, Sup. 1</t>
        </is>
      </c>
      <c r="D25" t="inlineStr">
        <is>
          <t>Dominica</t>
        </is>
      </c>
      <c r="E25" t="inlineStr">
        <is>
          <t>DMA</t>
        </is>
      </c>
      <c r="G25" t="inlineStr">
        <is>
          <t>2018gn</t>
        </is>
      </c>
      <c r="H25" t="n">
        <v>2019</v>
      </c>
      <c r="I25" t="inlineStr">
        <is>
          <t>tb.x.gs</t>
        </is>
      </c>
      <c r="K25" t="inlineStr">
        <is>
          <t>US Dollars</t>
        </is>
      </c>
      <c r="L25" t="inlineStr">
        <is>
          <t>Million</t>
        </is>
      </c>
      <c r="M25" t="inlineStr">
        <is>
          <t>Exports of goods and services</t>
        </is>
      </c>
      <c r="P25" t="n">
        <v>144.430703333333</v>
      </c>
      <c r="Q25" t="n">
        <v>147.844255185185</v>
      </c>
      <c r="R25" t="n">
        <v>156.733717037037</v>
      </c>
      <c r="S25" t="n">
        <v>147.949173703704</v>
      </c>
      <c r="T25" t="n">
        <v>175.645608518519</v>
      </c>
      <c r="U25" t="n">
        <v>188.272808518519</v>
      </c>
      <c r="V25" t="n">
        <v>158.361769259259</v>
      </c>
      <c r="W25" t="n">
        <v>193.466980740741</v>
      </c>
      <c r="X25" t="n">
        <v>280.156433639978</v>
      </c>
      <c r="Y25" t="n">
        <v>268.226050689952</v>
      </c>
      <c r="Z25" t="n">
        <v>269.649442948984</v>
      </c>
      <c r="AA25" t="n">
        <v>217.536249507622</v>
      </c>
      <c r="AB25" t="n">
        <v>157.756001316958</v>
      </c>
      <c r="AC25" t="n">
        <v>221.822469350453</v>
      </c>
      <c r="AD25" t="n">
        <v>117.424354621214</v>
      </c>
      <c r="AE25" t="n">
        <v>157.177534009104</v>
      </c>
      <c r="AF25" t="n">
        <v>173.972720599688</v>
      </c>
      <c r="AG25" t="n">
        <v>188.071812605143</v>
      </c>
      <c r="AH25" t="n">
        <v>207.763677922299</v>
      </c>
      <c r="AI25" t="n">
        <v>221.575653231845</v>
      </c>
      <c r="AJ25" t="n">
        <v>229.418002367136</v>
      </c>
      <c r="AK25" t="n">
        <v>237.480065348526</v>
      </c>
      <c r="AL25" t="n">
        <v>245.814423799112</v>
      </c>
      <c r="AM25" t="n">
        <v>254.45528045705</v>
      </c>
      <c r="AN25" t="n">
        <v>263.401159355014</v>
      </c>
      <c r="AO25" t="n">
        <v>273.370964975635</v>
      </c>
      <c r="AP25" t="n">
        <v>282.984567537104</v>
      </c>
      <c r="AQ25" t="n">
        <v>292.937530268994</v>
      </c>
      <c r="AR25" t="n">
        <v>303.241832585319</v>
      </c>
      <c r="AS25" t="n">
        <v>313.90987677341</v>
      </c>
      <c r="AT25" t="n">
        <v>324.954502921341</v>
      </c>
      <c r="AU25" t="n">
        <v>336.389004372294</v>
      </c>
      <c r="AV25" t="n">
        <v>348.227143724466</v>
      </c>
      <c r="AW25" t="n">
        <v>360.483169395769</v>
      </c>
    </row>
    <row r="26">
      <c r="A26" t="inlineStr">
        <is>
          <t>no_year_in_pairs</t>
        </is>
      </c>
      <c r="C26" t="inlineStr">
        <is>
          <t>EBS.20.72, Sup. 1</t>
        </is>
      </c>
      <c r="D26" t="inlineStr">
        <is>
          <t>Dominica</t>
        </is>
      </c>
      <c r="E26" t="inlineStr">
        <is>
          <t>DMA</t>
        </is>
      </c>
      <c r="G26" t="inlineStr">
        <is>
          <t>2018gn</t>
        </is>
      </c>
      <c r="H26" t="n">
        <v>2019</v>
      </c>
      <c r="I26" t="inlineStr">
        <is>
          <t>tb.m.gs</t>
        </is>
      </c>
      <c r="K26" t="inlineStr">
        <is>
          <t>US Dollars</t>
        </is>
      </c>
      <c r="L26" t="inlineStr">
        <is>
          <t>Million</t>
        </is>
      </c>
      <c r="M26" t="inlineStr">
        <is>
          <t>Imports of goods and services (use positive values)</t>
        </is>
      </c>
      <c r="P26" t="n">
        <v>198.852566296296</v>
      </c>
      <c r="Q26" t="n">
        <v>236.331767407407</v>
      </c>
      <c r="R26" t="n">
        <v>287.322125925926</v>
      </c>
      <c r="S26" t="n">
        <v>264.465896666667</v>
      </c>
      <c r="T26" t="n">
        <v>264.518701111111</v>
      </c>
      <c r="U26" t="n">
        <v>232.585214074074</v>
      </c>
      <c r="V26" t="n">
        <v>249.877325925926</v>
      </c>
      <c r="W26" t="n">
        <v>243.662774814815</v>
      </c>
      <c r="X26" t="n">
        <v>338.473756263165</v>
      </c>
      <c r="Y26" t="n">
        <v>326.494116659552</v>
      </c>
      <c r="Z26" t="n">
        <v>329.423042735008</v>
      </c>
      <c r="AA26" t="n">
        <v>319.925536225808</v>
      </c>
      <c r="AB26" t="n">
        <v>419.718829232616</v>
      </c>
      <c r="AC26" t="n">
        <v>417.679423786734</v>
      </c>
      <c r="AD26" t="n">
        <v>312.263160413084</v>
      </c>
      <c r="AE26" t="n">
        <v>317.948140998077</v>
      </c>
      <c r="AF26" t="n">
        <v>314.102760393971</v>
      </c>
      <c r="AG26" t="n">
        <v>297.685169083796</v>
      </c>
      <c r="AH26" t="n">
        <v>306.807296282397</v>
      </c>
      <c r="AI26" t="n">
        <v>316.895813833035</v>
      </c>
      <c r="AJ26" t="n">
        <v>288.056142855923</v>
      </c>
      <c r="AK26" t="n">
        <v>298.363316226923</v>
      </c>
      <c r="AL26" t="n">
        <v>309.023603160811</v>
      </c>
      <c r="AM26" t="n">
        <v>320.08105727928</v>
      </c>
      <c r="AN26" t="n">
        <v>331.560289655708</v>
      </c>
      <c r="AO26" t="n">
        <v>344.300844981837</v>
      </c>
      <c r="AP26" t="n">
        <v>356.649457722061</v>
      </c>
      <c r="AQ26" t="n">
        <v>369.416791367244</v>
      </c>
      <c r="AR26" t="n">
        <v>381.915159136672</v>
      </c>
      <c r="AS26" t="n">
        <v>390.92005726729</v>
      </c>
      <c r="AT26" t="n">
        <v>400.196529009445</v>
      </c>
      <c r="AU26" t="n">
        <v>409.753590688564</v>
      </c>
      <c r="AV26" t="n">
        <v>419.600575256819</v>
      </c>
      <c r="AW26" t="n">
        <v>433.092636600109</v>
      </c>
    </row>
    <row r="27">
      <c r="A27" t="inlineStr">
        <is>
          <t>no_year_in_pairs</t>
        </is>
      </c>
      <c r="C27" t="inlineStr">
        <is>
          <t>EBS.20.72, Sup. 1</t>
        </is>
      </c>
      <c r="D27" t="inlineStr">
        <is>
          <t>Dominica</t>
        </is>
      </c>
      <c r="E27" t="inlineStr">
        <is>
          <t>DMA</t>
        </is>
      </c>
      <c r="G27" t="inlineStr">
        <is>
          <t>2018gn</t>
        </is>
      </c>
      <c r="H27" t="n">
        <v>2019</v>
      </c>
      <c r="I27" t="inlineStr">
        <is>
          <t>net.crt.trsfr.all</t>
        </is>
      </c>
      <c r="K27" t="inlineStr">
        <is>
          <t>US Dollars</t>
        </is>
      </c>
      <c r="L27" t="inlineStr">
        <is>
          <t>Million</t>
        </is>
      </c>
      <c r="M27" t="inlineStr">
        <is>
          <t>Current transfers, net total</t>
        </is>
      </c>
      <c r="P27" t="n">
        <v>19.5746222222222</v>
      </c>
      <c r="Q27" t="n">
        <v>21.1529037037037</v>
      </c>
      <c r="R27" t="n">
        <v>19.0391592592593</v>
      </c>
      <c r="S27" t="n">
        <v>19.091697037037</v>
      </c>
      <c r="T27" t="n">
        <v>19.7106051851852</v>
      </c>
      <c r="U27" t="n">
        <v>16.4926296296296</v>
      </c>
      <c r="V27" t="n">
        <v>16.8094333333333</v>
      </c>
      <c r="W27" t="n">
        <v>20.3030940740741</v>
      </c>
      <c r="X27" t="n">
        <v>46.785045465178</v>
      </c>
      <c r="Y27" t="n">
        <v>51.9963914916454</v>
      </c>
      <c r="Z27" t="n">
        <v>36.7094019226952</v>
      </c>
      <c r="AA27" t="n">
        <v>54.3331757745301</v>
      </c>
      <c r="AB27" t="n">
        <v>24.6570832967474</v>
      </c>
      <c r="AC27" t="n">
        <v>25.3854865165423</v>
      </c>
      <c r="AD27" t="n">
        <v>17.8698610235461</v>
      </c>
      <c r="AE27" t="n">
        <v>14.5483904861927</v>
      </c>
      <c r="AF27" t="n">
        <v>18.2863294867906</v>
      </c>
      <c r="AG27" t="n">
        <v>20.2423005397285</v>
      </c>
      <c r="AH27" t="n">
        <v>22.199489363783</v>
      </c>
      <c r="AI27" t="n">
        <v>24.1580024006549</v>
      </c>
      <c r="AJ27" t="n">
        <v>24.9711347403027</v>
      </c>
      <c r="AK27" t="n">
        <v>25.8065750698025</v>
      </c>
      <c r="AL27" t="n">
        <v>26.6694032943464</v>
      </c>
      <c r="AM27" t="n">
        <v>27.5629324584399</v>
      </c>
      <c r="AN27" t="n">
        <v>28.487045186582</v>
      </c>
      <c r="AO27" t="n">
        <v>29.5108971287104</v>
      </c>
      <c r="AP27" t="n">
        <v>30.5017991146923</v>
      </c>
      <c r="AQ27" t="n">
        <v>31.5266632871262</v>
      </c>
      <c r="AR27" t="n">
        <v>32.3846138714861</v>
      </c>
      <c r="AS27" t="n">
        <v>33.4365272612122</v>
      </c>
      <c r="AT27" t="n">
        <v>34.5170922551364</v>
      </c>
      <c r="AU27" t="n">
        <v>35.6258195023456</v>
      </c>
      <c r="AV27" t="n">
        <v>36.7619061360341</v>
      </c>
      <c r="AW27" t="n">
        <v>37.9241655362059</v>
      </c>
    </row>
    <row r="28">
      <c r="A28" t="inlineStr">
        <is>
          <t>no_year_in_pairs</t>
        </is>
      </c>
      <c r="C28" t="inlineStr">
        <is>
          <t>EBS.20.72, Sup. 1</t>
        </is>
      </c>
      <c r="D28" t="inlineStr">
        <is>
          <t>Dominica</t>
        </is>
      </c>
      <c r="E28" t="inlineStr">
        <is>
          <t>DMA</t>
        </is>
      </c>
      <c r="G28" t="inlineStr">
        <is>
          <t>2018gn</t>
        </is>
      </c>
      <c r="H28" t="n">
        <v>2019</v>
      </c>
      <c r="I28" t="inlineStr">
        <is>
          <t>net.crt.trsfr.off</t>
        </is>
      </c>
      <c r="K28" t="inlineStr">
        <is>
          <t>US Dollars</t>
        </is>
      </c>
      <c r="L28" t="inlineStr">
        <is>
          <t>Million</t>
        </is>
      </c>
      <c r="M28" t="inlineStr">
        <is>
          <t>Current transfers, official</t>
        </is>
      </c>
      <c r="P28" t="n">
        <v>0.283103703703704</v>
      </c>
      <c r="Q28" t="n">
        <v>-0.338074074074074</v>
      </c>
      <c r="R28" t="n">
        <v>-0.0583888888888887</v>
      </c>
      <c r="S28" t="n">
        <v>0.301585925925926</v>
      </c>
      <c r="T28" t="n">
        <v>0.6466548148148149</v>
      </c>
      <c r="U28" t="n">
        <v>-2.05263814814815</v>
      </c>
      <c r="V28" t="n">
        <v>0.411555555555556</v>
      </c>
      <c r="W28" t="n">
        <v>5.41194222222222</v>
      </c>
      <c r="X28" t="n">
        <v>12.4968708181635</v>
      </c>
      <c r="Y28" t="n">
        <v>16.469419727037</v>
      </c>
      <c r="Z28" t="n">
        <v>10.27441482</v>
      </c>
      <c r="AA28" t="n">
        <v>27.521032737037</v>
      </c>
      <c r="AB28" t="n">
        <v>2.20322378240741</v>
      </c>
      <c r="AC28" t="n">
        <v>5.27940617915271</v>
      </c>
      <c r="AD28" t="n">
        <v>5.92131183530108</v>
      </c>
      <c r="AE28" t="n">
        <v>0.7479894460958549</v>
      </c>
      <c r="AF28" t="n">
        <v>2.63407659484183</v>
      </c>
      <c r="AG28" t="n">
        <v>2.73819579592794</v>
      </c>
      <c r="AH28" t="n">
        <v>2.84353276813062</v>
      </c>
      <c r="AI28" t="n">
        <v>2.9501939531506</v>
      </c>
      <c r="AJ28" t="n">
        <v>3.00919783221361</v>
      </c>
      <c r="AK28" t="n">
        <v>3.06938178885788</v>
      </c>
      <c r="AL28" t="n">
        <v>3.13076942463504</v>
      </c>
      <c r="AM28" t="n">
        <v>3.19338481312774</v>
      </c>
      <c r="AN28" t="n">
        <v>3.25725250939029</v>
      </c>
      <c r="AO28" t="n">
        <v>3.3223975595781</v>
      </c>
      <c r="AP28" t="n">
        <v>3.38884551076966</v>
      </c>
      <c r="AQ28" t="n">
        <v>3.45662242098506</v>
      </c>
      <c r="AR28" t="n">
        <v>3.32370056277017</v>
      </c>
      <c r="AS28" t="n">
        <v>3.34976371269866</v>
      </c>
      <c r="AT28" t="n">
        <v>3.36826595336033</v>
      </c>
      <c r="AU28" t="n">
        <v>3.37743963211677</v>
      </c>
      <c r="AV28" t="n">
        <v>3.3751584563862</v>
      </c>
      <c r="AW28" t="n">
        <v>3.35886566346642</v>
      </c>
    </row>
    <row r="29">
      <c r="A29" t="inlineStr">
        <is>
          <t>no_year_in_pairs</t>
        </is>
      </c>
      <c r="C29" t="inlineStr">
        <is>
          <t>EBS.20.72, Sup. 1</t>
        </is>
      </c>
      <c r="D29" t="inlineStr">
        <is>
          <t>Dominica</t>
        </is>
      </c>
      <c r="E29" t="inlineStr">
        <is>
          <t>DMA</t>
        </is>
      </c>
      <c r="G29" t="inlineStr">
        <is>
          <t>2018gn</t>
        </is>
      </c>
      <c r="H29" t="n">
        <v>2019</v>
      </c>
    </row>
    <row r="30">
      <c r="A30" t="inlineStr">
        <is>
          <t>no_year_in_pairs</t>
        </is>
      </c>
      <c r="C30" t="inlineStr">
        <is>
          <t>EBS.20.72, Sup. 1</t>
        </is>
      </c>
      <c r="D30" t="inlineStr">
        <is>
          <t>Dominica</t>
        </is>
      </c>
      <c r="E30" t="inlineStr">
        <is>
          <t>DMA</t>
        </is>
      </c>
      <c r="G30" t="inlineStr">
        <is>
          <t>2018gn</t>
        </is>
      </c>
      <c r="H30" t="n">
        <v>2019</v>
      </c>
      <c r="I30" t="inlineStr">
        <is>
          <t>net.fdi.exc.dbt.liab</t>
        </is>
      </c>
      <c r="K30" t="inlineStr">
        <is>
          <t>US Dollars</t>
        </is>
      </c>
      <c r="L30" t="inlineStr">
        <is>
          <t>Million</t>
        </is>
      </c>
      <c r="M30" t="inlineStr">
        <is>
          <t>Net foreign direct investment, excluding debt-creating liabilities</t>
        </is>
      </c>
      <c r="P30" t="n">
        <v>25.9075259259259</v>
      </c>
      <c r="Q30" t="n">
        <v>40.4867748148148</v>
      </c>
      <c r="R30" t="n">
        <v>56.548262962963</v>
      </c>
      <c r="S30" t="n">
        <v>57.2355003703704</v>
      </c>
      <c r="T30" t="n">
        <v>42.8602237037037</v>
      </c>
      <c r="U30" t="n">
        <v>34.563342962963</v>
      </c>
      <c r="V30" t="n">
        <v>58.5227703703704</v>
      </c>
      <c r="W30" t="n">
        <v>23.3483366666667</v>
      </c>
      <c r="X30" t="n">
        <v>14.0999498402072</v>
      </c>
      <c r="Y30" t="n">
        <v>18.6645932496296</v>
      </c>
      <c r="Z30" t="n">
        <v>41.382233847963</v>
      </c>
      <c r="AA30" t="n">
        <v>22.7345750641394</v>
      </c>
      <c r="AB30" t="n">
        <v>76.5091822510061</v>
      </c>
      <c r="AC30" t="n">
        <v>36.6466968518519</v>
      </c>
      <c r="AD30" t="n">
        <v>18.2171687037037</v>
      </c>
      <c r="AE30" t="n">
        <v>30.6699540740741</v>
      </c>
      <c r="AF30" t="n">
        <v>32.7162915185185</v>
      </c>
      <c r="AG30" t="n">
        <v>34.40072</v>
      </c>
      <c r="AH30" t="n">
        <v>34.834426962963</v>
      </c>
      <c r="AI30" t="n">
        <v>40.0402791111111</v>
      </c>
      <c r="AJ30" t="n">
        <v>41.4640905555556</v>
      </c>
      <c r="AK30" t="n">
        <v>42.9277682222222</v>
      </c>
      <c r="AL30" t="n">
        <v>44.4408881111111</v>
      </c>
      <c r="AM30" t="n">
        <v>46.0096463333333</v>
      </c>
      <c r="AN30" t="n">
        <v>47.6337832222222</v>
      </c>
      <c r="AO30" t="n">
        <v>49.4438055555555</v>
      </c>
      <c r="AP30" t="n">
        <v>51.1891666666667</v>
      </c>
      <c r="AQ30" t="n">
        <v>52.9961405555555</v>
      </c>
      <c r="AR30" t="n">
        <v>54.8668995555555</v>
      </c>
      <c r="AS30" t="n">
        <v>55.799636848</v>
      </c>
      <c r="AT30" t="n">
        <v>56.748230674416</v>
      </c>
      <c r="AU30" t="n">
        <v>57.712950595881</v>
      </c>
      <c r="AV30" t="n">
        <v>58.694070756011</v>
      </c>
      <c r="AW30" t="n">
        <v>59.6918699588632</v>
      </c>
    </row>
    <row r="31">
      <c r="A31" t="inlineStr">
        <is>
          <t>no_year_in_pairs</t>
        </is>
      </c>
      <c r="C31" t="inlineStr">
        <is>
          <t>EBS.20.72, Sup. 1</t>
        </is>
      </c>
      <c r="D31" t="inlineStr">
        <is>
          <t>Dominica</t>
        </is>
      </c>
      <c r="E31" t="inlineStr">
        <is>
          <t>DMA</t>
        </is>
      </c>
      <c r="G31" t="inlineStr">
        <is>
          <t>2018gn</t>
        </is>
      </c>
      <c r="H31" t="n">
        <v>2019</v>
      </c>
      <c r="I31" t="inlineStr">
        <is>
          <t>exc.fin</t>
        </is>
      </c>
      <c r="K31" t="inlineStr">
        <is>
          <t>US Dollars</t>
        </is>
      </c>
      <c r="L31" t="inlineStr">
        <is>
          <t>Million</t>
        </is>
      </c>
      <c r="M31" t="inlineStr">
        <is>
          <t>Exceptional financing</t>
        </is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1e-06</v>
      </c>
      <c r="AS31" t="n">
        <v>2e-06</v>
      </c>
      <c r="AT31" t="n">
        <v>3e-06</v>
      </c>
      <c r="AU31" t="n">
        <v>4e-06</v>
      </c>
      <c r="AV31" t="n">
        <v>0</v>
      </c>
      <c r="AW31" t="n">
        <v>0</v>
      </c>
    </row>
    <row r="32">
      <c r="A32" t="inlineStr">
        <is>
          <t>no_year_in_pairs</t>
        </is>
      </c>
      <c r="C32" t="inlineStr">
        <is>
          <t>EBS.20.72, Sup. 1</t>
        </is>
      </c>
      <c r="D32" t="inlineStr">
        <is>
          <t>Dominica</t>
        </is>
      </c>
      <c r="E32" t="inlineStr">
        <is>
          <t>DMA</t>
        </is>
      </c>
      <c r="G32" t="inlineStr">
        <is>
          <t>2018gn</t>
        </is>
      </c>
      <c r="H32" t="n">
        <v>2019</v>
      </c>
      <c r="I32" t="inlineStr">
        <is>
          <t>grss.res</t>
        </is>
      </c>
      <c r="K32" t="inlineStr">
        <is>
          <t>US Dollars</t>
        </is>
      </c>
      <c r="L32" t="inlineStr">
        <is>
          <t>Million</t>
        </is>
      </c>
      <c r="M32" t="inlineStr">
        <is>
          <t>Gross Reserves (Flow, negative = increase)</t>
        </is>
      </c>
      <c r="P32" t="n">
        <v>15.6670031632964</v>
      </c>
      <c r="Q32" t="n">
        <v>-5.04176315996592</v>
      </c>
      <c r="R32" t="n">
        <v>-2.10980423199968</v>
      </c>
      <c r="S32" t="n">
        <v>1.3591853727442</v>
      </c>
      <c r="T32" t="n">
        <v>0.849051379785887</v>
      </c>
      <c r="U32" t="n">
        <v>5.29566451327796</v>
      </c>
      <c r="V32" t="n">
        <v>16.5995931845609</v>
      </c>
      <c r="W32" t="n">
        <v>-9.193493747036019</v>
      </c>
      <c r="X32" t="n">
        <v>12.9772035796858</v>
      </c>
      <c r="Y32" t="n">
        <v>32.0459112828683</v>
      </c>
      <c r="Z32" t="n">
        <v>93.9093398248645</v>
      </c>
      <c r="AA32" t="n">
        <v>-11.1794752339336</v>
      </c>
      <c r="AB32" t="n">
        <v>-22.4472738319679</v>
      </c>
      <c r="AC32" t="n">
        <v>-0.3462388710193759</v>
      </c>
      <c r="AD32" t="n">
        <v>-12.0786756200117</v>
      </c>
      <c r="AE32" t="n">
        <v>1.46452274183306</v>
      </c>
      <c r="AF32" t="n">
        <v>1.60053851279551</v>
      </c>
      <c r="AG32" t="n">
        <v>1.96036054524974</v>
      </c>
      <c r="AH32" t="n">
        <v>2.02939422032244</v>
      </c>
      <c r="AI32" t="n">
        <v>2.09803381966175</v>
      </c>
      <c r="AJ32" t="n">
        <v>3.90265435627012</v>
      </c>
      <c r="AK32" t="n">
        <v>3.98070744339552</v>
      </c>
      <c r="AL32" t="n">
        <v>4.060321592263429</v>
      </c>
      <c r="AM32" t="n">
        <v>4.1415280241087</v>
      </c>
      <c r="AN32" t="n">
        <v>4.22435858459087</v>
      </c>
      <c r="AO32" t="n">
        <v>4.30884575628269</v>
      </c>
      <c r="AP32" t="n">
        <v>4.39502267140834</v>
      </c>
      <c r="AQ32" t="n">
        <v>4.48292312483651</v>
      </c>
      <c r="AR32" t="n">
        <v>4.572581587333239</v>
      </c>
      <c r="AS32" t="n">
        <v>4.66403321907991</v>
      </c>
      <c r="AT32" t="n">
        <v>4.757313883461499</v>
      </c>
      <c r="AU32" t="n">
        <v>4.852460161130741</v>
      </c>
      <c r="AV32" t="n">
        <v>4.94950936435335</v>
      </c>
      <c r="AW32" t="n">
        <v>5.04849955164042</v>
      </c>
    </row>
    <row r="33">
      <c r="A33" t="inlineStr">
        <is>
          <t>no_year_in_pairs</t>
        </is>
      </c>
      <c r="C33" t="inlineStr">
        <is>
          <t>EBS.20.72, Sup. 1</t>
        </is>
      </c>
      <c r="D33" t="inlineStr">
        <is>
          <t>Dominica</t>
        </is>
      </c>
      <c r="E33" t="inlineStr">
        <is>
          <t>DMA</t>
        </is>
      </c>
      <c r="G33" t="inlineStr">
        <is>
          <t>2018gn</t>
        </is>
      </c>
      <c r="H33" t="n">
        <v>2019</v>
      </c>
      <c r="I33" t="inlineStr">
        <is>
          <t>fuel.cmdt.xprt.shr</t>
        </is>
      </c>
      <c r="M33" t="inlineStr">
        <is>
          <t>Share of commodity exports (fuel) (% of exports of G&amp;S)</t>
        </is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</row>
    <row r="34">
      <c r="A34" t="inlineStr">
        <is>
          <t>no_year_in_pairs</t>
        </is>
      </c>
      <c r="C34" t="inlineStr">
        <is>
          <t>EBS.20.72, Sup. 1</t>
        </is>
      </c>
      <c r="D34" t="inlineStr">
        <is>
          <t>Dominica</t>
        </is>
      </c>
      <c r="E34" t="inlineStr">
        <is>
          <t>DMA</t>
        </is>
      </c>
      <c r="G34" t="inlineStr">
        <is>
          <t>2018gn</t>
        </is>
      </c>
      <c r="H34" t="n">
        <v>2019</v>
      </c>
      <c r="I34" t="inlineStr">
        <is>
          <t>non.fuel.cmdt.xprt.shr</t>
        </is>
      </c>
      <c r="M34" t="inlineStr">
        <is>
          <t>Share of commodity exports (non-fuel) (% of exports of G&amp;S)</t>
        </is>
      </c>
      <c r="P34" t="n">
        <v>0.3064471448603124</v>
      </c>
      <c r="Q34" t="n">
        <v>0.2639248906899627</v>
      </c>
      <c r="R34" t="n">
        <v>0.2800069590074922</v>
      </c>
      <c r="S34" t="n">
        <v>0.2488472386271365</v>
      </c>
      <c r="T34" t="n">
        <v>0.2210545804349136</v>
      </c>
      <c r="U34" t="n">
        <v>0.1778693370175951</v>
      </c>
      <c r="V34" t="n">
        <v>0.231694748940961</v>
      </c>
      <c r="W34" t="n">
        <v>0.1982664271193613</v>
      </c>
      <c r="X34" t="n">
        <v>0.1374745079077704</v>
      </c>
      <c r="Y34" t="n">
        <v>0.1300266859182243</v>
      </c>
      <c r="Z34" t="n">
        <v>0.09428873588371414</v>
      </c>
      <c r="AA34" t="n">
        <v>0.05979522816779251</v>
      </c>
      <c r="AB34" t="n">
        <v>0.08127633095549446</v>
      </c>
      <c r="AC34" t="n">
        <v>0.06544901494530113</v>
      </c>
      <c r="AD34" t="n">
        <v>0.1194522342881784</v>
      </c>
      <c r="AE34" t="n">
        <v>0.09422795653073006</v>
      </c>
      <c r="AF34" t="n">
        <v>0.08950744941725725</v>
      </c>
      <c r="AG34" t="n">
        <v>0.08635207009404232</v>
      </c>
      <c r="AH34" t="n">
        <v>0.08110907790070099</v>
      </c>
      <c r="AI34" t="n">
        <v>0.0787377992229044</v>
      </c>
      <c r="AJ34" t="n">
        <v>0.07859058746155745</v>
      </c>
      <c r="AK34" t="n">
        <v>0.07844938658224827</v>
      </c>
      <c r="AL34" t="n">
        <v>0.07831315320566085</v>
      </c>
      <c r="AM34" t="n">
        <v>0.0781813324373431</v>
      </c>
      <c r="AN34" t="n">
        <v>0.07805397047757769</v>
      </c>
      <c r="AO34" t="n">
        <v>0.07792185232527554</v>
      </c>
      <c r="AP34" t="n">
        <v>0.07780327083766145</v>
      </c>
      <c r="AQ34" t="n">
        <v>0.07768870359038259</v>
      </c>
      <c r="AR34" t="n">
        <v>0.07757801564350465</v>
      </c>
      <c r="AS34" t="n">
        <v>0.07747107652960142</v>
      </c>
      <c r="AT34" t="n">
        <v>0.07736776010977103</v>
      </c>
      <c r="AU34" t="n">
        <v>0.07726794443400209</v>
      </c>
      <c r="AV34" t="n">
        <v>0.07717151160577468</v>
      </c>
      <c r="AW34" t="n">
        <v>0.07707834765078889</v>
      </c>
    </row>
    <row r="35">
      <c r="A35" t="inlineStr">
        <is>
          <t>no_year_in_pairs</t>
        </is>
      </c>
      <c r="C35" t="inlineStr">
        <is>
          <t>EBS.20.72, Sup. 1</t>
        </is>
      </c>
      <c r="D35" t="inlineStr">
        <is>
          <t>Dominica</t>
        </is>
      </c>
      <c r="E35" t="inlineStr">
        <is>
          <t>DMA</t>
        </is>
      </c>
      <c r="G35" t="inlineStr">
        <is>
          <t>2018gn</t>
        </is>
      </c>
      <c r="H35" t="n">
        <v>2019</v>
      </c>
      <c r="I35" t="inlineStr">
        <is>
          <t>fuel.cmdt.impt.shr</t>
        </is>
      </c>
      <c r="M35" t="inlineStr">
        <is>
          <t>Share of commodity imports (fuel) (% of imports of G&amp;S)</t>
        </is>
      </c>
      <c r="P35" t="n">
        <v>0.1142474080401379</v>
      </c>
      <c r="Q35" t="n">
        <v>0.1252735244890484</v>
      </c>
      <c r="R35" t="n">
        <v>0.1510665471432284</v>
      </c>
      <c r="S35" t="n">
        <v>0.1226901319675999</v>
      </c>
      <c r="T35" t="n">
        <v>0.1215386776833269</v>
      </c>
      <c r="U35" t="n">
        <v>0.1784532997876406</v>
      </c>
      <c r="V35" t="n">
        <v>0.1651534870192155</v>
      </c>
      <c r="W35" t="n">
        <v>0.1656228627527613</v>
      </c>
      <c r="X35" t="n">
        <v>0.1243356073566263</v>
      </c>
      <c r="Y35" t="n">
        <v>0.08996285060360727</v>
      </c>
      <c r="Z35" t="n">
        <v>0.08485898135213951</v>
      </c>
      <c r="AA35" t="n">
        <v>0.08697650913877036</v>
      </c>
      <c r="AB35" t="n">
        <v>0.08578890710174959</v>
      </c>
      <c r="AC35" t="n">
        <v>0.07753499360812631</v>
      </c>
      <c r="AD35" t="n">
        <v>0.060132336893231</v>
      </c>
      <c r="AE35" t="n">
        <v>0.05652456077439968</v>
      </c>
      <c r="AF35" t="n">
        <v>0.05561797541596236</v>
      </c>
      <c r="AG35" t="n">
        <v>0.06196655358726268</v>
      </c>
      <c r="AH35" t="n">
        <v>0.0564198111547136</v>
      </c>
      <c r="AI35" t="n">
        <v>0.05072091770035188</v>
      </c>
      <c r="AJ35" t="n">
        <v>0.05823374293159075</v>
      </c>
      <c r="AK35" t="n">
        <v>0.05865315122865759</v>
      </c>
      <c r="AL35" t="n">
        <v>0.0590741413815728</v>
      </c>
      <c r="AM35" t="n">
        <v>0.05949960124314496</v>
      </c>
      <c r="AN35" t="n">
        <v>0.05992340672015142</v>
      </c>
      <c r="AO35" t="n">
        <v>0.06043684988147827</v>
      </c>
      <c r="AP35" t="n">
        <v>0.06086719370764827</v>
      </c>
      <c r="AQ35" t="n">
        <v>0.06130461628500733</v>
      </c>
      <c r="AR35" t="n">
        <v>0.06186255720165671</v>
      </c>
      <c r="AS35" t="n">
        <v>0.06305096525675967</v>
      </c>
      <c r="AT35" t="n">
        <v>0.06425269622070444</v>
      </c>
      <c r="AU35" t="n">
        <v>0.06546766587947606</v>
      </c>
      <c r="AV35" t="n">
        <v>0.06669580021849315</v>
      </c>
      <c r="AW35" t="n">
        <v>0.0674122326089731</v>
      </c>
    </row>
    <row r="36">
      <c r="A36" t="inlineStr">
        <is>
          <t>no_year_in_pairs</t>
        </is>
      </c>
      <c r="C36" t="inlineStr">
        <is>
          <t>EBS.20.72, Sup. 1</t>
        </is>
      </c>
      <c r="D36" t="inlineStr">
        <is>
          <t>Dominica</t>
        </is>
      </c>
      <c r="E36" t="inlineStr">
        <is>
          <t>DMA</t>
        </is>
      </c>
      <c r="G36" t="inlineStr">
        <is>
          <t>2018gn</t>
        </is>
      </c>
      <c r="H36" t="n">
        <v>2019</v>
      </c>
      <c r="I36" t="inlineStr">
        <is>
          <t>non.fuel.cmdt.impt.shr</t>
        </is>
      </c>
      <c r="M36" t="inlineStr">
        <is>
          <t>Share of commodity imports (non-fuel) (% of imports of G&amp;S)</t>
        </is>
      </c>
      <c r="P36" t="n">
        <v>0.6243327563831496</v>
      </c>
      <c r="Q36" t="n">
        <v>0.6039741267553794</v>
      </c>
      <c r="R36" t="n">
        <v>0.6054955714049881</v>
      </c>
      <c r="S36" t="n">
        <v>0.6268399513209806</v>
      </c>
      <c r="T36" t="n">
        <v>0.6229139126063296</v>
      </c>
      <c r="U36" t="n">
        <v>0.5383369548229534</v>
      </c>
      <c r="V36" t="n">
        <v>0.5684702031121109</v>
      </c>
      <c r="W36" t="n">
        <v>0.5675034310473523</v>
      </c>
      <c r="X36" t="n">
        <v>0.4743655296626019</v>
      </c>
      <c r="Y36" t="n">
        <v>0.5083840437891239</v>
      </c>
      <c r="Z36" t="n">
        <v>0.4857942858087542</v>
      </c>
      <c r="AA36" t="n">
        <v>0.4577151290173639</v>
      </c>
      <c r="AB36" t="n">
        <v>0.5920891183377874</v>
      </c>
      <c r="AC36" t="n">
        <v>0.5035458375147968</v>
      </c>
      <c r="AD36" t="n">
        <v>0.5527439716299377</v>
      </c>
      <c r="AE36" t="n">
        <v>0.5648433266149779</v>
      </c>
      <c r="AF36" t="n">
        <v>0.5744451784984107</v>
      </c>
      <c r="AG36" t="n">
        <v>0.5972931894896545</v>
      </c>
      <c r="AH36" t="n">
        <v>0.6050120360563633</v>
      </c>
      <c r="AI36" t="n">
        <v>0.6282217215998557</v>
      </c>
      <c r="AJ36" t="n">
        <v>0.5801022228720706</v>
      </c>
      <c r="AK36" t="n">
        <v>0.5798374022353809</v>
      </c>
      <c r="AL36" t="n">
        <v>0.5795706903022124</v>
      </c>
      <c r="AM36" t="n">
        <v>0.5792997026269154</v>
      </c>
      <c r="AN36" t="n">
        <v>0.5790564122267183</v>
      </c>
      <c r="AO36" t="n">
        <v>0.578679433346445</v>
      </c>
      <c r="AP36" t="n">
        <v>0.5784301593010495</v>
      </c>
      <c r="AQ36" t="n">
        <v>0.5781520325073546</v>
      </c>
      <c r="AR36" t="n">
        <v>0.5771241661952206</v>
      </c>
      <c r="AS36" t="n">
        <v>0.5780668076298299</v>
      </c>
      <c r="AT36" t="n">
        <v>0.5790308973336419</v>
      </c>
      <c r="AU36" t="n">
        <v>0.5800154866299494</v>
      </c>
      <c r="AV36" t="n">
        <v>0.5810196048583525</v>
      </c>
      <c r="AW36" t="n">
        <v>0.5850435782996599</v>
      </c>
    </row>
    <row r="37">
      <c r="A37" t="inlineStr">
        <is>
          <t>no_year_in_pairs</t>
        </is>
      </c>
      <c r="C37" t="inlineStr">
        <is>
          <t>EBS.20.72, Sup. 1</t>
        </is>
      </c>
      <c r="D37" t="inlineStr">
        <is>
          <t>Dominica</t>
        </is>
      </c>
      <c r="E37" t="inlineStr">
        <is>
          <t>DMA</t>
        </is>
      </c>
      <c r="G37" t="inlineStr">
        <is>
          <t>2018gn</t>
        </is>
      </c>
      <c r="H37" t="n">
        <v>2019</v>
      </c>
      <c r="I37" t="inlineStr">
        <is>
          <t>fuel.cmdt.impt.shr.2xprt</t>
        </is>
      </c>
      <c r="M37" t="inlineStr">
        <is>
          <t>Share of commodity imports (fuel) (% of exports of G&amp;S)</t>
        </is>
      </c>
      <c r="P37" t="n">
        <v>0.1572961271887565</v>
      </c>
      <c r="Q37" t="n">
        <v>0.2002520383004956</v>
      </c>
      <c r="R37" t="n">
        <v>0.2769331468813742</v>
      </c>
      <c r="S37" t="n">
        <v>0.2193142073773587</v>
      </c>
      <c r="T37" t="n">
        <v>0.1830347677161879</v>
      </c>
      <c r="U37" t="n">
        <v>0.2204545587859051</v>
      </c>
      <c r="V37" t="n">
        <v>0.2605939040510617</v>
      </c>
      <c r="W37" t="n">
        <v>0.2085943873036974</v>
      </c>
      <c r="X37" t="n">
        <v>0.150217289363916</v>
      </c>
      <c r="Y37" t="n">
        <v>0.109505923695503</v>
      </c>
      <c r="Z37" t="n">
        <v>0.1036698000733638</v>
      </c>
      <c r="AA37" t="n">
        <v>0.1279143424980995</v>
      </c>
      <c r="AB37" t="n">
        <v>0.2282462749391544</v>
      </c>
      <c r="AC37" t="n">
        <v>0.1459940985617026</v>
      </c>
      <c r="AD37" t="n">
        <v>0.1599081691517537</v>
      </c>
      <c r="AE37" t="n">
        <v>0.1143412710490307</v>
      </c>
      <c r="AF37" t="n">
        <v>0.1004166604135357</v>
      </c>
      <c r="AG37" t="n">
        <v>0.09808234273199089</v>
      </c>
      <c r="AH37" t="n">
        <v>0.08331586103137251</v>
      </c>
      <c r="AI37" t="n">
        <v>0.07254067068548009</v>
      </c>
      <c r="AJ37" t="n">
        <v>0.07311800817659089</v>
      </c>
      <c r="AK37" t="n">
        <v>0.07369017977175707</v>
      </c>
      <c r="AL37" t="n">
        <v>0.07426457626540119</v>
      </c>
      <c r="AM37" t="n">
        <v>0.07484495994499903</v>
      </c>
      <c r="AN37" t="n">
        <v>0.07542951647571022</v>
      </c>
      <c r="AO37" t="n">
        <v>0.07611802696050042</v>
      </c>
      <c r="AP37" t="n">
        <v>0.07671178615084755</v>
      </c>
      <c r="AQ37" t="n">
        <v>0.07730984358068295</v>
      </c>
      <c r="AR37" t="n">
        <v>0.07791223320623089</v>
      </c>
      <c r="AS37" t="n">
        <v>0.07851899150889738</v>
      </c>
      <c r="AT37" t="n">
        <v>0.07913017291915632</v>
      </c>
      <c r="AU37" t="n">
        <v>0.07974580268511279</v>
      </c>
      <c r="AV37" t="n">
        <v>0.08036592391843281</v>
      </c>
      <c r="AW37" t="n">
        <v>0.08099058163702072</v>
      </c>
    </row>
    <row r="38">
      <c r="A38" t="inlineStr">
        <is>
          <t>no_year_in_pairs</t>
        </is>
      </c>
      <c r="C38" t="inlineStr">
        <is>
          <t>EBS.20.72, Sup. 1</t>
        </is>
      </c>
      <c r="D38" t="inlineStr">
        <is>
          <t>Dominica</t>
        </is>
      </c>
      <c r="E38" t="inlineStr">
        <is>
          <t>DMA</t>
        </is>
      </c>
      <c r="G38" t="inlineStr">
        <is>
          <t>2018gn</t>
        </is>
      </c>
      <c r="H38" t="n">
        <v>2019</v>
      </c>
      <c r="I38" t="inlineStr">
        <is>
          <t>non.fuel.cmdt.impt.shr.2xprt</t>
        </is>
      </c>
      <c r="M38" t="inlineStr">
        <is>
          <t>Share of commodity imports (non-fuel) (% of exports of G&amp;S)</t>
        </is>
      </c>
      <c r="P38" t="n">
        <v>0.8595829554544377</v>
      </c>
      <c r="Q38" t="n">
        <v>0.9654637758204043</v>
      </c>
      <c r="R38" t="n">
        <v>1.109986275471946</v>
      </c>
      <c r="S38" t="n">
        <v>1.120505006162415</v>
      </c>
      <c r="T38" t="n">
        <v>0.9380956373258476</v>
      </c>
      <c r="U38" t="n">
        <v>0.6650414197712773</v>
      </c>
      <c r="V38" t="n">
        <v>0.8969829958749159</v>
      </c>
      <c r="W38" t="n">
        <v>0.7147445016016962</v>
      </c>
      <c r="X38" t="n">
        <v>0.5731093895669684</v>
      </c>
      <c r="Y38" t="n">
        <v>0.6188228133463658</v>
      </c>
      <c r="Z38" t="n">
        <v>0.5934810397686485</v>
      </c>
      <c r="AA38" t="n">
        <v>0.6731510652637884</v>
      </c>
      <c r="AB38" t="n">
        <v>1.575286832041389</v>
      </c>
      <c r="AC38" t="n">
        <v>0.9481489223307991</v>
      </c>
      <c r="AD38" t="n">
        <v>1.469895917565146</v>
      </c>
      <c r="AE38" t="n">
        <v>1.142598952099602</v>
      </c>
      <c r="AF38" t="n">
        <v>1.037144304229969</v>
      </c>
      <c r="AG38" t="n">
        <v>0.9454118703004692</v>
      </c>
      <c r="AH38" t="n">
        <v>0.8934290577498404</v>
      </c>
      <c r="AI38" t="n">
        <v>0.8984779276524076</v>
      </c>
      <c r="AJ38" t="n">
        <v>0.7283735672811912</v>
      </c>
      <c r="AK38" t="n">
        <v>0.7284915049583394</v>
      </c>
      <c r="AL38" t="n">
        <v>0.7286025784636452</v>
      </c>
      <c r="AM38" t="n">
        <v>0.728705102780107</v>
      </c>
      <c r="AN38" t="n">
        <v>0.7288962289878058</v>
      </c>
      <c r="AO38" t="n">
        <v>0.7288258205934542</v>
      </c>
      <c r="AP38" t="n">
        <v>0.729003720733837</v>
      </c>
      <c r="AQ38" t="n">
        <v>0.7290942494640258</v>
      </c>
      <c r="AR38" t="n">
        <v>0.7268537651778383</v>
      </c>
      <c r="AS38" t="n">
        <v>0.7198814891259078</v>
      </c>
      <c r="AT38" t="n">
        <v>0.7131033828395349</v>
      </c>
      <c r="AU38" t="n">
        <v>0.7065136648716548</v>
      </c>
      <c r="AV38" t="n">
        <v>0.7001067114600278</v>
      </c>
      <c r="AW38" t="n">
        <v>0.7028845931322304</v>
      </c>
    </row>
    <row r="39">
      <c r="A39" t="inlineStr">
        <is>
          <t>no_year_in_pairs</t>
        </is>
      </c>
      <c r="C39" t="inlineStr">
        <is>
          <t>EBS.20.72, Sup. 1</t>
        </is>
      </c>
      <c r="D39" t="inlineStr">
        <is>
          <t>Dominica</t>
        </is>
      </c>
      <c r="E39" t="inlineStr">
        <is>
          <t>DMA</t>
        </is>
      </c>
      <c r="G39" t="inlineStr">
        <is>
          <t>2018gn</t>
        </is>
      </c>
      <c r="H39" t="n">
        <v>2019</v>
      </c>
    </row>
    <row r="40">
      <c r="A40" t="inlineStr">
        <is>
          <t>no_year_in_pairs</t>
        </is>
      </c>
      <c r="C40" t="inlineStr">
        <is>
          <t>EBS.20.72, Sup. 1</t>
        </is>
      </c>
      <c r="D40" t="inlineStr">
        <is>
          <t>Dominica</t>
        </is>
      </c>
      <c r="E40" t="inlineStr">
        <is>
          <t>DMA</t>
        </is>
      </c>
      <c r="G40" t="inlineStr">
        <is>
          <t>2018gn</t>
        </is>
      </c>
      <c r="H40" t="n">
        <v>2019</v>
      </c>
      <c r="I40" t="inlineStr">
        <is>
          <t>prm.bal</t>
        </is>
      </c>
      <c r="K40" t="inlineStr">
        <is>
          <t>National Currency</t>
        </is>
      </c>
      <c r="L40" t="inlineStr">
        <is>
          <t>Million</t>
        </is>
      </c>
      <c r="M40" t="inlineStr">
        <is>
          <t>Public sector primary balance</t>
        </is>
      </c>
      <c r="P40" t="n">
        <v>97.44574005375159</v>
      </c>
      <c r="Q40" t="n">
        <v>54.28947275846502</v>
      </c>
      <c r="R40" t="n">
        <v>43.06949501574809</v>
      </c>
      <c r="S40" t="n">
        <v>24.76067573424507</v>
      </c>
      <c r="T40" t="n">
        <v>-54.05878426000004</v>
      </c>
      <c r="U40" t="n">
        <v>-44.894364673062</v>
      </c>
      <c r="V40" t="n">
        <v>-52.02620079718793</v>
      </c>
      <c r="W40" t="n">
        <v>113.199785422123</v>
      </c>
      <c r="X40" t="n">
        <v>82.05317670897102</v>
      </c>
      <c r="Y40" t="n">
        <v>222.432084045406</v>
      </c>
      <c r="Z40" t="n">
        <v>248.7043512784621</v>
      </c>
      <c r="AA40" t="n">
        <v>32.57232610821893</v>
      </c>
      <c r="AB40" t="n">
        <v>-241.136120753202</v>
      </c>
      <c r="AC40" t="n">
        <v>-154.2677777320397</v>
      </c>
      <c r="AD40" t="n">
        <v>-42.05173072342791</v>
      </c>
      <c r="AE40" t="n">
        <v>14.20417364742354</v>
      </c>
      <c r="AF40" t="n">
        <v>44.24202275058076</v>
      </c>
      <c r="AG40" t="n">
        <v>37.49043444497227</v>
      </c>
      <c r="AH40" t="n">
        <v>39.09888288104833</v>
      </c>
      <c r="AI40" t="n">
        <v>38.3308892718577</v>
      </c>
      <c r="AJ40" t="n">
        <v>39.3648205500125</v>
      </c>
      <c r="AK40" t="n">
        <v>40.87961546197494</v>
      </c>
      <c r="AL40" t="n">
        <v>42.49876534521979</v>
      </c>
      <c r="AM40" t="n">
        <v>44.29621119800493</v>
      </c>
      <c r="AN40" t="n">
        <v>36.89160309438773</v>
      </c>
      <c r="AO40" t="n">
        <v>36.0638422010436</v>
      </c>
      <c r="AP40" t="n">
        <v>37.70723139177574</v>
      </c>
      <c r="AQ40" t="n">
        <v>39.45933429619026</v>
      </c>
      <c r="AR40" t="n">
        <v>40.65795021936947</v>
      </c>
      <c r="AS40" t="n">
        <v>41.90389074953328</v>
      </c>
      <c r="AT40" t="n">
        <v>43.19825075963308</v>
      </c>
      <c r="AU40" t="n">
        <v>44.54224976208548</v>
      </c>
      <c r="AV40" t="n">
        <v>45.93713283257625</v>
      </c>
      <c r="AW40" t="n">
        <v>44.23764074834912</v>
      </c>
    </row>
    <row r="41">
      <c r="A41" t="inlineStr">
        <is>
          <t>no_year_in_pairs</t>
        </is>
      </c>
      <c r="C41" t="inlineStr">
        <is>
          <t>EBS.20.72, Sup. 1</t>
        </is>
      </c>
      <c r="D41" t="inlineStr">
        <is>
          <t>Dominica</t>
        </is>
      </c>
      <c r="E41" t="inlineStr">
        <is>
          <t>DMA</t>
        </is>
      </c>
      <c r="G41" t="inlineStr">
        <is>
          <t>2018gn</t>
        </is>
      </c>
      <c r="H41" t="n">
        <v>2019</v>
      </c>
      <c r="I41" t="inlineStr">
        <is>
          <t>ovrl.bal.rev.all</t>
        </is>
      </c>
      <c r="K41" t="inlineStr">
        <is>
          <t>National Currency</t>
        </is>
      </c>
      <c r="L41" t="inlineStr">
        <is>
          <t>Million</t>
        </is>
      </c>
      <c r="M41" t="inlineStr">
        <is>
          <t>Public sector revenues (including grants)</t>
        </is>
      </c>
      <c r="P41" t="n">
        <v>442.634061478636</v>
      </c>
      <c r="Q41" t="n">
        <v>524.691351310188</v>
      </c>
      <c r="R41" t="n">
        <v>560.089399711465</v>
      </c>
      <c r="S41" t="n">
        <v>584.475923284903</v>
      </c>
      <c r="T41" t="n">
        <v>598.4671832499999</v>
      </c>
      <c r="U41" t="n">
        <v>534.62272742</v>
      </c>
      <c r="V41" t="n">
        <v>530.372739976961</v>
      </c>
      <c r="W41" t="n">
        <v>547.512945243</v>
      </c>
      <c r="X41" t="n">
        <v>516.713296825827</v>
      </c>
      <c r="Y41" t="n">
        <v>806.56075770081</v>
      </c>
      <c r="Z41" t="n">
        <v>1016.78174072116</v>
      </c>
      <c r="AA41" t="n">
        <v>910.814500990567</v>
      </c>
      <c r="AB41" t="n">
        <v>826.347256957388</v>
      </c>
      <c r="AC41" t="n">
        <v>675.239306794381</v>
      </c>
      <c r="AD41" t="n">
        <v>667.162171726472</v>
      </c>
      <c r="AE41" t="n">
        <v>717.533548957628</v>
      </c>
      <c r="AF41" t="n">
        <v>721.3239795246981</v>
      </c>
      <c r="AG41" t="n">
        <v>745.383737219255</v>
      </c>
      <c r="AH41" t="n">
        <v>773.261206725533</v>
      </c>
      <c r="AI41" t="n">
        <v>798.827888568945</v>
      </c>
      <c r="AJ41" t="n">
        <v>827.125882120708</v>
      </c>
      <c r="AK41" t="n">
        <v>856.7205577563569</v>
      </c>
      <c r="AL41" t="n">
        <v>887.390305917509</v>
      </c>
      <c r="AM41" t="n">
        <v>919.274450695624</v>
      </c>
      <c r="AN41" t="n">
        <v>944.093172399589</v>
      </c>
      <c r="AO41" t="n">
        <v>976.829593642351</v>
      </c>
      <c r="AP41" t="n">
        <v>1011.90609785249</v>
      </c>
      <c r="AQ41" t="n">
        <v>1048.26350156451</v>
      </c>
      <c r="AR41" t="n">
        <v>1085.26711494879</v>
      </c>
      <c r="AS41" t="n">
        <v>1123.57695286285</v>
      </c>
      <c r="AT41" t="n">
        <v>1163.23912392821</v>
      </c>
      <c r="AU41" t="n">
        <v>1204.30136912307</v>
      </c>
      <c r="AV41" t="n">
        <v>1246.81310373149</v>
      </c>
      <c r="AW41" t="n">
        <v>1287.67972020055</v>
      </c>
    </row>
    <row r="42">
      <c r="A42" t="inlineStr">
        <is>
          <t>no_year_in_pairs</t>
        </is>
      </c>
      <c r="C42" t="inlineStr">
        <is>
          <t>EBS.20.72, Sup. 1</t>
        </is>
      </c>
      <c r="D42" t="inlineStr">
        <is>
          <t>Dominica</t>
        </is>
      </c>
      <c r="E42" t="inlineStr">
        <is>
          <t>DMA</t>
        </is>
      </c>
      <c r="G42" t="inlineStr">
        <is>
          <t>2018gn</t>
        </is>
      </c>
      <c r="H42" t="n">
        <v>2019</v>
      </c>
      <c r="I42" t="inlineStr">
        <is>
          <t>ovrl.bal.rev.grt</t>
        </is>
      </c>
      <c r="K42" t="inlineStr">
        <is>
          <t>National Currency</t>
        </is>
      </c>
      <c r="L42" t="inlineStr">
        <is>
          <t>Million</t>
        </is>
      </c>
      <c r="M42" t="inlineStr">
        <is>
          <t>Public sector grants</t>
        </is>
      </c>
      <c r="P42" t="n">
        <v>66.73337863</v>
      </c>
      <c r="Q42" t="n">
        <v>107.824112857</v>
      </c>
      <c r="R42" t="n">
        <v>113.81943866</v>
      </c>
      <c r="S42" t="n">
        <v>114.14025421</v>
      </c>
      <c r="T42" t="n">
        <v>126.85867312</v>
      </c>
      <c r="U42" t="n">
        <v>64.05162593</v>
      </c>
      <c r="V42" t="n">
        <v>35.855471576961</v>
      </c>
      <c r="W42" t="n">
        <v>43.949264</v>
      </c>
      <c r="X42" t="n">
        <v>28.7</v>
      </c>
      <c r="Y42" t="n">
        <v>30.94431532</v>
      </c>
      <c r="Z42" t="n">
        <v>15.05420126</v>
      </c>
      <c r="AA42" t="n">
        <v>65.505583</v>
      </c>
      <c r="AB42" t="n">
        <v>13.73409221</v>
      </c>
      <c r="AC42" t="n">
        <v>9.324343199999999</v>
      </c>
      <c r="AD42" t="n">
        <v>37.4214984</v>
      </c>
      <c r="AE42" t="n">
        <v>49.320513</v>
      </c>
      <c r="AF42" t="n">
        <v>51.798645</v>
      </c>
      <c r="AG42" t="n">
        <v>53.958291</v>
      </c>
      <c r="AH42" t="n">
        <v>55.929315</v>
      </c>
      <c r="AI42" t="n">
        <v>57.911001</v>
      </c>
      <c r="AJ42" t="n">
        <v>59.962638</v>
      </c>
      <c r="AK42" t="n">
        <v>62.077731</v>
      </c>
      <c r="AL42" t="n">
        <v>64.26748499999999</v>
      </c>
      <c r="AM42" t="n">
        <v>66.53612099999999</v>
      </c>
      <c r="AN42" t="n">
        <v>68.97618300000001</v>
      </c>
      <c r="AO42" t="n">
        <v>71.502375</v>
      </c>
      <c r="AP42" t="n">
        <v>74.026404</v>
      </c>
      <c r="AQ42" t="n">
        <v>76.63952999999999</v>
      </c>
      <c r="AR42" t="n">
        <v>79.34489913383999</v>
      </c>
      <c r="AS42" t="n">
        <v>82.14576757659211</v>
      </c>
      <c r="AT42" t="n">
        <v>85.0455064460415</v>
      </c>
      <c r="AU42" t="n">
        <v>88.0476058601547</v>
      </c>
      <c r="AV42" t="n">
        <v>91.1556791377776</v>
      </c>
      <c r="AW42" t="n">
        <v>94.37346714761519</v>
      </c>
    </row>
    <row r="43">
      <c r="A43" t="inlineStr">
        <is>
          <t>no_year_in_pairs</t>
        </is>
      </c>
      <c r="C43" t="inlineStr">
        <is>
          <t>EBS.20.72, Sup. 1</t>
        </is>
      </c>
      <c r="D43" t="inlineStr">
        <is>
          <t>Dominica</t>
        </is>
      </c>
      <c r="E43" t="inlineStr">
        <is>
          <t>DMA</t>
        </is>
      </c>
      <c r="G43" t="inlineStr">
        <is>
          <t>2018gn</t>
        </is>
      </c>
      <c r="H43" t="n">
        <v>2019</v>
      </c>
      <c r="I43" t="inlineStr">
        <is>
          <t>ovrl.bal.rev.prvtz</t>
        </is>
      </c>
      <c r="K43" t="inlineStr">
        <is>
          <t>National Currency</t>
        </is>
      </c>
      <c r="L43" t="inlineStr">
        <is>
          <t>Million</t>
        </is>
      </c>
      <c r="M43" t="inlineStr">
        <is>
          <t>Privatization receipts</t>
        </is>
      </c>
      <c r="P43" t="n">
        <v>0.88891924</v>
      </c>
      <c r="Q43" t="n">
        <v>0.82958212</v>
      </c>
      <c r="R43" t="n">
        <v>0.34192579</v>
      </c>
      <c r="S43" t="n">
        <v>1.05990213</v>
      </c>
      <c r="T43" t="n">
        <v>1.82339195</v>
      </c>
      <c r="U43" t="n">
        <v>2.358</v>
      </c>
      <c r="V43" t="n">
        <v>2.408513</v>
      </c>
      <c r="W43" t="n">
        <v>0.340448</v>
      </c>
      <c r="X43" t="n">
        <v>0.17526301</v>
      </c>
      <c r="Y43" t="n">
        <v>0.131244</v>
      </c>
      <c r="Z43" t="n">
        <v>0.07219</v>
      </c>
      <c r="AA43" t="n">
        <v>0.132733</v>
      </c>
      <c r="AB43" t="n">
        <v>0.03978</v>
      </c>
      <c r="AC43" t="n">
        <v>0.0406312802701759</v>
      </c>
      <c r="AD43" t="n">
        <v>0.0407665011091703</v>
      </c>
      <c r="AE43" t="n">
        <v>0.0429833081813603</v>
      </c>
      <c r="AF43" t="n">
        <v>0.0451430243925459</v>
      </c>
      <c r="AG43" t="n">
        <v>0.0470251769480281</v>
      </c>
      <c r="AH43" t="n">
        <v>0.0487429435905781</v>
      </c>
      <c r="AI43" t="n">
        <v>0.0504700022701318</v>
      </c>
      <c r="AJ43" t="n">
        <v>0.0522580239285294</v>
      </c>
      <c r="AK43" t="n">
        <v>0.0541013481099149</v>
      </c>
      <c r="AL43" t="n">
        <v>0.0560097400810885</v>
      </c>
      <c r="AM43" t="n">
        <v>0.0579868784847245</v>
      </c>
      <c r="AN43" t="n">
        <v>0.06011341631955251</v>
      </c>
      <c r="AO43" t="n">
        <v>0.0623150172895442</v>
      </c>
      <c r="AP43" t="n">
        <v>0.0645147331839367</v>
      </c>
      <c r="AQ43" t="n">
        <v>0.0667920979829347</v>
      </c>
      <c r="AR43" t="n">
        <v>0.06914985357286919</v>
      </c>
      <c r="AS43" t="n">
        <v>0.0715908377420781</v>
      </c>
      <c r="AT43" t="n">
        <v>0.07411798845259511</v>
      </c>
      <c r="AU43" t="n">
        <v>0.07673434737627269</v>
      </c>
      <c r="AV43" t="n">
        <v>0.07944306355573159</v>
      </c>
      <c r="AW43" t="n">
        <v>0.082247397194539</v>
      </c>
    </row>
    <row r="44">
      <c r="A44" t="inlineStr">
        <is>
          <t>no_year_in_pairs</t>
        </is>
      </c>
      <c r="C44" t="inlineStr">
        <is>
          <t>EBS.20.72, Sup. 1</t>
        </is>
      </c>
      <c r="D44" t="inlineStr">
        <is>
          <t>Dominica</t>
        </is>
      </c>
      <c r="E44" t="inlineStr">
        <is>
          <t>DMA</t>
        </is>
      </c>
      <c r="G44" t="inlineStr">
        <is>
          <t>2018gn</t>
        </is>
      </c>
      <c r="H44" t="n">
        <v>2019</v>
      </c>
      <c r="I44" t="inlineStr">
        <is>
          <t>ovrl.bal.prm.exp</t>
        </is>
      </c>
      <c r="K44" t="inlineStr">
        <is>
          <t>National Currency</t>
        </is>
      </c>
      <c r="L44" t="inlineStr">
        <is>
          <t>Million</t>
        </is>
      </c>
      <c r="M44" t="inlineStr">
        <is>
          <t xml:space="preserve">Public sector PRIMARY expenditure </t>
        </is>
      </c>
      <c r="P44" t="n">
        <v>345.1883214248844</v>
      </c>
      <c r="Q44" t="n">
        <v>470.401878551723</v>
      </c>
      <c r="R44" t="n">
        <v>517.0199046957169</v>
      </c>
      <c r="S44" t="n">
        <v>559.715247550658</v>
      </c>
      <c r="T44" t="n">
        <v>652.52596751</v>
      </c>
      <c r="U44" t="n">
        <v>579.517092093062</v>
      </c>
      <c r="V44" t="n">
        <v>582.398940774149</v>
      </c>
      <c r="W44" t="n">
        <v>434.313159820877</v>
      </c>
      <c r="X44" t="n">
        <v>434.660120116856</v>
      </c>
      <c r="Y44" t="n">
        <v>584.128673655404</v>
      </c>
      <c r="Z44" t="n">
        <v>768.0773894426979</v>
      </c>
      <c r="AA44" t="n">
        <v>878.2421748823481</v>
      </c>
      <c r="AB44" t="n">
        <v>1067.48337771059</v>
      </c>
      <c r="AC44" t="n">
        <v>829.5070845264207</v>
      </c>
      <c r="AD44" t="n">
        <v>709.2139024498999</v>
      </c>
      <c r="AE44" t="n">
        <v>703.3293753102045</v>
      </c>
      <c r="AF44" t="n">
        <v>677.0819567741173</v>
      </c>
      <c r="AG44" t="n">
        <v>707.8933027742827</v>
      </c>
      <c r="AH44" t="n">
        <v>734.1623238444847</v>
      </c>
      <c r="AI44" t="n">
        <v>760.4969992970873</v>
      </c>
      <c r="AJ44" t="n">
        <v>787.7610615706955</v>
      </c>
      <c r="AK44" t="n">
        <v>815.840942294382</v>
      </c>
      <c r="AL44" t="n">
        <v>844.8915405722892</v>
      </c>
      <c r="AM44" t="n">
        <v>874.978239497619</v>
      </c>
      <c r="AN44" t="n">
        <v>907.2015693052012</v>
      </c>
      <c r="AO44" t="n">
        <v>940.7657514413074</v>
      </c>
      <c r="AP44" t="n">
        <v>974.1988664607142</v>
      </c>
      <c r="AQ44" t="n">
        <v>1008.80416726832</v>
      </c>
      <c r="AR44" t="n">
        <v>1044.609164729421</v>
      </c>
      <c r="AS44" t="n">
        <v>1081.673062113317</v>
      </c>
      <c r="AT44" t="n">
        <v>1120.040873168577</v>
      </c>
      <c r="AU44" t="n">
        <v>1159.759119360984</v>
      </c>
      <c r="AV44" t="n">
        <v>1200.875970898914</v>
      </c>
      <c r="AW44" t="n">
        <v>1243.442079452201</v>
      </c>
    </row>
    <row r="45">
      <c r="A45" t="inlineStr">
        <is>
          <t>no_year_in_pairs</t>
        </is>
      </c>
      <c r="C45" t="inlineStr">
        <is>
          <t>EBS.20.72, Sup. 1</t>
        </is>
      </c>
      <c r="D45" t="inlineStr">
        <is>
          <t>Dominica</t>
        </is>
      </c>
      <c r="E45" t="inlineStr">
        <is>
          <t>DMA</t>
        </is>
      </c>
      <c r="G45" t="inlineStr">
        <is>
          <t>2018gn</t>
        </is>
      </c>
      <c r="H45" t="n">
        <v>2019</v>
      </c>
      <c r="I45" t="inlineStr">
        <is>
          <t>ovrl.bal.int.exp</t>
        </is>
      </c>
      <c r="K45" t="inlineStr">
        <is>
          <t>National Currency</t>
        </is>
      </c>
      <c r="L45" t="inlineStr">
        <is>
          <t>Million</t>
        </is>
      </c>
      <c r="M45" t="inlineStr">
        <is>
          <t xml:space="preserve">Public sector interest expenditure </t>
        </is>
      </c>
      <c r="P45" t="n">
        <v>17.45191358000001</v>
      </c>
      <c r="Q45" t="n">
        <v>15.56408263510457</v>
      </c>
      <c r="R45" t="n">
        <v>12.88550000000001</v>
      </c>
      <c r="S45" t="n">
        <v>17.62919999999999</v>
      </c>
      <c r="T45" t="n">
        <v>11.6411793</v>
      </c>
      <c r="U45" t="n">
        <v>11.71146100000001</v>
      </c>
      <c r="V45" t="n">
        <v>40.07163509999992</v>
      </c>
      <c r="W45" t="n">
        <v>15.57704260000001</v>
      </c>
      <c r="X45" t="n">
        <v>23.06220549999999</v>
      </c>
      <c r="Y45" t="n">
        <v>17.82298070000001</v>
      </c>
      <c r="Z45" t="n">
        <v>23.4893517</v>
      </c>
      <c r="AA45" t="n">
        <v>22.31975561999999</v>
      </c>
      <c r="AB45" t="n">
        <v>20.23907151000001</v>
      </c>
      <c r="AC45" t="n">
        <v>26.39986095007429</v>
      </c>
      <c r="AD45" t="n">
        <v>30.7456664060339</v>
      </c>
      <c r="AE45" t="n">
        <v>30.03026767876545</v>
      </c>
      <c r="AF45" t="n">
        <v>26.19092044132326</v>
      </c>
      <c r="AG45" t="n">
        <v>28.43088021375806</v>
      </c>
      <c r="AH45" t="n">
        <v>26.89519308574866</v>
      </c>
      <c r="AI45" t="n">
        <v>29.08463779936444</v>
      </c>
      <c r="AJ45" t="n">
        <v>29.44409352672058</v>
      </c>
      <c r="AK45" t="n">
        <v>29.06340751990967</v>
      </c>
      <c r="AL45" t="n">
        <v>28.93373375520031</v>
      </c>
      <c r="AM45" t="n">
        <v>23.56805437729733</v>
      </c>
      <c r="AN45" t="n">
        <v>20.96347111077069</v>
      </c>
      <c r="AO45" t="n">
        <v>21.49670943196527</v>
      </c>
      <c r="AP45" t="n">
        <v>22.21524747027482</v>
      </c>
      <c r="AQ45" t="n">
        <v>28.07432925817194</v>
      </c>
      <c r="AR45" t="n">
        <v>30.41989572485534</v>
      </c>
      <c r="AS45" t="n">
        <v>29.96008979571328</v>
      </c>
      <c r="AT45" t="n">
        <v>41.46697401397677</v>
      </c>
      <c r="AU45" t="n">
        <v>28.1312311598289</v>
      </c>
      <c r="AV45" t="n">
        <v>24.46816782341832</v>
      </c>
      <c r="AW45" t="n">
        <v>18.8376994994046</v>
      </c>
    </row>
    <row r="46">
      <c r="A46" t="inlineStr">
        <is>
          <t>no_year_in_pairs</t>
        </is>
      </c>
      <c r="C46" t="inlineStr">
        <is>
          <t>EBS.20.72, Sup. 1</t>
        </is>
      </c>
      <c r="D46" t="inlineStr">
        <is>
          <t>Dominica</t>
        </is>
      </c>
      <c r="E46" t="inlineStr">
        <is>
          <t>DMA</t>
        </is>
      </c>
      <c r="G46" t="inlineStr">
        <is>
          <t>2018gn</t>
        </is>
      </c>
      <c r="H46" t="n">
        <v>2019</v>
      </c>
      <c r="I46" t="inlineStr">
        <is>
          <t>pub.sec.asset</t>
        </is>
      </c>
      <c r="K46" t="inlineStr">
        <is>
          <t>National Currency</t>
        </is>
      </c>
      <c r="L46" t="inlineStr">
        <is>
          <t>Million</t>
        </is>
      </c>
      <c r="M46" t="inlineStr">
        <is>
          <t>Public Sector Assets (e.g. Deposits)</t>
        </is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57.3645</v>
      </c>
      <c r="Y46" t="n">
        <v>166.81725</v>
      </c>
      <c r="Z46" t="n">
        <v>216.73725</v>
      </c>
      <c r="AA46" t="n">
        <v>192.901116</v>
      </c>
      <c r="AB46" t="n">
        <v>83.89564</v>
      </c>
      <c r="AC46" t="n">
        <v>65.8274725986078</v>
      </c>
      <c r="AD46" t="n">
        <v>35.8274725986078</v>
      </c>
      <c r="AE46" t="n">
        <v>50.8274725986078</v>
      </c>
      <c r="AF46" t="n">
        <v>65.8274725986078</v>
      </c>
      <c r="AG46" t="n">
        <v>80.8274725986078</v>
      </c>
      <c r="AH46" t="n">
        <v>85.8274725986078</v>
      </c>
      <c r="AI46" t="n">
        <v>90.8274725986078</v>
      </c>
      <c r="AJ46" t="n">
        <v>95.8274725986078</v>
      </c>
      <c r="AK46" t="n">
        <v>100.827472598608</v>
      </c>
      <c r="AL46" t="n">
        <v>105.827472598608</v>
      </c>
      <c r="AM46" t="n">
        <v>110.827472598608</v>
      </c>
      <c r="AN46" t="n">
        <v>115.827472598608</v>
      </c>
      <c r="AO46" t="n">
        <v>120.827472598608</v>
      </c>
      <c r="AP46" t="n">
        <v>125.827472598608</v>
      </c>
      <c r="AQ46" t="n">
        <v>130.827472598608</v>
      </c>
      <c r="AR46" t="n">
        <v>135.827472598608</v>
      </c>
      <c r="AS46" t="n">
        <v>140.827472598608</v>
      </c>
      <c r="AT46" t="n">
        <v>145.827472598608</v>
      </c>
      <c r="AU46" t="n">
        <v>150.827472598608</v>
      </c>
      <c r="AV46" t="n">
        <v>155.827472598608</v>
      </c>
      <c r="AW46" t="n">
        <v>160.827472598608</v>
      </c>
    </row>
    <row r="47">
      <c r="A47" t="inlineStr">
        <is>
          <t>no_year_in_pairs</t>
        </is>
      </c>
      <c r="C47" t="inlineStr">
        <is>
          <t>EBS.20.72, Sup. 1</t>
        </is>
      </c>
      <c r="D47" t="inlineStr">
        <is>
          <t>Dominica</t>
        </is>
      </c>
      <c r="E47" t="inlineStr">
        <is>
          <t>DMA</t>
        </is>
      </c>
      <c r="G47" t="inlineStr">
        <is>
          <t>2018gn</t>
        </is>
      </c>
      <c r="H47" t="n">
        <v>2019</v>
      </c>
      <c r="I47" t="inlineStr">
        <is>
          <t>recog.conting.liab</t>
        </is>
      </c>
      <c r="K47" t="inlineStr">
        <is>
          <t>National Currency</t>
        </is>
      </c>
      <c r="L47" t="inlineStr">
        <is>
          <t>Million</t>
        </is>
      </c>
      <c r="M47" t="inlineStr">
        <is>
          <t>Recognition of contingent liabilities (e.g., bank recapitalization)</t>
        </is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</row>
    <row r="48">
      <c r="A48" t="inlineStr">
        <is>
          <t>no_year_in_pairs</t>
        </is>
      </c>
      <c r="C48" t="inlineStr">
        <is>
          <t>EBS.20.72, Sup. 1</t>
        </is>
      </c>
      <c r="D48" t="inlineStr">
        <is>
          <t>Dominica</t>
        </is>
      </c>
      <c r="E48" t="inlineStr">
        <is>
          <t>DMA</t>
        </is>
      </c>
      <c r="G48" t="inlineStr">
        <is>
          <t>2018gn</t>
        </is>
      </c>
      <c r="H48" t="n">
        <v>2019</v>
      </c>
      <c r="I48" t="inlineStr">
        <is>
          <t>oth.dbt.crtg.flw</t>
        </is>
      </c>
      <c r="K48" t="inlineStr">
        <is>
          <t>National Currency</t>
        </is>
      </c>
      <c r="L48" t="inlineStr">
        <is>
          <t>Million</t>
        </is>
      </c>
      <c r="M48" t="inlineStr">
        <is>
          <t>Other debt creating or reducing flow (please specify)</t>
        </is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</row>
    <row r="49">
      <c r="A49" t="inlineStr">
        <is>
          <t>no_year_in_pairs</t>
        </is>
      </c>
      <c r="C49" t="inlineStr">
        <is>
          <t>EBS.20.72, Sup. 1</t>
        </is>
      </c>
      <c r="D49" t="inlineStr">
        <is>
          <t>Dominica</t>
        </is>
      </c>
      <c r="E49" t="inlineStr">
        <is>
          <t>DMA</t>
        </is>
      </c>
      <c r="G49" t="inlineStr">
        <is>
          <t>2018gn</t>
        </is>
      </c>
      <c r="H49" t="n">
        <v>2019</v>
      </c>
      <c r="I49" t="inlineStr">
        <is>
          <t>dbt.rlf</t>
        </is>
      </c>
      <c r="K49" t="inlineStr">
        <is>
          <t>National Currency</t>
        </is>
      </c>
      <c r="L49" t="inlineStr">
        <is>
          <t>Million</t>
        </is>
      </c>
      <c r="M49" t="inlineStr">
        <is>
          <t>Debt relief</t>
        </is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</row>
    <row r="50">
      <c r="A50" t="inlineStr">
        <is>
          <t>no_year_in_pairs</t>
        </is>
      </c>
      <c r="C50" t="inlineStr">
        <is>
          <t>EBS.20.72, Sup. 1</t>
        </is>
      </c>
      <c r="D50" t="inlineStr">
        <is>
          <t>Dominica</t>
        </is>
      </c>
      <c r="E50" t="inlineStr">
        <is>
          <t>DMA</t>
        </is>
      </c>
      <c r="G50" t="inlineStr">
        <is>
          <t>2018gn</t>
        </is>
      </c>
      <c r="H50" t="n">
        <v>2019</v>
      </c>
      <c r="I50" t="inlineStr">
        <is>
          <t>css.loan</t>
        </is>
      </c>
      <c r="K50" t="inlineStr">
        <is>
          <t>US Dollars</t>
        </is>
      </c>
      <c r="L50" t="inlineStr">
        <is>
          <t>Million</t>
        </is>
      </c>
      <c r="M50" t="inlineStr">
        <is>
          <t>Concessional loans</t>
        </is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96.25219483577504</v>
      </c>
      <c r="AD50" t="n">
        <v>53.19677237036898</v>
      </c>
      <c r="AE50" t="n">
        <v>43.97226137129308</v>
      </c>
      <c r="AF50" t="n">
        <v>42.66453590295144</v>
      </c>
      <c r="AG50" t="n">
        <v>32.27345124872986</v>
      </c>
      <c r="AH50" t="n">
        <v>22.1054961299352</v>
      </c>
      <c r="AI50" t="n">
        <v>23.80572743909946</v>
      </c>
      <c r="AJ50" t="n">
        <v>24.16241934679699</v>
      </c>
      <c r="AK50" t="n">
        <v>23.10971969992342</v>
      </c>
      <c r="AL50" t="n">
        <v>17.45269191815644</v>
      </c>
      <c r="AM50" t="n">
        <v>13.56828734342977</v>
      </c>
      <c r="AN50" t="n">
        <v>11.65593152999946</v>
      </c>
      <c r="AO50" t="n">
        <v>8.099164873881747</v>
      </c>
      <c r="AP50" t="n">
        <v>7.824611750828186</v>
      </c>
      <c r="AQ50" t="n">
        <v>-24.19014495246097</v>
      </c>
      <c r="AR50" t="n">
        <v>10.32946378051096</v>
      </c>
      <c r="AS50" t="n">
        <v>10.25906848982776</v>
      </c>
      <c r="AT50" t="n">
        <v>11.70769083716463</v>
      </c>
      <c r="AU50" t="n">
        <v>13.87317931066991</v>
      </c>
      <c r="AV50" t="n">
        <v>14.3867248611135</v>
      </c>
      <c r="AW50" t="n">
        <v>15.89436367852647</v>
      </c>
    </row>
    <row r="51">
      <c r="A51" t="inlineStr">
        <is>
          <t>no_year_in_pairs</t>
        </is>
      </c>
      <c r="C51" t="inlineStr">
        <is>
          <t>EBS.20.72, Sup. 1</t>
        </is>
      </c>
      <c r="D51" t="inlineStr">
        <is>
          <t>Dominica</t>
        </is>
      </c>
      <c r="E51" t="inlineStr">
        <is>
          <t>DMA</t>
        </is>
      </c>
      <c r="G51" t="inlineStr">
        <is>
          <t>2018gn</t>
        </is>
      </c>
      <c r="H51" t="n">
        <v>2019</v>
      </c>
    </row>
    <row r="52">
      <c r="A52" t="inlineStr">
        <is>
          <t>no_year_in_pairs</t>
        </is>
      </c>
      <c r="C52" t="inlineStr">
        <is>
          <t>EBS.20.72, Sup. 1</t>
        </is>
      </c>
      <c r="D52" t="inlineStr">
        <is>
          <t>Dominica</t>
        </is>
      </c>
      <c r="E52" t="inlineStr">
        <is>
          <t>DMA</t>
        </is>
      </c>
      <c r="G52" t="inlineStr">
        <is>
          <t>2018gn</t>
        </is>
      </c>
      <c r="H52" t="n">
        <v>2019</v>
      </c>
      <c r="I52" t="inlineStr">
        <is>
          <t>gdp.crt.usd</t>
        </is>
      </c>
      <c r="K52" t="inlineStr">
        <is>
          <t>US Dollars</t>
        </is>
      </c>
      <c r="L52" t="inlineStr">
        <is>
          <t>Million</t>
        </is>
      </c>
      <c r="M52" t="inlineStr">
        <is>
          <t>Gross domestic product, current prices, U.S. dollars</t>
        </is>
      </c>
      <c r="P52" t="n">
        <v>405.8129999999999</v>
      </c>
      <c r="Q52" t="n">
        <v>439.783037037037</v>
      </c>
      <c r="R52" t="n">
        <v>473.6322592592592</v>
      </c>
      <c r="S52" t="n">
        <v>491.4493703703703</v>
      </c>
      <c r="T52" t="n">
        <v>497.4248518518518</v>
      </c>
      <c r="U52" t="n">
        <v>493.5116666666667</v>
      </c>
      <c r="V52" t="n">
        <v>493.9886296296296</v>
      </c>
      <c r="W52" t="n">
        <v>512.8228148148147</v>
      </c>
      <c r="X52" t="n">
        <v>532.2485185185185</v>
      </c>
      <c r="Y52" t="n">
        <v>558.1494444444444</v>
      </c>
      <c r="Z52" t="n">
        <v>549.5068888888889</v>
      </c>
      <c r="AA52" t="n">
        <v>528.5165925925926</v>
      </c>
      <c r="AB52" t="n">
        <v>561.131</v>
      </c>
      <c r="AC52" t="n">
        <v>575.5767407407407</v>
      </c>
      <c r="AD52" t="n">
        <v>577.4922592592592</v>
      </c>
      <c r="AE52" t="n">
        <v>608.8952222222222</v>
      </c>
      <c r="AF52" t="n">
        <v>639.4894444444444</v>
      </c>
      <c r="AG52" t="n">
        <v>666.1517407407407</v>
      </c>
      <c r="AH52" t="n">
        <v>690.4853703703703</v>
      </c>
      <c r="AI52" t="n">
        <v>714.9506296296296</v>
      </c>
      <c r="AJ52" t="n">
        <v>740.2794814814814</v>
      </c>
      <c r="AK52" t="n">
        <v>766.3917407407407</v>
      </c>
      <c r="AL52" t="n">
        <v>793.4257407407407</v>
      </c>
      <c r="AM52" t="n">
        <v>821.4335925925925</v>
      </c>
      <c r="AN52" t="n">
        <v>851.5578148148147</v>
      </c>
      <c r="AO52" t="n">
        <v>882.7453703703703</v>
      </c>
      <c r="AP52" t="n">
        <v>913.9062222222221</v>
      </c>
      <c r="AQ52" t="n">
        <v>946.1670370370369</v>
      </c>
      <c r="AR52" t="n">
        <v>979.5666559733331</v>
      </c>
      <c r="AS52" t="n">
        <v>1014.145278723359</v>
      </c>
      <c r="AT52" t="n">
        <v>1049.944524025204</v>
      </c>
      <c r="AU52" t="n">
        <v>1087.007479754996</v>
      </c>
      <c r="AV52" t="n">
        <v>1125.378754787378</v>
      </c>
      <c r="AW52" t="n">
        <v>1165.104532686607</v>
      </c>
    </row>
    <row r="53">
      <c r="A53" t="inlineStr">
        <is>
          <t>no_year_in_pairs</t>
        </is>
      </c>
      <c r="C53" t="inlineStr">
        <is>
          <t>EBS.20.72, Sup. 1</t>
        </is>
      </c>
      <c r="D53" t="inlineStr">
        <is>
          <t>Dominica</t>
        </is>
      </c>
      <c r="E53" t="inlineStr">
        <is>
          <t>DMA</t>
        </is>
      </c>
      <c r="G53" t="inlineStr">
        <is>
          <t>2018gn</t>
        </is>
      </c>
      <c r="H53" t="n">
        <v>2019</v>
      </c>
      <c r="I53" t="inlineStr">
        <is>
          <t>gdp.cst.lcu</t>
        </is>
      </c>
      <c r="K53" t="inlineStr">
        <is>
          <t>National Currency</t>
        </is>
      </c>
      <c r="L53" t="inlineStr">
        <is>
          <t>Million</t>
        </is>
      </c>
      <c r="M53" t="inlineStr">
        <is>
          <t>Gross domestic product, constant prices</t>
        </is>
      </c>
      <c r="P53" t="n">
        <v>1087.1494</v>
      </c>
      <c r="Q53" t="n">
        <v>1160.5218</v>
      </c>
      <c r="R53" t="n">
        <v>1193.3991</v>
      </c>
      <c r="S53" t="n">
        <v>1190.3676</v>
      </c>
      <c r="T53" t="n">
        <v>1193.0213</v>
      </c>
      <c r="U53" t="n">
        <v>1185.3768</v>
      </c>
      <c r="V53" t="n">
        <v>1175.4856</v>
      </c>
      <c r="W53" t="n">
        <v>1197.6198</v>
      </c>
      <c r="X53" t="n">
        <v>1207.736</v>
      </c>
      <c r="Y53" t="n">
        <v>1207.1685</v>
      </c>
      <c r="Z53" t="n">
        <v>1163.9612</v>
      </c>
      <c r="AA53" t="n">
        <v>1108.6661</v>
      </c>
      <c r="AB53" t="n">
        <v>1159.5105</v>
      </c>
      <c r="AC53" t="n">
        <v>1172.528</v>
      </c>
      <c r="AD53" t="n">
        <v>1157.6436</v>
      </c>
      <c r="AE53" t="n">
        <v>1197.7775</v>
      </c>
      <c r="AF53" t="n">
        <v>1233.2937</v>
      </c>
      <c r="AG53" t="n">
        <v>1259.5707</v>
      </c>
      <c r="AH53" t="n">
        <v>1279.997</v>
      </c>
      <c r="AI53" t="n">
        <v>1299.361</v>
      </c>
      <c r="AJ53" t="n">
        <v>1319.0155</v>
      </c>
      <c r="AK53" t="n">
        <v>1338.7669</v>
      </c>
      <c r="AL53" t="n">
        <v>1358.8146</v>
      </c>
      <c r="AM53" t="n">
        <v>1379.1968</v>
      </c>
      <c r="AN53" t="n">
        <v>1401.723</v>
      </c>
      <c r="AO53" t="n">
        <v>1424.587</v>
      </c>
      <c r="AP53" t="n">
        <v>1445.9558</v>
      </c>
      <c r="AQ53" t="n">
        <v>1467.6451</v>
      </c>
      <c r="AR53" t="n">
        <v>1489.6598</v>
      </c>
      <c r="AS53" t="n">
        <v>1512.0047</v>
      </c>
      <c r="AT53" t="n">
        <v>1534.6848</v>
      </c>
      <c r="AU53" t="n">
        <v>1546.1092</v>
      </c>
      <c r="AV53" t="n">
        <v>1581.0706</v>
      </c>
      <c r="AW53" t="n">
        <v>1592.8403</v>
      </c>
    </row>
    <row r="54">
      <c r="A54" t="inlineStr">
        <is>
          <t>no_year_in_pairs</t>
        </is>
      </c>
      <c r="C54" t="inlineStr">
        <is>
          <t>EBS.20.72, Sup. 1</t>
        </is>
      </c>
      <c r="D54" t="inlineStr">
        <is>
          <t>Dominica</t>
        </is>
      </c>
      <c r="E54" t="inlineStr">
        <is>
          <t>DMA</t>
        </is>
      </c>
      <c r="G54" t="inlineStr">
        <is>
          <t>2018gn</t>
        </is>
      </c>
      <c r="H54" t="n">
        <v>2019</v>
      </c>
      <c r="I54" t="inlineStr">
        <is>
          <t>gdp.def</t>
        </is>
      </c>
      <c r="L54" t="inlineStr">
        <is>
          <t>None</t>
        </is>
      </c>
      <c r="M54" t="inlineStr">
        <is>
          <t>US Gross domestic product deflator</t>
        </is>
      </c>
      <c r="P54" t="n">
        <v>90.06633742441279</v>
      </c>
      <c r="Q54" t="n">
        <v>92.4859329228003</v>
      </c>
      <c r="R54" t="n">
        <v>94.2847255710228</v>
      </c>
      <c r="S54" t="n">
        <v>95.0035587890583</v>
      </c>
      <c r="T54" t="n">
        <v>96.1105857841173</v>
      </c>
      <c r="U54" t="n">
        <v>98.1182935701919</v>
      </c>
      <c r="V54" t="n">
        <v>100.000308699142</v>
      </c>
      <c r="W54" t="n">
        <v>101.754734281579</v>
      </c>
      <c r="X54" t="n">
        <v>103.637944007297</v>
      </c>
      <c r="Y54" t="n">
        <v>104.716916084659</v>
      </c>
      <c r="Z54" t="n">
        <v>105.801245132887</v>
      </c>
      <c r="AA54" t="n">
        <v>107.793749758395</v>
      </c>
      <c r="AB54" t="n">
        <v>110.420025592669</v>
      </c>
      <c r="AC54" t="n">
        <v>112.345151476623</v>
      </c>
      <c r="AD54" t="n">
        <v>113.058761516222</v>
      </c>
      <c r="AE54" t="n">
        <v>115.263120405629</v>
      </c>
      <c r="AF54" t="n">
        <v>117.603130366954</v>
      </c>
      <c r="AG54" t="n">
        <v>119.955225095494</v>
      </c>
      <c r="AH54" t="n">
        <v>122.348418724964</v>
      </c>
      <c r="AI54" t="n">
        <v>124.782950430336</v>
      </c>
      <c r="AJ54" t="n">
        <v>127.278609438942</v>
      </c>
      <c r="AK54" t="n">
        <v>129.824181627721</v>
      </c>
      <c r="AL54" t="n">
        <v>132.420665260276</v>
      </c>
      <c r="AM54" t="n">
        <v>135.069078565481</v>
      </c>
      <c r="AN54" t="n">
        <v>137.770460136791</v>
      </c>
      <c r="AO54" t="n">
        <v>140.525869339527</v>
      </c>
      <c r="AP54" t="n">
        <v>143.336386726317</v>
      </c>
      <c r="AQ54" t="n">
        <v>146.203114460844</v>
      </c>
      <c r="AR54" t="n">
        <v>149.12717675006</v>
      </c>
      <c r="AS54" t="n">
        <v>152.109720285062</v>
      </c>
      <c r="AT54" t="n">
        <v>155.151914690763</v>
      </c>
      <c r="AU54" t="n">
        <v>158.254952984578</v>
      </c>
      <c r="AV54" t="n">
        <v>161.42005204427</v>
      </c>
      <c r="AW54" t="n">
        <v>164.648453085155</v>
      </c>
    </row>
    <row r="55">
      <c r="A55" t="inlineStr">
        <is>
          <t>no_year_in_pairs</t>
        </is>
      </c>
      <c r="C55" t="inlineStr">
        <is>
          <t>EBS.20.72, Sup. 1</t>
        </is>
      </c>
      <c r="D55" t="inlineStr">
        <is>
          <t>Dominica</t>
        </is>
      </c>
      <c r="E55" t="inlineStr">
        <is>
          <t>DMA</t>
        </is>
      </c>
      <c r="G55" t="inlineStr">
        <is>
          <t>2018gn</t>
        </is>
      </c>
      <c r="H55" t="n">
        <v>2019</v>
      </c>
      <c r="I55" t="inlineStr">
        <is>
          <t>exc.rat.eop.lcu2usd</t>
        </is>
      </c>
      <c r="K55" t="inlineStr">
        <is>
          <t>National Currency</t>
        </is>
      </c>
      <c r="L55" t="inlineStr">
        <is>
          <t>None</t>
        </is>
      </c>
      <c r="M55" t="inlineStr">
        <is>
          <t>Exchange rate, national currency per U.S. Dollar, end of period</t>
        </is>
      </c>
      <c r="P55" t="n">
        <v>2.7</v>
      </c>
      <c r="Q55" t="n">
        <v>2.7</v>
      </c>
      <c r="R55" t="n">
        <v>2.7</v>
      </c>
      <c r="S55" t="n">
        <v>2.7</v>
      </c>
      <c r="T55" t="n">
        <v>2.7</v>
      </c>
      <c r="U55" t="n">
        <v>2.7</v>
      </c>
      <c r="V55" t="n">
        <v>2.7</v>
      </c>
      <c r="W55" t="n">
        <v>2.7</v>
      </c>
      <c r="X55" t="n">
        <v>2.7</v>
      </c>
      <c r="Y55" t="n">
        <v>2.7</v>
      </c>
      <c r="Z55" t="n">
        <v>2.7</v>
      </c>
      <c r="AA55" t="n">
        <v>2.7</v>
      </c>
      <c r="AB55" t="n">
        <v>2.7</v>
      </c>
      <c r="AC55" t="n">
        <v>2.7</v>
      </c>
      <c r="AD55" t="n">
        <v>2.7</v>
      </c>
      <c r="AE55" t="n">
        <v>2.7</v>
      </c>
      <c r="AF55" t="n">
        <v>2.7</v>
      </c>
      <c r="AG55" t="n">
        <v>2.7</v>
      </c>
      <c r="AH55" t="n">
        <v>2.7</v>
      </c>
      <c r="AI55" t="n">
        <v>2.7</v>
      </c>
      <c r="AJ55" t="n">
        <v>2.7</v>
      </c>
      <c r="AK55" t="n">
        <v>2.7</v>
      </c>
      <c r="AL55" t="n">
        <v>2.7</v>
      </c>
      <c r="AM55" t="n">
        <v>2.7</v>
      </c>
      <c r="AN55" t="n">
        <v>2.7</v>
      </c>
      <c r="AO55" t="n">
        <v>2.7</v>
      </c>
      <c r="AP55" t="n">
        <v>2.7</v>
      </c>
      <c r="AQ55" t="n">
        <v>2.7</v>
      </c>
      <c r="AR55" t="n">
        <v>2.7</v>
      </c>
      <c r="AS55" t="n">
        <v>2.7</v>
      </c>
      <c r="AT55" t="n">
        <v>2.7</v>
      </c>
      <c r="AU55" t="n">
        <v>2.7</v>
      </c>
      <c r="AV55" t="n">
        <v>2.7</v>
      </c>
      <c r="AW55" t="n">
        <v>2.7</v>
      </c>
    </row>
    <row r="56">
      <c r="A56" t="inlineStr">
        <is>
          <t>no_year_in_pairs</t>
        </is>
      </c>
      <c r="C56" t="inlineStr">
        <is>
          <t>EBS.20.72, Sup. 1</t>
        </is>
      </c>
      <c r="D56" t="inlineStr">
        <is>
          <t>Dominica</t>
        </is>
      </c>
      <c r="E56" t="inlineStr">
        <is>
          <t>DMA</t>
        </is>
      </c>
      <c r="G56" t="inlineStr">
        <is>
          <t>2018gn</t>
        </is>
      </c>
      <c r="H56" t="n">
        <v>2019</v>
      </c>
      <c r="I56" t="inlineStr">
        <is>
          <t>exc.rat.avg.lcu2usd</t>
        </is>
      </c>
      <c r="K56" t="inlineStr">
        <is>
          <t>National Currency</t>
        </is>
      </c>
      <c r="L56" t="inlineStr">
        <is>
          <t>None</t>
        </is>
      </c>
      <c r="M56" t="inlineStr">
        <is>
          <t>Exchange rate, national currency per U.S. Dollar, average</t>
        </is>
      </c>
      <c r="P56" t="n">
        <v>2.7</v>
      </c>
      <c r="Q56" t="n">
        <v>2.7</v>
      </c>
      <c r="R56" t="n">
        <v>2.7</v>
      </c>
      <c r="S56" t="n">
        <v>2.7</v>
      </c>
      <c r="T56" t="n">
        <v>2.7</v>
      </c>
      <c r="U56" t="n">
        <v>2.7</v>
      </c>
      <c r="V56" t="n">
        <v>2.7</v>
      </c>
      <c r="W56" t="n">
        <v>2.7</v>
      </c>
      <c r="X56" t="n">
        <v>2.7</v>
      </c>
      <c r="Y56" t="n">
        <v>2.7</v>
      </c>
      <c r="Z56" t="n">
        <v>2.7</v>
      </c>
      <c r="AA56" t="n">
        <v>2.7</v>
      </c>
      <c r="AB56" t="n">
        <v>2.7</v>
      </c>
      <c r="AC56" t="n">
        <v>2.7</v>
      </c>
      <c r="AD56" t="n">
        <v>2.7</v>
      </c>
      <c r="AE56" t="n">
        <v>2.7</v>
      </c>
      <c r="AF56" t="n">
        <v>2.7</v>
      </c>
      <c r="AG56" t="n">
        <v>2.7</v>
      </c>
      <c r="AH56" t="n">
        <v>2.7</v>
      </c>
      <c r="AI56" t="n">
        <v>2.7</v>
      </c>
      <c r="AJ56" t="n">
        <v>2.7</v>
      </c>
      <c r="AK56" t="n">
        <v>2.7</v>
      </c>
      <c r="AL56" t="n">
        <v>2.7</v>
      </c>
      <c r="AM56" t="n">
        <v>2.7</v>
      </c>
      <c r="AN56" t="n">
        <v>2.7</v>
      </c>
      <c r="AO56" t="n">
        <v>2.7</v>
      </c>
      <c r="AP56" t="n">
        <v>2.7</v>
      </c>
      <c r="AQ56" t="n">
        <v>2.7</v>
      </c>
      <c r="AR56" t="n">
        <v>2.7</v>
      </c>
      <c r="AS56" t="n">
        <v>2.7</v>
      </c>
      <c r="AT56" t="n">
        <v>2.7</v>
      </c>
      <c r="AU56" t="n">
        <v>2.7</v>
      </c>
      <c r="AV56" t="n">
        <v>2.7</v>
      </c>
      <c r="AW56" t="n">
        <v>2.7</v>
      </c>
    </row>
    <row r="57">
      <c r="A57" t="inlineStr">
        <is>
          <t>no_year_in_pairs</t>
        </is>
      </c>
      <c r="C57" t="inlineStr">
        <is>
          <t>EBS.20.72, Sup. 1</t>
        </is>
      </c>
      <c r="D57" t="inlineStr">
        <is>
          <t>Dominica</t>
        </is>
      </c>
      <c r="E57" t="inlineStr">
        <is>
          <t>DMA</t>
        </is>
      </c>
      <c r="G57" t="inlineStr">
        <is>
          <t>2018gn</t>
        </is>
      </c>
      <c r="H57" t="n">
        <v>2019</v>
      </c>
      <c r="I57" t="inlineStr">
        <is>
          <t>pub.inv.cst.prc</t>
        </is>
      </c>
      <c r="K57" t="inlineStr">
        <is>
          <t>National Currency</t>
        </is>
      </c>
      <c r="L57" t="inlineStr">
        <is>
          <t>Million</t>
        </is>
      </c>
      <c r="M57" t="inlineStr">
        <is>
          <t>Public Investment, constant prices</t>
        </is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143.2213267851616</v>
      </c>
      <c r="AA57" t="n">
        <v>236.4671058826181</v>
      </c>
      <c r="AB57" t="n">
        <v>300.4441278433256</v>
      </c>
      <c r="AC57" t="n">
        <v>209.6497549000698</v>
      </c>
      <c r="AD57" t="n">
        <v>104.484465268508</v>
      </c>
      <c r="AE57" t="n">
        <v>90.84798643407456</v>
      </c>
      <c r="AF57" t="n">
        <v>86.52228416612978</v>
      </c>
      <c r="AG57" t="n">
        <v>73.03863963605731</v>
      </c>
      <c r="AH57" t="n">
        <v>74.31280264303165</v>
      </c>
      <c r="AI57" t="n">
        <v>75.48587958550115</v>
      </c>
      <c r="AJ57" t="n">
        <v>76.61809480446557</v>
      </c>
      <c r="AK57" t="n">
        <v>77.76909759774439</v>
      </c>
      <c r="AL57" t="n">
        <v>78.93564861699112</v>
      </c>
      <c r="AM57" t="n">
        <v>80.11871143951593</v>
      </c>
      <c r="AN57" t="n">
        <v>81.48220069594001</v>
      </c>
      <c r="AO57" t="n">
        <v>82.70352599680943</v>
      </c>
      <c r="AP57" t="n">
        <v>83.99679871623972</v>
      </c>
      <c r="AQ57" t="n">
        <v>85.25674966088138</v>
      </c>
      <c r="AR57" t="n">
        <v>86.54350519015065</v>
      </c>
      <c r="AS57" t="n">
        <v>87.85675089947686</v>
      </c>
      <c r="AT57" t="n">
        <v>89.18997620687293</v>
      </c>
      <c r="AU57" t="n">
        <v>89.98192458747279</v>
      </c>
      <c r="AV57" t="n">
        <v>92.18293903727606</v>
      </c>
      <c r="AW57" t="n">
        <v>92.77423320022804</v>
      </c>
    </row>
    <row r="58">
      <c r="A58" t="inlineStr">
        <is>
          <t>no_year_in_pairs</t>
        </is>
      </c>
      <c r="C58" t="inlineStr">
        <is>
          <t>EBS.20.72, Sup. 1</t>
        </is>
      </c>
      <c r="D58" t="inlineStr">
        <is>
          <t>Dominica</t>
        </is>
      </c>
      <c r="E58" t="inlineStr">
        <is>
          <t>DMA</t>
        </is>
      </c>
      <c r="G58" t="inlineStr">
        <is>
          <t>2018gn</t>
        </is>
      </c>
      <c r="H58" t="n">
        <v>2019</v>
      </c>
      <c r="I58" t="inlineStr">
        <is>
          <t>prv.inv.cst.prc</t>
        </is>
      </c>
      <c r="K58" t="inlineStr">
        <is>
          <t>National Currency</t>
        </is>
      </c>
      <c r="L58" t="inlineStr">
        <is>
          <t>Million</t>
        </is>
      </c>
      <c r="M58" t="inlineStr">
        <is>
          <t>Private Investment, constant price</t>
        </is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81.47728400000001</v>
      </c>
      <c r="AA58" t="n">
        <v>66.519966</v>
      </c>
      <c r="AB58" t="n">
        <v>86.96328750000001</v>
      </c>
      <c r="AC58" t="n">
        <v>76.21432</v>
      </c>
      <c r="AD58" t="n">
        <v>57.88218000000001</v>
      </c>
      <c r="AE58" t="n">
        <v>35.933325</v>
      </c>
      <c r="AF58" t="n">
        <v>22.1992866</v>
      </c>
      <c r="AG58" t="n">
        <v>25.191414</v>
      </c>
      <c r="AH58" t="n">
        <v>31.999925</v>
      </c>
      <c r="AI58" t="n">
        <v>32.484025</v>
      </c>
      <c r="AJ58" t="n">
        <v>32.9753875</v>
      </c>
      <c r="AK58" t="n">
        <v>33.46917250000001</v>
      </c>
      <c r="AL58" t="n">
        <v>33.970365</v>
      </c>
      <c r="AM58" t="n">
        <v>34.47992</v>
      </c>
      <c r="AN58" t="n">
        <v>35.043075</v>
      </c>
      <c r="AO58" t="n">
        <v>35.614675</v>
      </c>
      <c r="AP58" t="n">
        <v>36.148895</v>
      </c>
      <c r="AQ58" t="n">
        <v>36.6911275</v>
      </c>
      <c r="AR58" t="n">
        <v>37.241495</v>
      </c>
      <c r="AS58" t="n">
        <v>37.8001175</v>
      </c>
      <c r="AT58" t="n">
        <v>38.36712</v>
      </c>
      <c r="AU58" t="n">
        <v>38.65273000000001</v>
      </c>
      <c r="AV58" t="n">
        <v>38.5178875</v>
      </c>
      <c r="AW58" t="n">
        <v>38.5178875</v>
      </c>
    </row>
    <row r="59">
      <c r="A59" t="inlineStr">
        <is>
          <t>no_year_in_pairs</t>
        </is>
      </c>
      <c r="C59" t="inlineStr">
        <is>
          <t>EBS.20.72, Sup. 1</t>
        </is>
      </c>
      <c r="D59" t="inlineStr">
        <is>
          <t>Dominica</t>
        </is>
      </c>
      <c r="E59" t="inlineStr">
        <is>
          <t>DMA</t>
        </is>
      </c>
      <c r="G59" t="inlineStr">
        <is>
          <t>2018gn</t>
        </is>
      </c>
      <c r="H59" t="n">
        <v>2019</v>
      </c>
      <c r="I59" t="inlineStr">
        <is>
          <t>pub.inv.2gdp.vtg-1</t>
        </is>
      </c>
      <c r="K59" t="inlineStr">
        <is>
          <t>Percent of GDP</t>
        </is>
      </c>
      <c r="L59" t="inlineStr">
        <is>
          <t>Unit</t>
        </is>
      </c>
      <c r="M59" t="inlineStr">
        <is>
          <t>Public Investment in percent of GDP (real), previous DSA vintage</t>
        </is>
      </c>
      <c r="P59" t="n">
        <v>8.972570416637071</v>
      </c>
      <c r="Q59" t="n">
        <v>10.8242135604904</v>
      </c>
      <c r="R59" t="n">
        <v>12.7608482542157</v>
      </c>
      <c r="S59" t="n">
        <v>13.8065079246998</v>
      </c>
      <c r="T59" t="n">
        <v>12.1771620736815</v>
      </c>
      <c r="U59" t="n">
        <v>6.87821686614354</v>
      </c>
      <c r="V59" t="n">
        <v>3.69507064068848</v>
      </c>
      <c r="W59" t="n">
        <v>2.34274771176496</v>
      </c>
      <c r="X59" t="n">
        <v>0.66898834795121</v>
      </c>
      <c r="Y59" t="n">
        <v>4.13340226384344</v>
      </c>
      <c r="Z59" t="n">
        <v>12.3046478512481</v>
      </c>
      <c r="AA59" t="n">
        <v>21.3289741503432</v>
      </c>
      <c r="AB59" t="n">
        <v>25.9112899661819</v>
      </c>
      <c r="AC59" t="n">
        <v>17.8801491222444</v>
      </c>
      <c r="AD59" t="n">
        <v>9.02561593814435</v>
      </c>
      <c r="AE59" t="n">
        <v>7.58471305681352</v>
      </c>
      <c r="AF59" t="n">
        <v>7.0155457833061</v>
      </c>
      <c r="AG59" t="n">
        <v>5.79869312902065</v>
      </c>
      <c r="AH59" t="n">
        <v>5.8057013135993</v>
      </c>
      <c r="AI59" t="n">
        <v>5.80946169582596</v>
      </c>
      <c r="AJ59" t="n">
        <v>5.80873346859575</v>
      </c>
      <c r="AK59" t="n">
        <v>5.80900958917825</v>
      </c>
      <c r="AL59" t="n">
        <v>5.8091551722355</v>
      </c>
      <c r="AM59" t="n">
        <v>5.80908478322426</v>
      </c>
      <c r="AN59" t="n">
        <v>5.8130030466747</v>
      </c>
      <c r="AO59" t="n">
        <v>5.80543876904741</v>
      </c>
      <c r="AP59" t="n">
        <v>5.80908480855637</v>
      </c>
      <c r="AQ59" t="n">
        <v>5.80908488440982</v>
      </c>
      <c r="AR59" t="n">
        <v>5.80961540280208</v>
      </c>
      <c r="AS59" t="n">
        <v>5.81061361115325</v>
      </c>
      <c r="AT59" t="n">
        <v>5.81161527154455</v>
      </c>
      <c r="AU59" t="n">
        <v>5.81989451893002</v>
      </c>
      <c r="AV59" t="n">
        <v>5.83041257216952</v>
      </c>
      <c r="AW59" t="n">
        <v>5.82445290970024</v>
      </c>
    </row>
    <row r="60">
      <c r="A60" t="inlineStr">
        <is>
          <t>no_year_in_pairs</t>
        </is>
      </c>
      <c r="C60" t="inlineStr">
        <is>
          <t>EBS.20.72, Sup. 1</t>
        </is>
      </c>
      <c r="D60" t="inlineStr">
        <is>
          <t>Dominica</t>
        </is>
      </c>
      <c r="E60" t="inlineStr">
        <is>
          <t>DMA</t>
        </is>
      </c>
      <c r="G60" t="inlineStr">
        <is>
          <t>2018gn</t>
        </is>
      </c>
      <c r="H60" t="n">
        <v>2019</v>
      </c>
      <c r="I60" t="inlineStr">
        <is>
          <t>prv.inv.2gdp.vtg-1</t>
        </is>
      </c>
      <c r="K60" t="inlineStr">
        <is>
          <t>Percent of GDP</t>
        </is>
      </c>
      <c r="L60" t="inlineStr">
        <is>
          <t>Unit</t>
        </is>
      </c>
      <c r="M60" t="inlineStr">
        <is>
          <t>Private Investment in percent of GDP (real), previous DSA vintage</t>
        </is>
      </c>
      <c r="P60" t="n">
        <v>10.2287894678581</v>
      </c>
      <c r="Q60" t="n">
        <v>8.616511071100129</v>
      </c>
      <c r="R60" t="n">
        <v>8.33745851116179</v>
      </c>
      <c r="S60" t="n">
        <v>5.57477697074781</v>
      </c>
      <c r="T60" t="n">
        <v>1.87114822706872</v>
      </c>
      <c r="U60" t="n">
        <v>1.16672870742291</v>
      </c>
      <c r="V60" t="n">
        <v>2.70745052871786</v>
      </c>
      <c r="W60" t="n">
        <v>2.93987083115426</v>
      </c>
      <c r="X60" t="n">
        <v>6.03913633017558</v>
      </c>
      <c r="Y60" t="n">
        <v>8</v>
      </c>
      <c r="Z60" t="n">
        <v>7</v>
      </c>
      <c r="AA60" t="n">
        <v>6</v>
      </c>
      <c r="AB60" t="n">
        <v>7.5</v>
      </c>
      <c r="AC60" t="n">
        <v>6.5</v>
      </c>
      <c r="AD60" t="n">
        <v>5</v>
      </c>
      <c r="AE60" t="n">
        <v>3</v>
      </c>
      <c r="AF60" t="n">
        <v>1.8</v>
      </c>
      <c r="AG60" t="n">
        <v>2</v>
      </c>
      <c r="AH60" t="n">
        <v>2.5</v>
      </c>
      <c r="AI60" t="n">
        <v>2.5</v>
      </c>
      <c r="AJ60" t="n">
        <v>2.5</v>
      </c>
      <c r="AK60" t="n">
        <v>2.5</v>
      </c>
      <c r="AL60" t="n">
        <v>2.5</v>
      </c>
      <c r="AM60" t="n">
        <v>2.5</v>
      </c>
      <c r="AN60" t="n">
        <v>2.5</v>
      </c>
      <c r="AO60" t="n">
        <v>2.5</v>
      </c>
      <c r="AP60" t="n">
        <v>2.5</v>
      </c>
      <c r="AQ60" t="n">
        <v>2.5</v>
      </c>
      <c r="AR60" t="n">
        <v>2.5</v>
      </c>
      <c r="AS60" t="n">
        <v>2.5</v>
      </c>
      <c r="AT60" t="n">
        <v>2.5</v>
      </c>
      <c r="AU60" t="n">
        <v>2.5</v>
      </c>
      <c r="AV60" t="n">
        <v>2.5</v>
      </c>
      <c r="AW60" t="n">
        <v>2.5</v>
      </c>
    </row>
    <row r="61">
      <c r="A61" t="inlineStr">
        <is>
          <t>no_year_in_pairs</t>
        </is>
      </c>
      <c r="C61" t="inlineStr">
        <is>
          <t>EBS.20.72, Sup. 1</t>
        </is>
      </c>
      <c r="D61" t="inlineStr">
        <is>
          <t>Dominica</t>
        </is>
      </c>
      <c r="E61" t="inlineStr">
        <is>
          <t>DMA</t>
        </is>
      </c>
      <c r="G61" t="inlineStr">
        <is>
          <t>2018gn</t>
        </is>
      </c>
      <c r="H61" t="n">
        <v>2019</v>
      </c>
    </row>
    <row r="62">
      <c r="A62" t="inlineStr">
        <is>
          <t>no_year_in_pairs</t>
        </is>
      </c>
      <c r="C62" t="inlineStr">
        <is>
          <t>EBS.20.72, Sup. 1</t>
        </is>
      </c>
      <c r="D62" t="inlineStr">
        <is>
          <t>Dominica</t>
        </is>
      </c>
      <c r="E62" t="inlineStr">
        <is>
          <t>DMA</t>
        </is>
      </c>
      <c r="G62" t="inlineStr">
        <is>
          <t>2018gn</t>
        </is>
      </c>
      <c r="H62" t="n">
        <v>2019</v>
      </c>
      <c r="K62" t="inlineStr">
        <is>
          <t>Units</t>
        </is>
      </c>
      <c r="L62" t="inlineStr">
        <is>
          <t>Scale</t>
        </is>
      </c>
      <c r="M62" t="inlineStr">
        <is>
          <t>Calculated variables</t>
        </is>
      </c>
      <c r="P62" t="n">
        <v>2006</v>
      </c>
      <c r="Q62" t="n">
        <v>2007</v>
      </c>
      <c r="R62" t="n">
        <v>2008</v>
      </c>
      <c r="S62" t="n">
        <v>2009</v>
      </c>
      <c r="T62" t="n">
        <v>2010</v>
      </c>
      <c r="U62" t="n">
        <v>2011</v>
      </c>
      <c r="V62" t="n">
        <v>2012</v>
      </c>
      <c r="W62" t="n">
        <v>2013</v>
      </c>
      <c r="X62" t="n">
        <v>2014</v>
      </c>
      <c r="Y62" t="n">
        <v>2015</v>
      </c>
      <c r="Z62" t="n">
        <v>2016</v>
      </c>
      <c r="AA62" t="n">
        <v>2017</v>
      </c>
      <c r="AB62" t="n">
        <v>2018</v>
      </c>
      <c r="AC62" t="n">
        <v>2019</v>
      </c>
      <c r="AD62" t="n">
        <v>2020</v>
      </c>
      <c r="AE62" t="n">
        <v>2021</v>
      </c>
      <c r="AF62" t="n">
        <v>2022</v>
      </c>
      <c r="AG62" t="n">
        <v>2023</v>
      </c>
      <c r="AH62" t="n">
        <v>2024</v>
      </c>
      <c r="AI62" t="n">
        <v>2025</v>
      </c>
      <c r="AJ62" t="n">
        <v>2026</v>
      </c>
      <c r="AK62" t="n">
        <v>2027</v>
      </c>
      <c r="AL62" t="n">
        <v>2028</v>
      </c>
      <c r="AM62" t="n">
        <v>2029</v>
      </c>
      <c r="AN62" t="n">
        <v>2030</v>
      </c>
      <c r="AO62" t="n">
        <v>2031</v>
      </c>
      <c r="AP62" t="n">
        <v>2032</v>
      </c>
      <c r="AQ62" t="n">
        <v>2033</v>
      </c>
      <c r="AR62" t="n">
        <v>2034</v>
      </c>
      <c r="AS62" t="n">
        <v>2035</v>
      </c>
      <c r="AT62" t="n">
        <v>2036</v>
      </c>
      <c r="AU62" t="n">
        <v>2037</v>
      </c>
      <c r="AV62" t="n">
        <v>2038</v>
      </c>
      <c r="AW62" t="n">
        <v>2039</v>
      </c>
    </row>
    <row r="63">
      <c r="A63" t="inlineStr">
        <is>
          <t>no_year_in_pairs</t>
        </is>
      </c>
      <c r="C63" t="inlineStr">
        <is>
          <t>EBS.20.72, Sup. 1</t>
        </is>
      </c>
      <c r="D63" t="inlineStr">
        <is>
          <t>Dominica</t>
        </is>
      </c>
      <c r="E63" t="inlineStr">
        <is>
          <t>DMA</t>
        </is>
      </c>
      <c r="G63" t="inlineStr">
        <is>
          <t>2018gn</t>
        </is>
      </c>
      <c r="H63" t="n">
        <v>2019</v>
      </c>
    </row>
    <row r="64">
      <c r="A64" t="inlineStr">
        <is>
          <t>no_year_in_pairs</t>
        </is>
      </c>
      <c r="C64" t="inlineStr">
        <is>
          <t>EBS.20.72, Sup. 1</t>
        </is>
      </c>
      <c r="D64" t="inlineStr">
        <is>
          <t>Dominica</t>
        </is>
      </c>
      <c r="E64" t="inlineStr">
        <is>
          <t>DMA</t>
        </is>
      </c>
      <c r="G64" t="inlineStr">
        <is>
          <t>2018gn</t>
        </is>
      </c>
      <c r="H64" t="n">
        <v>2019</v>
      </c>
      <c r="M64" t="inlineStr">
        <is>
          <t>External Sector</t>
        </is>
      </c>
    </row>
    <row r="65">
      <c r="A65" t="inlineStr">
        <is>
          <t>no_year_in_pairs</t>
        </is>
      </c>
      <c r="C65" t="inlineStr">
        <is>
          <t>EBS.20.72, Sup. 1</t>
        </is>
      </c>
      <c r="D65" t="inlineStr">
        <is>
          <t>Dominica</t>
        </is>
      </c>
      <c r="E65" t="inlineStr">
        <is>
          <t>DMA</t>
        </is>
      </c>
      <c r="G65" t="inlineStr">
        <is>
          <t>2018gn</t>
        </is>
      </c>
      <c r="H65" t="n">
        <v>2019</v>
      </c>
      <c r="I65" t="inlineStr">
        <is>
          <t>ext.paid.int.rat</t>
        </is>
      </c>
      <c r="M65" t="inlineStr">
        <is>
          <t>External interest rate (paid)</t>
        </is>
      </c>
      <c r="P65" t="n">
        <v>0</v>
      </c>
      <c r="Q65" t="n">
        <v>2.708958250643347</v>
      </c>
      <c r="R65" t="n">
        <v>2.164512067015255</v>
      </c>
      <c r="S65" t="n">
        <v>2.983294629940756</v>
      </c>
      <c r="T65" t="n">
        <v>2.107411771556183</v>
      </c>
      <c r="U65" t="n">
        <v>2.110107086036293</v>
      </c>
      <c r="V65" t="n">
        <v>4.838404275314088</v>
      </c>
      <c r="W65" t="n">
        <v>2.286779376420979</v>
      </c>
      <c r="X65" t="n">
        <v>2.150545054191951</v>
      </c>
      <c r="Y65" t="n">
        <v>1.826265104236192</v>
      </c>
      <c r="Z65" t="n">
        <v>2.113141293931176</v>
      </c>
      <c r="AA65" t="n">
        <v>2.048900701300853</v>
      </c>
      <c r="AB65" t="n">
        <v>1.953742925737224</v>
      </c>
      <c r="AC65" t="n">
        <v>2.019262574881235</v>
      </c>
      <c r="AD65" t="n">
        <v>2.116508366928477</v>
      </c>
      <c r="AE65" t="n">
        <v>2.006845825876373</v>
      </c>
      <c r="AF65" t="n">
        <v>1.788603495599583</v>
      </c>
      <c r="AG65" t="n">
        <v>1.974373604695286</v>
      </c>
      <c r="AH65" t="n">
        <v>1.905946172617169</v>
      </c>
      <c r="AI65" t="n">
        <v>2.058726626551337</v>
      </c>
      <c r="AJ65" t="n">
        <v>2.123563576378783</v>
      </c>
      <c r="AK65" t="n">
        <v>2.316194180219922</v>
      </c>
      <c r="AL65" t="n">
        <v>2.314486751443406</v>
      </c>
      <c r="AM65" t="n">
        <v>1.977345984640425</v>
      </c>
      <c r="AN65" t="n">
        <v>1.832278822916628</v>
      </c>
      <c r="AO65" t="n">
        <v>1.853197643601104</v>
      </c>
      <c r="AP65" t="n">
        <v>1.883595295185761</v>
      </c>
      <c r="AQ65" t="n">
        <v>2.202030175522288</v>
      </c>
      <c r="AR65" t="n">
        <v>2.281674105075518</v>
      </c>
      <c r="AS65" t="n">
        <v>2.292589313200819</v>
      </c>
      <c r="AT65" t="n">
        <v>2.998855984146575</v>
      </c>
      <c r="AU65" t="n">
        <v>2.237588476362818</v>
      </c>
      <c r="AV65" t="n">
        <v>2.049443482591755</v>
      </c>
      <c r="AW65" t="n">
        <v>1.728321771205812</v>
      </c>
    </row>
    <row r="66">
      <c r="A66" t="inlineStr">
        <is>
          <t>no_year_in_pairs</t>
        </is>
      </c>
      <c r="C66" t="inlineStr">
        <is>
          <t>EBS.20.72, Sup. 1</t>
        </is>
      </c>
      <c r="D66" t="inlineStr">
        <is>
          <t>Dominica</t>
        </is>
      </c>
      <c r="E66" t="inlineStr">
        <is>
          <t>DMA</t>
        </is>
      </c>
      <c r="G66" t="inlineStr">
        <is>
          <t>2018gn</t>
        </is>
      </c>
      <c r="H66" t="n">
        <v>2019</v>
      </c>
      <c r="I66" t="inlineStr">
        <is>
          <t>prv.dbt.2gdp</t>
        </is>
      </c>
      <c r="M66" t="inlineStr">
        <is>
          <t>Private debt in percent of GDP</t>
        </is>
      </c>
      <c r="P66" t="n">
        <v>20.4697456436558</v>
      </c>
      <c r="Q66" t="n">
        <v>22.9011915134585</v>
      </c>
      <c r="R66" t="n">
        <v>19.11257765146908</v>
      </c>
      <c r="S66" t="n">
        <v>20.80949825433204</v>
      </c>
      <c r="T66" t="n">
        <v>19.11764673033432</v>
      </c>
      <c r="U66" t="n">
        <v>24.36603104808586</v>
      </c>
      <c r="V66" t="n">
        <v>22.82777853711275</v>
      </c>
      <c r="W66" t="n">
        <v>22.23753659483571</v>
      </c>
      <c r="X66" t="n">
        <v>26.4246904832156</v>
      </c>
      <c r="Y66" t="n">
        <v>23.92343481617669</v>
      </c>
      <c r="Z66" t="n">
        <v>23.37321151098021</v>
      </c>
      <c r="AA66" t="n">
        <v>24.09385093764883</v>
      </c>
      <c r="AB66" t="n">
        <v>39.63847490446813</v>
      </c>
      <c r="AC66" t="n">
        <v>39.99411626616484</v>
      </c>
      <c r="AD66" t="n">
        <v>41.92451514537805</v>
      </c>
      <c r="AE66" t="n">
        <v>41.56546276740094</v>
      </c>
      <c r="AF66" t="n">
        <v>39.42464788736314</v>
      </c>
      <c r="AG66" t="n">
        <v>36.70750462206998</v>
      </c>
      <c r="AH66" t="n">
        <v>34.26795281201304</v>
      </c>
      <c r="AI66" t="n">
        <v>31.70977706273797</v>
      </c>
      <c r="AJ66" t="n">
        <v>22.4507010397026</v>
      </c>
      <c r="AK66" t="n">
        <v>20.94307475638792</v>
      </c>
      <c r="AL66" t="n">
        <v>20.2294918035137</v>
      </c>
      <c r="AM66" t="n">
        <v>19.53974084302179</v>
      </c>
      <c r="AN66" t="n">
        <v>18.84851414639658</v>
      </c>
      <c r="AO66" t="n">
        <v>18.18259269066153</v>
      </c>
      <c r="AP66" t="n">
        <v>17.56263293621475</v>
      </c>
      <c r="AQ66" t="n">
        <v>16.9638117697217</v>
      </c>
      <c r="AR66" t="n">
        <v>16.38540820181669</v>
      </c>
      <c r="AS66" t="n">
        <v>15.82672606750844</v>
      </c>
      <c r="AT66" t="n">
        <v>15.28709293847063</v>
      </c>
      <c r="AU66" t="n">
        <v>14.76585931370895</v>
      </c>
      <c r="AV66" t="n">
        <v>14.26239783782314</v>
      </c>
      <c r="AW66" t="n">
        <v>13.77610254592403</v>
      </c>
    </row>
    <row r="67">
      <c r="A67" t="inlineStr">
        <is>
          <t>no_year_in_pairs</t>
        </is>
      </c>
      <c r="C67" t="inlineStr">
        <is>
          <t>EBS.20.72, Sup. 1</t>
        </is>
      </c>
      <c r="D67" t="inlineStr">
        <is>
          <t>Dominica</t>
        </is>
      </c>
      <c r="E67" t="inlineStr">
        <is>
          <t>DMA</t>
        </is>
      </c>
      <c r="G67" t="inlineStr">
        <is>
          <t>2018gn</t>
        </is>
      </c>
      <c r="H67" t="n">
        <v>2019</v>
      </c>
      <c r="I67" t="inlineStr">
        <is>
          <t>prv.tds.2xprt</t>
        </is>
      </c>
      <c r="M67" t="inlineStr">
        <is>
          <t>Private debt service in percent of exports</t>
        </is>
      </c>
      <c r="P67" t="n">
        <v>1.437867554677299</v>
      </c>
      <c r="Q67" t="n">
        <v>1.70306846602532</v>
      </c>
      <c r="R67" t="n">
        <v>1.443903313285521</v>
      </c>
      <c r="S67" t="n">
        <v>1.728095966810858</v>
      </c>
      <c r="T67" t="n">
        <v>1.353519833601471</v>
      </c>
      <c r="U67" t="n">
        <v>1.493872417205116</v>
      </c>
      <c r="V67" t="n">
        <v>1.776031910170843</v>
      </c>
      <c r="W67" t="n">
        <v>1.453765156610666</v>
      </c>
      <c r="X67" t="n">
        <v>1.003923243529686</v>
      </c>
      <c r="Y67" t="n">
        <v>1.048576582446368</v>
      </c>
      <c r="Z67" t="n">
        <v>1.043041485566012</v>
      </c>
      <c r="AA67" t="n">
        <v>1.2929135084022</v>
      </c>
      <c r="AB67" t="n">
        <v>1.782851702677649</v>
      </c>
      <c r="AC67" t="n">
        <v>1.267930865521138</v>
      </c>
      <c r="AD67" t="n">
        <v>2.395206313569503</v>
      </c>
      <c r="AE67" t="n">
        <v>1.789413209264787</v>
      </c>
      <c r="AF67" t="n">
        <v>1.616664696545882</v>
      </c>
      <c r="AG67" t="n">
        <v>1.495468946992351</v>
      </c>
      <c r="AH67" t="n">
        <v>1.353728227995377</v>
      </c>
      <c r="AI67" t="n">
        <v>1.26934323087052</v>
      </c>
      <c r="AJ67" t="n">
        <v>1.225952421577905</v>
      </c>
      <c r="AK67" t="n">
        <v>1.184333325590024</v>
      </c>
      <c r="AL67" t="n">
        <v>1.144178405842481</v>
      </c>
      <c r="AM67" t="n">
        <v>1.105324106657829</v>
      </c>
      <c r="AN67" t="n">
        <v>1.067784045614157</v>
      </c>
      <c r="AO67" t="n">
        <v>1.028842092212038</v>
      </c>
      <c r="AP67" t="n">
        <v>0.9938900838423945</v>
      </c>
      <c r="AQ67" t="n">
        <v>0.9601212767011766</v>
      </c>
      <c r="AR67" t="n">
        <v>0.9274958971118307</v>
      </c>
      <c r="AS67" t="n">
        <v>0.8959754896739841</v>
      </c>
      <c r="AT67" t="n">
        <v>0.8655228748242249</v>
      </c>
      <c r="AU67" t="n">
        <v>0.8361021076785263</v>
      </c>
      <c r="AV67" t="n">
        <v>0.8076784381234189</v>
      </c>
      <c r="AW67" t="n">
        <v>0.7802182721234617</v>
      </c>
    </row>
    <row r="68">
      <c r="A68" t="inlineStr">
        <is>
          <t>no_year_in_pairs</t>
        </is>
      </c>
      <c r="C68" t="inlineStr">
        <is>
          <t>EBS.20.72, Sup. 1</t>
        </is>
      </c>
      <c r="D68" t="inlineStr">
        <is>
          <t>Dominica</t>
        </is>
      </c>
      <c r="E68" t="inlineStr">
        <is>
          <t>DMA</t>
        </is>
      </c>
      <c r="G68" t="inlineStr">
        <is>
          <t>2018gn</t>
        </is>
      </c>
      <c r="H68" t="n">
        <v>2019</v>
      </c>
      <c r="I68" t="inlineStr">
        <is>
          <t>nicab.2gdp</t>
        </is>
      </c>
      <c r="M68" t="inlineStr">
        <is>
          <t>Non-interest current account in percent of GDP</t>
        </is>
      </c>
      <c r="P68" t="n">
        <v>-10.17985207928738</v>
      </c>
      <c r="Q68" t="n">
        <v>-17.88770930690364</v>
      </c>
      <c r="R68" t="n">
        <v>-25.93780969780356</v>
      </c>
      <c r="S68" t="n">
        <v>-20.75351863607071</v>
      </c>
      <c r="T68" t="n">
        <v>-14.45740664642364</v>
      </c>
      <c r="U68" t="n">
        <v>-6.32557082406022</v>
      </c>
      <c r="V68" t="n">
        <v>-13.47872078777043</v>
      </c>
      <c r="W68" t="n">
        <v>-7.95951163841442</v>
      </c>
      <c r="X68" t="n">
        <v>-3.536923534049466</v>
      </c>
      <c r="Y68" t="n">
        <v>-2.984214794458008</v>
      </c>
      <c r="Z68" t="n">
        <v>-6.2782282445015</v>
      </c>
      <c r="AA68" t="n">
        <v>-7.027734850890837</v>
      </c>
      <c r="AB68" t="n">
        <v>-40.88601368981178</v>
      </c>
      <c r="AC68" t="n">
        <v>-26.75801992036881</v>
      </c>
      <c r="AD68" t="n">
        <v>-27.41283411110686</v>
      </c>
      <c r="AE68" t="n">
        <v>-21.89568523449981</v>
      </c>
      <c r="AF68" t="n">
        <v>-17.62027333623357</v>
      </c>
      <c r="AG68" t="n">
        <v>-11.02958028683782</v>
      </c>
      <c r="AH68" t="n">
        <v>-8.810412786087934</v>
      </c>
      <c r="AI68" t="n">
        <v>-7.742480110965576</v>
      </c>
      <c r="AJ68" t="n">
        <v>-2.341454523745176</v>
      </c>
      <c r="AK68" t="n">
        <v>-2.410826921283186</v>
      </c>
      <c r="AL68" t="n">
        <v>-2.504480373027404</v>
      </c>
      <c r="AM68" t="n">
        <v>-2.876389868787236</v>
      </c>
      <c r="AN68" t="n">
        <v>-3.078610478218251</v>
      </c>
      <c r="AO68" t="n">
        <v>-3.142765785126175</v>
      </c>
      <c r="AP68" t="n">
        <v>-3.193634594631905</v>
      </c>
      <c r="AQ68" t="n">
        <v>-3.039420989509132</v>
      </c>
      <c r="AR68" t="n">
        <v>-3.085470659459112</v>
      </c>
      <c r="AS68" t="n">
        <v>-2.694023834276327</v>
      </c>
      <c r="AT68" t="n">
        <v>-1.897543574828849</v>
      </c>
      <c r="AU68" t="n">
        <v>-1.989746319601364</v>
      </c>
      <c r="AV68" t="n">
        <v>-1.740495822191567</v>
      </c>
      <c r="AW68" t="n">
        <v>-1.852444601209082</v>
      </c>
    </row>
    <row r="69">
      <c r="A69" t="inlineStr">
        <is>
          <t>no_year_in_pairs</t>
        </is>
      </c>
      <c r="C69" t="inlineStr">
        <is>
          <t>EBS.20.72, Sup. 1</t>
        </is>
      </c>
      <c r="D69" t="inlineStr">
        <is>
          <t>Dominica</t>
        </is>
      </c>
      <c r="E69" t="inlineStr">
        <is>
          <t>DMA</t>
        </is>
      </c>
      <c r="G69" t="inlineStr">
        <is>
          <t>2018gn</t>
        </is>
      </c>
      <c r="H69" t="n">
        <v>2019</v>
      </c>
      <c r="I69" t="inlineStr">
        <is>
          <t>off.trsfr.crt.2gdp</t>
        </is>
      </c>
      <c r="M69" t="inlineStr">
        <is>
          <t>Current official transfers in percent of GDP</t>
        </is>
      </c>
      <c r="P69" t="n">
        <v>0.06976210809010654</v>
      </c>
      <c r="Q69" t="n">
        <v>-0.07687292269201429</v>
      </c>
      <c r="R69" t="n">
        <v>-0.012327895270522</v>
      </c>
      <c r="S69" t="n">
        <v>0.06136663186660352</v>
      </c>
      <c r="T69" t="n">
        <v>0.1300005040776306</v>
      </c>
      <c r="U69" t="n">
        <v>-0.4159249490518259</v>
      </c>
      <c r="V69" t="n">
        <v>0.08331275881068798</v>
      </c>
      <c r="W69" t="n">
        <v>1.055323996101173</v>
      </c>
      <c r="X69" t="n">
        <v>2.347939051657256</v>
      </c>
      <c r="Y69" t="n">
        <v>2.950718645510771</v>
      </c>
      <c r="Z69" t="n">
        <v>1.869751777047786</v>
      </c>
      <c r="AA69" t="n">
        <v>5.207222085882856</v>
      </c>
      <c r="AB69" t="n">
        <v>0.3926398260668917</v>
      </c>
      <c r="AC69" t="n">
        <v>0.917237581970105</v>
      </c>
      <c r="AD69" t="n">
        <v>1.025349126392838</v>
      </c>
      <c r="AE69" t="n">
        <v>0.1228437042691836</v>
      </c>
      <c r="AF69" t="n">
        <v>0.4119030607503116</v>
      </c>
      <c r="AG69" t="n">
        <v>0.4110468574146708</v>
      </c>
      <c r="AH69" t="n">
        <v>0.4118165120001563</v>
      </c>
      <c r="AI69" t="n">
        <v>0.4126430316844266</v>
      </c>
      <c r="AJ69" t="n">
        <v>0.4064948316805249</v>
      </c>
      <c r="AK69" t="n">
        <v>0.4004977644841566</v>
      </c>
      <c r="AL69" t="n">
        <v>0.3945888397460057</v>
      </c>
      <c r="AM69" t="n">
        <v>0.3887575139274304</v>
      </c>
      <c r="AN69" t="n">
        <v>0.3825051514674471</v>
      </c>
      <c r="AO69" t="n">
        <v>0.3763709979225531</v>
      </c>
      <c r="AP69" t="n">
        <v>0.3708088891800587</v>
      </c>
      <c r="AQ69" t="n">
        <v>0.3653289837500177</v>
      </c>
      <c r="AR69" t="n">
        <v>0.3393031543593754</v>
      </c>
      <c r="AS69" t="n">
        <v>0.3303041273253727</v>
      </c>
      <c r="AT69" t="n">
        <v>0.3208041831055329</v>
      </c>
      <c r="AU69" t="n">
        <v>0.3107098796484842</v>
      </c>
      <c r="AV69" t="n">
        <v>0.2999131129878031</v>
      </c>
      <c r="AW69" t="n">
        <v>0.2882887817560226</v>
      </c>
    </row>
    <row r="70">
      <c r="A70" t="inlineStr">
        <is>
          <t>no_year_in_pairs</t>
        </is>
      </c>
      <c r="C70" t="inlineStr">
        <is>
          <t>EBS.20.72, Sup. 1</t>
        </is>
      </c>
      <c r="D70" t="inlineStr">
        <is>
          <t>Dominica</t>
        </is>
      </c>
      <c r="E70" t="inlineStr">
        <is>
          <t>DMA</t>
        </is>
      </c>
      <c r="G70" t="inlineStr">
        <is>
          <t>2018gn</t>
        </is>
      </c>
      <c r="H70" t="n">
        <v>2019</v>
      </c>
      <c r="I70" t="inlineStr">
        <is>
          <t>tot.grss.fin.2gdp</t>
        </is>
      </c>
      <c r="M70" t="inlineStr">
        <is>
          <t>Total gross financing</t>
        </is>
      </c>
      <c r="P70" t="inlineStr">
        <is>
          <t>...</t>
        </is>
      </c>
      <c r="Q70" t="n">
        <v>56.90573740740739</v>
      </c>
      <c r="R70" t="n">
        <v>83.35191370370389</v>
      </c>
      <c r="S70" t="n">
        <v>65.9605733333336</v>
      </c>
      <c r="T70" t="n">
        <v>46.21835999999999</v>
      </c>
      <c r="U70" t="n">
        <v>17.7700483125926</v>
      </c>
      <c r="V70" t="n">
        <v>44.2449432814738</v>
      </c>
      <c r="W70" t="n">
        <v>41.489034162003</v>
      </c>
      <c r="X70" t="n">
        <v>31.4067629267685</v>
      </c>
      <c r="Y70" t="n">
        <v>27.7018792024424</v>
      </c>
      <c r="Z70" t="n">
        <v>24.8675667508586</v>
      </c>
      <c r="AA70" t="n">
        <v>51.5289286987886</v>
      </c>
      <c r="AB70" t="n">
        <v>186.0575146223548</v>
      </c>
      <c r="AC70" t="n">
        <v>151.2212294412698</v>
      </c>
      <c r="AD70" t="n">
        <v>173.9008970342593</v>
      </c>
      <c r="AE70" t="n">
        <v>135.4729751333333</v>
      </c>
      <c r="AF70" t="n">
        <v>114.3714392274074</v>
      </c>
      <c r="AG70" t="n">
        <v>72.92372563481482</v>
      </c>
      <c r="AH70" t="n">
        <v>58.36899587237266</v>
      </c>
      <c r="AI70" t="n">
        <v>52.18180858730375</v>
      </c>
      <c r="AJ70" t="n">
        <v>13.46983492710639</v>
      </c>
      <c r="AK70" t="n">
        <v>13.66151847003188</v>
      </c>
      <c r="AL70" t="n">
        <v>14.04439679289305</v>
      </c>
      <c r="AM70" t="n">
        <v>14.4105080596281</v>
      </c>
      <c r="AN70" t="n">
        <v>14.36001190949835</v>
      </c>
      <c r="AO70" t="n">
        <v>14.34075286040654</v>
      </c>
      <c r="AP70" t="n">
        <v>13.51957544700648</v>
      </c>
      <c r="AQ70" t="n">
        <v>13.85205206967522</v>
      </c>
      <c r="AR70" t="n">
        <v>12.26342162230354</v>
      </c>
      <c r="AS70" t="n">
        <v>8.412705755939612</v>
      </c>
      <c r="AT70" t="n">
        <v>6.020968863889134</v>
      </c>
      <c r="AU70" t="n">
        <v>3.510257065596878</v>
      </c>
      <c r="AV70" t="n">
        <v>0.6294022612690391</v>
      </c>
      <c r="AW70" t="n">
        <v>-0.7034307613986606</v>
      </c>
    </row>
    <row r="71">
      <c r="A71" t="inlineStr">
        <is>
          <t>no_year_in_pairs</t>
        </is>
      </c>
      <c r="C71" t="inlineStr">
        <is>
          <t>EBS.20.72, Sup. 1</t>
        </is>
      </c>
      <c r="D71" t="inlineStr">
        <is>
          <t>Dominica</t>
        </is>
      </c>
      <c r="E71" t="inlineStr">
        <is>
          <t>DMA</t>
        </is>
      </c>
      <c r="G71" t="inlineStr">
        <is>
          <t>2018gn</t>
        </is>
      </c>
      <c r="H71" t="n">
        <v>2019</v>
      </c>
      <c r="I71" t="inlineStr">
        <is>
          <t>tot.grss.fin.prv.2gdp</t>
        </is>
      </c>
      <c r="M71" t="inlineStr">
        <is>
          <t>o/w covered by private sector</t>
        </is>
      </c>
      <c r="P71" t="inlineStr">
        <is>
          <t>...</t>
        </is>
      </c>
      <c r="Q71" t="n">
        <v>17.6466666666671</v>
      </c>
      <c r="R71" t="n">
        <v>-10.1922222222227</v>
      </c>
      <c r="S71" t="n">
        <v>11.7448148148147</v>
      </c>
      <c r="T71" t="n">
        <v>-7.172222222222103</v>
      </c>
      <c r="U71" t="n">
        <v>25.15328000000011</v>
      </c>
      <c r="V71" t="n">
        <v>-7.482575555556011</v>
      </c>
      <c r="W71" t="n">
        <v>1.272530740741004</v>
      </c>
      <c r="X71" t="n">
        <v>26.60586250890798</v>
      </c>
      <c r="Y71" t="n">
        <v>-7.116505101499968</v>
      </c>
      <c r="Z71" t="n">
        <v>-5.091111111112014</v>
      </c>
      <c r="AA71" t="n">
        <v>-1.09740740740699</v>
      </c>
      <c r="AB71" t="n">
        <v>95.083770616191</v>
      </c>
      <c r="AC71" t="n">
        <v>7.773060276662989</v>
      </c>
      <c r="AD71" t="n">
        <v>11.91399880368002</v>
      </c>
      <c r="AE71" t="n">
        <v>10.979287188727</v>
      </c>
      <c r="AF71" t="n">
        <v>-0.9736551361840213</v>
      </c>
      <c r="AG71" t="n">
        <v>-7.588780726669995</v>
      </c>
      <c r="AH71" t="n">
        <v>-7.912480130034993</v>
      </c>
      <c r="AI71" t="n">
        <v>-9.905950128175022</v>
      </c>
      <c r="AJ71" t="n">
        <v>-60.51131751852898</v>
      </c>
      <c r="AK71" t="n">
        <v>-5.691938055552015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</row>
    <row r="72">
      <c r="A72" t="inlineStr">
        <is>
          <t>no_year_in_pairs</t>
        </is>
      </c>
      <c r="C72" t="inlineStr">
        <is>
          <t>EBS.20.72, Sup. 1</t>
        </is>
      </c>
      <c r="D72" t="inlineStr">
        <is>
          <t>Dominica</t>
        </is>
      </c>
      <c r="E72" t="inlineStr">
        <is>
          <t>DMA</t>
        </is>
      </c>
      <c r="G72" t="inlineStr">
        <is>
          <t>2018gn</t>
        </is>
      </c>
      <c r="H72" t="n">
        <v>2019</v>
      </c>
      <c r="I72" t="inlineStr">
        <is>
          <t>tot.grss.fin.pub.2gdp</t>
        </is>
      </c>
      <c r="M72" t="inlineStr">
        <is>
          <t>o/w covered by public sector</t>
        </is>
      </c>
      <c r="P72" t="inlineStr">
        <is>
          <t>...</t>
        </is>
      </c>
      <c r="Q72" t="n">
        <v>39.25907074074029</v>
      </c>
      <c r="R72" t="n">
        <v>93.54413592592658</v>
      </c>
      <c r="S72" t="n">
        <v>54.2157585185189</v>
      </c>
      <c r="T72" t="n">
        <v>53.39058222222209</v>
      </c>
      <c r="U72" t="n">
        <v>-7.383231687407505</v>
      </c>
      <c r="V72" t="n">
        <v>51.72751883702981</v>
      </c>
      <c r="W72" t="n">
        <v>40.216503421262</v>
      </c>
      <c r="X72" t="n">
        <v>4.800900417860525</v>
      </c>
      <c r="Y72" t="n">
        <v>34.81838430394237</v>
      </c>
      <c r="Z72" t="n">
        <v>29.95867786197061</v>
      </c>
      <c r="AA72" t="n">
        <v>52.62633610619559</v>
      </c>
      <c r="AB72" t="n">
        <v>90.9737440061638</v>
      </c>
      <c r="AC72" t="n">
        <v>143.4481691646068</v>
      </c>
      <c r="AD72" t="n">
        <v>161.9868982305792</v>
      </c>
      <c r="AE72" t="n">
        <v>124.4936879446063</v>
      </c>
      <c r="AF72" t="n">
        <v>115.3450943635914</v>
      </c>
      <c r="AG72" t="n">
        <v>80.51250636148481</v>
      </c>
      <c r="AH72" t="n">
        <v>66.28147600240766</v>
      </c>
      <c r="AI72" t="n">
        <v>62.08775871547877</v>
      </c>
      <c r="AJ72" t="n">
        <v>73.98115244563537</v>
      </c>
      <c r="AK72" t="n">
        <v>19.35345652558389</v>
      </c>
      <c r="AL72" t="n">
        <v>14.04439679289305</v>
      </c>
      <c r="AM72" t="n">
        <v>14.4105080596281</v>
      </c>
      <c r="AN72" t="n">
        <v>14.36001190949835</v>
      </c>
      <c r="AO72" t="n">
        <v>14.34075286040654</v>
      </c>
      <c r="AP72" t="n">
        <v>13.51957544700648</v>
      </c>
      <c r="AQ72" t="n">
        <v>13.85205206967522</v>
      </c>
      <c r="AR72" t="n">
        <v>12.26342162230354</v>
      </c>
      <c r="AS72" t="n">
        <v>8.412705755939612</v>
      </c>
      <c r="AT72" t="n">
        <v>6.020968863889134</v>
      </c>
      <c r="AU72" t="n">
        <v>3.510257065596878</v>
      </c>
      <c r="AV72" t="n">
        <v>0.6294022612690391</v>
      </c>
      <c r="AW72" t="n">
        <v>-0.7034307613986606</v>
      </c>
    </row>
    <row r="73">
      <c r="A73" t="inlineStr">
        <is>
          <t>no_year_in_pairs</t>
        </is>
      </c>
      <c r="C73" t="inlineStr">
        <is>
          <t>EBS.20.72, Sup. 1</t>
        </is>
      </c>
      <c r="D73" t="inlineStr">
        <is>
          <t>Dominica</t>
        </is>
      </c>
      <c r="E73" t="inlineStr">
        <is>
          <t>DMA</t>
        </is>
      </c>
      <c r="G73" t="inlineStr">
        <is>
          <t>2018gn</t>
        </is>
      </c>
      <c r="H73" t="n">
        <v>2019</v>
      </c>
      <c r="I73" t="inlineStr">
        <is>
          <t>fin.gap.rsdl</t>
        </is>
      </c>
      <c r="M73" t="inlineStr">
        <is>
          <t>Residual financing gaps after private and public external financing ((-): overfinancing)</t>
        </is>
      </c>
      <c r="AC73" t="n">
        <v>29.61804968247553</v>
      </c>
      <c r="AD73" t="n">
        <v>108.5949390296773</v>
      </c>
      <c r="AE73" t="n">
        <v>77.71005964890409</v>
      </c>
      <c r="AF73" t="n">
        <v>68.71542362296094</v>
      </c>
      <c r="AG73" t="n">
        <v>44.97990106715773</v>
      </c>
      <c r="AH73" t="n">
        <v>41.20571639563835</v>
      </c>
      <c r="AI73" t="n">
        <v>35.35235026614522</v>
      </c>
      <c r="AJ73" t="n">
        <v>47.67260469003747</v>
      </c>
      <c r="AK73" t="n">
        <v>-6.439883473930628</v>
      </c>
      <c r="AL73" t="n">
        <v>-6.291820527934618</v>
      </c>
      <c r="AM73" t="n">
        <v>-5.437698481676222</v>
      </c>
      <c r="AN73" t="n">
        <v>-7.922132451081517</v>
      </c>
      <c r="AO73" t="n">
        <v>-8.197339990833104</v>
      </c>
      <c r="AP73" t="n">
        <v>-7.486517689902705</v>
      </c>
      <c r="AQ73" t="n">
        <v>25.39253417171209</v>
      </c>
      <c r="AR73" t="n">
        <v>-8.316145066740724</v>
      </c>
      <c r="AS73" t="n">
        <v>-11.45641746260944</v>
      </c>
      <c r="AT73" t="n">
        <v>-14.58709024856567</v>
      </c>
      <c r="AU73" t="n">
        <v>-18.34982806487574</v>
      </c>
      <c r="AV73" t="n">
        <v>-20.6940663429278</v>
      </c>
      <c r="AW73" t="n">
        <v>-23.48444359403801</v>
      </c>
    </row>
    <row r="74">
      <c r="A74" t="inlineStr">
        <is>
          <t>no_year_in_pairs</t>
        </is>
      </c>
      <c r="C74" t="inlineStr">
        <is>
          <t>EBS.20.72, Sup. 1</t>
        </is>
      </c>
      <c r="D74" t="inlineStr">
        <is>
          <t>Dominica</t>
        </is>
      </c>
      <c r="E74" t="inlineStr">
        <is>
          <t>DMA</t>
        </is>
      </c>
      <c r="G74" t="inlineStr">
        <is>
          <t>2018gn</t>
        </is>
      </c>
      <c r="H74" t="n">
        <v>2019</v>
      </c>
      <c r="M74" t="inlineStr">
        <is>
          <t xml:space="preserve">(Note) 
- This line is equal to External GFNs - (Private financing) - (Public external financing)
- Nonzero value should be consistent with other BoP components not shown in this GFN calculation (e.g., reserve accumulation).
</t>
        </is>
      </c>
    </row>
    <row r="75">
      <c r="A75" t="inlineStr">
        <is>
          <t>no_year_in_pairs</t>
        </is>
      </c>
      <c r="C75" t="inlineStr">
        <is>
          <t>EBS.20.72, Sup. 1</t>
        </is>
      </c>
      <c r="D75" t="inlineStr">
        <is>
          <t>Dominica</t>
        </is>
      </c>
      <c r="E75" t="inlineStr">
        <is>
          <t>DMA</t>
        </is>
      </c>
      <c r="G75" t="inlineStr">
        <is>
          <t>2018gn</t>
        </is>
      </c>
      <c r="H75" t="n">
        <v>2019</v>
      </c>
      <c r="M75" t="inlineStr">
        <is>
          <t>Public Sector</t>
        </is>
      </c>
    </row>
    <row r="76">
      <c r="A76" t="inlineStr">
        <is>
          <t>no_year_in_pairs</t>
        </is>
      </c>
      <c r="C76" t="inlineStr">
        <is>
          <t>EBS.20.72, Sup. 1</t>
        </is>
      </c>
      <c r="D76" t="inlineStr">
        <is>
          <t>Dominica</t>
        </is>
      </c>
      <c r="E76" t="inlineStr">
        <is>
          <t>DMA</t>
        </is>
      </c>
      <c r="G76" t="inlineStr">
        <is>
          <t>2018gn</t>
        </is>
      </c>
      <c r="H76" t="n">
        <v>2019</v>
      </c>
      <c r="K76" t="inlineStr">
        <is>
          <t>National Currency</t>
        </is>
      </c>
      <c r="L76" t="inlineStr">
        <is>
          <t>Million</t>
        </is>
      </c>
      <c r="M76" t="inlineStr">
        <is>
          <t>Total public debt outstanding at year-end</t>
        </is>
      </c>
      <c r="P76" t="n">
        <v>601.2115000000002</v>
      </c>
      <c r="Q76" t="n">
        <v>605.671100000001</v>
      </c>
      <c r="R76" t="n">
        <v>577.9094000000014</v>
      </c>
      <c r="S76" t="n">
        <v>580.8587000000005</v>
      </c>
      <c r="T76" t="n">
        <v>658.1405862700012</v>
      </c>
      <c r="U76" t="n">
        <v>660.4770485500012</v>
      </c>
      <c r="V76" t="n">
        <v>708.7866822999999</v>
      </c>
      <c r="W76" t="n">
        <v>866.1053628277831</v>
      </c>
      <c r="X76" t="n">
        <v>1129.937001967655</v>
      </c>
      <c r="Y76" t="n">
        <v>1134.534459508806</v>
      </c>
      <c r="Z76" t="n">
        <v>1031.362638367195</v>
      </c>
      <c r="AA76" t="n">
        <v>1097.877193562604</v>
      </c>
      <c r="AB76" t="n">
        <v>1193</v>
      </c>
      <c r="AC76" t="n">
        <v>1360.620686477979</v>
      </c>
      <c r="AD76" t="n">
        <v>1397.03997035558</v>
      </c>
      <c r="AE76" t="n">
        <v>1420.809238001203</v>
      </c>
      <c r="AF76" t="n">
        <v>1416.174999848741</v>
      </c>
      <c r="AG76" t="n">
        <v>1416.64892698116</v>
      </c>
      <c r="AH76" t="n">
        <v>1404.834918990656</v>
      </c>
      <c r="AI76" t="n">
        <v>1392.756583959635</v>
      </c>
      <c r="AJ76" t="n">
        <v>1379.391296745906</v>
      </c>
      <c r="AK76" t="n">
        <v>1364.279659542437</v>
      </c>
      <c r="AL76" t="n">
        <v>1347.335764029862</v>
      </c>
      <c r="AM76" t="n">
        <v>1328.201831617674</v>
      </c>
      <c r="AN76" t="n">
        <v>1316.053962678669</v>
      </c>
      <c r="AO76" t="n">
        <v>1304.456443649298</v>
      </c>
      <c r="AP76" t="n">
        <v>1290.952682121462</v>
      </c>
      <c r="AQ76" t="n">
        <v>1276.458378850454</v>
      </c>
      <c r="AR76" t="n">
        <v>1261.08062818901</v>
      </c>
      <c r="AS76" t="n">
        <v>1245.058026374065</v>
      </c>
      <c r="AT76" t="n">
        <v>1229.067448530903</v>
      </c>
      <c r="AU76" t="n">
        <v>1212.221369269563</v>
      </c>
      <c r="AV76" t="n">
        <v>1197.814228203993</v>
      </c>
      <c r="AW76" t="n">
        <v>1185.658310324902</v>
      </c>
    </row>
    <row r="77">
      <c r="A77" t="inlineStr">
        <is>
          <t>no_year_in_pairs</t>
        </is>
      </c>
      <c r="C77" t="inlineStr">
        <is>
          <t>EBS.20.72, Sup. 1</t>
        </is>
      </c>
      <c r="D77" t="inlineStr">
        <is>
          <t>Dominica</t>
        </is>
      </c>
      <c r="E77" t="inlineStr">
        <is>
          <t>DMA</t>
        </is>
      </c>
      <c r="G77" t="inlineStr">
        <is>
          <t>2018gn</t>
        </is>
      </c>
      <c r="H77" t="n">
        <v>2019</v>
      </c>
      <c r="K77" t="inlineStr">
        <is>
          <t>National Currency</t>
        </is>
      </c>
      <c r="L77" t="inlineStr">
        <is>
          <t>Million</t>
        </is>
      </c>
      <c r="M77" t="inlineStr">
        <is>
          <t>Total public external debt</t>
        </is>
      </c>
      <c r="P77" t="n">
        <v>601.2115000000002</v>
      </c>
      <c r="Q77" t="n">
        <v>605.671100000001</v>
      </c>
      <c r="R77" t="n">
        <v>577.9094000000014</v>
      </c>
      <c r="S77" t="n">
        <v>580.8587000000005</v>
      </c>
      <c r="T77" t="n">
        <v>658.1405862700012</v>
      </c>
      <c r="U77" t="n">
        <v>660.4770485500012</v>
      </c>
      <c r="V77" t="n">
        <v>708.7866822999999</v>
      </c>
      <c r="W77" t="n">
        <v>866.1053628277831</v>
      </c>
      <c r="X77" t="n">
        <v>878.1814259776548</v>
      </c>
      <c r="Y77" t="n">
        <v>878.0938615188063</v>
      </c>
      <c r="Z77" t="n">
        <v>852.0764704671952</v>
      </c>
      <c r="AA77" t="n">
        <v>826.8706565626042</v>
      </c>
      <c r="AB77" t="n">
        <v>824.1538852510822</v>
      </c>
      <c r="AC77" t="n">
        <v>1068.855136861408</v>
      </c>
      <c r="AD77" t="n">
        <v>1157.500709211344</v>
      </c>
      <c r="AE77" t="n">
        <v>1231.547396749739</v>
      </c>
      <c r="AF77" t="n">
        <v>1298.795864735442</v>
      </c>
      <c r="AG77" t="n">
        <v>1342.419925816125</v>
      </c>
      <c r="AH77" t="n">
        <v>1360.898015098996</v>
      </c>
      <c r="AI77" t="n">
        <v>1374.711811126476</v>
      </c>
      <c r="AJ77" t="n">
        <v>1386.414751263403</v>
      </c>
      <c r="AK77" t="n">
        <v>1395.657535193006</v>
      </c>
      <c r="AL77" t="n">
        <v>1388.63978271843</v>
      </c>
      <c r="AM77" t="n">
        <v>1378.917493518956</v>
      </c>
      <c r="AN77" t="n">
        <v>1375.685726436876</v>
      </c>
      <c r="AO77" t="n">
        <v>1372.750649412125</v>
      </c>
      <c r="AP77" t="n">
        <v>1367.577857174863</v>
      </c>
      <c r="AQ77" t="n">
        <v>1273.23236541124</v>
      </c>
      <c r="AR77" t="n">
        <v>1268.08979829144</v>
      </c>
      <c r="AS77" t="n">
        <v>1261.138055950886</v>
      </c>
      <c r="AT77" t="n">
        <v>1251.91123680109</v>
      </c>
      <c r="AU77" t="n">
        <v>1241.737845967376</v>
      </c>
      <c r="AV77" t="n">
        <v>1226.353504052051</v>
      </c>
      <c r="AW77" t="n">
        <v>1215.552622867023</v>
      </c>
    </row>
    <row r="78">
      <c r="A78" t="inlineStr">
        <is>
          <t>no_year_in_pairs</t>
        </is>
      </c>
      <c r="C78" t="inlineStr">
        <is>
          <t>EBS.20.72, Sup. 1</t>
        </is>
      </c>
      <c r="D78" t="inlineStr">
        <is>
          <t>Dominica</t>
        </is>
      </c>
      <c r="E78" t="inlineStr">
        <is>
          <t>DMA</t>
        </is>
      </c>
      <c r="G78" t="inlineStr">
        <is>
          <t>2018gn</t>
        </is>
      </c>
      <c r="H78" t="n">
        <v>2019</v>
      </c>
      <c r="I78" t="inlineStr">
        <is>
          <t>dod.pub.dbt.eoy</t>
        </is>
      </c>
      <c r="K78" t="inlineStr">
        <is>
          <t>National Currency</t>
        </is>
      </c>
      <c r="L78" t="inlineStr">
        <is>
          <t>Million</t>
        </is>
      </c>
      <c r="M78" t="inlineStr">
        <is>
          <t>Total public domestic debt</t>
        </is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251.75557599</v>
      </c>
      <c r="Y78" t="n">
        <v>256.44059799</v>
      </c>
      <c r="Z78" t="n">
        <v>179.2861679</v>
      </c>
      <c r="AA78" t="n">
        <v>271.006537</v>
      </c>
      <c r="AB78" t="n">
        <v>368.846114748918</v>
      </c>
      <c r="AC78" t="n">
        <v>291.7655496165714</v>
      </c>
      <c r="AD78" t="n">
        <v>239.5392611442365</v>
      </c>
      <c r="AE78" t="n">
        <v>189.2618412514637</v>
      </c>
      <c r="AF78" t="n">
        <v>117.3791351132992</v>
      </c>
      <c r="AG78" t="n">
        <v>74.22900116503499</v>
      </c>
      <c r="AH78" t="n">
        <v>43.93690389166028</v>
      </c>
      <c r="AI78" t="n">
        <v>18.04477283315867</v>
      </c>
      <c r="AJ78" t="n">
        <v>-7.02345451749693</v>
      </c>
      <c r="AK78" t="n">
        <v>-31.37787565056888</v>
      </c>
      <c r="AL78" t="n">
        <v>-41.30401868856819</v>
      </c>
      <c r="AM78" t="n">
        <v>-50.71566190128237</v>
      </c>
      <c r="AN78" t="n">
        <v>-59.63176375820686</v>
      </c>
      <c r="AO78" t="n">
        <v>-68.29420576282709</v>
      </c>
      <c r="AP78" t="n">
        <v>-76.62517505340034</v>
      </c>
      <c r="AQ78" t="n">
        <v>3.226013439214015</v>
      </c>
      <c r="AR78" t="n">
        <v>-7.00917010243036</v>
      </c>
      <c r="AS78" t="n">
        <v>-16.08002957682066</v>
      </c>
      <c r="AT78" t="n">
        <v>-22.84378827018727</v>
      </c>
      <c r="AU78" t="n">
        <v>-29.51647669781271</v>
      </c>
      <c r="AV78" t="n">
        <v>-28.53927584805785</v>
      </c>
      <c r="AW78" t="n">
        <v>-29.89431254212135</v>
      </c>
    </row>
    <row r="79">
      <c r="A79" t="inlineStr">
        <is>
          <t>no_year_in_pairs</t>
        </is>
      </c>
      <c r="C79" t="inlineStr">
        <is>
          <t>EBS.20.72, Sup. 1</t>
        </is>
      </c>
      <c r="D79" t="inlineStr">
        <is>
          <t>Dominica</t>
        </is>
      </c>
      <c r="E79" t="inlineStr">
        <is>
          <t>DMA</t>
        </is>
      </c>
      <c r="G79" t="inlineStr">
        <is>
          <t>2018gn</t>
        </is>
      </c>
      <c r="H79" t="n">
        <v>2019</v>
      </c>
      <c r="I79" t="inlineStr">
        <is>
          <t>dod.pub.ext</t>
        </is>
      </c>
      <c r="K79" t="inlineStr">
        <is>
          <t>National Currency</t>
        </is>
      </c>
      <c r="L79" t="inlineStr">
        <is>
          <t>Million</t>
        </is>
      </c>
      <c r="M79" t="inlineStr">
        <is>
          <t>Foreign-currency denominated public debt (end of period)</t>
        </is>
      </c>
      <c r="P79" t="n">
        <v>0</v>
      </c>
      <c r="Q79" t="n">
        <v>605.671100000001</v>
      </c>
      <c r="R79" t="n">
        <v>577.9094000000014</v>
      </c>
      <c r="S79" t="n">
        <v>580.8587000000005</v>
      </c>
      <c r="T79" t="n">
        <v>658.1405862700012</v>
      </c>
      <c r="U79" t="n">
        <v>660.4770485500012</v>
      </c>
      <c r="V79" t="n">
        <v>708.7866822999999</v>
      </c>
      <c r="W79" t="n">
        <v>866.1053628277831</v>
      </c>
      <c r="X79" t="n">
        <v>878.1814259776548</v>
      </c>
      <c r="Y79" t="n">
        <v>878.0938615188063</v>
      </c>
      <c r="Z79" t="n">
        <v>852.0764704671952</v>
      </c>
      <c r="AA79" t="n">
        <v>826.8706565626042</v>
      </c>
      <c r="AB79" t="n">
        <v>824.1538852510822</v>
      </c>
      <c r="AC79" t="n">
        <v>1068.855136861408</v>
      </c>
      <c r="AD79" t="n">
        <v>1157.500709211344</v>
      </c>
      <c r="AE79" t="n">
        <v>1231.547396749739</v>
      </c>
      <c r="AF79" t="n">
        <v>1298.795864735442</v>
      </c>
      <c r="AG79" t="n">
        <v>1342.419925816125</v>
      </c>
      <c r="AH79" t="n">
        <v>1360.898015098996</v>
      </c>
      <c r="AI79" t="n">
        <v>1374.711811126476</v>
      </c>
      <c r="AJ79" t="n">
        <v>1386.414751263403</v>
      </c>
      <c r="AK79" t="n">
        <v>1395.657535193006</v>
      </c>
      <c r="AL79" t="n">
        <v>1388.63978271843</v>
      </c>
      <c r="AM79" t="n">
        <v>1378.917493518956</v>
      </c>
      <c r="AN79" t="n">
        <v>1375.685726436876</v>
      </c>
      <c r="AO79" t="n">
        <v>1372.750649412125</v>
      </c>
      <c r="AP79" t="n">
        <v>1367.577857174863</v>
      </c>
      <c r="AQ79" t="n">
        <v>1273.23236541124</v>
      </c>
      <c r="AR79" t="n">
        <v>1268.08979829144</v>
      </c>
      <c r="AS79" t="n">
        <v>1261.138055950886</v>
      </c>
      <c r="AT79" t="n">
        <v>1251.91123680109</v>
      </c>
      <c r="AU79" t="n">
        <v>1241.737845967376</v>
      </c>
      <c r="AV79" t="n">
        <v>1226.353504052051</v>
      </c>
      <c r="AW79" t="n">
        <v>1215.552622867023</v>
      </c>
    </row>
    <row r="80">
      <c r="A80" t="inlineStr">
        <is>
          <t>no_year_in_pairs</t>
        </is>
      </c>
      <c r="C80" t="inlineStr">
        <is>
          <t>EBS.20.72, Sup. 1</t>
        </is>
      </c>
      <c r="D80" t="inlineStr">
        <is>
          <t>Dominica</t>
        </is>
      </c>
      <c r="E80" t="inlineStr">
        <is>
          <t>DMA</t>
        </is>
      </c>
      <c r="G80" t="inlineStr">
        <is>
          <t>2018gn</t>
        </is>
      </c>
      <c r="H80" t="n">
        <v>2019</v>
      </c>
      <c r="I80" t="inlineStr">
        <is>
          <t>dod.pub.dom</t>
        </is>
      </c>
      <c r="M80" t="inlineStr">
        <is>
          <t>Share of foreign-currency denominated Public debt in total Public debt (previous period)</t>
        </is>
      </c>
      <c r="P80" t="inlineStr">
        <is>
          <t>…</t>
        </is>
      </c>
      <c r="Q80" t="n">
        <v>0</v>
      </c>
      <c r="R80" t="n">
        <v>1</v>
      </c>
      <c r="S80" t="n">
        <v>1</v>
      </c>
      <c r="T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0.7771950333942541</v>
      </c>
      <c r="Z80" t="n">
        <v>0.7739684362685419</v>
      </c>
      <c r="AA80" t="n">
        <v>0.8261657333410511</v>
      </c>
      <c r="AB80" t="n">
        <v>0.7531540516653</v>
      </c>
      <c r="AC80" t="n">
        <v>0.6908247152146538</v>
      </c>
      <c r="AD80" t="n">
        <v>0.7855643732921493</v>
      </c>
      <c r="AE80" t="n">
        <v>0.8285380044758004</v>
      </c>
      <c r="AF80" t="n">
        <v>0.866792926038602</v>
      </c>
      <c r="AG80" t="n">
        <v>0.9171153740704107</v>
      </c>
      <c r="AH80" t="n">
        <v>0.9476024018715665</v>
      </c>
      <c r="AI80" t="n">
        <v>0.9687245075576365</v>
      </c>
      <c r="AJ80" t="n">
        <v>0.9870438430943496</v>
      </c>
      <c r="AK80" t="n">
        <v>1.005091705692261</v>
      </c>
      <c r="AL80" t="n">
        <v>1.022999592078572</v>
      </c>
      <c r="AM80" t="n">
        <v>1.030656069401015</v>
      </c>
      <c r="AN80" t="n">
        <v>1.038183701222211</v>
      </c>
      <c r="AO80" t="n">
        <v>1.045311032411493</v>
      </c>
      <c r="AP80" t="n">
        <v>1.052354531341629</v>
      </c>
      <c r="AQ80" t="n">
        <v>1.059355525663016</v>
      </c>
      <c r="AR80" t="n">
        <v>0.9974726841919285</v>
      </c>
      <c r="AS80" t="n">
        <v>1.005558066586508</v>
      </c>
      <c r="AT80" t="n">
        <v>1.012915084466906</v>
      </c>
      <c r="AU80" t="n">
        <v>1.018586277179086</v>
      </c>
      <c r="AV80" t="n">
        <v>1.024349081319692</v>
      </c>
      <c r="AW80" t="n">
        <v>1.023826128606645</v>
      </c>
    </row>
    <row r="81">
      <c r="A81" t="inlineStr">
        <is>
          <t>no_year_in_pairs</t>
        </is>
      </c>
      <c r="C81" t="inlineStr">
        <is>
          <t>EBS.20.72, Sup. 1</t>
        </is>
      </c>
      <c r="D81" t="inlineStr">
        <is>
          <t>Dominica</t>
        </is>
      </c>
      <c r="E81" t="inlineStr">
        <is>
          <t>DMA</t>
        </is>
      </c>
      <c r="G81" t="inlineStr">
        <is>
          <t>2018gn</t>
        </is>
      </c>
      <c r="H81" t="n">
        <v>2019</v>
      </c>
      <c r="I81" t="inlineStr">
        <is>
          <t>dod.fgn.cur</t>
        </is>
      </c>
      <c r="M81" t="inlineStr">
        <is>
          <t xml:space="preserve">Share of local-currency denominated external public debt in total external debt </t>
        </is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</row>
    <row r="82">
      <c r="A82" t="inlineStr">
        <is>
          <t>no_year_in_pairs</t>
        </is>
      </c>
      <c r="C82" t="inlineStr">
        <is>
          <t>EBS.20.72, Sup. 1</t>
        </is>
      </c>
      <c r="D82" t="inlineStr">
        <is>
          <t>Dominica</t>
        </is>
      </c>
      <c r="E82" t="inlineStr">
        <is>
          <t>DMA</t>
        </is>
      </c>
      <c r="G82" t="inlineStr">
        <is>
          <t>2018gn</t>
        </is>
      </c>
      <c r="H82" t="n">
        <v>2019</v>
      </c>
      <c r="I82" t="inlineStr">
        <is>
          <t>dod.dom.cur.shr</t>
        </is>
      </c>
      <c r="M82" t="inlineStr">
        <is>
          <t>Interest rate on external debt</t>
        </is>
      </c>
      <c r="P82" t="inlineStr">
        <is>
          <t>...</t>
        </is>
      </c>
      <c r="Q82" t="n">
        <v>2.588786580946067</v>
      </c>
      <c r="R82" t="n">
        <v>2.127474796139354</v>
      </c>
      <c r="S82" t="n">
        <v>3.050512762035009</v>
      </c>
      <c r="T82" t="n">
        <v>2.004132726255111</v>
      </c>
      <c r="U82" t="n">
        <v>1.779477097192027</v>
      </c>
      <c r="V82" t="n">
        <v>6.067074577076133</v>
      </c>
      <c r="W82" t="n">
        <v>2.19770531656334</v>
      </c>
      <c r="X82" t="n">
        <v>2.038289838358878</v>
      </c>
      <c r="Y82" t="n">
        <v>1.75124503263991</v>
      </c>
      <c r="Z82" t="n">
        <v>2.115936543260081</v>
      </c>
      <c r="AA82" t="n">
        <v>1.991546499423412</v>
      </c>
      <c r="AB82" t="n">
        <v>1.847731164329116</v>
      </c>
      <c r="AC82" t="n">
        <v>2.569240433007652</v>
      </c>
      <c r="AD82" t="n">
        <v>2.636772040751278</v>
      </c>
      <c r="AE82" t="n">
        <v>2.484153171900815</v>
      </c>
      <c r="AF82" t="n">
        <v>2.164423577052201</v>
      </c>
      <c r="AG82" t="n">
        <v>2.42447869958851</v>
      </c>
      <c r="AH82" t="n">
        <v>2.277635242715259</v>
      </c>
      <c r="AI82" t="n">
        <v>2.467170339825581</v>
      </c>
      <c r="AJ82" t="n">
        <v>2.516718756594152</v>
      </c>
      <c r="AK82" t="n">
        <v>2.518129460600487</v>
      </c>
      <c r="AL82" t="n">
        <v>2.489049846058279</v>
      </c>
      <c r="AM82" t="n">
        <v>2.0475765015703</v>
      </c>
      <c r="AN82" t="n">
        <v>1.857412804605536</v>
      </c>
      <c r="AO82" t="n">
        <v>1.884980481606345</v>
      </c>
      <c r="AP82" t="n">
        <v>1.925042378802318</v>
      </c>
      <c r="AQ82" t="n">
        <v>2.344541565153124</v>
      </c>
      <c r="AR82" t="n">
        <v>2.461853633302868</v>
      </c>
      <c r="AS82" t="n">
        <v>2.477229777436693</v>
      </c>
      <c r="AT82" t="n">
        <v>3.427209391374732</v>
      </c>
      <c r="AU82" t="n">
        <v>2.405575774442879</v>
      </c>
      <c r="AV82" t="n">
        <v>2.153144523812541</v>
      </c>
      <c r="AW82" t="n">
        <v>1.719846413940472</v>
      </c>
    </row>
    <row r="83">
      <c r="A83" t="inlineStr">
        <is>
          <t>no_year_in_pairs</t>
        </is>
      </c>
      <c r="C83" t="inlineStr">
        <is>
          <t>EBS.20.72, Sup. 1</t>
        </is>
      </c>
      <c r="D83" t="inlineStr">
        <is>
          <t>Dominica</t>
        </is>
      </c>
      <c r="E83" t="inlineStr">
        <is>
          <t>DMA</t>
        </is>
      </c>
      <c r="G83" t="inlineStr">
        <is>
          <t>2018gn</t>
        </is>
      </c>
      <c r="H83" t="n">
        <v>2019</v>
      </c>
      <c r="I83" t="inlineStr">
        <is>
          <t>int.rat.ext.dbt</t>
        </is>
      </c>
      <c r="M83" t="inlineStr">
        <is>
          <t>Interest rate on domestic debt</t>
        </is>
      </c>
      <c r="P83" t="inlineStr">
        <is>
          <t>...</t>
        </is>
      </c>
      <c r="Q83" t="inlineStr">
        <is>
          <t>...</t>
        </is>
      </c>
      <c r="R83" t="inlineStr">
        <is>
          <t>...</t>
        </is>
      </c>
      <c r="S83" t="inlineStr">
        <is>
          <t>...</t>
        </is>
      </c>
      <c r="T83" t="inlineStr">
        <is>
          <t>...</t>
        </is>
      </c>
      <c r="U83" t="inlineStr">
        <is>
          <t>...</t>
        </is>
      </c>
      <c r="V83" t="inlineStr">
        <is>
          <t>...</t>
        </is>
      </c>
      <c r="W83" t="inlineStr">
        <is>
          <t>...</t>
        </is>
      </c>
      <c r="X83" t="inlineStr">
        <is>
          <t>...</t>
        </is>
      </c>
      <c r="Y83" t="n">
        <v>0.970732064380204</v>
      </c>
      <c r="Z83" t="n">
        <v>1.914456150266599</v>
      </c>
      <c r="AA83" t="n">
        <v>2.984199262368193</v>
      </c>
      <c r="AB83" t="n">
        <v>1.830481565099664</v>
      </c>
      <c r="AC83" t="n">
        <v>1.416679176235061</v>
      </c>
      <c r="AD83" t="n">
        <v>0.8782369969675636</v>
      </c>
      <c r="AE83" t="n">
        <v>0.5327632263794059</v>
      </c>
      <c r="AF83" t="n">
        <v>-0.2456817356452286</v>
      </c>
      <c r="AG83" t="n">
        <v>-2.605359866502065</v>
      </c>
      <c r="AH83" t="n">
        <v>-4.957949308369491</v>
      </c>
      <c r="AI83" t="n">
        <v>-10.22155406194995</v>
      </c>
      <c r="AJ83" t="n">
        <v>-28.55971931962806</v>
      </c>
      <c r="AK83" t="n">
        <v>83.26829430155284</v>
      </c>
      <c r="AL83" t="n">
        <v>18.49990751657767</v>
      </c>
      <c r="AM83" t="n">
        <v>11.77950150997951</v>
      </c>
      <c r="AN83" t="n">
        <v>9.166239391383272</v>
      </c>
      <c r="AO83" t="n">
        <v>7.436805018204713</v>
      </c>
      <c r="AP83" t="n">
        <v>6.165653790331637</v>
      </c>
      <c r="AQ83" t="n">
        <v>5.205994030477743</v>
      </c>
      <c r="AR83" t="n">
        <v>-28.68002693859652</v>
      </c>
      <c r="AS83" t="n">
        <v>20.73581138650381</v>
      </c>
      <c r="AT83" t="n">
        <v>10.91333737533888</v>
      </c>
      <c r="AU83" t="n">
        <v>8.687010432399116</v>
      </c>
      <c r="AV83" t="n">
        <v>7.684665857507719</v>
      </c>
      <c r="AW83" t="n">
        <v>7.896827075313785</v>
      </c>
    </row>
    <row r="84">
      <c r="A84" t="inlineStr">
        <is>
          <t>no_year_in_pairs</t>
        </is>
      </c>
      <c r="C84" t="inlineStr">
        <is>
          <t>EBS.20.72, Sup. 1</t>
        </is>
      </c>
      <c r="D84" t="inlineStr">
        <is>
          <t>Dominica</t>
        </is>
      </c>
      <c r="E84" t="inlineStr">
        <is>
          <t>DMA</t>
        </is>
      </c>
      <c r="G84" t="inlineStr">
        <is>
          <t>2018gn</t>
        </is>
      </c>
      <c r="H84" t="n">
        <v>2019</v>
      </c>
      <c r="I84" t="inlineStr">
        <is>
          <t>int.rat.dom.dbt</t>
        </is>
      </c>
      <c r="M84" t="inlineStr">
        <is>
          <t>Average Maturity (Debt stock / Amortization)</t>
        </is>
      </c>
      <c r="P84" t="n">
        <v>20.50453771882854</v>
      </c>
      <c r="Q84" t="n">
        <v>21.48059312957076</v>
      </c>
      <c r="R84" t="n">
        <v>21.37231001364635</v>
      </c>
      <c r="S84" t="n">
        <v>17.75463001170685</v>
      </c>
      <c r="T84" t="n">
        <v>23.27045393149714</v>
      </c>
      <c r="U84" t="n">
        <v>17.51569162901785</v>
      </c>
      <c r="V84" t="n">
        <v>14.16659566480469</v>
      </c>
      <c r="W84" t="n">
        <v>20.77945974973413</v>
      </c>
      <c r="X84" t="n">
        <v>18.63342544026557</v>
      </c>
      <c r="Y84" t="n">
        <v>17.17290415263873</v>
      </c>
      <c r="Z84" t="n">
        <v>15.9188979862895</v>
      </c>
      <c r="AA84" t="n">
        <v>13.80428752871534</v>
      </c>
      <c r="AB84" t="n">
        <v>13.25223653908776</v>
      </c>
      <c r="AC84" t="n">
        <v>19.22242248639241</v>
      </c>
      <c r="AD84" t="n">
        <v>18.76842372182939</v>
      </c>
      <c r="AE84" t="n">
        <v>26.01622802975427</v>
      </c>
      <c r="AF84" t="n">
        <v>25.05187366713276</v>
      </c>
      <c r="AG84" t="n">
        <v>21.63775344409674</v>
      </c>
      <c r="AH84" t="n">
        <v>33.69137223546179</v>
      </c>
      <c r="AI84" t="n">
        <v>29.57570365165793</v>
      </c>
      <c r="AJ84" t="n">
        <v>30.69094607394347</v>
      </c>
      <c r="AK84" t="n">
        <v>22.80232737866219</v>
      </c>
      <c r="AL84" t="n">
        <v>20.36823936369286</v>
      </c>
      <c r="AM84" t="n">
        <v>27.68820179789353</v>
      </c>
      <c r="AN84" t="n">
        <v>29.09258394279768</v>
      </c>
      <c r="AO84" t="n">
        <v>26.38623471610657</v>
      </c>
      <c r="AP84" t="n">
        <v>26.84725782768646</v>
      </c>
      <c r="AQ84" t="n">
        <v>35.04624609166376</v>
      </c>
      <c r="AR84" t="n">
        <v>27.7226883546249</v>
      </c>
      <c r="AS84" t="n">
        <v>27.18896200016545</v>
      </c>
      <c r="AT84" t="n">
        <v>24.16246412206777</v>
      </c>
      <c r="AU84" t="n">
        <v>21.95896761171754</v>
      </c>
      <c r="AV84" t="n">
        <v>19.74175591368003</v>
      </c>
      <c r="AW84" t="n">
        <v>19.35328590935481</v>
      </c>
    </row>
    <row r="85">
      <c r="A85" t="inlineStr">
        <is>
          <t>no_year_in_pairs</t>
        </is>
      </c>
      <c r="C85" t="inlineStr">
        <is>
          <t>EBS.20.72, Sup. 1</t>
        </is>
      </c>
      <c r="D85" t="inlineStr">
        <is>
          <t>Dominica</t>
        </is>
      </c>
      <c r="E85" t="inlineStr">
        <is>
          <t>DMA</t>
        </is>
      </c>
      <c r="G85" t="inlineStr">
        <is>
          <t>2018gn</t>
        </is>
      </c>
      <c r="H85" t="n">
        <v>2019</v>
      </c>
      <c r="I85" t="inlineStr">
        <is>
          <t>avg.mat</t>
        </is>
      </c>
      <c r="K85" t="inlineStr">
        <is>
          <t>US Dollars</t>
        </is>
      </c>
      <c r="L85" t="inlineStr">
        <is>
          <t>Million</t>
        </is>
      </c>
      <c r="M85" t="inlineStr">
        <is>
          <t>Total short-term external debt (public +private)</t>
        </is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</row>
    <row r="86">
      <c r="A86" t="inlineStr">
        <is>
          <t>no_year_in_pairs</t>
        </is>
      </c>
      <c r="C86" t="inlineStr">
        <is>
          <t>EBS.20.72, Sup. 1</t>
        </is>
      </c>
      <c r="D86" t="inlineStr">
        <is>
          <t>Dominica</t>
        </is>
      </c>
      <c r="E86" t="inlineStr">
        <is>
          <t>DMA</t>
        </is>
      </c>
      <c r="G86" t="inlineStr">
        <is>
          <t>2018gn</t>
        </is>
      </c>
      <c r="H86" t="n">
        <v>2019</v>
      </c>
      <c r="I86" t="inlineStr">
        <is>
          <t>dod.dbt.sht.trm.all</t>
        </is>
      </c>
      <c r="M86" t="inlineStr">
        <is>
          <t>Grant element of new public external borrowing (in percent; if available)</t>
        </is>
      </c>
      <c r="P86" t="inlineStr">
        <is>
          <t>…</t>
        </is>
      </c>
      <c r="Q86" t="inlineStr">
        <is>
          <t>…</t>
        </is>
      </c>
      <c r="R86" t="inlineStr">
        <is>
          <t>…</t>
        </is>
      </c>
      <c r="S86" t="inlineStr">
        <is>
          <t>…</t>
        </is>
      </c>
      <c r="T86" t="inlineStr">
        <is>
          <t>…</t>
        </is>
      </c>
      <c r="U86" t="inlineStr">
        <is>
          <t>…</t>
        </is>
      </c>
      <c r="V86" t="inlineStr">
        <is>
          <t>…</t>
        </is>
      </c>
      <c r="W86" t="inlineStr">
        <is>
          <t>…</t>
        </is>
      </c>
      <c r="X86" t="inlineStr">
        <is>
          <t>…</t>
        </is>
      </c>
      <c r="Y86" t="inlineStr">
        <is>
          <t>…</t>
        </is>
      </c>
      <c r="Z86" t="inlineStr">
        <is>
          <t>…</t>
        </is>
      </c>
      <c r="AA86" t="inlineStr">
        <is>
          <t>…</t>
        </is>
      </c>
      <c r="AB86" t="inlineStr">
        <is>
          <t>…</t>
        </is>
      </c>
      <c r="AC86" t="n">
        <v>42.80604291296476</v>
      </c>
      <c r="AD86" t="n">
        <v>50.21437885396232</v>
      </c>
      <c r="AE86" t="n">
        <v>47.75655331751857</v>
      </c>
      <c r="AF86" t="n">
        <v>46.20011020744383</v>
      </c>
      <c r="AG86" t="n">
        <v>46.72914490792603</v>
      </c>
      <c r="AH86" t="n">
        <v>47.43139173549575</v>
      </c>
      <c r="AI86" t="n">
        <v>45.47314371547143</v>
      </c>
      <c r="AJ86" t="n">
        <v>46.69103439601788</v>
      </c>
      <c r="AK86" t="n">
        <v>45.20534955986334</v>
      </c>
      <c r="AL86" t="n">
        <v>43.51778083583986</v>
      </c>
      <c r="AM86" t="n">
        <v>36.71280391353452</v>
      </c>
      <c r="AN86" t="n">
        <v>30.28421314687955</v>
      </c>
      <c r="AO86" t="n">
        <v>24.61132506604718</v>
      </c>
      <c r="AP86" t="n">
        <v>24.48032053289673</v>
      </c>
      <c r="AQ86" t="n">
        <v>70.46436973488206</v>
      </c>
      <c r="AR86" t="n">
        <v>27.41366582091095</v>
      </c>
      <c r="AS86" t="n">
        <v>27.59287307929067</v>
      </c>
      <c r="AT86" t="n">
        <v>28.8817916694402</v>
      </c>
      <c r="AU86" t="n">
        <v>30.31796066436623</v>
      </c>
      <c r="AV86" t="n">
        <v>31.38612577169972</v>
      </c>
      <c r="AW86" t="n">
        <v>31.99552284918179</v>
      </c>
    </row>
    <row r="87">
      <c r="A87" t="inlineStr">
        <is>
          <t>no_year_in_pairs</t>
        </is>
      </c>
      <c r="C87" t="inlineStr">
        <is>
          <t>EBS.20.72, Sup. 1</t>
        </is>
      </c>
      <c r="D87" t="inlineStr">
        <is>
          <t>Dominica</t>
        </is>
      </c>
      <c r="E87" t="inlineStr">
        <is>
          <t>DMA</t>
        </is>
      </c>
      <c r="G87" t="inlineStr">
        <is>
          <t>2018gn</t>
        </is>
      </c>
      <c r="H87" t="n">
        <v>2019</v>
      </c>
      <c r="I87" t="inlineStr">
        <is>
          <t>new.dis.ext.grt.lmt</t>
        </is>
      </c>
      <c r="K87" t="inlineStr">
        <is>
          <t>National Currency</t>
        </is>
      </c>
      <c r="L87" t="inlineStr">
        <is>
          <t>Million</t>
        </is>
      </c>
      <c r="M87" t="inlineStr">
        <is>
          <t>PV of contingent liabilities (if available)</t>
        </is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</row>
    <row r="88">
      <c r="A88" t="inlineStr">
        <is>
          <t>no_year_in_pairs</t>
        </is>
      </c>
      <c r="C88" t="inlineStr">
        <is>
          <t>EBS.20.72, Sup. 1</t>
        </is>
      </c>
      <c r="D88" t="inlineStr">
        <is>
          <t>Dominica</t>
        </is>
      </c>
      <c r="E88" t="inlineStr">
        <is>
          <t>DMA</t>
        </is>
      </c>
      <c r="G88" t="inlineStr">
        <is>
          <t>2018gn</t>
        </is>
      </c>
      <c r="H88" t="n">
        <v>2019</v>
      </c>
      <c r="I88" t="inlineStr">
        <is>
          <t>pv.conting.liab</t>
        </is>
      </c>
      <c r="M88" t="inlineStr">
        <is>
          <t>PV of public sector external debt (end of period)</t>
        </is>
      </c>
      <c r="P88" t="inlineStr">
        <is>
          <t>…</t>
        </is>
      </c>
      <c r="Q88" t="inlineStr">
        <is>
          <t>…</t>
        </is>
      </c>
      <c r="R88" t="inlineStr">
        <is>
          <t>…</t>
        </is>
      </c>
      <c r="S88" t="inlineStr">
        <is>
          <t>…</t>
        </is>
      </c>
      <c r="T88" t="inlineStr">
        <is>
          <t>…</t>
        </is>
      </c>
      <c r="U88" t="inlineStr">
        <is>
          <t>…</t>
        </is>
      </c>
      <c r="V88" t="inlineStr">
        <is>
          <t>…</t>
        </is>
      </c>
      <c r="W88" t="inlineStr">
        <is>
          <t>…</t>
        </is>
      </c>
      <c r="X88" t="inlineStr">
        <is>
          <t>…</t>
        </is>
      </c>
      <c r="Y88" t="inlineStr">
        <is>
          <t>…</t>
        </is>
      </c>
      <c r="Z88" t="inlineStr">
        <is>
          <t>…</t>
        </is>
      </c>
      <c r="AA88" t="inlineStr">
        <is>
          <t>…</t>
        </is>
      </c>
      <c r="AB88" t="n">
        <v>737.0672201687667</v>
      </c>
      <c r="AC88" t="n">
        <v>865.8866794952762</v>
      </c>
      <c r="AD88" t="n">
        <v>897.2551226042062</v>
      </c>
      <c r="AE88" t="n">
        <v>927.0864050347164</v>
      </c>
      <c r="AF88" t="n">
        <v>955.8673010211739</v>
      </c>
      <c r="AG88" t="n">
        <v>970.9646749938906</v>
      </c>
      <c r="AH88" t="n">
        <v>975.3023579125432</v>
      </c>
      <c r="AI88" t="n">
        <v>971.4805367427274</v>
      </c>
      <c r="AJ88" t="n">
        <v>963.9937943965765</v>
      </c>
      <c r="AK88" t="n">
        <v>955.0426320714831</v>
      </c>
      <c r="AL88" t="n">
        <v>937.1437491625186</v>
      </c>
      <c r="AM88" t="n">
        <v>926.1707360395426</v>
      </c>
      <c r="AN88" t="n">
        <v>925.4157910218686</v>
      </c>
      <c r="AO88" t="n">
        <v>927.8434032193056</v>
      </c>
      <c r="AP88" t="n">
        <v>928.7523802718844</v>
      </c>
      <c r="AQ88" t="n">
        <v>870.7372817639925</v>
      </c>
      <c r="AR88" t="n">
        <v>862.5541046574072</v>
      </c>
      <c r="AS88" t="n">
        <v>852.513922192323</v>
      </c>
      <c r="AT88" t="n">
        <v>826.6206201704631</v>
      </c>
      <c r="AU88" t="n">
        <v>809.768250485412</v>
      </c>
      <c r="AV88" t="n">
        <v>790.065861841298</v>
      </c>
      <c r="AW88" t="n">
        <v>777.9968357380785</v>
      </c>
    </row>
    <row r="89">
      <c r="A89" t="inlineStr">
        <is>
          <t>no_year_in_pairs</t>
        </is>
      </c>
      <c r="C89" t="inlineStr">
        <is>
          <t>EBS.20.72, Sup. 1</t>
        </is>
      </c>
      <c r="D89" t="inlineStr">
        <is>
          <t>Dominica</t>
        </is>
      </c>
      <c r="E89" t="inlineStr">
        <is>
          <t>DMA</t>
        </is>
      </c>
      <c r="G89" t="inlineStr">
        <is>
          <t>2018gn</t>
        </is>
      </c>
      <c r="H89" t="n">
        <v>2019</v>
      </c>
      <c r="I89" t="inlineStr">
        <is>
          <t>pv.pub.ext.dbt.eop</t>
        </is>
      </c>
      <c r="M89" t="inlineStr">
        <is>
          <t>Total public debt outstanding (net)</t>
        </is>
      </c>
      <c r="P89" t="n">
        <v>601.2115000000002</v>
      </c>
      <c r="Q89" t="n">
        <v>605.671100000001</v>
      </c>
      <c r="R89" t="n">
        <v>577.9094000000014</v>
      </c>
      <c r="S89" t="n">
        <v>580.8587000000005</v>
      </c>
      <c r="T89" t="n">
        <v>658.1405862700012</v>
      </c>
      <c r="U89" t="n">
        <v>660.4770485500012</v>
      </c>
      <c r="V89" t="n">
        <v>708.7866822999999</v>
      </c>
      <c r="W89" t="n">
        <v>866.1053628277831</v>
      </c>
      <c r="X89" t="n">
        <v>1072.572501967655</v>
      </c>
      <c r="Y89" t="n">
        <v>967.7172095088063</v>
      </c>
      <c r="Z89" t="n">
        <v>814.6253883671953</v>
      </c>
      <c r="AA89" t="n">
        <v>904.9760775626041</v>
      </c>
      <c r="AB89" t="n">
        <v>1109.10436</v>
      </c>
      <c r="AC89" t="n">
        <v>1294.793213879372</v>
      </c>
      <c r="AD89" t="n">
        <v>1361.212497756972</v>
      </c>
      <c r="AE89" t="n">
        <v>1369.981765402595</v>
      </c>
      <c r="AF89" t="n">
        <v>1350.347527250133</v>
      </c>
      <c r="AG89" t="n">
        <v>1335.821454382552</v>
      </c>
      <c r="AH89" t="n">
        <v>1319.007446392048</v>
      </c>
      <c r="AI89" t="n">
        <v>1301.929111361027</v>
      </c>
      <c r="AJ89" t="n">
        <v>1283.563824147299</v>
      </c>
      <c r="AK89" t="n">
        <v>1263.452186943829</v>
      </c>
      <c r="AL89" t="n">
        <v>1241.508291431254</v>
      </c>
      <c r="AM89" t="n">
        <v>1217.374359019066</v>
      </c>
      <c r="AN89" t="n">
        <v>1200.226490080061</v>
      </c>
      <c r="AO89" t="n">
        <v>1183.62897105069</v>
      </c>
      <c r="AP89" t="n">
        <v>1165.125209522854</v>
      </c>
      <c r="AQ89" t="n">
        <v>1145.630906251846</v>
      </c>
      <c r="AR89" t="n">
        <v>1125.253155590402</v>
      </c>
      <c r="AS89" t="n">
        <v>1104.230553775457</v>
      </c>
      <c r="AT89" t="n">
        <v>1083.239975932295</v>
      </c>
      <c r="AU89" t="n">
        <v>1061.393896670955</v>
      </c>
      <c r="AV89" t="n">
        <v>1041.986755605385</v>
      </c>
      <c r="AW89" t="n">
        <v>1024.830837726294</v>
      </c>
    </row>
    <row r="90">
      <c r="A90" t="inlineStr">
        <is>
          <t>no_year_in_pairs</t>
        </is>
      </c>
      <c r="C90" t="inlineStr">
        <is>
          <t>EBS.20.72, Sup. 1</t>
        </is>
      </c>
      <c r="D90" t="inlineStr">
        <is>
          <t>Dominica</t>
        </is>
      </c>
      <c r="E90" t="inlineStr">
        <is>
          <t>DMA</t>
        </is>
      </c>
      <c r="G90" t="inlineStr">
        <is>
          <t>2018gn</t>
        </is>
      </c>
      <c r="H90" t="n">
        <v>2019</v>
      </c>
      <c r="I90" t="inlineStr">
        <is>
          <t>dod.pub.dbt</t>
        </is>
      </c>
    </row>
    <row r="91">
      <c r="A91" t="inlineStr">
        <is>
          <t>no_year_in_pairs</t>
        </is>
      </c>
      <c r="C91" t="inlineStr">
        <is>
          <t>EBS.20.72, Sup. 1</t>
        </is>
      </c>
      <c r="D91" t="inlineStr">
        <is>
          <t>Dominica</t>
        </is>
      </c>
      <c r="E91" t="inlineStr">
        <is>
          <t>DMA</t>
        </is>
      </c>
      <c r="G91" t="inlineStr">
        <is>
          <t>2018gn</t>
        </is>
      </c>
      <c r="H91" t="n">
        <v>2019</v>
      </c>
      <c r="K91" t="inlineStr">
        <is>
          <t>US Dollars</t>
        </is>
      </c>
      <c r="L91" t="inlineStr">
        <is>
          <t>Million</t>
        </is>
      </c>
      <c r="M91" t="inlineStr">
        <is>
          <t>Government revenues (excluding grants)</t>
        </is>
      </c>
      <c r="P91" t="n">
        <v>139.2224751291244</v>
      </c>
      <c r="Q91" t="n">
        <v>154.3952735011807</v>
      </c>
      <c r="R91" t="n">
        <v>165.2851707598018</v>
      </c>
      <c r="S91" t="n">
        <v>174.1983959536678</v>
      </c>
      <c r="T91" t="n">
        <v>174.6698185666666</v>
      </c>
      <c r="U91" t="n">
        <v>174.2855931444444</v>
      </c>
      <c r="V91" t="n">
        <v>183.1545438518519</v>
      </c>
      <c r="W91" t="n">
        <v>186.505067127037</v>
      </c>
      <c r="X91" t="n">
        <v>180.745665491047</v>
      </c>
      <c r="Y91" t="n">
        <v>287.2653490299296</v>
      </c>
      <c r="Z91" t="n">
        <v>371.0101998004296</v>
      </c>
      <c r="AA91" t="n">
        <v>313.0773770335433</v>
      </c>
      <c r="AB91" t="n">
        <v>300.9678387953289</v>
      </c>
      <c r="AC91" t="n">
        <v>246.6351717016226</v>
      </c>
      <c r="AD91" t="n">
        <v>233.2372864172118</v>
      </c>
      <c r="AE91" t="n">
        <v>247.4863096139363</v>
      </c>
      <c r="AF91" t="n">
        <v>247.9723461202585</v>
      </c>
      <c r="AG91" t="n">
        <v>256.083498599724</v>
      </c>
      <c r="AH91" t="n">
        <v>265.6784784168641</v>
      </c>
      <c r="AI91" t="n">
        <v>274.4136620625722</v>
      </c>
      <c r="AJ91" t="n">
        <v>284.1345348595215</v>
      </c>
      <c r="AK91" t="n">
        <v>294.31215805791</v>
      </c>
      <c r="AL91" t="n">
        <v>304.8603040435218</v>
      </c>
      <c r="AM91" t="n">
        <v>315.8290109983792</v>
      </c>
      <c r="AN91" t="n">
        <v>324.1174034813292</v>
      </c>
      <c r="AO91" t="n">
        <v>335.3063772749448</v>
      </c>
      <c r="AP91" t="n">
        <v>347.3628495749962</v>
      </c>
      <c r="AQ91" t="n">
        <v>359.8607302090778</v>
      </c>
      <c r="AR91" t="n">
        <v>372.5637836351667</v>
      </c>
      <c r="AS91" t="n">
        <v>385.7152538097251</v>
      </c>
      <c r="AT91" t="n">
        <v>399.3309694378402</v>
      </c>
      <c r="AU91" t="n">
        <v>413.4273197270056</v>
      </c>
      <c r="AV91" t="n">
        <v>428.0212683680416</v>
      </c>
      <c r="AW91" t="n">
        <v>441.9652789084943</v>
      </c>
    </row>
    <row r="92">
      <c r="A92" t="inlineStr">
        <is>
          <t>no_year_in_pairs</t>
        </is>
      </c>
      <c r="C92" t="inlineStr">
        <is>
          <t>EBS.20.72, Sup. 1</t>
        </is>
      </c>
      <c r="D92" t="inlineStr">
        <is>
          <t>Dominica</t>
        </is>
      </c>
      <c r="E92" t="inlineStr">
        <is>
          <t>DMA</t>
        </is>
      </c>
      <c r="G92" t="inlineStr">
        <is>
          <t>2018gn</t>
        </is>
      </c>
      <c r="H92" t="n">
        <v>2019</v>
      </c>
      <c r="I92" t="inlineStr">
        <is>
          <t>gov.rev.exc.grt</t>
        </is>
      </c>
      <c r="M92" t="inlineStr">
        <is>
          <t>Real revenue and grants</t>
        </is>
      </c>
      <c r="P92" t="n">
        <v>439.1818073805955</v>
      </c>
      <c r="Q92" t="n">
        <v>512.8082108727787</v>
      </c>
      <c r="R92" t="n">
        <v>522.6825731067669</v>
      </c>
      <c r="S92" t="n">
        <v>524.3305663289638</v>
      </c>
      <c r="T92" t="n">
        <v>531.6150840638823</v>
      </c>
      <c r="U92" t="n">
        <v>475.6008828913511</v>
      </c>
      <c r="V92" t="n">
        <v>467.4313005071132</v>
      </c>
      <c r="W92" t="n">
        <v>473.5679004136096</v>
      </c>
      <c r="X92" t="n">
        <v>434.2535965552412</v>
      </c>
      <c r="Y92" t="n">
        <v>646.0865817714094</v>
      </c>
      <c r="Z92" t="n">
        <v>797.6811634807735</v>
      </c>
      <c r="AA92" t="n">
        <v>707.6333849546318</v>
      </c>
      <c r="AB92" t="n">
        <v>632.4253200320817</v>
      </c>
      <c r="AC92" t="n">
        <v>509.4645125784314</v>
      </c>
      <c r="AD92" t="n">
        <v>495.3319677405015</v>
      </c>
      <c r="AE92" t="n">
        <v>522.7716551346061</v>
      </c>
      <c r="AF92" t="n">
        <v>515.2283344130367</v>
      </c>
      <c r="AG92" t="n">
        <v>521.9940244166776</v>
      </c>
      <c r="AH92" t="n">
        <v>530.9051388301799</v>
      </c>
      <c r="AI92" t="n">
        <v>537.7039523727968</v>
      </c>
      <c r="AJ92" t="n">
        <v>545.8358214502105</v>
      </c>
      <c r="AK92" t="n">
        <v>554.2804674708949</v>
      </c>
      <c r="AL92" t="n">
        <v>562.8657649723701</v>
      </c>
      <c r="AM92" t="n">
        <v>571.6565806659344</v>
      </c>
      <c r="AN92" t="n">
        <v>575.5713304237794</v>
      </c>
      <c r="AO92" t="n">
        <v>583.8597977975596</v>
      </c>
      <c r="AP92" t="n">
        <v>592.9660548870543</v>
      </c>
      <c r="AQ92" t="n">
        <v>602.226602216896</v>
      </c>
      <c r="AR92" t="n">
        <v>611.2600095467349</v>
      </c>
      <c r="AS92" t="n">
        <v>620.428909604981</v>
      </c>
      <c r="AT92" t="n">
        <v>629.7353535276762</v>
      </c>
      <c r="AU92" t="n">
        <v>634.4231878369792</v>
      </c>
      <c r="AV92" t="n">
        <v>648.7690818555849</v>
      </c>
      <c r="AW92" t="n">
        <v>652.0057640628892</v>
      </c>
    </row>
    <row r="93">
      <c r="A93" t="inlineStr">
        <is>
          <t>no_year_in_pairs</t>
        </is>
      </c>
      <c r="C93" t="inlineStr">
        <is>
          <t>EBS.20.72, Sup. 1</t>
        </is>
      </c>
      <c r="D93" t="inlineStr">
        <is>
          <t>Dominica</t>
        </is>
      </c>
      <c r="E93" t="inlineStr">
        <is>
          <t>DMA</t>
        </is>
      </c>
      <c r="G93" t="inlineStr">
        <is>
          <t>2018gn</t>
        </is>
      </c>
      <c r="H93" t="n">
        <v>2019</v>
      </c>
      <c r="I93" t="inlineStr">
        <is>
          <t>rev.real.inc.grt</t>
        </is>
      </c>
      <c r="M93" t="inlineStr">
        <is>
          <t>Growth in real revenues and grants</t>
        </is>
      </c>
      <c r="P93" t="inlineStr">
        <is>
          <t>...</t>
        </is>
      </c>
      <c r="Q93" t="n">
        <v>16.764447491874</v>
      </c>
      <c r="R93" t="n">
        <v>1.925546827181734</v>
      </c>
      <c r="S93" t="n">
        <v>0.3152952302200251</v>
      </c>
      <c r="T93" t="n">
        <v>1.389298698704544</v>
      </c>
      <c r="U93" t="n">
        <v>-10.53660869521154</v>
      </c>
      <c r="V93" t="n">
        <v>-1.717739112377581</v>
      </c>
      <c r="W93" t="n">
        <v>1.312834613308689</v>
      </c>
      <c r="X93" t="n">
        <v>-8.301724805256361</v>
      </c>
      <c r="Y93" t="n">
        <v>48.78093973119715</v>
      </c>
      <c r="Z93" t="n">
        <v>23.46350875972833</v>
      </c>
      <c r="AA93" t="n">
        <v>-11.28869310805936</v>
      </c>
      <c r="AB93" t="n">
        <v>-10.62811146585062</v>
      </c>
      <c r="AC93" t="n">
        <v>-19.44273949174152</v>
      </c>
      <c r="AD93" t="n">
        <v>-2.773999854553999</v>
      </c>
      <c r="AE93" t="n">
        <v>5.539656065259235</v>
      </c>
      <c r="AF93" t="n">
        <v>-1.442947536936967</v>
      </c>
      <c r="AG93" t="n">
        <v>1.313144008539147</v>
      </c>
      <c r="AH93" t="n">
        <v>1.707129583228539</v>
      </c>
      <c r="AI93" t="n">
        <v>1.280607974071923</v>
      </c>
      <c r="AJ93" t="n">
        <v>1.512332026113827</v>
      </c>
      <c r="AK93" t="n">
        <v>1.547103669057148</v>
      </c>
      <c r="AL93" t="n">
        <v>1.548908540950178</v>
      </c>
      <c r="AM93" t="n">
        <v>1.561796122739101</v>
      </c>
      <c r="AN93" t="n">
        <v>0.6848079581773803</v>
      </c>
      <c r="AO93" t="n">
        <v>1.440041735170805</v>
      </c>
      <c r="AP93" t="n">
        <v>1.559665029831714</v>
      </c>
      <c r="AQ93" t="n">
        <v>1.56173313017145</v>
      </c>
      <c r="AR93" t="n">
        <v>1.500001377651761</v>
      </c>
      <c r="AS93" t="n">
        <v>1.499999986101663</v>
      </c>
      <c r="AT93" t="n">
        <v>1.500001656695948</v>
      </c>
      <c r="AU93" t="n">
        <v>0.7444133925533114</v>
      </c>
      <c r="AV93" t="n">
        <v>2.261249950134547</v>
      </c>
      <c r="AW93" t="n">
        <v>0.4988958780290265</v>
      </c>
    </row>
    <row r="94">
      <c r="A94" t="inlineStr">
        <is>
          <t>no_year_in_pairs</t>
        </is>
      </c>
      <c r="C94" t="inlineStr">
        <is>
          <t>EBS.20.72, Sup. 1</t>
        </is>
      </c>
      <c r="D94" t="inlineStr">
        <is>
          <t>Dominica</t>
        </is>
      </c>
      <c r="E94" t="inlineStr">
        <is>
          <t>DMA</t>
        </is>
      </c>
      <c r="G94" t="inlineStr">
        <is>
          <t>2018gn</t>
        </is>
      </c>
      <c r="H94" t="n">
        <v>2019</v>
      </c>
      <c r="I94" t="inlineStr">
        <is>
          <t>gov.rev.gwth</t>
        </is>
      </c>
      <c r="M94" t="inlineStr">
        <is>
          <t>Revenues in percent of GDP</t>
        </is>
      </c>
      <c r="P94" t="n">
        <v>34.30705155555008</v>
      </c>
      <c r="Q94" t="n">
        <v>35.10714613764834</v>
      </c>
      <c r="R94" t="n">
        <v>34.89736341403367</v>
      </c>
      <c r="S94" t="n">
        <v>35.44584782403666</v>
      </c>
      <c r="T94" t="n">
        <v>35.11481541712126</v>
      </c>
      <c r="U94" t="n">
        <v>35.31539473456105</v>
      </c>
      <c r="V94" t="n">
        <v>37.07667198517765</v>
      </c>
      <c r="W94" t="n">
        <v>36.36832483640296</v>
      </c>
      <c r="X94" t="n">
        <v>33.95888559617632</v>
      </c>
      <c r="Y94" t="n">
        <v>51.46746124881661</v>
      </c>
      <c r="Z94" t="n">
        <v>67.51693332737244</v>
      </c>
      <c r="AA94" t="n">
        <v>59.23700058266274</v>
      </c>
      <c r="AB94" t="n">
        <v>53.6359315017935</v>
      </c>
      <c r="AC94" t="n">
        <v>42.85009352257955</v>
      </c>
      <c r="AD94" t="n">
        <v>40.38795025865487</v>
      </c>
      <c r="AE94" t="n">
        <v>40.64513902912738</v>
      </c>
      <c r="AF94" t="n">
        <v>38.77661285491337</v>
      </c>
      <c r="AG94" t="n">
        <v>38.4422171313351</v>
      </c>
      <c r="AH94" t="n">
        <v>38.47706118296995</v>
      </c>
      <c r="AI94" t="n">
        <v>38.38218342499096</v>
      </c>
      <c r="AJ94" t="n">
        <v>38.38206271648896</v>
      </c>
      <c r="AK94" t="n">
        <v>38.40231338785676</v>
      </c>
      <c r="AL94" t="n">
        <v>38.4232938748502</v>
      </c>
      <c r="AM94" t="n">
        <v>38.44851413996424</v>
      </c>
      <c r="AN94" t="n">
        <v>38.06170266334928</v>
      </c>
      <c r="AO94" t="n">
        <v>37.98449570279383</v>
      </c>
      <c r="AP94" t="n">
        <v>38.00858787571891</v>
      </c>
      <c r="AQ94" t="n">
        <v>38.03353066874928</v>
      </c>
      <c r="AR94" t="n">
        <v>38.03353057837332</v>
      </c>
      <c r="AS94" t="n">
        <v>38.03353049133914</v>
      </c>
      <c r="AT94" t="n">
        <v>38.0335303723394</v>
      </c>
      <c r="AU94" t="n">
        <v>38.03353035070091</v>
      </c>
      <c r="AV94" t="n">
        <v>38.03353018237041</v>
      </c>
      <c r="AW94" t="n">
        <v>37.93353012620845</v>
      </c>
    </row>
    <row r="95">
      <c r="A95" t="inlineStr">
        <is>
          <t>no_year_in_pairs</t>
        </is>
      </c>
      <c r="C95" t="inlineStr">
        <is>
          <t>EBS.20.72, Sup. 1</t>
        </is>
      </c>
      <c r="D95" t="inlineStr">
        <is>
          <t>Dominica</t>
        </is>
      </c>
      <c r="E95" t="inlineStr">
        <is>
          <t>DMA</t>
        </is>
      </c>
      <c r="G95" t="inlineStr">
        <is>
          <t>2018gn</t>
        </is>
      </c>
      <c r="H95" t="n">
        <v>2019</v>
      </c>
      <c r="I95" t="inlineStr">
        <is>
          <t>gov.rev.2gdp</t>
        </is>
      </c>
      <c r="M95" t="inlineStr">
        <is>
          <t>Real non-interest expenditure</t>
        </is>
      </c>
      <c r="P95" t="n">
        <v>342.4960799076954</v>
      </c>
      <c r="Q95" t="n">
        <v>459.74827892426</v>
      </c>
      <c r="R95" t="n">
        <v>482.4895709024092</v>
      </c>
      <c r="S95" t="n">
        <v>502.1178820879124</v>
      </c>
      <c r="T95" t="n">
        <v>579.6352026988019</v>
      </c>
      <c r="U95" t="n">
        <v>515.5389520759418</v>
      </c>
      <c r="V95" t="n">
        <v>513.2833454295769</v>
      </c>
      <c r="W95" t="n">
        <v>375.6564534325095</v>
      </c>
      <c r="X95" t="n">
        <v>365.2948774482619</v>
      </c>
      <c r="Y95" t="n">
        <v>467.9098189112259</v>
      </c>
      <c r="Z95" t="n">
        <v>602.5687137333701</v>
      </c>
      <c r="AA95" t="n">
        <v>682.3271723781548</v>
      </c>
      <c r="AB95" t="n">
        <v>816.9731442726388</v>
      </c>
      <c r="AC95" t="n">
        <v>625.8587411104269</v>
      </c>
      <c r="AD95" t="n">
        <v>526.5531121771336</v>
      </c>
      <c r="AE95" t="n">
        <v>512.4229552330195</v>
      </c>
      <c r="AF95" t="n">
        <v>483.6270784727232</v>
      </c>
      <c r="AG95" t="n">
        <v>495.7393829804851</v>
      </c>
      <c r="AH95" t="n">
        <v>504.0606551505068</v>
      </c>
      <c r="AI95" t="n">
        <v>511.9028117837211</v>
      </c>
      <c r="AJ95" t="n">
        <v>519.8582409807595</v>
      </c>
      <c r="AK95" t="n">
        <v>527.8322024407731</v>
      </c>
      <c r="AL95" t="n">
        <v>535.9090809665815</v>
      </c>
      <c r="AM95" t="n">
        <v>544.1107040120733</v>
      </c>
      <c r="AN95" t="n">
        <v>553.080172034684</v>
      </c>
      <c r="AO95" t="n">
        <v>562.3041162822288</v>
      </c>
      <c r="AP95" t="n">
        <v>570.8700241520424</v>
      </c>
      <c r="AQ95" t="n">
        <v>579.5572440035567</v>
      </c>
      <c r="AR95" t="n">
        <v>588.3600444626412</v>
      </c>
      <c r="AS95" t="n">
        <v>597.2899646669455</v>
      </c>
      <c r="AT95" t="n">
        <v>606.3493917298734</v>
      </c>
      <c r="AU95" t="n">
        <v>610.9584332398219</v>
      </c>
      <c r="AV95" t="n">
        <v>624.8660675211391</v>
      </c>
      <c r="AW95" t="n">
        <v>629.6064078378996</v>
      </c>
    </row>
    <row r="96">
      <c r="A96" t="inlineStr">
        <is>
          <t>no_year_in_pairs</t>
        </is>
      </c>
      <c r="C96" t="inlineStr">
        <is>
          <t>EBS.20.72, Sup. 1</t>
        </is>
      </c>
      <c r="D96" t="inlineStr">
        <is>
          <t>Dominica</t>
        </is>
      </c>
      <c r="E96" t="inlineStr">
        <is>
          <t>DMA</t>
        </is>
      </c>
      <c r="G96" t="inlineStr">
        <is>
          <t>2018gn</t>
        </is>
      </c>
      <c r="H96" t="n">
        <v>2019</v>
      </c>
      <c r="I96" t="inlineStr">
        <is>
          <t>real.prim.exp</t>
        </is>
      </c>
      <c r="M96" t="inlineStr">
        <is>
          <t>Growth of real non-interest expenditures</t>
        </is>
      </c>
      <c r="Q96" t="n">
        <v>34.23461052405759</v>
      </c>
      <c r="R96" t="n">
        <v>4.946465929434329</v>
      </c>
      <c r="S96" t="n">
        <v>4.068131700503286</v>
      </c>
      <c r="T96" t="n">
        <v>15.43807208947749</v>
      </c>
      <c r="U96" t="n">
        <v>-11.0580327634391</v>
      </c>
      <c r="V96" t="n">
        <v>-0.4375240003266723</v>
      </c>
      <c r="W96" t="n">
        <v>-26.81304453427857</v>
      </c>
      <c r="X96" t="n">
        <v>-2.758258480473352</v>
      </c>
      <c r="Y96" t="n">
        <v>28.09098834885735</v>
      </c>
      <c r="Z96" t="n">
        <v>28.77881364735635</v>
      </c>
      <c r="AA96" t="n">
        <v>13.23640886540898</v>
      </c>
      <c r="AB96" t="n">
        <v>19.73334455158726</v>
      </c>
      <c r="AC96" t="n">
        <v>-23.39298476357671</v>
      </c>
      <c r="AD96" t="n">
        <v>-15.86709946035119</v>
      </c>
      <c r="AE96" t="n">
        <v>-2.683519785058397</v>
      </c>
      <c r="AF96" t="n">
        <v>-5.619552454905463</v>
      </c>
      <c r="AG96" t="n">
        <v>2.504471946858744</v>
      </c>
      <c r="AH96" t="n">
        <v>1.678557818019732</v>
      </c>
      <c r="AI96" t="n">
        <v>1.555796222752748</v>
      </c>
      <c r="AJ96" t="n">
        <v>1.554089763507616</v>
      </c>
      <c r="AK96" t="n">
        <v>1.533872281214577</v>
      </c>
      <c r="AL96" t="n">
        <v>1.530198136540317</v>
      </c>
      <c r="AM96" t="n">
        <v>1.530413149689314</v>
      </c>
      <c r="AN96" t="n">
        <v>1.648463806441081</v>
      </c>
      <c r="AO96" t="n">
        <v>1.667740901578818</v>
      </c>
      <c r="AP96" t="n">
        <v>1.523358556655885</v>
      </c>
      <c r="AQ96" t="n">
        <v>1.521750921222043</v>
      </c>
      <c r="AR96" t="n">
        <v>1.518883690983697</v>
      </c>
      <c r="AS96" t="n">
        <v>1.517764553923806</v>
      </c>
      <c r="AT96" t="n">
        <v>1.516755277812099</v>
      </c>
      <c r="AU96" t="n">
        <v>0.7601296501344335</v>
      </c>
      <c r="AV96" t="n">
        <v>2.276363419286498</v>
      </c>
      <c r="AW96" t="n">
        <v>0.7586170162136474</v>
      </c>
    </row>
    <row r="97">
      <c r="A97" t="inlineStr">
        <is>
          <t>no_year_in_pairs</t>
        </is>
      </c>
      <c r="C97" t="inlineStr">
        <is>
          <t>EBS.20.72, Sup. 1</t>
        </is>
      </c>
      <c r="D97" t="inlineStr">
        <is>
          <t>Dominica</t>
        </is>
      </c>
      <c r="E97" t="inlineStr">
        <is>
          <t>DMA</t>
        </is>
      </c>
      <c r="G97" t="inlineStr">
        <is>
          <t>2018gn</t>
        </is>
      </c>
      <c r="H97" t="n">
        <v>2019</v>
      </c>
      <c r="I97" t="inlineStr">
        <is>
          <t>real.prim.exp.gwth</t>
        </is>
      </c>
      <c r="M97" t="inlineStr">
        <is>
          <t>Gross financing need</t>
        </is>
      </c>
      <c r="P97" t="inlineStr">
        <is>
          <t>…</t>
        </is>
      </c>
      <c r="Q97" t="n">
        <v>-11.35877224336056</v>
      </c>
      <c r="R97" t="n">
        <v>-3.485820805747951</v>
      </c>
      <c r="S97" t="n">
        <v>24.52452213575492</v>
      </c>
      <c r="T97" t="n">
        <v>92.15881261000011</v>
      </c>
      <c r="U97" t="n">
        <v>91.95556011706213</v>
      </c>
      <c r="V97" t="n">
        <v>139.7215747571672</v>
      </c>
      <c r="W97" t="n">
        <v>-56.28234958471474</v>
      </c>
      <c r="X97" t="n">
        <v>1.474092251863363</v>
      </c>
      <c r="Y97" t="n">
        <v>-138.6749661248116</v>
      </c>
      <c r="Z97" t="n">
        <v>-160.4986194616438</v>
      </c>
      <c r="AA97" t="n">
        <v>69.14630517168666</v>
      </c>
      <c r="AB97" t="n">
        <v>351.3579527212765</v>
      </c>
      <c r="AC97" t="n">
        <v>251.4100050932724</v>
      </c>
      <c r="AD97" t="n">
        <v>147.1922886815484</v>
      </c>
      <c r="AE97" t="n">
        <v>70.39553326098003</v>
      </c>
      <c r="AF97" t="n">
        <v>38.43345853862825</v>
      </c>
      <c r="AG97" t="n">
        <v>56.36458563867185</v>
      </c>
      <c r="AH97" t="n">
        <v>29.44473854794741</v>
      </c>
      <c r="AI97" t="n">
        <v>37.79451937493862</v>
      </c>
      <c r="AJ97" t="n">
        <v>34.971582429538</v>
      </c>
      <c r="AK97" t="n">
        <v>47.96041048183783</v>
      </c>
      <c r="AL97" t="n">
        <v>52.52781621089719</v>
      </c>
      <c r="AM97" t="n">
        <v>27.1838126494616</v>
      </c>
      <c r="AN97" t="n">
        <v>29.2485051501801</v>
      </c>
      <c r="AO97" t="n">
        <v>34.80755820119116</v>
      </c>
      <c r="AP97" t="n">
        <v>32.52858662319247</v>
      </c>
      <c r="AQ97" t="n">
        <v>24.97031710447592</v>
      </c>
      <c r="AR97" t="n">
        <v>35.18191315947347</v>
      </c>
      <c r="AS97" t="n">
        <v>33.77738346651834</v>
      </c>
      <c r="AT97" t="n">
        <v>49.06141430993995</v>
      </c>
      <c r="AU97" t="n">
        <v>38.71617970805315</v>
      </c>
      <c r="AV97" t="n">
        <v>39.12574033847041</v>
      </c>
      <c r="AW97" t="n">
        <v>35.78173913740026</v>
      </c>
    </row>
    <row r="98">
      <c r="A98" t="inlineStr">
        <is>
          <t>no_year_in_pairs</t>
        </is>
      </c>
      <c r="C98" t="inlineStr">
        <is>
          <t>EBS.20.72, Sup. 1</t>
        </is>
      </c>
      <c r="D98" t="inlineStr">
        <is>
          <t>Dominica</t>
        </is>
      </c>
      <c r="E98" t="inlineStr">
        <is>
          <t>DMA</t>
        </is>
      </c>
      <c r="G98" t="inlineStr">
        <is>
          <t>2018gn</t>
        </is>
      </c>
      <c r="H98" t="n">
        <v>2019</v>
      </c>
      <c r="I98" t="inlineStr">
        <is>
          <t>grss.fin.need</t>
        </is>
      </c>
    </row>
    <row r="99">
      <c r="A99" t="inlineStr">
        <is>
          <t>no_year_in_pairs</t>
        </is>
      </c>
      <c r="C99" t="inlineStr">
        <is>
          <t>EBS.20.72, Sup. 1</t>
        </is>
      </c>
      <c r="D99" t="inlineStr">
        <is>
          <t>Dominica</t>
        </is>
      </c>
      <c r="E99" t="inlineStr">
        <is>
          <t>DMA</t>
        </is>
      </c>
      <c r="G99" t="inlineStr">
        <is>
          <t>2018gn</t>
        </is>
      </c>
      <c r="H99" t="n">
        <v>2019</v>
      </c>
      <c r="K99" t="inlineStr">
        <is>
          <t>US Dollars</t>
        </is>
      </c>
      <c r="L99" t="inlineStr">
        <is>
          <t>Million</t>
        </is>
      </c>
      <c r="M99" t="inlineStr">
        <is>
          <t>Aid Flows</t>
        </is>
      </c>
      <c r="P99" t="n">
        <v>24.71606615925926</v>
      </c>
      <c r="Q99" t="n">
        <v>39.93485661370369</v>
      </c>
      <c r="R99" t="n">
        <v>42.15534765185185</v>
      </c>
      <c r="S99" t="n">
        <v>42.27416822592592</v>
      </c>
      <c r="T99" t="n">
        <v>46.98469374814815</v>
      </c>
      <c r="U99" t="n">
        <v>23.72282441851852</v>
      </c>
      <c r="V99" t="n">
        <v>13.27980428776333</v>
      </c>
      <c r="W99" t="n">
        <v>16.27750518518518</v>
      </c>
      <c r="X99" t="n">
        <v>10.62962962962963</v>
      </c>
      <c r="Y99" t="n">
        <v>11.46085752592593</v>
      </c>
      <c r="Z99" t="n">
        <v>5.575630096296296</v>
      </c>
      <c r="AA99" t="n">
        <v>24.26132703703703</v>
      </c>
      <c r="AB99" t="n">
        <v>5.086700818518518</v>
      </c>
      <c r="AC99" t="n">
        <v>99.70565528021949</v>
      </c>
      <c r="AD99" t="n">
        <v>67.0565865925912</v>
      </c>
      <c r="AE99" t="n">
        <v>62.23911803795974</v>
      </c>
      <c r="AF99" t="n">
        <v>61.84921923628477</v>
      </c>
      <c r="AG99" t="n">
        <v>52.25800347095209</v>
      </c>
      <c r="AH99" t="n">
        <v>42.82005724104631</v>
      </c>
      <c r="AI99" t="n">
        <v>45.25424632798834</v>
      </c>
      <c r="AJ99" t="n">
        <v>46.37080379124144</v>
      </c>
      <c r="AK99" t="n">
        <v>46.10147192214565</v>
      </c>
      <c r="AL99" t="n">
        <v>41.25546414037866</v>
      </c>
      <c r="AM99" t="n">
        <v>38.21129512120754</v>
      </c>
      <c r="AN99" t="n">
        <v>37.20266597444391</v>
      </c>
      <c r="AO99" t="n">
        <v>34.58152598499286</v>
      </c>
      <c r="AP99" t="n">
        <v>35.24179841749485</v>
      </c>
      <c r="AQ99" t="n">
        <v>4.194866158650136</v>
      </c>
      <c r="AR99" t="n">
        <v>39.71646345971096</v>
      </c>
      <c r="AS99" t="n">
        <v>40.68342685152854</v>
      </c>
      <c r="AT99" t="n">
        <v>43.20602655792074</v>
      </c>
      <c r="AU99" t="n">
        <v>46.48340370331979</v>
      </c>
      <c r="AV99" t="n">
        <v>48.14808750473483</v>
      </c>
      <c r="AW99" t="n">
        <v>50.84749965912468</v>
      </c>
    </row>
    <row r="100">
      <c r="A100" t="inlineStr">
        <is>
          <t>no_year_in_pairs</t>
        </is>
      </c>
      <c r="C100" t="inlineStr">
        <is>
          <t>EBS.20.72, Sup. 1</t>
        </is>
      </c>
      <c r="D100" t="inlineStr">
        <is>
          <t>Dominica</t>
        </is>
      </c>
      <c r="E100" t="inlineStr">
        <is>
          <t>DMA</t>
        </is>
      </c>
      <c r="G100" t="inlineStr">
        <is>
          <t>2018gn</t>
        </is>
      </c>
      <c r="H100" t="n">
        <v>2019</v>
      </c>
      <c r="I100" t="inlineStr">
        <is>
          <t>aid.flw</t>
        </is>
      </c>
      <c r="M100" t="inlineStr">
        <is>
          <t>Grants</t>
        </is>
      </c>
      <c r="P100" t="n">
        <v>24.71606615925926</v>
      </c>
      <c r="Q100" t="n">
        <v>39.93485661370369</v>
      </c>
      <c r="R100" t="n">
        <v>42.15534765185185</v>
      </c>
      <c r="S100" t="n">
        <v>42.27416822592592</v>
      </c>
      <c r="T100" t="n">
        <v>46.98469374814815</v>
      </c>
      <c r="U100" t="n">
        <v>23.72282441851852</v>
      </c>
      <c r="V100" t="n">
        <v>13.27980428776333</v>
      </c>
      <c r="W100" t="n">
        <v>16.27750518518518</v>
      </c>
      <c r="X100" t="n">
        <v>10.62962962962963</v>
      </c>
      <c r="Y100" t="n">
        <v>11.46085752592593</v>
      </c>
      <c r="Z100" t="n">
        <v>5.575630096296296</v>
      </c>
      <c r="AA100" t="n">
        <v>24.26132703703703</v>
      </c>
      <c r="AB100" t="n">
        <v>5.086700818518518</v>
      </c>
      <c r="AC100" t="n">
        <v>3.453460444444444</v>
      </c>
      <c r="AD100" t="n">
        <v>13.85981422222222</v>
      </c>
      <c r="AE100" t="n">
        <v>18.26685666666667</v>
      </c>
      <c r="AF100" t="n">
        <v>19.18468333333333</v>
      </c>
      <c r="AG100" t="n">
        <v>19.98455222222222</v>
      </c>
      <c r="AH100" t="n">
        <v>20.71456111111111</v>
      </c>
      <c r="AI100" t="n">
        <v>21.44851888888889</v>
      </c>
      <c r="AJ100" t="n">
        <v>22.20838444444444</v>
      </c>
      <c r="AK100" t="n">
        <v>22.99175222222222</v>
      </c>
      <c r="AL100" t="n">
        <v>23.80277222222222</v>
      </c>
      <c r="AM100" t="n">
        <v>24.64300777777778</v>
      </c>
      <c r="AN100" t="n">
        <v>25.54673444444445</v>
      </c>
      <c r="AO100" t="n">
        <v>26.48236111111111</v>
      </c>
      <c r="AP100" t="n">
        <v>27.41718666666667</v>
      </c>
      <c r="AQ100" t="n">
        <v>28.38501111111111</v>
      </c>
      <c r="AR100" t="n">
        <v>29.3869996792</v>
      </c>
      <c r="AS100" t="n">
        <v>30.42435836170078</v>
      </c>
      <c r="AT100" t="n">
        <v>31.49833572075611</v>
      </c>
      <c r="AU100" t="n">
        <v>32.61022439264989</v>
      </c>
      <c r="AV100" t="n">
        <v>33.76136264362133</v>
      </c>
      <c r="AW100" t="n">
        <v>34.95313598059821</v>
      </c>
    </row>
    <row r="101">
      <c r="A101" t="inlineStr">
        <is>
          <t>no_year_in_pairs</t>
        </is>
      </c>
      <c r="C101" t="inlineStr">
        <is>
          <t>EBS.20.72, Sup. 1</t>
        </is>
      </c>
      <c r="D101" t="inlineStr">
        <is>
          <t>Dominica</t>
        </is>
      </c>
      <c r="E101" t="inlineStr">
        <is>
          <t>DMA</t>
        </is>
      </c>
      <c r="G101" t="inlineStr">
        <is>
          <t>2018gn</t>
        </is>
      </c>
      <c r="H101" t="n">
        <v>2019</v>
      </c>
      <c r="I101" t="inlineStr">
        <is>
          <t>grnt</t>
        </is>
      </c>
      <c r="M101" t="inlineStr">
        <is>
          <t>Concessional loans</t>
        </is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96.25219483577504</v>
      </c>
      <c r="AD101" t="n">
        <v>53.19677237036898</v>
      </c>
      <c r="AE101" t="n">
        <v>43.97226137129308</v>
      </c>
      <c r="AF101" t="n">
        <v>42.66453590295144</v>
      </c>
      <c r="AG101" t="n">
        <v>32.27345124872986</v>
      </c>
      <c r="AH101" t="n">
        <v>22.1054961299352</v>
      </c>
      <c r="AI101" t="n">
        <v>23.80572743909946</v>
      </c>
      <c r="AJ101" t="n">
        <v>24.16241934679699</v>
      </c>
      <c r="AK101" t="n">
        <v>23.10971969992342</v>
      </c>
      <c r="AL101" t="n">
        <v>17.45269191815644</v>
      </c>
      <c r="AM101" t="n">
        <v>13.56828734342977</v>
      </c>
      <c r="AN101" t="n">
        <v>11.65593152999946</v>
      </c>
      <c r="AO101" t="n">
        <v>8.099164873881747</v>
      </c>
      <c r="AP101" t="n">
        <v>7.824611750828186</v>
      </c>
      <c r="AQ101" t="n">
        <v>-24.19014495246097</v>
      </c>
      <c r="AR101" t="n">
        <v>10.32946378051096</v>
      </c>
      <c r="AS101" t="n">
        <v>10.25906848982776</v>
      </c>
      <c r="AT101" t="n">
        <v>11.70769083716463</v>
      </c>
      <c r="AU101" t="n">
        <v>13.87317931066991</v>
      </c>
      <c r="AV101" t="n">
        <v>14.3867248611135</v>
      </c>
      <c r="AW101" t="n">
        <v>15.89436367852647</v>
      </c>
    </row>
    <row r="102">
      <c r="A102" t="inlineStr">
        <is>
          <t>no_year_in_pairs</t>
        </is>
      </c>
      <c r="C102" t="inlineStr">
        <is>
          <t>EBS.20.72, Sup. 1</t>
        </is>
      </c>
      <c r="D102" t="inlineStr">
        <is>
          <t>Dominica</t>
        </is>
      </c>
      <c r="E102" t="inlineStr">
        <is>
          <t>DMA</t>
        </is>
      </c>
      <c r="G102" t="inlineStr">
        <is>
          <t>2018gn</t>
        </is>
      </c>
      <c r="H102" t="n">
        <v>2019</v>
      </c>
      <c r="I102" t="inlineStr">
        <is>
          <t>css.loan</t>
        </is>
      </c>
      <c r="M102" t="inlineStr">
        <is>
          <t xml:space="preserve">Real Economy </t>
        </is>
      </c>
    </row>
    <row r="103">
      <c r="A103" t="inlineStr">
        <is>
          <t>no_year_in_pairs</t>
        </is>
      </c>
      <c r="C103" t="inlineStr">
        <is>
          <t>EBS.20.72, Sup. 1</t>
        </is>
      </c>
      <c r="D103" t="inlineStr">
        <is>
          <t>Dominica</t>
        </is>
      </c>
      <c r="E103" t="inlineStr">
        <is>
          <t>DMA</t>
        </is>
      </c>
      <c r="G103" t="inlineStr">
        <is>
          <t>2018gn</t>
        </is>
      </c>
      <c r="H103" t="n">
        <v>2019</v>
      </c>
      <c r="M103" t="inlineStr">
        <is>
          <t>Real GDP growth</t>
        </is>
      </c>
      <c r="Q103" t="n">
        <v>6.749063192234672</v>
      </c>
      <c r="R103" t="n">
        <v>2.832975649401859</v>
      </c>
      <c r="S103" t="n">
        <v>-0.2540223132395547</v>
      </c>
      <c r="T103" t="n">
        <v>0.222931134886406</v>
      </c>
      <c r="U103" t="n">
        <v>-0.6407681069902194</v>
      </c>
      <c r="V103" t="n">
        <v>-0.834435092706387</v>
      </c>
      <c r="W103" t="n">
        <v>1.882983509113156</v>
      </c>
      <c r="X103" t="n">
        <v>0.8446921134737551</v>
      </c>
      <c r="Y103" t="n">
        <v>-0.04698874588486834</v>
      </c>
      <c r="Z103" t="n">
        <v>-3.579226926481271</v>
      </c>
      <c r="AA103" t="n">
        <v>-4.750596497546489</v>
      </c>
      <c r="AB103" t="n">
        <v>4.586087731914978</v>
      </c>
      <c r="AC103" t="n">
        <v>1.122672024099813</v>
      </c>
      <c r="AD103" t="n">
        <v>-1.269428107473758</v>
      </c>
      <c r="AE103" t="n">
        <v>3.466861476191796</v>
      </c>
      <c r="AF103" t="n">
        <v>2.965175084688099</v>
      </c>
      <c r="AG103" t="n">
        <v>2.130636035844513</v>
      </c>
      <c r="AH103" t="n">
        <v>1.621687452717024</v>
      </c>
      <c r="AI103" t="n">
        <v>1.512816045662602</v>
      </c>
      <c r="AJ103" t="n">
        <v>1.512628130288651</v>
      </c>
      <c r="AK103" t="n">
        <v>1.497435018769688</v>
      </c>
      <c r="AL103" t="n">
        <v>1.497475027205986</v>
      </c>
      <c r="AM103" t="n">
        <v>1.499998601722408</v>
      </c>
      <c r="AN103" t="n">
        <v>1.633283951934916</v>
      </c>
      <c r="AO103" t="n">
        <v>1.631135395509675</v>
      </c>
      <c r="AP103" t="n">
        <v>1.499999649021078</v>
      </c>
      <c r="AQ103" t="n">
        <v>1.499997441138934</v>
      </c>
      <c r="AR103" t="n">
        <v>1.500001601204537</v>
      </c>
      <c r="AS103" t="n">
        <v>1.500000201388274</v>
      </c>
      <c r="AT103" t="n">
        <v>1.500001951052132</v>
      </c>
      <c r="AU103" t="n">
        <v>0.7444134456795259</v>
      </c>
      <c r="AV103" t="n">
        <v>2.261250369637535</v>
      </c>
      <c r="AW103" t="n">
        <v>0.744413310828751</v>
      </c>
    </row>
    <row r="104">
      <c r="A104" t="inlineStr">
        <is>
          <t>no_year_in_pairs</t>
        </is>
      </c>
      <c r="C104" t="inlineStr">
        <is>
          <t>EBS.20.72, Sup. 1</t>
        </is>
      </c>
      <c r="D104" t="inlineStr">
        <is>
          <t>Dominica</t>
        </is>
      </c>
      <c r="E104" t="inlineStr">
        <is>
          <t>DMA</t>
        </is>
      </c>
      <c r="G104" t="inlineStr">
        <is>
          <t>2018gn</t>
        </is>
      </c>
      <c r="H104" t="n">
        <v>2019</v>
      </c>
      <c r="I104" t="inlineStr">
        <is>
          <t>real.gdp.gwth</t>
        </is>
      </c>
      <c r="M104" t="inlineStr">
        <is>
          <t>GDP deflator index (national currency)</t>
        </is>
      </c>
      <c r="P104" t="n">
        <v>100.7860649143531</v>
      </c>
      <c r="Q104" t="n">
        <v>102.3172679737683</v>
      </c>
      <c r="R104" t="n">
        <v>107.1567005539052</v>
      </c>
      <c r="S104" t="n">
        <v>111.4708851282578</v>
      </c>
      <c r="T104" t="n">
        <v>112.5752826039233</v>
      </c>
      <c r="U104" t="n">
        <v>112.4099526833999</v>
      </c>
      <c r="V104" t="n">
        <v>113.4653882616682</v>
      </c>
      <c r="W104" t="n">
        <v>115.6144546040404</v>
      </c>
      <c r="X104" t="n">
        <v>118.9888353083787</v>
      </c>
      <c r="Y104" t="n">
        <v>124.8378747457376</v>
      </c>
      <c r="Z104" t="n">
        <v>127.4671870505649</v>
      </c>
      <c r="AA104" t="n">
        <v>128.7127657281124</v>
      </c>
      <c r="AB104" t="n">
        <v>130.6632152102115</v>
      </c>
      <c r="AC104" t="n">
        <v>132.5390267865671</v>
      </c>
      <c r="AD104" t="n">
        <v>134.6899080165951</v>
      </c>
      <c r="AE104" t="n">
        <v>137.2556338719002</v>
      </c>
      <c r="AF104" t="n">
        <v>140.0008367836469</v>
      </c>
      <c r="AG104" t="n">
        <v>142.7954540384275</v>
      </c>
      <c r="AH104" t="n">
        <v>145.6495991787481</v>
      </c>
      <c r="AI104" t="n">
        <v>148.5627704694846</v>
      </c>
      <c r="AJ104" t="n">
        <v>151.5338220058824</v>
      </c>
      <c r="AK104" t="n">
        <v>154.5644503161828</v>
      </c>
      <c r="AL104" t="n">
        <v>157.6557611317983</v>
      </c>
      <c r="AM104" t="n">
        <v>160.8088635356463</v>
      </c>
      <c r="AN104" t="n">
        <v>164.0271366025955</v>
      </c>
      <c r="AO104" t="n">
        <v>167.3055067889852</v>
      </c>
      <c r="AP104" t="n">
        <v>170.6516063630714</v>
      </c>
      <c r="AQ104" t="n">
        <v>174.0646291123106</v>
      </c>
      <c r="AR104" t="n">
        <v>177.5459048521011</v>
      </c>
      <c r="AS104" t="n">
        <v>181.0968082673996</v>
      </c>
      <c r="AT104" t="n">
        <v>184.7187262731767</v>
      </c>
      <c r="AU104" t="n">
        <v>189.8261905005474</v>
      </c>
      <c r="AV104" t="n">
        <v>192.1813382606647</v>
      </c>
      <c r="AW104" t="n">
        <v>197.495143628262</v>
      </c>
    </row>
    <row r="105">
      <c r="A105" t="inlineStr">
        <is>
          <t>no_year_in_pairs</t>
        </is>
      </c>
      <c r="C105" t="inlineStr">
        <is>
          <t>EBS.20.72, Sup. 1</t>
        </is>
      </c>
      <c r="D105" t="inlineStr">
        <is>
          <t>Dominica</t>
        </is>
      </c>
      <c r="E105" t="inlineStr">
        <is>
          <t>DMA</t>
        </is>
      </c>
      <c r="G105" t="inlineStr">
        <is>
          <t>2018gn</t>
        </is>
      </c>
      <c r="H105" t="n">
        <v>2019</v>
      </c>
      <c r="I105" t="inlineStr">
        <is>
          <t>gdp.def.lcu</t>
        </is>
      </c>
      <c r="M105" t="inlineStr">
        <is>
          <t>Change in GDP Deflator factor (percent)</t>
        </is>
      </c>
      <c r="P105" t="inlineStr">
        <is>
          <t>...</t>
        </is>
      </c>
      <c r="Q105" t="n">
        <v>1.519260684219059</v>
      </c>
      <c r="R105" t="n">
        <v>4.729829750123504</v>
      </c>
      <c r="S105" t="n">
        <v>4.026052082652898</v>
      </c>
      <c r="T105" t="n">
        <v>0.9907497140574151</v>
      </c>
      <c r="U105" t="n">
        <v>-0.1468616526640987</v>
      </c>
      <c r="V105" t="n">
        <v>0.9389164865506894</v>
      </c>
      <c r="W105" t="n">
        <v>1.89402810433803</v>
      </c>
      <c r="X105" t="n">
        <v>2.918649502689696</v>
      </c>
      <c r="Y105" t="n">
        <v>4.915620379172769</v>
      </c>
      <c r="Z105" t="n">
        <v>2.106181565636644</v>
      </c>
      <c r="AA105" t="n">
        <v>0.9771759355239995</v>
      </c>
      <c r="AB105" t="n">
        <v>1.515350455773135</v>
      </c>
      <c r="AC105" t="n">
        <v>1.435608004393418</v>
      </c>
      <c r="AD105" t="n">
        <v>1.622828597867709</v>
      </c>
      <c r="AE105" t="n">
        <v>1.904913213682669</v>
      </c>
      <c r="AF105" t="n">
        <v>2.000065741788615</v>
      </c>
      <c r="AG105" t="n">
        <v>1.996143250985938</v>
      </c>
      <c r="AH105" t="n">
        <v>1.998764708260592</v>
      </c>
      <c r="AI105" t="n">
        <v>2.000123108585661</v>
      </c>
      <c r="AJ105" t="n">
        <v>1.999862769796734</v>
      </c>
      <c r="AK105" t="n">
        <v>1.999968238234451</v>
      </c>
      <c r="AL105" t="n">
        <v>2.000014110160397</v>
      </c>
      <c r="AM105" t="n">
        <v>1.999991869128093</v>
      </c>
      <c r="AN105" t="n">
        <v>2.00130328402941</v>
      </c>
      <c r="AO105" t="n">
        <v>1.998675496196989</v>
      </c>
      <c r="AP105" t="n">
        <v>1.999993687181223</v>
      </c>
      <c r="AQ105" t="n">
        <v>1.999994504580149</v>
      </c>
      <c r="AR105" t="n">
        <v>1.999990324021717</v>
      </c>
      <c r="AS105" t="n">
        <v>1.999991730733752</v>
      </c>
      <c r="AT105" t="n">
        <v>1.99998997245121</v>
      </c>
      <c r="AU105" t="n">
        <v>2.764995369130774</v>
      </c>
      <c r="AV105" t="n">
        <v>1.240686416298509</v>
      </c>
      <c r="AW105" t="n">
        <v>2.764995506686496</v>
      </c>
    </row>
    <row r="106">
      <c r="A106" t="inlineStr">
        <is>
          <t>no_year_in_pairs</t>
        </is>
      </c>
      <c r="C106" t="inlineStr">
        <is>
          <t>EBS.20.72, Sup. 1</t>
        </is>
      </c>
      <c r="D106" t="inlineStr">
        <is>
          <t>Dominica</t>
        </is>
      </c>
      <c r="E106" t="inlineStr">
        <is>
          <t>DMA</t>
        </is>
      </c>
      <c r="G106" t="inlineStr">
        <is>
          <t>2018gn</t>
        </is>
      </c>
      <c r="H106" t="n">
        <v>2019</v>
      </c>
      <c r="I106" t="inlineStr">
        <is>
          <t>dlta.gdp.def.lcu</t>
        </is>
      </c>
      <c r="M106" t="inlineStr">
        <is>
          <t>GDP deflator index (dollars)</t>
        </is>
      </c>
      <c r="P106" t="n">
        <v>37.32817219050114</v>
      </c>
      <c r="Q106" t="n">
        <v>37.89528443472901</v>
      </c>
      <c r="R106" t="n">
        <v>39.68766687181675</v>
      </c>
      <c r="S106" t="n">
        <v>41.28551301046587</v>
      </c>
      <c r="T106" t="n">
        <v>41.6945491125642</v>
      </c>
      <c r="U106" t="n">
        <v>41.63331580866663</v>
      </c>
      <c r="V106" t="n">
        <v>42.02421787469192</v>
      </c>
      <c r="W106" t="n">
        <v>42.82016837186682</v>
      </c>
      <c r="X106" t="n">
        <v>44.0699390031032</v>
      </c>
      <c r="Y106" t="n">
        <v>46.23624990582875</v>
      </c>
      <c r="Z106" t="n">
        <v>47.210069277987</v>
      </c>
      <c r="AA106" t="n">
        <v>47.67139471411569</v>
      </c>
      <c r="AB106" t="n">
        <v>48.39378341118945</v>
      </c>
      <c r="AC106" t="n">
        <v>49.0885284394693</v>
      </c>
      <c r="AD106" t="n">
        <v>49.88515111725743</v>
      </c>
      <c r="AE106" t="n">
        <v>50.83541995255565</v>
      </c>
      <c r="AF106" t="n">
        <v>51.85216177172109</v>
      </c>
      <c r="AG106" t="n">
        <v>52.88720519941761</v>
      </c>
      <c r="AH106" t="n">
        <v>53.94429599212891</v>
      </c>
      <c r="AI106" t="n">
        <v>55.02324832203133</v>
      </c>
      <c r="AJ106" t="n">
        <v>56.12363777995645</v>
      </c>
      <c r="AK106" t="n">
        <v>57.24609270969731</v>
      </c>
      <c r="AL106" t="n">
        <v>58.39102264140676</v>
      </c>
      <c r="AM106" t="n">
        <v>59.55883834653564</v>
      </c>
      <c r="AN106" t="n">
        <v>60.75079133429463</v>
      </c>
      <c r="AO106" t="n">
        <v>61.96500251443895</v>
      </c>
      <c r="AP106" t="n">
        <v>63.20429865298941</v>
      </c>
      <c r="AQ106" t="n">
        <v>64.46838115270762</v>
      </c>
      <c r="AR106" t="n">
        <v>65.75774253781522</v>
      </c>
      <c r="AS106" t="n">
        <v>67.07289195088873</v>
      </c>
      <c r="AT106" t="n">
        <v>68.41434306413954</v>
      </c>
      <c r="AU106" t="n">
        <v>70.30599648168423</v>
      </c>
      <c r="AV106" t="n">
        <v>71.17827342987579</v>
      </c>
      <c r="AW106" t="n">
        <v>73.14634949194888</v>
      </c>
    </row>
    <row r="107">
      <c r="A107" t="inlineStr">
        <is>
          <t>no_year_in_pairs</t>
        </is>
      </c>
      <c r="C107" t="inlineStr">
        <is>
          <t>EBS.20.72, Sup. 1</t>
        </is>
      </c>
      <c r="D107" t="inlineStr">
        <is>
          <t>Dominica</t>
        </is>
      </c>
      <c r="E107" t="inlineStr">
        <is>
          <t>DMA</t>
        </is>
      </c>
      <c r="G107" t="inlineStr">
        <is>
          <t>2018gn</t>
        </is>
      </c>
      <c r="H107" t="n">
        <v>2019</v>
      </c>
      <c r="I107" t="inlineStr">
        <is>
          <t>gdp.def.usd</t>
        </is>
      </c>
      <c r="M107" t="inlineStr">
        <is>
          <t>Change in GDP Deflator factor (percent)</t>
        </is>
      </c>
      <c r="P107" t="inlineStr">
        <is>
          <t>...</t>
        </is>
      </c>
      <c r="Q107" t="n">
        <v>1.519260684219059</v>
      </c>
      <c r="R107" t="n">
        <v>4.729829750123504</v>
      </c>
      <c r="S107" t="n">
        <v>4.026052082652898</v>
      </c>
      <c r="T107" t="n">
        <v>0.9907497140574151</v>
      </c>
      <c r="U107" t="n">
        <v>-0.1468616526641209</v>
      </c>
      <c r="V107" t="n">
        <v>0.9389164865507116</v>
      </c>
      <c r="W107" t="n">
        <v>1.894028104338008</v>
      </c>
      <c r="X107" t="n">
        <v>2.918649502689696</v>
      </c>
      <c r="Y107" t="n">
        <v>4.915620379172769</v>
      </c>
      <c r="Z107" t="n">
        <v>2.106181565636644</v>
      </c>
      <c r="AA107" t="n">
        <v>0.9771759355239773</v>
      </c>
      <c r="AB107" t="n">
        <v>1.515350455773135</v>
      </c>
      <c r="AC107" t="n">
        <v>1.435608004393418</v>
      </c>
      <c r="AD107" t="n">
        <v>1.622828597867709</v>
      </c>
      <c r="AE107" t="n">
        <v>1.904913213682691</v>
      </c>
      <c r="AF107" t="n">
        <v>2.000065741788615</v>
      </c>
      <c r="AG107" t="n">
        <v>1.996143250985938</v>
      </c>
      <c r="AH107" t="n">
        <v>1.998764708260548</v>
      </c>
      <c r="AI107" t="n">
        <v>2.000123108585661</v>
      </c>
      <c r="AJ107" t="n">
        <v>1.999862769796756</v>
      </c>
      <c r="AK107" t="n">
        <v>1.999968238234429</v>
      </c>
      <c r="AL107" t="n">
        <v>2.00001411016042</v>
      </c>
      <c r="AM107" t="n">
        <v>1.999991869128093</v>
      </c>
      <c r="AN107" t="n">
        <v>2.00130328402941</v>
      </c>
      <c r="AO107" t="n">
        <v>1.998675496197011</v>
      </c>
      <c r="AP107" t="n">
        <v>1.999993687181201</v>
      </c>
      <c r="AQ107" t="n">
        <v>1.999994504580149</v>
      </c>
      <c r="AR107" t="n">
        <v>1.999990324021717</v>
      </c>
      <c r="AS107" t="n">
        <v>1.999991730733774</v>
      </c>
      <c r="AT107" t="n">
        <v>1.99998997245121</v>
      </c>
      <c r="AU107" t="n">
        <v>2.764995369130752</v>
      </c>
      <c r="AV107" t="n">
        <v>1.240686416298487</v>
      </c>
      <c r="AW107" t="n">
        <v>2.764995506686496</v>
      </c>
    </row>
    <row r="108">
      <c r="A108" t="inlineStr">
        <is>
          <t>no_year_in_pairs</t>
        </is>
      </c>
      <c r="C108" t="inlineStr">
        <is>
          <t>EBS.20.72, Sup. 1</t>
        </is>
      </c>
      <c r="D108" t="inlineStr">
        <is>
          <t>Dominica</t>
        </is>
      </c>
      <c r="E108" t="inlineStr">
        <is>
          <t>DMA</t>
        </is>
      </c>
      <c r="G108" t="inlineStr">
        <is>
          <t>2018gn</t>
        </is>
      </c>
      <c r="H108" t="n">
        <v>2019</v>
      </c>
      <c r="I108" t="inlineStr">
        <is>
          <t>dlta.gdp.def.usd</t>
        </is>
      </c>
      <c r="M108" t="inlineStr">
        <is>
          <t>US GDP Deflator (percent change)</t>
        </is>
      </c>
      <c r="Q108" t="n">
        <v>2.686459300532928</v>
      </c>
      <c r="R108" t="n">
        <v>1.944936479933634</v>
      </c>
      <c r="S108" t="n">
        <v>0.7624068624922931</v>
      </c>
      <c r="T108" t="n">
        <v>1.165247922466772</v>
      </c>
      <c r="U108" t="n">
        <v>2.088955935181058</v>
      </c>
      <c r="V108" t="n">
        <v>1.918108296088272</v>
      </c>
      <c r="W108" t="n">
        <v>1.754420166557003</v>
      </c>
      <c r="X108" t="n">
        <v>1.850734257245179</v>
      </c>
      <c r="Y108" t="n">
        <v>1.041097532083457</v>
      </c>
      <c r="Z108" t="n">
        <v>1.035486040623423</v>
      </c>
      <c r="AA108" t="n">
        <v>1.883252529783919</v>
      </c>
      <c r="AB108" t="n">
        <v>2.436389716621279</v>
      </c>
      <c r="AC108" t="n">
        <v>1.743457197751108</v>
      </c>
      <c r="AD108" t="n">
        <v>0.6351943365775714</v>
      </c>
      <c r="AE108" t="n">
        <v>1.949746184943568</v>
      </c>
      <c r="AF108" t="n">
        <v>2.030146288847767</v>
      </c>
      <c r="AG108" t="n">
        <v>2.00002731321931</v>
      </c>
      <c r="AH108" t="n">
        <v>1.995072434372758</v>
      </c>
      <c r="AI108" t="n">
        <v>1.989835038934795</v>
      </c>
      <c r="AJ108" t="n">
        <v>1.999999999999424</v>
      </c>
      <c r="AK108" t="n">
        <v>2.000000000000135</v>
      </c>
      <c r="AL108" t="n">
        <v>2.000000000000446</v>
      </c>
      <c r="AM108" t="n">
        <v>1.999999999999602</v>
      </c>
      <c r="AN108" t="n">
        <v>2.00000000000029</v>
      </c>
      <c r="AO108" t="n">
        <v>2.000000000000113</v>
      </c>
      <c r="AP108" t="n">
        <v>1.999999999999624</v>
      </c>
      <c r="AQ108" t="n">
        <v>2.000000000000468</v>
      </c>
      <c r="AR108" t="n">
        <v>1.99999999999938</v>
      </c>
      <c r="AS108" t="n">
        <v>2.000000000000535</v>
      </c>
      <c r="AT108" t="n">
        <v>1.999999999999846</v>
      </c>
      <c r="AU108" t="n">
        <v>1.999999999999846</v>
      </c>
      <c r="AV108" t="n">
        <v>2.000000000000268</v>
      </c>
      <c r="AW108" t="n">
        <v>1.999999999999758</v>
      </c>
    </row>
    <row r="109">
      <c r="A109" t="inlineStr">
        <is>
          <t>no_year_in_pairs</t>
        </is>
      </c>
      <c r="C109" t="inlineStr">
        <is>
          <t>EBS.20.72, Sup. 1</t>
        </is>
      </c>
      <c r="D109" t="inlineStr">
        <is>
          <t>Dominica</t>
        </is>
      </c>
      <c r="E109" t="inlineStr">
        <is>
          <t>DMA</t>
        </is>
      </c>
      <c r="G109" t="inlineStr">
        <is>
          <t>2018gn</t>
        </is>
      </c>
      <c r="H109" t="n">
        <v>2019</v>
      </c>
      <c r="I109" t="inlineStr">
        <is>
          <t>gdp.def.usd.gwth</t>
        </is>
      </c>
      <c r="M109" t="inlineStr">
        <is>
          <t>Exchange rate dollar/NC</t>
        </is>
      </c>
      <c r="P109" t="n">
        <v>0.3703703703703703</v>
      </c>
      <c r="Q109" t="n">
        <v>0.3703703703703703</v>
      </c>
      <c r="R109" t="n">
        <v>0.3703703703703703</v>
      </c>
      <c r="S109" t="n">
        <v>0.3703703703703703</v>
      </c>
      <c r="T109" t="n">
        <v>0.3703703703703703</v>
      </c>
      <c r="U109" t="n">
        <v>0.3703703703703703</v>
      </c>
      <c r="V109" t="n">
        <v>0.3703703703703703</v>
      </c>
      <c r="W109" t="n">
        <v>0.3703703703703703</v>
      </c>
      <c r="X109" t="n">
        <v>0.3703703703703703</v>
      </c>
      <c r="Y109" t="n">
        <v>0.3703703703703703</v>
      </c>
      <c r="Z109" t="n">
        <v>0.3703703703703703</v>
      </c>
      <c r="AA109" t="n">
        <v>0.3703703703703703</v>
      </c>
      <c r="AB109" t="n">
        <v>0.3703703703703703</v>
      </c>
      <c r="AC109" t="n">
        <v>0.3703703703703703</v>
      </c>
      <c r="AD109" t="n">
        <v>0.3703703703703703</v>
      </c>
      <c r="AE109" t="n">
        <v>0.3703703703703703</v>
      </c>
      <c r="AF109" t="n">
        <v>0.3703703703703703</v>
      </c>
      <c r="AG109" t="n">
        <v>0.3703703703703703</v>
      </c>
      <c r="AH109" t="n">
        <v>0.3703703703703703</v>
      </c>
      <c r="AI109" t="n">
        <v>0.3703703703703703</v>
      </c>
      <c r="AJ109" t="n">
        <v>0.3703703703703703</v>
      </c>
      <c r="AK109" t="n">
        <v>0.3703703703703703</v>
      </c>
      <c r="AL109" t="n">
        <v>0.3703703703703703</v>
      </c>
      <c r="AM109" t="n">
        <v>0.3703703703703703</v>
      </c>
      <c r="AN109" t="n">
        <v>0.3703703703703703</v>
      </c>
      <c r="AO109" t="n">
        <v>0.3703703703703703</v>
      </c>
      <c r="AP109" t="n">
        <v>0.3703703703703703</v>
      </c>
      <c r="AQ109" t="n">
        <v>0.3703703703703703</v>
      </c>
      <c r="AR109" t="n">
        <v>0.3703703703703703</v>
      </c>
      <c r="AS109" t="n">
        <v>0.3703703703703703</v>
      </c>
      <c r="AT109" t="n">
        <v>0.3703703703703703</v>
      </c>
      <c r="AU109" t="n">
        <v>0.3703703703703703</v>
      </c>
      <c r="AV109" t="n">
        <v>0.3703703703703703</v>
      </c>
      <c r="AW109" t="n">
        <v>0.3703703703703703</v>
      </c>
    </row>
    <row r="110">
      <c r="A110" t="inlineStr">
        <is>
          <t>no_year_in_pairs</t>
        </is>
      </c>
      <c r="C110" t="inlineStr">
        <is>
          <t>EBS.20.72, Sup. 1</t>
        </is>
      </c>
      <c r="D110" t="inlineStr">
        <is>
          <t>Dominica</t>
        </is>
      </c>
      <c r="E110" t="inlineStr">
        <is>
          <t>DMA</t>
        </is>
      </c>
      <c r="G110" t="inlineStr">
        <is>
          <t>2018gn</t>
        </is>
      </c>
      <c r="H110" t="n">
        <v>2019</v>
      </c>
      <c r="I110" t="inlineStr">
        <is>
          <t>exc.rat.usd2lcu</t>
        </is>
      </c>
      <c r="M110" t="inlineStr">
        <is>
          <t>Depreciation of NC (+: depreciation)</t>
        </is>
      </c>
      <c r="P110" t="inlineStr">
        <is>
          <t>...</t>
        </is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</row>
    <row r="111">
      <c r="A111" t="inlineStr">
        <is>
          <t>no_year_in_pairs</t>
        </is>
      </c>
      <c r="C111" t="inlineStr">
        <is>
          <t>EBS.20.72, Sup. 1</t>
        </is>
      </c>
      <c r="D111" t="inlineStr">
        <is>
          <t>Dominica</t>
        </is>
      </c>
      <c r="E111" t="inlineStr">
        <is>
          <t>DMA</t>
        </is>
      </c>
      <c r="G111" t="inlineStr">
        <is>
          <t>2018gn</t>
        </is>
      </c>
      <c r="H111" t="n">
        <v>2019</v>
      </c>
      <c r="I111" t="inlineStr">
        <is>
          <t>depr.rat.lcu</t>
        </is>
      </c>
    </row>
    <row r="112">
      <c r="A112" t="inlineStr">
        <is>
          <t>no_year_in_pairs</t>
        </is>
      </c>
      <c r="C112" t="inlineStr">
        <is>
          <t>EBS.20.72, Sup. 1</t>
        </is>
      </c>
      <c r="D112" t="inlineStr">
        <is>
          <t>Dominica</t>
        </is>
      </c>
      <c r="E112" t="inlineStr">
        <is>
          <t>DMA</t>
        </is>
      </c>
      <c r="G112" t="inlineStr">
        <is>
          <t>2018gn</t>
        </is>
      </c>
      <c r="H112" t="n">
        <v>2019</v>
      </c>
      <c r="N112" t="inlineStr">
        <is>
          <t xml:space="preserve">1/ Includes arrears </t>
        </is>
      </c>
    </row>
    <row r="113">
      <c r="A113" t="inlineStr">
        <is>
          <t>no_year_in_pairs</t>
        </is>
      </c>
      <c r="C113" t="inlineStr">
        <is>
          <t>EBS.20.72, Sup. 1</t>
        </is>
      </c>
      <c r="D113" t="inlineStr">
        <is>
          <t>Dominica</t>
        </is>
      </c>
      <c r="E113" t="inlineStr">
        <is>
          <t>DMA</t>
        </is>
      </c>
      <c r="G113" t="inlineStr">
        <is>
          <t>2018gn</t>
        </is>
      </c>
      <c r="H113" t="n">
        <v>2019</v>
      </c>
    </row>
    <row r="114">
      <c r="A114" t="inlineStr">
        <is>
          <t>no_year_in_pairs</t>
        </is>
      </c>
      <c r="C114" t="inlineStr">
        <is>
          <t>EBS.20.72, Sup. 1</t>
        </is>
      </c>
      <c r="D114" t="inlineStr">
        <is>
          <t>Dominica</t>
        </is>
      </c>
      <c r="E114" t="inlineStr">
        <is>
          <t>DMA</t>
        </is>
      </c>
      <c r="G114" t="inlineStr">
        <is>
          <t>2018gn</t>
        </is>
      </c>
      <c r="H114" t="n">
        <v>2019</v>
      </c>
    </row>
    <row r="115">
      <c r="A115" t="inlineStr">
        <is>
          <t>no_year_in_pairs</t>
        </is>
      </c>
      <c r="C115" t="inlineStr">
        <is>
          <t>EBS.20.72, Sup. 1</t>
        </is>
      </c>
      <c r="D115" t="inlineStr">
        <is>
          <t>Dominica</t>
        </is>
      </c>
      <c r="E115" t="inlineStr">
        <is>
          <t>DMA</t>
        </is>
      </c>
      <c r="G115" t="inlineStr">
        <is>
          <t>2018gn</t>
        </is>
      </c>
      <c r="H115" t="n">
        <v>2019</v>
      </c>
    </row>
    <row r="116">
      <c r="A116" t="inlineStr">
        <is>
          <t>no_year_in_pairs</t>
        </is>
      </c>
      <c r="C116" t="inlineStr">
        <is>
          <t>EBS.20.72, Sup. 1</t>
        </is>
      </c>
      <c r="D116" t="inlineStr">
        <is>
          <t>Dominica</t>
        </is>
      </c>
      <c r="E116" t="inlineStr">
        <is>
          <t>DMA</t>
        </is>
      </c>
      <c r="G116" t="inlineStr">
        <is>
          <t>2018gn</t>
        </is>
      </c>
      <c r="H116" t="n">
        <v>2019</v>
      </c>
    </row>
    <row r="117">
      <c r="A117" t="inlineStr">
        <is>
          <t>no_year_in_pairs</t>
        </is>
      </c>
      <c r="C117" t="inlineStr">
        <is>
          <t>EBS.20.72, Sup. 1</t>
        </is>
      </c>
      <c r="D117" t="inlineStr">
        <is>
          <t>Dominica</t>
        </is>
      </c>
      <c r="E117" t="inlineStr">
        <is>
          <t>DMA</t>
        </is>
      </c>
      <c r="G117" t="inlineStr">
        <is>
          <t>2018gn</t>
        </is>
      </c>
      <c r="H117" t="n">
        <v>2019</v>
      </c>
    </row>
    <row r="118">
      <c r="A118" t="inlineStr">
        <is>
          <t>no_year_in_pairs</t>
        </is>
      </c>
      <c r="C118" t="inlineStr">
        <is>
          <t>EBS.20.72, Sup. 1</t>
        </is>
      </c>
      <c r="D118" t="inlineStr">
        <is>
          <t>Dominica</t>
        </is>
      </c>
      <c r="E118" t="inlineStr">
        <is>
          <t>DMA</t>
        </is>
      </c>
      <c r="G118" t="inlineStr">
        <is>
          <t>2018gn</t>
        </is>
      </c>
      <c r="H118" t="n">
        <v>2019</v>
      </c>
    </row>
    <row r="119">
      <c r="A119" t="inlineStr">
        <is>
          <t>no_year_in_pairs</t>
        </is>
      </c>
      <c r="C119" t="inlineStr">
        <is>
          <t>EBS.20.72, Sup. 1</t>
        </is>
      </c>
      <c r="D119" t="inlineStr">
        <is>
          <t>Dominica</t>
        </is>
      </c>
      <c r="E119" t="inlineStr">
        <is>
          <t>DMA</t>
        </is>
      </c>
      <c r="G119" t="inlineStr">
        <is>
          <t>2018gn</t>
        </is>
      </c>
      <c r="H119" t="n">
        <v>2019</v>
      </c>
    </row>
    <row r="120">
      <c r="A120" t="inlineStr">
        <is>
          <t>no_year_in_pairs</t>
        </is>
      </c>
      <c r="C120" t="inlineStr">
        <is>
          <t>EBS.20.72, Sup. 1</t>
        </is>
      </c>
      <c r="D120" t="inlineStr">
        <is>
          <t>Dominica</t>
        </is>
      </c>
      <c r="E120" t="inlineStr">
        <is>
          <t>DMA</t>
        </is>
      </c>
      <c r="G120" t="inlineStr">
        <is>
          <t>2018gn</t>
        </is>
      </c>
      <c r="H120" t="n">
        <v>2019</v>
      </c>
    </row>
    <row r="121">
      <c r="A121" t="inlineStr">
        <is>
          <t>no_year_in_pairs</t>
        </is>
      </c>
      <c r="C121" t="inlineStr">
        <is>
          <t>EBS.20.72, Sup. 1</t>
        </is>
      </c>
      <c r="D121" t="inlineStr">
        <is>
          <t>Dominica</t>
        </is>
      </c>
      <c r="E121" t="inlineStr">
        <is>
          <t>DMA</t>
        </is>
      </c>
      <c r="G121" t="inlineStr">
        <is>
          <t>2018gn</t>
        </is>
      </c>
      <c r="H121" t="n">
        <v>2019</v>
      </c>
    </row>
    <row r="122">
      <c r="A122" t="inlineStr">
        <is>
          <t>no_year_in_pairs</t>
        </is>
      </c>
      <c r="C122" t="inlineStr">
        <is>
          <t>EBS.20.72, Sup. 1</t>
        </is>
      </c>
      <c r="D122" t="inlineStr">
        <is>
          <t>Dominica</t>
        </is>
      </c>
      <c r="E122" t="inlineStr">
        <is>
          <t>DMA</t>
        </is>
      </c>
      <c r="G122" t="inlineStr">
        <is>
          <t>2018gn</t>
        </is>
      </c>
      <c r="H122" t="n">
        <v>2019</v>
      </c>
    </row>
    <row r="123">
      <c r="A123" t="inlineStr">
        <is>
          <t>no_year_in_pairs</t>
        </is>
      </c>
      <c r="C123" t="inlineStr">
        <is>
          <t>EBS.20.72, Sup. 1</t>
        </is>
      </c>
      <c r="D123" t="inlineStr">
        <is>
          <t>Dominica</t>
        </is>
      </c>
      <c r="E123" t="inlineStr">
        <is>
          <t>DMA</t>
        </is>
      </c>
      <c r="G123" t="inlineStr">
        <is>
          <t>2018gn</t>
        </is>
      </c>
      <c r="H123" t="n">
        <v>2019</v>
      </c>
    </row>
    <row r="124">
      <c r="A124" t="inlineStr">
        <is>
          <t>no_year_in_pairs</t>
        </is>
      </c>
      <c r="C124" t="inlineStr">
        <is>
          <t>EBS.20.72, Sup. 1</t>
        </is>
      </c>
      <c r="D124" t="inlineStr">
        <is>
          <t>Dominica</t>
        </is>
      </c>
      <c r="E124" t="inlineStr">
        <is>
          <t>DMA</t>
        </is>
      </c>
      <c r="G124" t="inlineStr">
        <is>
          <t>2018gn</t>
        </is>
      </c>
      <c r="H124" t="n">
        <v>2019</v>
      </c>
    </row>
    <row r="125">
      <c r="A125" t="inlineStr">
        <is>
          <t>no_year_in_pairs</t>
        </is>
      </c>
      <c r="C125" t="inlineStr">
        <is>
          <t>EBS.20.72, Sup. 1</t>
        </is>
      </c>
      <c r="D125" t="inlineStr">
        <is>
          <t>Dominica</t>
        </is>
      </c>
      <c r="E125" t="inlineStr">
        <is>
          <t>DMA</t>
        </is>
      </c>
      <c r="G125" t="inlineStr">
        <is>
          <t>2018gn</t>
        </is>
      </c>
      <c r="H125" t="n">
        <v>2019</v>
      </c>
    </row>
    <row r="126">
      <c r="A126" t="inlineStr">
        <is>
          <t>no_year_in_pairs</t>
        </is>
      </c>
      <c r="C126" t="inlineStr">
        <is>
          <t>EBS.20.72, Sup. 1</t>
        </is>
      </c>
      <c r="D126" t="inlineStr">
        <is>
          <t>Dominica</t>
        </is>
      </c>
      <c r="E126" t="inlineStr">
        <is>
          <t>DMA</t>
        </is>
      </c>
      <c r="G126" t="inlineStr">
        <is>
          <t>2018gn</t>
        </is>
      </c>
      <c r="H126" t="n">
        <v>2019</v>
      </c>
    </row>
    <row r="127">
      <c r="A127" t="inlineStr">
        <is>
          <t>no_year_in_pairs</t>
        </is>
      </c>
      <c r="C127" t="inlineStr">
        <is>
          <t>EBS.20.72, Sup. 1</t>
        </is>
      </c>
      <c r="D127" t="inlineStr">
        <is>
          <t>Dominica</t>
        </is>
      </c>
      <c r="E127" t="inlineStr">
        <is>
          <t>DMA</t>
        </is>
      </c>
      <c r="G127" t="inlineStr">
        <is>
          <t>2018gn</t>
        </is>
      </c>
      <c r="H127" t="n">
        <v>2019</v>
      </c>
    </row>
    <row r="128">
      <c r="A128" t="inlineStr">
        <is>
          <t>no_year_in_pairs</t>
        </is>
      </c>
      <c r="C128" t="inlineStr">
        <is>
          <t>EBS.20.72, Sup. 1</t>
        </is>
      </c>
      <c r="D128" t="inlineStr">
        <is>
          <t>Dominica</t>
        </is>
      </c>
      <c r="E128" t="inlineStr">
        <is>
          <t>DMA</t>
        </is>
      </c>
      <c r="G128" t="inlineStr">
        <is>
          <t>2018gn</t>
        </is>
      </c>
      <c r="H128" t="n">
        <v>2019</v>
      </c>
    </row>
    <row r="129">
      <c r="A129" t="inlineStr">
        <is>
          <t>no_year_in_pairs</t>
        </is>
      </c>
      <c r="C129" t="inlineStr">
        <is>
          <t>EBS.20.72, Sup. 1</t>
        </is>
      </c>
      <c r="D129" t="inlineStr">
        <is>
          <t>Dominica</t>
        </is>
      </c>
      <c r="E129" t="inlineStr">
        <is>
          <t>DMA</t>
        </is>
      </c>
      <c r="G129" t="inlineStr">
        <is>
          <t>2018gn</t>
        </is>
      </c>
      <c r="H129" t="n">
        <v>2019</v>
      </c>
    </row>
    <row r="130">
      <c r="A130" t="inlineStr">
        <is>
          <t>no_year_in_pairs</t>
        </is>
      </c>
      <c r="C130" t="inlineStr">
        <is>
          <t>EBS.20.72, Sup. 1</t>
        </is>
      </c>
      <c r="D130" t="inlineStr">
        <is>
          <t>Dominica</t>
        </is>
      </c>
      <c r="E130" t="inlineStr">
        <is>
          <t>DMA</t>
        </is>
      </c>
      <c r="G130" t="inlineStr">
        <is>
          <t>2018gn</t>
        </is>
      </c>
      <c r="H130" t="n">
        <v>2019</v>
      </c>
    </row>
    <row r="131">
      <c r="A131" t="inlineStr">
        <is>
          <t>no_year_in_pairs</t>
        </is>
      </c>
      <c r="C131" t="inlineStr">
        <is>
          <t>EBS.20.72, Sup. 1</t>
        </is>
      </c>
      <c r="D131" t="inlineStr">
        <is>
          <t>Dominica</t>
        </is>
      </c>
      <c r="E131" t="inlineStr">
        <is>
          <t>DMA</t>
        </is>
      </c>
      <c r="G131" t="inlineStr">
        <is>
          <t>2018gn</t>
        </is>
      </c>
      <c r="H131" t="n">
        <v>2019</v>
      </c>
    </row>
    <row r="132">
      <c r="A132" t="inlineStr">
        <is>
          <t>no_year_in_pairs</t>
        </is>
      </c>
      <c r="C132" t="inlineStr">
        <is>
          <t>EBS.20.72, Sup. 1</t>
        </is>
      </c>
      <c r="D132" t="inlineStr">
        <is>
          <t>Dominica</t>
        </is>
      </c>
      <c r="E132" t="inlineStr">
        <is>
          <t>DMA</t>
        </is>
      </c>
      <c r="G132" t="inlineStr">
        <is>
          <t>2018gn</t>
        </is>
      </c>
      <c r="H132" t="n">
        <v>2019</v>
      </c>
    </row>
    <row r="133">
      <c r="A133" t="inlineStr">
        <is>
          <t>no_year_in_pairs</t>
        </is>
      </c>
      <c r="C133" t="inlineStr">
        <is>
          <t>EBS.20.72, Sup. 1</t>
        </is>
      </c>
      <c r="D133" t="inlineStr">
        <is>
          <t>Dominica</t>
        </is>
      </c>
      <c r="E133" t="inlineStr">
        <is>
          <t>DMA</t>
        </is>
      </c>
      <c r="G133" t="inlineStr">
        <is>
          <t>2018gn</t>
        </is>
      </c>
      <c r="H133" t="n">
        <v>2019</v>
      </c>
    </row>
    <row r="134">
      <c r="A134" t="inlineStr">
        <is>
          <t>no_year_in_pairs</t>
        </is>
      </c>
      <c r="C134" t="inlineStr">
        <is>
          <t>EBS.20.72, Sup. 1</t>
        </is>
      </c>
      <c r="D134" t="inlineStr">
        <is>
          <t>Dominica</t>
        </is>
      </c>
      <c r="E134" t="inlineStr">
        <is>
          <t>DMA</t>
        </is>
      </c>
      <c r="G134" t="inlineStr">
        <is>
          <t>2018gn</t>
        </is>
      </c>
      <c r="H134" t="n">
        <v>2019</v>
      </c>
    </row>
    <row r="135">
      <c r="A135" t="inlineStr">
        <is>
          <t>no_year_in_pairs</t>
        </is>
      </c>
      <c r="C135" t="inlineStr">
        <is>
          <t>EBS.20.72, Sup. 1</t>
        </is>
      </c>
      <c r="D135" t="inlineStr">
        <is>
          <t>Dominica</t>
        </is>
      </c>
      <c r="E135" t="inlineStr">
        <is>
          <t>DMA</t>
        </is>
      </c>
      <c r="G135" t="inlineStr">
        <is>
          <t>2018gn</t>
        </is>
      </c>
      <c r="H135" t="n">
        <v>2019</v>
      </c>
    </row>
    <row r="136">
      <c r="A136" t="inlineStr">
        <is>
          <t>no_year_in_pairs</t>
        </is>
      </c>
      <c r="C136" t="inlineStr">
        <is>
          <t>EBS.20.72, Sup. 1</t>
        </is>
      </c>
      <c r="D136" t="inlineStr">
        <is>
          <t>Dominica</t>
        </is>
      </c>
      <c r="E136" t="inlineStr">
        <is>
          <t>DMA</t>
        </is>
      </c>
      <c r="G136" t="inlineStr">
        <is>
          <t>2018gn</t>
        </is>
      </c>
      <c r="H136" t="n">
        <v>2019</v>
      </c>
    </row>
    <row r="137">
      <c r="A137" t="inlineStr">
        <is>
          <t>no_year_in_pairs</t>
        </is>
      </c>
      <c r="C137" t="inlineStr">
        <is>
          <t>EBS.20.72, Sup. 1</t>
        </is>
      </c>
      <c r="D137" t="inlineStr">
        <is>
          <t>Dominica</t>
        </is>
      </c>
      <c r="E137" t="inlineStr">
        <is>
          <t>DMA</t>
        </is>
      </c>
      <c r="G137" t="inlineStr">
        <is>
          <t>2018gn</t>
        </is>
      </c>
      <c r="H137" t="n">
        <v>2019</v>
      </c>
    </row>
    <row r="138">
      <c r="A138" t="inlineStr">
        <is>
          <t>no_year_in_pairs</t>
        </is>
      </c>
      <c r="C138" t="inlineStr">
        <is>
          <t>EBS.20.72, Sup. 1</t>
        </is>
      </c>
      <c r="D138" t="inlineStr">
        <is>
          <t>Dominica</t>
        </is>
      </c>
      <c r="E138" t="inlineStr">
        <is>
          <t>DMA</t>
        </is>
      </c>
      <c r="G138" t="inlineStr">
        <is>
          <t>2018gn</t>
        </is>
      </c>
      <c r="H138" t="n">
        <v>2019</v>
      </c>
    </row>
    <row r="139">
      <c r="A139" t="inlineStr">
        <is>
          <t>no_year_in_pairs</t>
        </is>
      </c>
      <c r="C139" t="inlineStr">
        <is>
          <t>EBS.20.72, Sup. 1</t>
        </is>
      </c>
      <c r="D139" t="inlineStr">
        <is>
          <t>Dominica</t>
        </is>
      </c>
      <c r="E139" t="inlineStr">
        <is>
          <t>DMA</t>
        </is>
      </c>
      <c r="G139" t="inlineStr">
        <is>
          <t>2018gn</t>
        </is>
      </c>
      <c r="H139" t="n">
        <v>2019</v>
      </c>
    </row>
    <row r="140">
      <c r="A140" t="inlineStr">
        <is>
          <t>no_year_in_pairs</t>
        </is>
      </c>
      <c r="C140" t="inlineStr">
        <is>
          <t>EBS.20.72, Sup. 1</t>
        </is>
      </c>
      <c r="D140" t="inlineStr">
        <is>
          <t>Dominica</t>
        </is>
      </c>
      <c r="E140" t="inlineStr">
        <is>
          <t>DMA</t>
        </is>
      </c>
      <c r="G140" t="inlineStr">
        <is>
          <t>2018gn</t>
        </is>
      </c>
      <c r="H140" t="n">
        <v>2019</v>
      </c>
    </row>
    <row r="141">
      <c r="A141" t="inlineStr">
        <is>
          <t>no_year_in_pairs</t>
        </is>
      </c>
      <c r="C141" t="inlineStr">
        <is>
          <t>EBS.20.72, Sup. 1</t>
        </is>
      </c>
      <c r="D141" t="inlineStr">
        <is>
          <t>Dominica</t>
        </is>
      </c>
      <c r="E141" t="inlineStr">
        <is>
          <t>DMA</t>
        </is>
      </c>
      <c r="G141" t="inlineStr">
        <is>
          <t>2018gn</t>
        </is>
      </c>
      <c r="H141" t="n">
        <v>2019</v>
      </c>
    </row>
    <row r="142">
      <c r="A142" t="inlineStr">
        <is>
          <t>no_year_in_pairs</t>
        </is>
      </c>
      <c r="C142" t="inlineStr">
        <is>
          <t>EBS.20.72, Sup. 1</t>
        </is>
      </c>
      <c r="D142" t="inlineStr">
        <is>
          <t>Dominica</t>
        </is>
      </c>
      <c r="E142" t="inlineStr">
        <is>
          <t>DMA</t>
        </is>
      </c>
      <c r="G142" t="inlineStr">
        <is>
          <t>2018gn</t>
        </is>
      </c>
      <c r="H142" t="n">
        <v>2019</v>
      </c>
    </row>
    <row r="143">
      <c r="A143" t="inlineStr">
        <is>
          <t>no_year_in_pairs</t>
        </is>
      </c>
      <c r="C143" t="inlineStr">
        <is>
          <t>EBS.20.72, Sup. 1</t>
        </is>
      </c>
      <c r="D143" t="inlineStr">
        <is>
          <t>Dominica</t>
        </is>
      </c>
      <c r="E143" t="inlineStr">
        <is>
          <t>DMA</t>
        </is>
      </c>
      <c r="G143" t="inlineStr">
        <is>
          <t>2018gn</t>
        </is>
      </c>
      <c r="H143" t="n">
        <v>2019</v>
      </c>
    </row>
    <row r="144">
      <c r="A144" t="inlineStr">
        <is>
          <t>no_year_in_pairs</t>
        </is>
      </c>
      <c r="C144" t="inlineStr">
        <is>
          <t>EBS.20.72, Sup. 1</t>
        </is>
      </c>
      <c r="D144" t="inlineStr">
        <is>
          <t>Dominica</t>
        </is>
      </c>
      <c r="E144" t="inlineStr">
        <is>
          <t>DMA</t>
        </is>
      </c>
      <c r="G144" t="inlineStr">
        <is>
          <t>2018gn</t>
        </is>
      </c>
      <c r="H144" t="n">
        <v>2019</v>
      </c>
    </row>
    <row r="145">
      <c r="A145" t="inlineStr">
        <is>
          <t>no_year_in_pairs</t>
        </is>
      </c>
      <c r="C145" t="inlineStr">
        <is>
          <t>EBS.20.72, Sup. 1</t>
        </is>
      </c>
      <c r="D145" t="inlineStr">
        <is>
          <t>Dominica</t>
        </is>
      </c>
      <c r="E145" t="inlineStr">
        <is>
          <t>DMA</t>
        </is>
      </c>
      <c r="G145" t="inlineStr">
        <is>
          <t>2018gn</t>
        </is>
      </c>
      <c r="H145" t="n">
        <v>2019</v>
      </c>
    </row>
    <row r="146">
      <c r="A146" t="inlineStr">
        <is>
          <t>no_year_in_pairs</t>
        </is>
      </c>
      <c r="C146" t="inlineStr">
        <is>
          <t>EBS.20.72, Sup. 1</t>
        </is>
      </c>
      <c r="D146" t="inlineStr">
        <is>
          <t>Dominica</t>
        </is>
      </c>
      <c r="E146" t="inlineStr">
        <is>
          <t>DMA</t>
        </is>
      </c>
      <c r="G146" t="inlineStr">
        <is>
          <t>2018gn</t>
        </is>
      </c>
      <c r="H146" t="n">
        <v>2019</v>
      </c>
    </row>
    <row r="147">
      <c r="A147" t="inlineStr">
        <is>
          <t>no_year_in_pairs</t>
        </is>
      </c>
      <c r="C147" t="inlineStr">
        <is>
          <t>EBS.20.72, Sup. 1</t>
        </is>
      </c>
      <c r="D147" t="inlineStr">
        <is>
          <t>Dominica</t>
        </is>
      </c>
      <c r="E147" t="inlineStr">
        <is>
          <t>DMA</t>
        </is>
      </c>
      <c r="G147" t="inlineStr">
        <is>
          <t>2018gn</t>
        </is>
      </c>
      <c r="H147" t="n">
        <v>2019</v>
      </c>
    </row>
    <row r="148">
      <c r="A148" t="inlineStr">
        <is>
          <t>no_year_in_pairs</t>
        </is>
      </c>
      <c r="C148" t="inlineStr">
        <is>
          <t>EBS.20.72, Sup. 1</t>
        </is>
      </c>
      <c r="D148" t="inlineStr">
        <is>
          <t>Dominica</t>
        </is>
      </c>
      <c r="E148" t="inlineStr">
        <is>
          <t>DMA</t>
        </is>
      </c>
      <c r="G148" t="inlineStr">
        <is>
          <t>2018gn</t>
        </is>
      </c>
      <c r="H148" t="n">
        <v>2019</v>
      </c>
    </row>
    <row r="149">
      <c r="A149" t="inlineStr">
        <is>
          <t>no_year_in_pairs</t>
        </is>
      </c>
      <c r="C149" t="inlineStr">
        <is>
          <t>EBS.20.72, Sup. 1</t>
        </is>
      </c>
      <c r="D149" t="inlineStr">
        <is>
          <t>Dominica</t>
        </is>
      </c>
      <c r="E149" t="inlineStr">
        <is>
          <t>DMA</t>
        </is>
      </c>
      <c r="G149" t="inlineStr">
        <is>
          <t>2018gn</t>
        </is>
      </c>
      <c r="H149" t="n">
        <v>2019</v>
      </c>
    </row>
    <row r="150">
      <c r="A150" t="inlineStr">
        <is>
          <t>no_year_in_pairs</t>
        </is>
      </c>
      <c r="C150" t="inlineStr">
        <is>
          <t>EBS.20.72, Sup. 1</t>
        </is>
      </c>
      <c r="D150" t="inlineStr">
        <is>
          <t>Dominica</t>
        </is>
      </c>
      <c r="E150" t="inlineStr">
        <is>
          <t>DMA</t>
        </is>
      </c>
      <c r="G150" t="inlineStr">
        <is>
          <t>2018gn</t>
        </is>
      </c>
      <c r="H150" t="n">
        <v>2019</v>
      </c>
    </row>
    <row r="151">
      <c r="A151" t="inlineStr">
        <is>
          <t>no_year_in_pairs</t>
        </is>
      </c>
      <c r="C151" t="inlineStr">
        <is>
          <t>EBS.20.72, Sup. 1</t>
        </is>
      </c>
      <c r="D151" t="inlineStr">
        <is>
          <t>Dominica</t>
        </is>
      </c>
      <c r="E151" t="inlineStr">
        <is>
          <t>DMA</t>
        </is>
      </c>
      <c r="G151" t="inlineStr">
        <is>
          <t>2018gn</t>
        </is>
      </c>
      <c r="H151" t="n">
        <v>2019</v>
      </c>
    </row>
    <row r="152">
      <c r="A152" t="inlineStr">
        <is>
          <t>no_year_in_pairs</t>
        </is>
      </c>
      <c r="C152" t="inlineStr">
        <is>
          <t>EBS.20.72, Sup. 1</t>
        </is>
      </c>
      <c r="D152" t="inlineStr">
        <is>
          <t>Dominica</t>
        </is>
      </c>
      <c r="E152" t="inlineStr">
        <is>
          <t>DMA</t>
        </is>
      </c>
      <c r="G152" t="inlineStr">
        <is>
          <t>2018gn</t>
        </is>
      </c>
      <c r="H152" t="n">
        <v>2019</v>
      </c>
    </row>
    <row r="153">
      <c r="A153" t="inlineStr">
        <is>
          <t>no_year_in_pairs</t>
        </is>
      </c>
      <c r="C153" t="inlineStr">
        <is>
          <t>EBS.20.72, Sup. 1</t>
        </is>
      </c>
      <c r="D153" t="inlineStr">
        <is>
          <t>Dominica</t>
        </is>
      </c>
      <c r="E153" t="inlineStr">
        <is>
          <t>DMA</t>
        </is>
      </c>
      <c r="G153" t="inlineStr">
        <is>
          <t>2018gn</t>
        </is>
      </c>
      <c r="H153" t="n">
        <v>2019</v>
      </c>
    </row>
    <row r="154">
      <c r="A154" t="inlineStr">
        <is>
          <t>no_year_in_pairs</t>
        </is>
      </c>
      <c r="C154" t="inlineStr">
        <is>
          <t>EBS.20.72, Sup. 1</t>
        </is>
      </c>
      <c r="D154" t="inlineStr">
        <is>
          <t>Dominica</t>
        </is>
      </c>
      <c r="E154" t="inlineStr">
        <is>
          <t>DMA</t>
        </is>
      </c>
      <c r="G154" t="inlineStr">
        <is>
          <t>2018gn</t>
        </is>
      </c>
      <c r="H154" t="n">
        <v>2019</v>
      </c>
    </row>
    <row r="155">
      <c r="A155" t="inlineStr">
        <is>
          <t>no_year_in_pairs</t>
        </is>
      </c>
      <c r="C155" t="inlineStr">
        <is>
          <t>EBS.20.72, Sup. 1</t>
        </is>
      </c>
      <c r="D155" t="inlineStr">
        <is>
          <t>Dominica</t>
        </is>
      </c>
      <c r="E155" t="inlineStr">
        <is>
          <t>DMA</t>
        </is>
      </c>
      <c r="G155" t="inlineStr">
        <is>
          <t>2018gn</t>
        </is>
      </c>
      <c r="H155" t="n">
        <v>2019</v>
      </c>
    </row>
    <row r="156">
      <c r="A156" t="inlineStr">
        <is>
          <t>no_year_in_pairs</t>
        </is>
      </c>
      <c r="C156" t="inlineStr">
        <is>
          <t>EBS.20.72, Sup. 1</t>
        </is>
      </c>
      <c r="D156" t="inlineStr">
        <is>
          <t>Dominica</t>
        </is>
      </c>
      <c r="E156" t="inlineStr">
        <is>
          <t>DMA</t>
        </is>
      </c>
      <c r="G156" t="inlineStr">
        <is>
          <t>2018gn</t>
        </is>
      </c>
      <c r="H156" t="n">
        <v>2019</v>
      </c>
    </row>
    <row r="157">
      <c r="A157" t="inlineStr">
        <is>
          <t>no_year_in_pairs</t>
        </is>
      </c>
      <c r="C157" t="inlineStr">
        <is>
          <t>EBS.20.72, Sup. 1</t>
        </is>
      </c>
      <c r="D157" t="inlineStr">
        <is>
          <t>Dominica</t>
        </is>
      </c>
      <c r="E157" t="inlineStr">
        <is>
          <t>DMA</t>
        </is>
      </c>
      <c r="G157" t="inlineStr">
        <is>
          <t>2018gn</t>
        </is>
      </c>
      <c r="H157" t="n">
        <v>2019</v>
      </c>
    </row>
    <row r="158">
      <c r="A158" t="inlineStr">
        <is>
          <t>no_year_in_pairs</t>
        </is>
      </c>
      <c r="C158" t="inlineStr">
        <is>
          <t>EBS.20.72, Sup. 1</t>
        </is>
      </c>
      <c r="D158" t="inlineStr">
        <is>
          <t>Dominica</t>
        </is>
      </c>
      <c r="E158" t="inlineStr">
        <is>
          <t>DMA</t>
        </is>
      </c>
      <c r="G158" t="inlineStr">
        <is>
          <t>2018gn</t>
        </is>
      </c>
      <c r="H158" t="n">
        <v>2019</v>
      </c>
    </row>
    <row r="159">
      <c r="A159" t="inlineStr">
        <is>
          <t>no_year_in_pairs</t>
        </is>
      </c>
      <c r="C159" t="inlineStr">
        <is>
          <t>EBS.20.72, Sup. 1</t>
        </is>
      </c>
      <c r="D159" t="inlineStr">
        <is>
          <t>Dominica</t>
        </is>
      </c>
      <c r="E159" t="inlineStr">
        <is>
          <t>DMA</t>
        </is>
      </c>
      <c r="G159" t="inlineStr">
        <is>
          <t>2018gn</t>
        </is>
      </c>
      <c r="H159" t="n">
        <v>2019</v>
      </c>
    </row>
    <row r="160">
      <c r="A160" t="inlineStr">
        <is>
          <t>no_year_in_pairs</t>
        </is>
      </c>
      <c r="C160" t="inlineStr">
        <is>
          <t>EBS.20.72, Sup. 1</t>
        </is>
      </c>
      <c r="D160" t="inlineStr">
        <is>
          <t>Dominica</t>
        </is>
      </c>
      <c r="E160" t="inlineStr">
        <is>
          <t>DMA</t>
        </is>
      </c>
      <c r="G160" t="inlineStr">
        <is>
          <t>2018gn</t>
        </is>
      </c>
      <c r="H160" t="n">
        <v>2019</v>
      </c>
    </row>
    <row r="161">
      <c r="A161" t="inlineStr">
        <is>
          <t>no_year_in_pairs</t>
        </is>
      </c>
      <c r="C161" t="inlineStr">
        <is>
          <t>EBS.20.72, Sup. 1</t>
        </is>
      </c>
      <c r="D161" t="inlineStr">
        <is>
          <t>Dominica</t>
        </is>
      </c>
      <c r="E161" t="inlineStr">
        <is>
          <t>DMA</t>
        </is>
      </c>
      <c r="G161" t="inlineStr">
        <is>
          <t>2018gn</t>
        </is>
      </c>
      <c r="H161" t="n">
        <v>2019</v>
      </c>
    </row>
    <row r="162">
      <c r="A162" t="inlineStr">
        <is>
          <t>no_year_in_pairs</t>
        </is>
      </c>
      <c r="C162" t="inlineStr">
        <is>
          <t>EBS.20.72, Sup. 1</t>
        </is>
      </c>
      <c r="D162" t="inlineStr">
        <is>
          <t>Dominica</t>
        </is>
      </c>
      <c r="E162" t="inlineStr">
        <is>
          <t>DMA</t>
        </is>
      </c>
      <c r="G162" t="inlineStr">
        <is>
          <t>2018gn</t>
        </is>
      </c>
      <c r="H162" t="n">
        <v>2019</v>
      </c>
    </row>
    <row r="163">
      <c r="A163" t="inlineStr">
        <is>
          <t>no_year_in_pairs</t>
        </is>
      </c>
      <c r="C163" t="inlineStr">
        <is>
          <t>EBS.20.72, Sup. 1</t>
        </is>
      </c>
      <c r="D163" t="inlineStr">
        <is>
          <t>Dominica</t>
        </is>
      </c>
      <c r="E163" t="inlineStr">
        <is>
          <t>DMA</t>
        </is>
      </c>
      <c r="G163" t="inlineStr">
        <is>
          <t>2018gn</t>
        </is>
      </c>
      <c r="H163" t="n">
        <v>2019</v>
      </c>
    </row>
    <row r="164">
      <c r="A164" t="inlineStr">
        <is>
          <t>no_year_in_pairs</t>
        </is>
      </c>
      <c r="C164" t="inlineStr">
        <is>
          <t>EBS.20.72, Sup. 1</t>
        </is>
      </c>
      <c r="D164" t="inlineStr">
        <is>
          <t>Dominica</t>
        </is>
      </c>
      <c r="E164" t="inlineStr">
        <is>
          <t>DMA</t>
        </is>
      </c>
      <c r="G164" t="inlineStr">
        <is>
          <t>2018gn</t>
        </is>
      </c>
      <c r="H164" t="n">
        <v>2019</v>
      </c>
    </row>
    <row r="165">
      <c r="A165" t="inlineStr">
        <is>
          <t>no_year_in_pairs</t>
        </is>
      </c>
      <c r="C165" t="inlineStr">
        <is>
          <t>EBS.20.72, Sup. 1</t>
        </is>
      </c>
      <c r="D165" t="inlineStr">
        <is>
          <t>Dominica</t>
        </is>
      </c>
      <c r="E165" t="inlineStr">
        <is>
          <t>DMA</t>
        </is>
      </c>
      <c r="G165" t="inlineStr">
        <is>
          <t>2018gn</t>
        </is>
      </c>
      <c r="H165" t="n">
        <v>2019</v>
      </c>
    </row>
    <row r="166">
      <c r="A166" t="inlineStr">
        <is>
          <t>no_year_in_pairs</t>
        </is>
      </c>
      <c r="C166" t="inlineStr">
        <is>
          <t>EBS.20.72, Sup. 1</t>
        </is>
      </c>
      <c r="D166" t="inlineStr">
        <is>
          <t>Dominica</t>
        </is>
      </c>
      <c r="E166" t="inlineStr">
        <is>
          <t>DMA</t>
        </is>
      </c>
      <c r="G166" t="inlineStr">
        <is>
          <t>2018gn</t>
        </is>
      </c>
      <c r="H166" t="n">
        <v>2019</v>
      </c>
    </row>
    <row r="167">
      <c r="A167" t="inlineStr">
        <is>
          <t>no_year_in_pairs</t>
        </is>
      </c>
      <c r="C167" t="inlineStr">
        <is>
          <t>EBS.20.72, Sup. 1</t>
        </is>
      </c>
      <c r="D167" t="inlineStr">
        <is>
          <t>Dominica</t>
        </is>
      </c>
      <c r="E167" t="inlineStr">
        <is>
          <t>DMA</t>
        </is>
      </c>
      <c r="G167" t="inlineStr">
        <is>
          <t>2018gn</t>
        </is>
      </c>
      <c r="H167" t="n">
        <v>2019</v>
      </c>
    </row>
    <row r="168">
      <c r="A168" t="inlineStr">
        <is>
          <t>no_year_in_pairs</t>
        </is>
      </c>
      <c r="C168" t="inlineStr">
        <is>
          <t>EBS.20.72, Sup. 1</t>
        </is>
      </c>
      <c r="D168" t="inlineStr">
        <is>
          <t>Dominica</t>
        </is>
      </c>
      <c r="E168" t="inlineStr">
        <is>
          <t>DMA</t>
        </is>
      </c>
      <c r="G168" t="inlineStr">
        <is>
          <t>2018gn</t>
        </is>
      </c>
      <c r="H168" t="n">
        <v>2019</v>
      </c>
    </row>
    <row r="169">
      <c r="A169" t="inlineStr">
        <is>
          <t>no_year_in_pairs</t>
        </is>
      </c>
      <c r="C169" t="inlineStr">
        <is>
          <t>EBS.20.72, Sup. 1</t>
        </is>
      </c>
      <c r="D169" t="inlineStr">
        <is>
          <t>Dominica</t>
        </is>
      </c>
      <c r="E169" t="inlineStr">
        <is>
          <t>DMA</t>
        </is>
      </c>
      <c r="G169" t="inlineStr">
        <is>
          <t>2018gn</t>
        </is>
      </c>
      <c r="H169" t="n">
        <v>2019</v>
      </c>
    </row>
    <row r="170">
      <c r="A170" t="inlineStr">
        <is>
          <t>no_year_in_pairs</t>
        </is>
      </c>
      <c r="C170" t="inlineStr">
        <is>
          <t>EBS.20.72, Sup. 1</t>
        </is>
      </c>
      <c r="D170" t="inlineStr">
        <is>
          <t>Dominica</t>
        </is>
      </c>
      <c r="E170" t="inlineStr">
        <is>
          <t>DMA</t>
        </is>
      </c>
      <c r="G170" t="inlineStr">
        <is>
          <t>2018gn</t>
        </is>
      </c>
      <c r="H170" t="n">
        <v>2019</v>
      </c>
    </row>
    <row r="171">
      <c r="A171" t="inlineStr">
        <is>
          <t>no_year_in_pairs</t>
        </is>
      </c>
      <c r="C171" t="inlineStr">
        <is>
          <t>EBS.20.72, Sup. 1</t>
        </is>
      </c>
      <c r="D171" t="inlineStr">
        <is>
          <t>Dominica</t>
        </is>
      </c>
      <c r="E171" t="inlineStr">
        <is>
          <t>DMA</t>
        </is>
      </c>
      <c r="G171" t="inlineStr">
        <is>
          <t>2018gn</t>
        </is>
      </c>
      <c r="H171" t="n">
        <v>2019</v>
      </c>
    </row>
    <row r="172">
      <c r="A172" t="inlineStr">
        <is>
          <t>no_year_in_pairs</t>
        </is>
      </c>
      <c r="C172" t="inlineStr">
        <is>
          <t>EBS.20.72, Sup. 1</t>
        </is>
      </c>
      <c r="D172" t="inlineStr">
        <is>
          <t>Dominica</t>
        </is>
      </c>
      <c r="E172" t="inlineStr">
        <is>
          <t>DMA</t>
        </is>
      </c>
      <c r="G172" t="inlineStr">
        <is>
          <t>2018gn</t>
        </is>
      </c>
      <c r="H172" t="n">
        <v>2019</v>
      </c>
    </row>
    <row r="173">
      <c r="A173" t="inlineStr">
        <is>
          <t>no_year_in_pairs</t>
        </is>
      </c>
      <c r="C173" t="inlineStr">
        <is>
          <t>EBS.20.72, Sup. 1</t>
        </is>
      </c>
      <c r="D173" t="inlineStr">
        <is>
          <t>Dominica</t>
        </is>
      </c>
      <c r="E173" t="inlineStr">
        <is>
          <t>DMA</t>
        </is>
      </c>
      <c r="G173" t="inlineStr">
        <is>
          <t>2018gn</t>
        </is>
      </c>
      <c r="H173" t="n">
        <v>2019</v>
      </c>
    </row>
    <row r="174">
      <c r="A174" t="inlineStr">
        <is>
          <t>no_year_in_pairs</t>
        </is>
      </c>
      <c r="C174" t="inlineStr">
        <is>
          <t>EBS.20.72, Sup. 1</t>
        </is>
      </c>
      <c r="D174" t="inlineStr">
        <is>
          <t>Dominica</t>
        </is>
      </c>
      <c r="E174" t="inlineStr">
        <is>
          <t>DMA</t>
        </is>
      </c>
      <c r="G174" t="inlineStr">
        <is>
          <t>2018gn</t>
        </is>
      </c>
      <c r="H174" t="n">
        <v>2019</v>
      </c>
    </row>
    <row r="175">
      <c r="A175" t="inlineStr">
        <is>
          <t>no_year_in_pairs</t>
        </is>
      </c>
      <c r="C175" t="inlineStr">
        <is>
          <t>EBS.20.72, Sup. 1</t>
        </is>
      </c>
      <c r="D175" t="inlineStr">
        <is>
          <t>Dominica</t>
        </is>
      </c>
      <c r="E175" t="inlineStr">
        <is>
          <t>DMA</t>
        </is>
      </c>
      <c r="G175" t="inlineStr">
        <is>
          <t>2018gn</t>
        </is>
      </c>
      <c r="H175" t="n">
        <v>2019</v>
      </c>
    </row>
    <row r="176">
      <c r="A176" t="inlineStr">
        <is>
          <t>no_year_in_pairs</t>
        </is>
      </c>
      <c r="C176" t="inlineStr">
        <is>
          <t>EBS.20.72, Sup. 1</t>
        </is>
      </c>
      <c r="D176" t="inlineStr">
        <is>
          <t>Dominica</t>
        </is>
      </c>
      <c r="E176" t="inlineStr">
        <is>
          <t>DMA</t>
        </is>
      </c>
      <c r="G176" t="inlineStr">
        <is>
          <t>2018gn</t>
        </is>
      </c>
      <c r="H176" t="n">
        <v>2019</v>
      </c>
    </row>
    <row r="177">
      <c r="A177" t="inlineStr">
        <is>
          <t>no_year_in_pairs</t>
        </is>
      </c>
      <c r="C177" t="inlineStr">
        <is>
          <t>EBS.20.72, Sup. 1</t>
        </is>
      </c>
      <c r="D177" t="inlineStr">
        <is>
          <t>Dominica</t>
        </is>
      </c>
      <c r="E177" t="inlineStr">
        <is>
          <t>DMA</t>
        </is>
      </c>
      <c r="G177" t="inlineStr">
        <is>
          <t>2018gn</t>
        </is>
      </c>
      <c r="H177" t="n">
        <v>2019</v>
      </c>
    </row>
    <row r="178">
      <c r="A178" t="inlineStr">
        <is>
          <t>no_year_in_pairs</t>
        </is>
      </c>
      <c r="C178" t="inlineStr">
        <is>
          <t>EBS.20.72, Sup. 1</t>
        </is>
      </c>
      <c r="D178" t="inlineStr">
        <is>
          <t>Dominica</t>
        </is>
      </c>
      <c r="E178" t="inlineStr">
        <is>
          <t>DMA</t>
        </is>
      </c>
      <c r="G178" t="inlineStr">
        <is>
          <t>2018gn</t>
        </is>
      </c>
      <c r="H178" t="n">
        <v>2019</v>
      </c>
    </row>
    <row r="179">
      <c r="A179" t="inlineStr">
        <is>
          <t>no_year_in_pairs</t>
        </is>
      </c>
      <c r="C179" t="inlineStr">
        <is>
          <t>EBS.20.72, Sup. 1</t>
        </is>
      </c>
      <c r="D179" t="inlineStr">
        <is>
          <t>Dominica</t>
        </is>
      </c>
      <c r="E179" t="inlineStr">
        <is>
          <t>DMA</t>
        </is>
      </c>
      <c r="G179" t="inlineStr">
        <is>
          <t>2018gn</t>
        </is>
      </c>
      <c r="H179" t="n">
        <v>2019</v>
      </c>
    </row>
    <row r="180">
      <c r="A180" t="inlineStr">
        <is>
          <t>no_year_in_pairs</t>
        </is>
      </c>
      <c r="C180" t="inlineStr">
        <is>
          <t>EBS.20.72, Sup. 1</t>
        </is>
      </c>
      <c r="D180" t="inlineStr">
        <is>
          <t>Dominica</t>
        </is>
      </c>
      <c r="E180" t="inlineStr">
        <is>
          <t>DMA</t>
        </is>
      </c>
      <c r="G180" t="inlineStr">
        <is>
          <t>2018gn</t>
        </is>
      </c>
      <c r="H180" t="n">
        <v>2019</v>
      </c>
    </row>
    <row r="181">
      <c r="A181" t="inlineStr">
        <is>
          <t>no_year_in_pairs</t>
        </is>
      </c>
      <c r="C181" t="inlineStr">
        <is>
          <t>EBS.20.72, Sup. 1</t>
        </is>
      </c>
      <c r="D181" t="inlineStr">
        <is>
          <t>Dominica</t>
        </is>
      </c>
      <c r="E181" t="inlineStr">
        <is>
          <t>DMA</t>
        </is>
      </c>
      <c r="G181" t="inlineStr">
        <is>
          <t>2018gn</t>
        </is>
      </c>
      <c r="H181" t="n">
        <v>2019</v>
      </c>
    </row>
    <row r="182">
      <c r="A182" t="inlineStr">
        <is>
          <t>no_year_in_pairs</t>
        </is>
      </c>
      <c r="C182" t="inlineStr">
        <is>
          <t>EBS.20.72, Sup. 1</t>
        </is>
      </c>
      <c r="D182" t="inlineStr">
        <is>
          <t>Dominica</t>
        </is>
      </c>
      <c r="E182" t="inlineStr">
        <is>
          <t>DMA</t>
        </is>
      </c>
      <c r="G182" t="inlineStr">
        <is>
          <t>2018gn</t>
        </is>
      </c>
      <c r="H182" t="n">
        <v>2019</v>
      </c>
    </row>
    <row r="183">
      <c r="A183" t="inlineStr">
        <is>
          <t>no_year_in_pairs</t>
        </is>
      </c>
      <c r="C183" t="inlineStr">
        <is>
          <t>EBS.20.72, Sup. 1</t>
        </is>
      </c>
      <c r="D183" t="inlineStr">
        <is>
          <t>Dominica</t>
        </is>
      </c>
      <c r="E183" t="inlineStr">
        <is>
          <t>DMA</t>
        </is>
      </c>
      <c r="G183" t="inlineStr">
        <is>
          <t>2018gn</t>
        </is>
      </c>
      <c r="H183" t="n">
        <v>2019</v>
      </c>
    </row>
    <row r="184">
      <c r="A184" t="inlineStr">
        <is>
          <t>no_year_in_pairs</t>
        </is>
      </c>
      <c r="C184" t="inlineStr">
        <is>
          <t>EBS.20.72, Sup. 1</t>
        </is>
      </c>
      <c r="D184" t="inlineStr">
        <is>
          <t>Dominica</t>
        </is>
      </c>
      <c r="E184" t="inlineStr">
        <is>
          <t>DMA</t>
        </is>
      </c>
      <c r="G184" t="inlineStr">
        <is>
          <t>2018gn</t>
        </is>
      </c>
      <c r="H184" t="n">
        <v>2019</v>
      </c>
    </row>
    <row r="185">
      <c r="A185" t="inlineStr">
        <is>
          <t>no_year_in_pairs</t>
        </is>
      </c>
      <c r="C185" t="inlineStr">
        <is>
          <t>EBS.20.72, Sup. 1</t>
        </is>
      </c>
      <c r="D185" t="inlineStr">
        <is>
          <t>Dominica</t>
        </is>
      </c>
      <c r="E185" t="inlineStr">
        <is>
          <t>DMA</t>
        </is>
      </c>
      <c r="G185" t="inlineStr">
        <is>
          <t>2018gn</t>
        </is>
      </c>
      <c r="H185" t="n">
        <v>2019</v>
      </c>
    </row>
    <row r="186">
      <c r="A186" t="inlineStr">
        <is>
          <t>no_year_in_pairs</t>
        </is>
      </c>
      <c r="C186" t="inlineStr">
        <is>
          <t>EBS.20.72, Sup. 1</t>
        </is>
      </c>
      <c r="D186" t="inlineStr">
        <is>
          <t>Dominica</t>
        </is>
      </c>
      <c r="E186" t="inlineStr">
        <is>
          <t>DMA</t>
        </is>
      </c>
      <c r="G186" t="inlineStr">
        <is>
          <t>2018gn</t>
        </is>
      </c>
      <c r="H186" t="n">
        <v>2019</v>
      </c>
    </row>
    <row r="187">
      <c r="A187" t="inlineStr">
        <is>
          <t>no_year_in_pairs</t>
        </is>
      </c>
      <c r="C187" t="inlineStr">
        <is>
          <t>EBS.20.72, Sup. 1</t>
        </is>
      </c>
      <c r="D187" t="inlineStr">
        <is>
          <t>Dominica</t>
        </is>
      </c>
      <c r="E187" t="inlineStr">
        <is>
          <t>DMA</t>
        </is>
      </c>
      <c r="G187" t="inlineStr">
        <is>
          <t>2018gn</t>
        </is>
      </c>
      <c r="H187" t="n">
        <v>2019</v>
      </c>
    </row>
    <row r="188">
      <c r="A188" t="inlineStr">
        <is>
          <t>no_year_in_pairs</t>
        </is>
      </c>
      <c r="C188" t="inlineStr">
        <is>
          <t>EBS.20.72, Sup. 1</t>
        </is>
      </c>
      <c r="D188" t="inlineStr">
        <is>
          <t>Dominica</t>
        </is>
      </c>
      <c r="E188" t="inlineStr">
        <is>
          <t>DMA</t>
        </is>
      </c>
      <c r="G188" t="inlineStr">
        <is>
          <t>2018gn</t>
        </is>
      </c>
      <c r="H188" t="n">
        <v>2019</v>
      </c>
    </row>
    <row r="189">
      <c r="A189" t="inlineStr">
        <is>
          <t>no_year_in_pairs</t>
        </is>
      </c>
      <c r="C189" t="inlineStr">
        <is>
          <t>EBS.20.72, Sup. 1</t>
        </is>
      </c>
      <c r="D189" t="inlineStr">
        <is>
          <t>Dominica</t>
        </is>
      </c>
      <c r="E189" t="inlineStr">
        <is>
          <t>DMA</t>
        </is>
      </c>
      <c r="G189" t="inlineStr">
        <is>
          <t>2018gn</t>
        </is>
      </c>
      <c r="H189" t="n">
        <v>2019</v>
      </c>
    </row>
    <row r="190">
      <c r="A190" t="inlineStr">
        <is>
          <t>no_year_in_pairs</t>
        </is>
      </c>
      <c r="C190" t="inlineStr">
        <is>
          <t>EBS.20.72, Sup. 1</t>
        </is>
      </c>
      <c r="D190" t="inlineStr">
        <is>
          <t>Dominica</t>
        </is>
      </c>
      <c r="E190" t="inlineStr">
        <is>
          <t>DMA</t>
        </is>
      </c>
      <c r="G190" t="inlineStr">
        <is>
          <t>2018gn</t>
        </is>
      </c>
      <c r="H190" t="n">
        <v>2019</v>
      </c>
    </row>
    <row r="191">
      <c r="A191" t="inlineStr">
        <is>
          <t>no_year_in_pairs</t>
        </is>
      </c>
      <c r="C191" t="inlineStr">
        <is>
          <t>EBS.20.72, Sup. 1</t>
        </is>
      </c>
      <c r="D191" t="inlineStr">
        <is>
          <t>Dominica</t>
        </is>
      </c>
      <c r="E191" t="inlineStr">
        <is>
          <t>DMA</t>
        </is>
      </c>
      <c r="G191" t="inlineStr">
        <is>
          <t>2018gn</t>
        </is>
      </c>
      <c r="H191" t="n">
        <v>2019</v>
      </c>
    </row>
    <row r="192">
      <c r="A192" t="inlineStr">
        <is>
          <t>no_year_in_pairs</t>
        </is>
      </c>
      <c r="C192" t="inlineStr">
        <is>
          <t>EBS.20.72, Sup. 1</t>
        </is>
      </c>
      <c r="D192" t="inlineStr">
        <is>
          <t>Dominica</t>
        </is>
      </c>
      <c r="E192" t="inlineStr">
        <is>
          <t>DMA</t>
        </is>
      </c>
      <c r="G192" t="inlineStr">
        <is>
          <t>2018gn</t>
        </is>
      </c>
      <c r="H192" t="n">
        <v>2019</v>
      </c>
    </row>
    <row r="193">
      <c r="A193" t="inlineStr">
        <is>
          <t>no_year_in_pairs</t>
        </is>
      </c>
      <c r="C193" t="inlineStr">
        <is>
          <t>EBS.20.72, Sup. 1</t>
        </is>
      </c>
      <c r="D193" t="inlineStr">
        <is>
          <t>Dominica</t>
        </is>
      </c>
      <c r="E193" t="inlineStr">
        <is>
          <t>DMA</t>
        </is>
      </c>
      <c r="G193" t="inlineStr">
        <is>
          <t>2018gn</t>
        </is>
      </c>
      <c r="H193" t="n">
        <v>2019</v>
      </c>
    </row>
    <row r="194">
      <c r="A194" t="inlineStr">
        <is>
          <t>no_year_in_pairs</t>
        </is>
      </c>
      <c r="C194" t="inlineStr">
        <is>
          <t>EBS.20.72, Sup. 1</t>
        </is>
      </c>
      <c r="D194" t="inlineStr">
        <is>
          <t>Dominica</t>
        </is>
      </c>
      <c r="E194" t="inlineStr">
        <is>
          <t>DMA</t>
        </is>
      </c>
      <c r="G194" t="inlineStr">
        <is>
          <t>2018gn</t>
        </is>
      </c>
      <c r="H194" t="n">
        <v>2019</v>
      </c>
    </row>
    <row r="195">
      <c r="A195" t="inlineStr">
        <is>
          <t>no_year_in_pairs</t>
        </is>
      </c>
      <c r="C195" t="inlineStr">
        <is>
          <t>EBS.20.72, Sup. 1</t>
        </is>
      </c>
      <c r="D195" t="inlineStr">
        <is>
          <t>Dominica</t>
        </is>
      </c>
      <c r="E195" t="inlineStr">
        <is>
          <t>DMA</t>
        </is>
      </c>
      <c r="G195" t="inlineStr">
        <is>
          <t>2018gn</t>
        </is>
      </c>
      <c r="H195" t="n">
        <v>2019</v>
      </c>
    </row>
    <row r="196">
      <c r="A196" t="inlineStr">
        <is>
          <t>no_year_in_pairs</t>
        </is>
      </c>
      <c r="C196" t="inlineStr">
        <is>
          <t>EBS.20.72, Sup. 1</t>
        </is>
      </c>
      <c r="D196" t="inlineStr">
        <is>
          <t>Dominica</t>
        </is>
      </c>
      <c r="E196" t="inlineStr">
        <is>
          <t>DMA</t>
        </is>
      </c>
      <c r="G196" t="inlineStr">
        <is>
          <t>2018gn</t>
        </is>
      </c>
      <c r="H196" t="n">
        <v>2019</v>
      </c>
    </row>
    <row r="197">
      <c r="A197" t="inlineStr">
        <is>
          <t>no_year_in_pairs</t>
        </is>
      </c>
      <c r="C197" t="inlineStr">
        <is>
          <t>EBS.20.72, Sup. 1</t>
        </is>
      </c>
      <c r="D197" t="inlineStr">
        <is>
          <t>Dominica</t>
        </is>
      </c>
      <c r="E197" t="inlineStr">
        <is>
          <t>DMA</t>
        </is>
      </c>
      <c r="G197" t="inlineStr">
        <is>
          <t>2018gn</t>
        </is>
      </c>
      <c r="H197" t="n">
        <v>2019</v>
      </c>
    </row>
    <row r="198">
      <c r="A198" t="inlineStr">
        <is>
          <t>no_year_in_pairs</t>
        </is>
      </c>
      <c r="C198" t="inlineStr">
        <is>
          <t>EBS.20.72, Sup. 1</t>
        </is>
      </c>
      <c r="D198" t="inlineStr">
        <is>
          <t>Dominica</t>
        </is>
      </c>
      <c r="E198" t="inlineStr">
        <is>
          <t>DMA</t>
        </is>
      </c>
      <c r="G198" t="inlineStr">
        <is>
          <t>2018gn</t>
        </is>
      </c>
      <c r="H198" t="n">
        <v>2019</v>
      </c>
    </row>
    <row r="199">
      <c r="A199" t="inlineStr">
        <is>
          <t>no_year_in_pairs</t>
        </is>
      </c>
      <c r="C199" t="inlineStr">
        <is>
          <t>EBS.20.72, Sup. 1</t>
        </is>
      </c>
      <c r="D199" t="inlineStr">
        <is>
          <t>Dominica</t>
        </is>
      </c>
      <c r="E199" t="inlineStr">
        <is>
          <t>DMA</t>
        </is>
      </c>
      <c r="G199" t="inlineStr">
        <is>
          <t>2018gn</t>
        </is>
      </c>
      <c r="H199" t="n">
        <v>2019</v>
      </c>
    </row>
    <row r="200">
      <c r="A200" t="inlineStr">
        <is>
          <t>no_year_in_pairs</t>
        </is>
      </c>
      <c r="C200" t="inlineStr">
        <is>
          <t>EBS.20.72, Sup. 1</t>
        </is>
      </c>
      <c r="D200" t="inlineStr">
        <is>
          <t>Dominica</t>
        </is>
      </c>
      <c r="E200" t="inlineStr">
        <is>
          <t>DMA</t>
        </is>
      </c>
      <c r="G200" t="inlineStr">
        <is>
          <t>2018gn</t>
        </is>
      </c>
      <c r="H200" t="n">
        <v>2019</v>
      </c>
    </row>
    <row r="201">
      <c r="A201" t="inlineStr">
        <is>
          <t>no_year_in_pairs</t>
        </is>
      </c>
      <c r="C201" t="inlineStr">
        <is>
          <t>EBS.20.72, Sup. 1</t>
        </is>
      </c>
      <c r="D201" t="inlineStr">
        <is>
          <t>Dominica</t>
        </is>
      </c>
      <c r="E201" t="inlineStr">
        <is>
          <t>DMA</t>
        </is>
      </c>
      <c r="G201" t="inlineStr">
        <is>
          <t>2018gn</t>
        </is>
      </c>
      <c r="H201" t="n">
        <v>2019</v>
      </c>
    </row>
    <row r="202">
      <c r="A202" t="inlineStr">
        <is>
          <t>no_year_in_pairs</t>
        </is>
      </c>
      <c r="C202" t="inlineStr">
        <is>
          <t>EBS.20.72, Sup. 1</t>
        </is>
      </c>
      <c r="D202" t="inlineStr">
        <is>
          <t>Dominica</t>
        </is>
      </c>
      <c r="E202" t="inlineStr">
        <is>
          <t>DMA</t>
        </is>
      </c>
      <c r="G202" t="inlineStr">
        <is>
          <t>2018gn</t>
        </is>
      </c>
      <c r="H202" t="n">
        <v>2019</v>
      </c>
    </row>
    <row r="203">
      <c r="A203" t="inlineStr">
        <is>
          <t>no_year_in_pairs</t>
        </is>
      </c>
      <c r="C203" t="inlineStr">
        <is>
          <t>EBS.20.72, Sup. 1</t>
        </is>
      </c>
      <c r="D203" t="inlineStr">
        <is>
          <t>Dominica</t>
        </is>
      </c>
      <c r="E203" t="inlineStr">
        <is>
          <t>DMA</t>
        </is>
      </c>
      <c r="G203" t="inlineStr">
        <is>
          <t>2018gn</t>
        </is>
      </c>
      <c r="H203" t="n">
        <v>2019</v>
      </c>
    </row>
    <row r="204">
      <c r="A204" t="inlineStr">
        <is>
          <t>no_year_in_pairs</t>
        </is>
      </c>
      <c r="C204" t="inlineStr">
        <is>
          <t>EBS.20.72, Sup. 1</t>
        </is>
      </c>
      <c r="D204" t="inlineStr">
        <is>
          <t>Dominica</t>
        </is>
      </c>
      <c r="E204" t="inlineStr">
        <is>
          <t>DMA</t>
        </is>
      </c>
      <c r="G204" t="inlineStr">
        <is>
          <t>2018gn</t>
        </is>
      </c>
      <c r="H204" t="n">
        <v>2019</v>
      </c>
    </row>
    <row r="205">
      <c r="A205" t="inlineStr">
        <is>
          <t>no_year_in_pairs</t>
        </is>
      </c>
      <c r="C205" t="inlineStr">
        <is>
          <t>EBS.20.72, Sup. 1</t>
        </is>
      </c>
      <c r="D205" t="inlineStr">
        <is>
          <t>Dominica</t>
        </is>
      </c>
      <c r="E205" t="inlineStr">
        <is>
          <t>DMA</t>
        </is>
      </c>
      <c r="G205" t="inlineStr">
        <is>
          <t>2018gn</t>
        </is>
      </c>
      <c r="H205" t="n">
        <v>2019</v>
      </c>
    </row>
    <row r="206">
      <c r="A206" t="inlineStr">
        <is>
          <t>no_year_in_pairs</t>
        </is>
      </c>
      <c r="C206" t="inlineStr">
        <is>
          <t>EBS.20.72, Sup. 1</t>
        </is>
      </c>
      <c r="D206" t="inlineStr">
        <is>
          <t>Dominica</t>
        </is>
      </c>
      <c r="E206" t="inlineStr">
        <is>
          <t>DMA</t>
        </is>
      </c>
      <c r="G206" t="inlineStr">
        <is>
          <t>2018gn</t>
        </is>
      </c>
      <c r="H206" t="n">
        <v>2019</v>
      </c>
    </row>
    <row r="207">
      <c r="A207" t="inlineStr">
        <is>
          <t>no_year_in_pairs</t>
        </is>
      </c>
      <c r="C207" t="inlineStr">
        <is>
          <t>EBS.20.72, Sup. 1</t>
        </is>
      </c>
      <c r="D207" t="inlineStr">
        <is>
          <t>Dominica</t>
        </is>
      </c>
      <c r="E207" t="inlineStr">
        <is>
          <t>DMA</t>
        </is>
      </c>
      <c r="G207" t="inlineStr">
        <is>
          <t>2018gn</t>
        </is>
      </c>
      <c r="H207" t="n">
        <v>2019</v>
      </c>
    </row>
    <row r="208">
      <c r="A208" t="inlineStr">
        <is>
          <t>no_year_in_pairs</t>
        </is>
      </c>
      <c r="C208" t="inlineStr">
        <is>
          <t>EBS.20.72, Sup. 1</t>
        </is>
      </c>
      <c r="D208" t="inlineStr">
        <is>
          <t>Dominica</t>
        </is>
      </c>
      <c r="E208" t="inlineStr">
        <is>
          <t>DMA</t>
        </is>
      </c>
      <c r="G208" t="inlineStr">
        <is>
          <t>2018gn</t>
        </is>
      </c>
      <c r="H208" t="n">
        <v>2019</v>
      </c>
    </row>
    <row r="209">
      <c r="A209" t="inlineStr">
        <is>
          <t>no_year_in_pairs</t>
        </is>
      </c>
      <c r="C209" t="inlineStr">
        <is>
          <t>EBS.20.72, Sup. 1</t>
        </is>
      </c>
      <c r="D209" t="inlineStr">
        <is>
          <t>Dominica</t>
        </is>
      </c>
      <c r="E209" t="inlineStr">
        <is>
          <t>DMA</t>
        </is>
      </c>
      <c r="G209" t="inlineStr">
        <is>
          <t>2018gn</t>
        </is>
      </c>
      <c r="H209" t="n">
        <v>2019</v>
      </c>
    </row>
    <row r="210">
      <c r="A210" t="inlineStr">
        <is>
          <t>no_year_in_pairs</t>
        </is>
      </c>
      <c r="C210" t="inlineStr">
        <is>
          <t>EBS.20.72, Sup. 1</t>
        </is>
      </c>
      <c r="D210" t="inlineStr">
        <is>
          <t>Dominica</t>
        </is>
      </c>
      <c r="E210" t="inlineStr">
        <is>
          <t>DMA</t>
        </is>
      </c>
      <c r="G210" t="inlineStr">
        <is>
          <t>2018gn</t>
        </is>
      </c>
      <c r="H210" t="n">
        <v>2019</v>
      </c>
    </row>
    <row r="211">
      <c r="A211" t="inlineStr">
        <is>
          <t>no_year_in_pairs</t>
        </is>
      </c>
      <c r="C211" t="inlineStr">
        <is>
          <t>EBS.20.72, Sup. 1</t>
        </is>
      </c>
      <c r="D211" t="inlineStr">
        <is>
          <t>Dominica</t>
        </is>
      </c>
      <c r="E211" t="inlineStr">
        <is>
          <t>DMA</t>
        </is>
      </c>
      <c r="G211" t="inlineStr">
        <is>
          <t>2018gn</t>
        </is>
      </c>
      <c r="H211" t="n">
        <v>2019</v>
      </c>
    </row>
    <row r="212">
      <c r="A212" t="inlineStr">
        <is>
          <t>no_year_in_pairs</t>
        </is>
      </c>
      <c r="C212" t="inlineStr">
        <is>
          <t>EBS.20.72, Sup. 1</t>
        </is>
      </c>
      <c r="D212" t="inlineStr">
        <is>
          <t>Dominica</t>
        </is>
      </c>
      <c r="E212" t="inlineStr">
        <is>
          <t>DMA</t>
        </is>
      </c>
      <c r="G212" t="inlineStr">
        <is>
          <t>2018gn</t>
        </is>
      </c>
      <c r="H212" t="n">
        <v>2019</v>
      </c>
    </row>
    <row r="213">
      <c r="A213" t="inlineStr">
        <is>
          <t>no_year_in_pairs</t>
        </is>
      </c>
      <c r="C213" t="inlineStr">
        <is>
          <t>EBS.20.72, Sup. 1</t>
        </is>
      </c>
      <c r="D213" t="inlineStr">
        <is>
          <t>Dominica</t>
        </is>
      </c>
      <c r="E213" t="inlineStr">
        <is>
          <t>DMA</t>
        </is>
      </c>
      <c r="G213" t="inlineStr">
        <is>
          <t>2018gn</t>
        </is>
      </c>
      <c r="H213" t="n">
        <v>2019</v>
      </c>
    </row>
    <row r="214">
      <c r="A214" t="inlineStr">
        <is>
          <t>no_year_in_pairs</t>
        </is>
      </c>
      <c r="C214" t="inlineStr">
        <is>
          <t>EBS.20.72, Sup. 1</t>
        </is>
      </c>
      <c r="D214" t="inlineStr">
        <is>
          <t>Dominica</t>
        </is>
      </c>
      <c r="E214" t="inlineStr">
        <is>
          <t>DMA</t>
        </is>
      </c>
      <c r="G214" t="inlineStr">
        <is>
          <t>2018gn</t>
        </is>
      </c>
      <c r="H214" t="n">
        <v>2019</v>
      </c>
    </row>
    <row r="215">
      <c r="A215" t="inlineStr">
        <is>
          <t>no_year_in_pairs</t>
        </is>
      </c>
      <c r="C215" t="inlineStr">
        <is>
          <t>EBS.20.72, Sup. 1</t>
        </is>
      </c>
      <c r="D215" t="inlineStr">
        <is>
          <t>Dominica</t>
        </is>
      </c>
      <c r="E215" t="inlineStr">
        <is>
          <t>DMA</t>
        </is>
      </c>
      <c r="G215" t="inlineStr">
        <is>
          <t>2018gn</t>
        </is>
      </c>
      <c r="H215" t="n">
        <v>2019</v>
      </c>
    </row>
    <row r="216">
      <c r="A216" t="inlineStr">
        <is>
          <t>no_year_in_pairs</t>
        </is>
      </c>
      <c r="C216" t="inlineStr">
        <is>
          <t>EBS.20.72, Sup. 1</t>
        </is>
      </c>
      <c r="D216" t="inlineStr">
        <is>
          <t>Dominica</t>
        </is>
      </c>
      <c r="E216" t="inlineStr">
        <is>
          <t>DMA</t>
        </is>
      </c>
      <c r="G216" t="inlineStr">
        <is>
          <t>2018gn</t>
        </is>
      </c>
      <c r="H216" t="n">
        <v>2019</v>
      </c>
    </row>
    <row r="217">
      <c r="A217" t="inlineStr">
        <is>
          <t>no_year_in_pairs</t>
        </is>
      </c>
      <c r="C217" t="inlineStr">
        <is>
          <t>EBS.20.72, Sup. 1</t>
        </is>
      </c>
      <c r="D217" t="inlineStr">
        <is>
          <t>Dominica</t>
        </is>
      </c>
      <c r="E217" t="inlineStr">
        <is>
          <t>DMA</t>
        </is>
      </c>
      <c r="G217" t="inlineStr">
        <is>
          <t>2018gn</t>
        </is>
      </c>
      <c r="H217" t="n">
        <v>2019</v>
      </c>
    </row>
    <row r="218">
      <c r="A218" t="inlineStr">
        <is>
          <t>no_year_in_pairs</t>
        </is>
      </c>
      <c r="C218" t="inlineStr">
        <is>
          <t>EBS.20.72, Sup. 1</t>
        </is>
      </c>
      <c r="D218" t="inlineStr">
        <is>
          <t>Dominica</t>
        </is>
      </c>
      <c r="E218" t="inlineStr">
        <is>
          <t>DMA</t>
        </is>
      </c>
      <c r="G218" t="inlineStr">
        <is>
          <t>2018gn</t>
        </is>
      </c>
      <c r="H218" t="n">
        <v>2019</v>
      </c>
    </row>
    <row r="219">
      <c r="A219" t="inlineStr">
        <is>
          <t>no_year_in_pairs</t>
        </is>
      </c>
      <c r="C219" t="inlineStr">
        <is>
          <t>EBS.20.72, Sup. 1</t>
        </is>
      </c>
      <c r="D219" t="inlineStr">
        <is>
          <t>Dominica</t>
        </is>
      </c>
      <c r="E219" t="inlineStr">
        <is>
          <t>DMA</t>
        </is>
      </c>
      <c r="G219" t="inlineStr">
        <is>
          <t>2018gn</t>
        </is>
      </c>
      <c r="H219" t="n">
        <v>2019</v>
      </c>
    </row>
    <row r="220">
      <c r="A220" t="inlineStr">
        <is>
          <t>no_year_in_pairs</t>
        </is>
      </c>
      <c r="C220" t="inlineStr">
        <is>
          <t>EBS.20.72, Sup. 1</t>
        </is>
      </c>
      <c r="D220" t="inlineStr">
        <is>
          <t>Dominica</t>
        </is>
      </c>
      <c r="E220" t="inlineStr">
        <is>
          <t>DMA</t>
        </is>
      </c>
      <c r="G220" t="inlineStr">
        <is>
          <t>2018gn</t>
        </is>
      </c>
      <c r="H220" t="n">
        <v>2019</v>
      </c>
    </row>
    <row r="221">
      <c r="A221" t="inlineStr">
        <is>
          <t>no_year_in_pairs</t>
        </is>
      </c>
      <c r="C221" t="inlineStr">
        <is>
          <t>EBS.20.72, Sup. 1</t>
        </is>
      </c>
      <c r="D221" t="inlineStr">
        <is>
          <t>Dominica</t>
        </is>
      </c>
      <c r="E221" t="inlineStr">
        <is>
          <t>DMA</t>
        </is>
      </c>
      <c r="G221" t="inlineStr">
        <is>
          <t>2018gn</t>
        </is>
      </c>
      <c r="H221" t="n">
        <v>2019</v>
      </c>
    </row>
    <row r="222">
      <c r="A222" t="inlineStr">
        <is>
          <t>no_year_in_pairs</t>
        </is>
      </c>
      <c r="C222" t="inlineStr">
        <is>
          <t>EBS.20.72, Sup. 1</t>
        </is>
      </c>
      <c r="D222" t="inlineStr">
        <is>
          <t>Dominica</t>
        </is>
      </c>
      <c r="E222" t="inlineStr">
        <is>
          <t>DMA</t>
        </is>
      </c>
      <c r="G222" t="inlineStr">
        <is>
          <t>2018gn</t>
        </is>
      </c>
      <c r="H222" t="n">
        <v>2019</v>
      </c>
    </row>
    <row r="223">
      <c r="A223" t="inlineStr">
        <is>
          <t>no_year_in_pairs</t>
        </is>
      </c>
      <c r="C223" t="inlineStr">
        <is>
          <t>EBS.20.72, Sup. 1</t>
        </is>
      </c>
      <c r="D223" t="inlineStr">
        <is>
          <t>Dominica</t>
        </is>
      </c>
      <c r="E223" t="inlineStr">
        <is>
          <t>DMA</t>
        </is>
      </c>
      <c r="G223" t="inlineStr">
        <is>
          <t>2018gn</t>
        </is>
      </c>
      <c r="H223" t="n">
        <v>2019</v>
      </c>
    </row>
    <row r="224">
      <c r="A224" t="inlineStr">
        <is>
          <t>no_year_in_pairs</t>
        </is>
      </c>
      <c r="C224" t="inlineStr">
        <is>
          <t>EBS.20.72, Sup. 1</t>
        </is>
      </c>
      <c r="D224" t="inlineStr">
        <is>
          <t>Dominica</t>
        </is>
      </c>
      <c r="E224" t="inlineStr">
        <is>
          <t>DMA</t>
        </is>
      </c>
      <c r="G224" t="inlineStr">
        <is>
          <t>2018gn</t>
        </is>
      </c>
      <c r="H224" t="n">
        <v>2019</v>
      </c>
    </row>
    <row r="225">
      <c r="A225" t="inlineStr">
        <is>
          <t>no_year_in_pairs</t>
        </is>
      </c>
      <c r="C225" t="inlineStr">
        <is>
          <t>EBS.20.72, Sup. 1</t>
        </is>
      </c>
      <c r="D225" t="inlineStr">
        <is>
          <t>Dominica</t>
        </is>
      </c>
      <c r="E225" t="inlineStr">
        <is>
          <t>DMA</t>
        </is>
      </c>
      <c r="G225" t="inlineStr">
        <is>
          <t>2018gn</t>
        </is>
      </c>
      <c r="H225" t="n">
        <v>2019</v>
      </c>
    </row>
    <row r="226">
      <c r="A226" t="inlineStr">
        <is>
          <t>no_year_in_pairs</t>
        </is>
      </c>
      <c r="C226" t="inlineStr">
        <is>
          <t>EBS.20.72, Sup. 1</t>
        </is>
      </c>
      <c r="D226" t="inlineStr">
        <is>
          <t>Dominica</t>
        </is>
      </c>
      <c r="E226" t="inlineStr">
        <is>
          <t>DMA</t>
        </is>
      </c>
      <c r="G226" t="inlineStr">
        <is>
          <t>2018gn</t>
        </is>
      </c>
      <c r="H226" t="n">
        <v>2019</v>
      </c>
    </row>
    <row r="227">
      <c r="A227" t="inlineStr">
        <is>
          <t>no_year_in_pairs</t>
        </is>
      </c>
      <c r="C227" t="inlineStr">
        <is>
          <t>EBS.20.72, Sup. 1</t>
        </is>
      </c>
      <c r="D227" t="inlineStr">
        <is>
          <t>Dominica</t>
        </is>
      </c>
      <c r="E227" t="inlineStr">
        <is>
          <t>DMA</t>
        </is>
      </c>
      <c r="G227" t="inlineStr">
        <is>
          <t>2018gn</t>
        </is>
      </c>
      <c r="H227" t="n">
        <v>2019</v>
      </c>
    </row>
    <row r="228">
      <c r="A228" t="inlineStr">
        <is>
          <t>no_year_in_pairs</t>
        </is>
      </c>
      <c r="C228" t="inlineStr">
        <is>
          <t>EBS.20.72, Sup. 1</t>
        </is>
      </c>
      <c r="D228" t="inlineStr">
        <is>
          <t>Dominica</t>
        </is>
      </c>
      <c r="E228" t="inlineStr">
        <is>
          <t>DMA</t>
        </is>
      </c>
      <c r="G228" t="inlineStr">
        <is>
          <t>2018gn</t>
        </is>
      </c>
      <c r="H228" t="n">
        <v>2019</v>
      </c>
    </row>
    <row r="229">
      <c r="A229" t="inlineStr">
        <is>
          <t>no_year_in_pairs</t>
        </is>
      </c>
      <c r="C229" t="inlineStr">
        <is>
          <t>EBS.20.72, Sup. 1</t>
        </is>
      </c>
      <c r="D229" t="inlineStr">
        <is>
          <t>Dominica</t>
        </is>
      </c>
      <c r="E229" t="inlineStr">
        <is>
          <t>DMA</t>
        </is>
      </c>
      <c r="G229" t="inlineStr">
        <is>
          <t>2018gn</t>
        </is>
      </c>
      <c r="H229" t="n">
        <v>2019</v>
      </c>
    </row>
    <row r="230">
      <c r="A230" t="inlineStr">
        <is>
          <t>no_year_in_pairs</t>
        </is>
      </c>
      <c r="C230" t="inlineStr">
        <is>
          <t>EBS.20.72, Sup. 1</t>
        </is>
      </c>
      <c r="D230" t="inlineStr">
        <is>
          <t>Dominica</t>
        </is>
      </c>
      <c r="E230" t="inlineStr">
        <is>
          <t>DMA</t>
        </is>
      </c>
      <c r="G230" t="inlineStr">
        <is>
          <t>2018gn</t>
        </is>
      </c>
      <c r="H230" t="n">
        <v>2019</v>
      </c>
    </row>
    <row r="231">
      <c r="A231" t="inlineStr">
        <is>
          <t>no_year_in_pairs</t>
        </is>
      </c>
      <c r="C231" t="inlineStr">
        <is>
          <t>EBS.20.72, Sup. 1</t>
        </is>
      </c>
      <c r="D231" t="inlineStr">
        <is>
          <t>Dominica</t>
        </is>
      </c>
      <c r="E231" t="inlineStr">
        <is>
          <t>DMA</t>
        </is>
      </c>
      <c r="G231" t="inlineStr">
        <is>
          <t>2018gn</t>
        </is>
      </c>
      <c r="H231" t="n">
        <v>2019</v>
      </c>
    </row>
    <row r="232">
      <c r="A232" t="inlineStr">
        <is>
          <t>no_year_in_pairs</t>
        </is>
      </c>
      <c r="C232" t="inlineStr">
        <is>
          <t>EBS.20.72, Sup. 1</t>
        </is>
      </c>
      <c r="D232" t="inlineStr">
        <is>
          <t>Dominica</t>
        </is>
      </c>
      <c r="E232" t="inlineStr">
        <is>
          <t>DMA</t>
        </is>
      </c>
      <c r="G232" t="inlineStr">
        <is>
          <t>2018gn</t>
        </is>
      </c>
      <c r="H232" t="n">
        <v>2019</v>
      </c>
    </row>
    <row r="233">
      <c r="A233" t="inlineStr">
        <is>
          <t>no_year_in_pairs</t>
        </is>
      </c>
      <c r="C233" t="inlineStr">
        <is>
          <t>EBS.20.72, Sup. 1</t>
        </is>
      </c>
      <c r="D233" t="inlineStr">
        <is>
          <t>Dominica</t>
        </is>
      </c>
      <c r="E233" t="inlineStr">
        <is>
          <t>DMA</t>
        </is>
      </c>
      <c r="G233" t="inlineStr">
        <is>
          <t>2018gn</t>
        </is>
      </c>
      <c r="H233" t="n">
        <v>2019</v>
      </c>
    </row>
    <row r="234">
      <c r="A234" t="inlineStr">
        <is>
          <t>no_year_in_pairs</t>
        </is>
      </c>
      <c r="C234" t="inlineStr">
        <is>
          <t>EBS.20.72, Sup. 1</t>
        </is>
      </c>
      <c r="D234" t="inlineStr">
        <is>
          <t>Dominica</t>
        </is>
      </c>
      <c r="E234" t="inlineStr">
        <is>
          <t>DMA</t>
        </is>
      </c>
      <c r="G234" t="inlineStr">
        <is>
          <t>2018gn</t>
        </is>
      </c>
      <c r="H234" t="n">
        <v>2019</v>
      </c>
    </row>
    <row r="235">
      <c r="A235" t="inlineStr">
        <is>
          <t>no_year_in_pairs</t>
        </is>
      </c>
      <c r="C235" t="inlineStr">
        <is>
          <t>EBS.20.72, Sup. 1</t>
        </is>
      </c>
      <c r="D235" t="inlineStr">
        <is>
          <t>Dominica</t>
        </is>
      </c>
      <c r="E235" t="inlineStr">
        <is>
          <t>DMA</t>
        </is>
      </c>
      <c r="G235" t="inlineStr">
        <is>
          <t>2018gn</t>
        </is>
      </c>
      <c r="H235" t="n">
        <v>2019</v>
      </c>
    </row>
    <row r="236">
      <c r="A236" t="inlineStr">
        <is>
          <t>no_year_in_pairs</t>
        </is>
      </c>
      <c r="C236" t="inlineStr">
        <is>
          <t>EBS.20.72, Sup. 1</t>
        </is>
      </c>
      <c r="D236" t="inlineStr">
        <is>
          <t>Dominica</t>
        </is>
      </c>
      <c r="E236" t="inlineStr">
        <is>
          <t>DMA</t>
        </is>
      </c>
      <c r="G236" t="inlineStr">
        <is>
          <t>2018gn</t>
        </is>
      </c>
      <c r="H236" t="n">
        <v>2019</v>
      </c>
    </row>
    <row r="237">
      <c r="A237" t="inlineStr">
        <is>
          <t>no_year_in_pairs</t>
        </is>
      </c>
      <c r="C237" t="inlineStr">
        <is>
          <t>EBS.20.72, Sup. 1</t>
        </is>
      </c>
      <c r="D237" t="inlineStr">
        <is>
          <t>Dominica</t>
        </is>
      </c>
      <c r="E237" t="inlineStr">
        <is>
          <t>DMA</t>
        </is>
      </c>
      <c r="G237" t="inlineStr">
        <is>
          <t>2018gn</t>
        </is>
      </c>
      <c r="H237" t="n">
        <v>2019</v>
      </c>
    </row>
    <row r="238">
      <c r="A238" t="inlineStr">
        <is>
          <t>no_year_in_pairs</t>
        </is>
      </c>
      <c r="C238" t="inlineStr">
        <is>
          <t>EBS.20.72, Sup. 1</t>
        </is>
      </c>
      <c r="D238" t="inlineStr">
        <is>
          <t>Dominica</t>
        </is>
      </c>
      <c r="E238" t="inlineStr">
        <is>
          <t>DMA</t>
        </is>
      </c>
      <c r="G238" t="inlineStr">
        <is>
          <t>2018gn</t>
        </is>
      </c>
      <c r="H238" t="n">
        <v>2019</v>
      </c>
    </row>
    <row r="239">
      <c r="A239" t="inlineStr">
        <is>
          <t>no_year_in_pairs</t>
        </is>
      </c>
      <c r="C239" t="inlineStr">
        <is>
          <t>EBS.20.72, Sup. 1</t>
        </is>
      </c>
      <c r="D239" t="inlineStr">
        <is>
          <t>Dominica</t>
        </is>
      </c>
      <c r="E239" t="inlineStr">
        <is>
          <t>DMA</t>
        </is>
      </c>
      <c r="G239" t="inlineStr">
        <is>
          <t>2018gn</t>
        </is>
      </c>
      <c r="H239" t="n">
        <v>2019</v>
      </c>
    </row>
    <row r="240">
      <c r="A240" t="inlineStr">
        <is>
          <t>no_year_in_pairs</t>
        </is>
      </c>
      <c r="C240" t="inlineStr">
        <is>
          <t>EBS.20.72, Sup. 1</t>
        </is>
      </c>
      <c r="D240" t="inlineStr">
        <is>
          <t>Dominica</t>
        </is>
      </c>
      <c r="E240" t="inlineStr">
        <is>
          <t>DMA</t>
        </is>
      </c>
      <c r="G240" t="inlineStr">
        <is>
          <t>2018gn</t>
        </is>
      </c>
      <c r="H240" t="n">
        <v>2019</v>
      </c>
    </row>
    <row r="241">
      <c r="A241" t="inlineStr">
        <is>
          <t>no_year_in_pairs</t>
        </is>
      </c>
      <c r="C241" t="inlineStr">
        <is>
          <t>EBS.20.72, Sup. 1</t>
        </is>
      </c>
      <c r="D241" t="inlineStr">
        <is>
          <t>Dominica</t>
        </is>
      </c>
      <c r="E241" t="inlineStr">
        <is>
          <t>DMA</t>
        </is>
      </c>
      <c r="G241" t="inlineStr">
        <is>
          <t>2018gn</t>
        </is>
      </c>
      <c r="H241" t="n">
        <v>2019</v>
      </c>
    </row>
    <row r="242">
      <c r="A242" t="inlineStr">
        <is>
          <t>no_year_in_pairs</t>
        </is>
      </c>
      <c r="C242" t="inlineStr">
        <is>
          <t>EBS.20.72, Sup. 1</t>
        </is>
      </c>
      <c r="D242" t="inlineStr">
        <is>
          <t>Dominica</t>
        </is>
      </c>
      <c r="E242" t="inlineStr">
        <is>
          <t>DMA</t>
        </is>
      </c>
      <c r="G242" t="inlineStr">
        <is>
          <t>2018gn</t>
        </is>
      </c>
      <c r="H242" t="n">
        <v>2019</v>
      </c>
    </row>
    <row r="243">
      <c r="A243" t="inlineStr">
        <is>
          <t>no_year_in_pairs</t>
        </is>
      </c>
      <c r="C243" t="inlineStr">
        <is>
          <t>EBS.20.72, Sup. 1</t>
        </is>
      </c>
      <c r="D243" t="inlineStr">
        <is>
          <t>Dominica</t>
        </is>
      </c>
      <c r="E243" t="inlineStr">
        <is>
          <t>DMA</t>
        </is>
      </c>
      <c r="G243" t="inlineStr">
        <is>
          <t>2018gn</t>
        </is>
      </c>
      <c r="H243" t="n">
        <v>2019</v>
      </c>
    </row>
    <row r="244">
      <c r="A244" t="inlineStr">
        <is>
          <t>no_year_in_pairs</t>
        </is>
      </c>
      <c r="C244" t="inlineStr">
        <is>
          <t>EBS.20.72, Sup. 1</t>
        </is>
      </c>
      <c r="D244" t="inlineStr">
        <is>
          <t>Dominica</t>
        </is>
      </c>
      <c r="E244" t="inlineStr">
        <is>
          <t>DMA</t>
        </is>
      </c>
      <c r="G244" t="inlineStr">
        <is>
          <t>2018gn</t>
        </is>
      </c>
      <c r="H244" t="n">
        <v>2019</v>
      </c>
    </row>
    <row r="245">
      <c r="A245" t="inlineStr">
        <is>
          <t>no_year_in_pairs</t>
        </is>
      </c>
      <c r="C245" t="inlineStr">
        <is>
          <t>EBS.20.72, Sup. 1</t>
        </is>
      </c>
      <c r="D245" t="inlineStr">
        <is>
          <t>Dominica</t>
        </is>
      </c>
      <c r="E245" t="inlineStr">
        <is>
          <t>DMA</t>
        </is>
      </c>
      <c r="G245" t="inlineStr">
        <is>
          <t>2018gn</t>
        </is>
      </c>
      <c r="H245" t="n">
        <v>2019</v>
      </c>
    </row>
    <row r="246">
      <c r="A246" t="inlineStr">
        <is>
          <t>no_year_in_pairs</t>
        </is>
      </c>
      <c r="C246" t="inlineStr">
        <is>
          <t>EBS.20.72, Sup. 1</t>
        </is>
      </c>
      <c r="D246" t="inlineStr">
        <is>
          <t>Dominica</t>
        </is>
      </c>
      <c r="E246" t="inlineStr">
        <is>
          <t>DMA</t>
        </is>
      </c>
      <c r="G246" t="inlineStr">
        <is>
          <t>2018gn</t>
        </is>
      </c>
      <c r="H246" t="n">
        <v>2019</v>
      </c>
    </row>
    <row r="247">
      <c r="A247" t="inlineStr">
        <is>
          <t>no_year_in_pairs</t>
        </is>
      </c>
      <c r="C247" t="inlineStr">
        <is>
          <t>EBS.20.72, Sup. 1</t>
        </is>
      </c>
      <c r="D247" t="inlineStr">
        <is>
          <t>Dominica</t>
        </is>
      </c>
      <c r="E247" t="inlineStr">
        <is>
          <t>DMA</t>
        </is>
      </c>
      <c r="G247" t="inlineStr">
        <is>
          <t>2018gn</t>
        </is>
      </c>
      <c r="H247" t="n">
        <v>2019</v>
      </c>
    </row>
    <row r="248">
      <c r="A248" t="inlineStr">
        <is>
          <t>no_year_in_pairs</t>
        </is>
      </c>
      <c r="C248" t="inlineStr">
        <is>
          <t>EBS.20.72, Sup. 1</t>
        </is>
      </c>
      <c r="D248" t="inlineStr">
        <is>
          <t>Dominica</t>
        </is>
      </c>
      <c r="E248" t="inlineStr">
        <is>
          <t>DMA</t>
        </is>
      </c>
      <c r="G248" t="inlineStr">
        <is>
          <t>2018gn</t>
        </is>
      </c>
      <c r="H248" t="n">
        <v>2019</v>
      </c>
    </row>
    <row r="249">
      <c r="A249" t="inlineStr">
        <is>
          <t>no_year_in_pairs</t>
        </is>
      </c>
      <c r="C249" t="inlineStr">
        <is>
          <t>EBS.20.72, Sup. 1</t>
        </is>
      </c>
      <c r="D249" t="inlineStr">
        <is>
          <t>Dominica</t>
        </is>
      </c>
      <c r="E249" t="inlineStr">
        <is>
          <t>DMA</t>
        </is>
      </c>
      <c r="G249" t="inlineStr">
        <is>
          <t>2018gn</t>
        </is>
      </c>
      <c r="H249" t="n">
        <v>2019</v>
      </c>
    </row>
    <row r="250">
      <c r="A250" t="inlineStr">
        <is>
          <t>no_year_in_pairs</t>
        </is>
      </c>
      <c r="C250" t="inlineStr">
        <is>
          <t>EBS.20.72, Sup. 1</t>
        </is>
      </c>
      <c r="D250" t="inlineStr">
        <is>
          <t>Dominica</t>
        </is>
      </c>
      <c r="E250" t="inlineStr">
        <is>
          <t>DMA</t>
        </is>
      </c>
      <c r="G250" t="inlineStr">
        <is>
          <t>2018gn</t>
        </is>
      </c>
      <c r="H250" t="n">
        <v>2019</v>
      </c>
    </row>
    <row r="251">
      <c r="A251" t="inlineStr">
        <is>
          <t>no_year_in_pairs</t>
        </is>
      </c>
      <c r="C251" t="inlineStr">
        <is>
          <t>EBS.20.72, Sup. 1</t>
        </is>
      </c>
      <c r="D251" t="inlineStr">
        <is>
          <t>Dominica</t>
        </is>
      </c>
      <c r="E251" t="inlineStr">
        <is>
          <t>DMA</t>
        </is>
      </c>
      <c r="G251" t="inlineStr">
        <is>
          <t>2018gn</t>
        </is>
      </c>
      <c r="H251" t="n">
        <v>2019</v>
      </c>
    </row>
    <row r="252">
      <c r="A252" t="inlineStr">
        <is>
          <t>no_year_in_pairs</t>
        </is>
      </c>
      <c r="C252" t="inlineStr">
        <is>
          <t>EBS.20.72, Sup. 1</t>
        </is>
      </c>
      <c r="D252" t="inlineStr">
        <is>
          <t>Dominica</t>
        </is>
      </c>
      <c r="E252" t="inlineStr">
        <is>
          <t>DMA</t>
        </is>
      </c>
      <c r="G252" t="inlineStr">
        <is>
          <t>2018gn</t>
        </is>
      </c>
      <c r="H252" t="n">
        <v>2019</v>
      </c>
    </row>
    <row r="253">
      <c r="A253" t="inlineStr">
        <is>
          <t>no_year_in_pairs</t>
        </is>
      </c>
      <c r="C253" t="inlineStr">
        <is>
          <t>EBS.20.72, Sup. 1</t>
        </is>
      </c>
      <c r="D253" t="inlineStr">
        <is>
          <t>Dominica</t>
        </is>
      </c>
      <c r="E253" t="inlineStr">
        <is>
          <t>DMA</t>
        </is>
      </c>
      <c r="G253" t="inlineStr">
        <is>
          <t>2018gn</t>
        </is>
      </c>
      <c r="H253" t="n">
        <v>2019</v>
      </c>
    </row>
    <row r="254">
      <c r="A254" t="inlineStr">
        <is>
          <t>no_year_in_pairs</t>
        </is>
      </c>
      <c r="C254" t="inlineStr">
        <is>
          <t>EBS.20.72, Sup. 1</t>
        </is>
      </c>
      <c r="D254" t="inlineStr">
        <is>
          <t>Dominica</t>
        </is>
      </c>
      <c r="E254" t="inlineStr">
        <is>
          <t>DMA</t>
        </is>
      </c>
      <c r="G254" t="inlineStr">
        <is>
          <t>2018gn</t>
        </is>
      </c>
      <c r="H254" t="n">
        <v>2019</v>
      </c>
    </row>
    <row r="255">
      <c r="A255" t="inlineStr">
        <is>
          <t>no_year_in_pairs</t>
        </is>
      </c>
      <c r="C255" t="inlineStr">
        <is>
          <t>EBS.20.72, Sup. 1</t>
        </is>
      </c>
      <c r="D255" t="inlineStr">
        <is>
          <t>Dominica</t>
        </is>
      </c>
      <c r="E255" t="inlineStr">
        <is>
          <t>DMA</t>
        </is>
      </c>
      <c r="G255" t="inlineStr">
        <is>
          <t>2018gn</t>
        </is>
      </c>
      <c r="H255" t="n">
        <v>2019</v>
      </c>
    </row>
    <row r="256">
      <c r="A256" t="inlineStr">
        <is>
          <t>no_year_in_pairs</t>
        </is>
      </c>
      <c r="C256" t="inlineStr">
        <is>
          <t>EBS.20.72, Sup. 1</t>
        </is>
      </c>
      <c r="D256" t="inlineStr">
        <is>
          <t>Dominica</t>
        </is>
      </c>
      <c r="E256" t="inlineStr">
        <is>
          <t>DMA</t>
        </is>
      </c>
      <c r="G256" t="inlineStr">
        <is>
          <t>2018gn</t>
        </is>
      </c>
      <c r="H256" t="n">
        <v>2019</v>
      </c>
    </row>
    <row r="257">
      <c r="A257" t="inlineStr">
        <is>
          <t>no_year_in_pairs</t>
        </is>
      </c>
      <c r="C257" t="inlineStr">
        <is>
          <t>EBS.20.72, Sup. 1</t>
        </is>
      </c>
      <c r="D257" t="inlineStr">
        <is>
          <t>Dominica</t>
        </is>
      </c>
      <c r="E257" t="inlineStr">
        <is>
          <t>DMA</t>
        </is>
      </c>
      <c r="G257" t="inlineStr">
        <is>
          <t>2018gn</t>
        </is>
      </c>
      <c r="H257" t="n">
        <v>2019</v>
      </c>
    </row>
    <row r="258">
      <c r="A258" t="inlineStr">
        <is>
          <t>no_year_in_pairs</t>
        </is>
      </c>
      <c r="C258" t="inlineStr">
        <is>
          <t>EBS.20.72, Sup. 1</t>
        </is>
      </c>
      <c r="D258" t="inlineStr">
        <is>
          <t>Dominica</t>
        </is>
      </c>
      <c r="E258" t="inlineStr">
        <is>
          <t>DMA</t>
        </is>
      </c>
      <c r="G258" t="inlineStr">
        <is>
          <t>2018gn</t>
        </is>
      </c>
      <c r="H258" t="n">
        <v>2019</v>
      </c>
    </row>
    <row r="259">
      <c r="A259" t="inlineStr">
        <is>
          <t>no_year_in_pairs</t>
        </is>
      </c>
      <c r="C259" t="inlineStr">
        <is>
          <t>EBS.20.72, Sup. 1</t>
        </is>
      </c>
      <c r="D259" t="inlineStr">
        <is>
          <t>Dominica</t>
        </is>
      </c>
      <c r="E259" t="inlineStr">
        <is>
          <t>DMA</t>
        </is>
      </c>
      <c r="G259" t="inlineStr">
        <is>
          <t>2018gn</t>
        </is>
      </c>
      <c r="H259" t="n">
        <v>2019</v>
      </c>
    </row>
    <row r="260">
      <c r="A260" t="inlineStr">
        <is>
          <t>no_year_in_pairs</t>
        </is>
      </c>
      <c r="C260" t="inlineStr">
        <is>
          <t>EBS.20.72, Sup. 1</t>
        </is>
      </c>
      <c r="D260" t="inlineStr">
        <is>
          <t>Dominica</t>
        </is>
      </c>
      <c r="E260" t="inlineStr">
        <is>
          <t>DMA</t>
        </is>
      </c>
      <c r="G260" t="inlineStr">
        <is>
          <t>2018gn</t>
        </is>
      </c>
      <c r="H260" t="n">
        <v>2019</v>
      </c>
    </row>
    <row r="261">
      <c r="A261" t="inlineStr">
        <is>
          <t>no_year_in_pairs</t>
        </is>
      </c>
      <c r="C261" t="inlineStr">
        <is>
          <t>EBS.20.72, Sup. 1</t>
        </is>
      </c>
      <c r="D261" t="inlineStr">
        <is>
          <t>Dominica</t>
        </is>
      </c>
      <c r="E261" t="inlineStr">
        <is>
          <t>DMA</t>
        </is>
      </c>
      <c r="G261" t="inlineStr">
        <is>
          <t>2018gn</t>
        </is>
      </c>
      <c r="H261" t="n">
        <v>2019</v>
      </c>
    </row>
    <row r="262">
      <c r="A262" t="inlineStr">
        <is>
          <t>no_year_in_pairs</t>
        </is>
      </c>
      <c r="C262" t="inlineStr">
        <is>
          <t>EBS.20.72, Sup. 1</t>
        </is>
      </c>
      <c r="D262" t="inlineStr">
        <is>
          <t>Dominica</t>
        </is>
      </c>
      <c r="E262" t="inlineStr">
        <is>
          <t>DMA</t>
        </is>
      </c>
      <c r="G262" t="inlineStr">
        <is>
          <t>2018gn</t>
        </is>
      </c>
      <c r="H262" t="n">
        <v>2019</v>
      </c>
    </row>
    <row r="263">
      <c r="A263" t="inlineStr">
        <is>
          <t>no_year_in_pairs</t>
        </is>
      </c>
      <c r="C263" t="inlineStr">
        <is>
          <t>EBS.20.72, Sup. 1</t>
        </is>
      </c>
      <c r="D263" t="inlineStr">
        <is>
          <t>Dominica</t>
        </is>
      </c>
      <c r="E263" t="inlineStr">
        <is>
          <t>DMA</t>
        </is>
      </c>
      <c r="G263" t="inlineStr">
        <is>
          <t>2018gn</t>
        </is>
      </c>
      <c r="H263" t="n">
        <v>2019</v>
      </c>
    </row>
    <row r="264">
      <c r="A264" t="inlineStr">
        <is>
          <t>no_year_in_pairs</t>
        </is>
      </c>
      <c r="C264" t="inlineStr">
        <is>
          <t>EBS.20.72, Sup. 1</t>
        </is>
      </c>
      <c r="D264" t="inlineStr">
        <is>
          <t>Dominica</t>
        </is>
      </c>
      <c r="E264" t="inlineStr">
        <is>
          <t>DMA</t>
        </is>
      </c>
      <c r="G264" t="inlineStr">
        <is>
          <t>2018gn</t>
        </is>
      </c>
      <c r="H264" t="n">
        <v>2019</v>
      </c>
    </row>
    <row r="265">
      <c r="A265" t="inlineStr">
        <is>
          <t>no_year_in_pairs</t>
        </is>
      </c>
      <c r="C265" t="inlineStr">
        <is>
          <t>EBS.20.72, Sup. 1</t>
        </is>
      </c>
      <c r="D265" t="inlineStr">
        <is>
          <t>Dominica</t>
        </is>
      </c>
      <c r="E265" t="inlineStr">
        <is>
          <t>DMA</t>
        </is>
      </c>
      <c r="G265" t="inlineStr">
        <is>
          <t>2018gn</t>
        </is>
      </c>
      <c r="H265" t="n">
        <v>2019</v>
      </c>
    </row>
    <row r="266">
      <c r="A266" t="inlineStr">
        <is>
          <t>no_year_in_pairs</t>
        </is>
      </c>
      <c r="C266" t="inlineStr">
        <is>
          <t>EBS.20.72, Sup. 1</t>
        </is>
      </c>
      <c r="D266" t="inlineStr">
        <is>
          <t>Dominica</t>
        </is>
      </c>
      <c r="E266" t="inlineStr">
        <is>
          <t>DMA</t>
        </is>
      </c>
      <c r="G266" t="inlineStr">
        <is>
          <t>2018gn</t>
        </is>
      </c>
      <c r="H266" t="n">
        <v>2019</v>
      </c>
    </row>
    <row r="267">
      <c r="A267" t="inlineStr">
        <is>
          <t>no_year_in_pairs</t>
        </is>
      </c>
      <c r="C267" t="inlineStr">
        <is>
          <t>EBS.20.72, Sup. 1</t>
        </is>
      </c>
      <c r="D267" t="inlineStr">
        <is>
          <t>Dominica</t>
        </is>
      </c>
      <c r="E267" t="inlineStr">
        <is>
          <t>DMA</t>
        </is>
      </c>
      <c r="G267" t="inlineStr">
        <is>
          <t>2018gn</t>
        </is>
      </c>
      <c r="H267" t="n">
        <v>2019</v>
      </c>
    </row>
    <row r="268">
      <c r="A268" t="inlineStr">
        <is>
          <t>no_year_in_pairs</t>
        </is>
      </c>
      <c r="C268" t="inlineStr">
        <is>
          <t>EBS.20.72, Sup. 1</t>
        </is>
      </c>
      <c r="D268" t="inlineStr">
        <is>
          <t>Dominica</t>
        </is>
      </c>
      <c r="E268" t="inlineStr">
        <is>
          <t>DMA</t>
        </is>
      </c>
      <c r="G268" t="inlineStr">
        <is>
          <t>2018gn</t>
        </is>
      </c>
      <c r="H268" t="n">
        <v>2019</v>
      </c>
    </row>
    <row r="269">
      <c r="A269" t="inlineStr">
        <is>
          <t>no_year_in_pairs</t>
        </is>
      </c>
      <c r="C269" t="inlineStr">
        <is>
          <t>EBS.20.72, Sup. 1</t>
        </is>
      </c>
      <c r="D269" t="inlineStr">
        <is>
          <t>Dominica</t>
        </is>
      </c>
      <c r="E269" t="inlineStr">
        <is>
          <t>DMA</t>
        </is>
      </c>
      <c r="G269" t="inlineStr">
        <is>
          <t>2018gn</t>
        </is>
      </c>
      <c r="H269" t="n">
        <v>2019</v>
      </c>
    </row>
    <row r="270">
      <c r="A270" t="inlineStr">
        <is>
          <t>no_year_in_pairs</t>
        </is>
      </c>
      <c r="C270" t="inlineStr">
        <is>
          <t>EBS.20.72, Sup. 1</t>
        </is>
      </c>
      <c r="D270" t="inlineStr">
        <is>
          <t>Dominica</t>
        </is>
      </c>
      <c r="E270" t="inlineStr">
        <is>
          <t>DMA</t>
        </is>
      </c>
      <c r="G270" t="inlineStr">
        <is>
          <t>2018gn</t>
        </is>
      </c>
      <c r="H270" t="n">
        <v>2019</v>
      </c>
    </row>
    <row r="271">
      <c r="A271" t="inlineStr">
        <is>
          <t>no_year_in_pairs</t>
        </is>
      </c>
      <c r="C271" t="inlineStr">
        <is>
          <t>EBS.20.72, Sup. 1</t>
        </is>
      </c>
      <c r="D271" t="inlineStr">
        <is>
          <t>Dominica</t>
        </is>
      </c>
      <c r="E271" t="inlineStr">
        <is>
          <t>DMA</t>
        </is>
      </c>
      <c r="G271" t="inlineStr">
        <is>
          <t>2018gn</t>
        </is>
      </c>
      <c r="H271" t="n">
        <v>2019</v>
      </c>
    </row>
    <row r="272">
      <c r="A272" t="inlineStr">
        <is>
          <t>no_year_in_pairs</t>
        </is>
      </c>
      <c r="C272" t="inlineStr">
        <is>
          <t>EBS.20.72, Sup. 1</t>
        </is>
      </c>
      <c r="D272" t="inlineStr">
        <is>
          <t>Dominica</t>
        </is>
      </c>
      <c r="E272" t="inlineStr">
        <is>
          <t>DMA</t>
        </is>
      </c>
      <c r="G272" t="inlineStr">
        <is>
          <t>2018gn</t>
        </is>
      </c>
      <c r="H272" t="n">
        <v>2019</v>
      </c>
    </row>
    <row r="273">
      <c r="A273" t="inlineStr">
        <is>
          <t>no_year_in_pairs</t>
        </is>
      </c>
      <c r="C273" t="inlineStr">
        <is>
          <t>EBS.20.72, Sup. 1</t>
        </is>
      </c>
      <c r="D273" t="inlineStr">
        <is>
          <t>Dominica</t>
        </is>
      </c>
      <c r="E273" t="inlineStr">
        <is>
          <t>DMA</t>
        </is>
      </c>
      <c r="G273" t="inlineStr">
        <is>
          <t>2018gn</t>
        </is>
      </c>
      <c r="H273" t="n">
        <v>2019</v>
      </c>
    </row>
    <row r="274">
      <c r="A274" t="inlineStr">
        <is>
          <t>no_year_in_pairs</t>
        </is>
      </c>
      <c r="C274" t="inlineStr">
        <is>
          <t>EBS.20.72, Sup. 1</t>
        </is>
      </c>
      <c r="D274" t="inlineStr">
        <is>
          <t>Dominica</t>
        </is>
      </c>
      <c r="E274" t="inlineStr">
        <is>
          <t>DMA</t>
        </is>
      </c>
      <c r="G274" t="inlineStr">
        <is>
          <t>2018gn</t>
        </is>
      </c>
      <c r="H274" t="n">
        <v>2019</v>
      </c>
    </row>
    <row r="275">
      <c r="A275" t="inlineStr">
        <is>
          <t>no_year_in_pairs</t>
        </is>
      </c>
      <c r="C275" t="inlineStr">
        <is>
          <t>EBS.20.72, Sup. 1</t>
        </is>
      </c>
      <c r="D275" t="inlineStr">
        <is>
          <t>Dominica</t>
        </is>
      </c>
      <c r="E275" t="inlineStr">
        <is>
          <t>DMA</t>
        </is>
      </c>
      <c r="G275" t="inlineStr">
        <is>
          <t>2018gn</t>
        </is>
      </c>
      <c r="H275" t="n">
        <v>2019</v>
      </c>
    </row>
    <row r="276">
      <c r="A276" t="inlineStr">
        <is>
          <t>no_year_in_pairs</t>
        </is>
      </c>
      <c r="C276" t="inlineStr">
        <is>
          <t>EBS.20.72, Sup. 1</t>
        </is>
      </c>
      <c r="D276" t="inlineStr">
        <is>
          <t>Dominica</t>
        </is>
      </c>
      <c r="E276" t="inlineStr">
        <is>
          <t>DMA</t>
        </is>
      </c>
      <c r="G276" t="inlineStr">
        <is>
          <t>2018gn</t>
        </is>
      </c>
      <c r="H276" t="n">
        <v>2019</v>
      </c>
    </row>
    <row r="277">
      <c r="A277" t="inlineStr">
        <is>
          <t>no_year_in_pairs</t>
        </is>
      </c>
      <c r="C277" t="inlineStr">
        <is>
          <t>EBS.20.72, Sup. 1</t>
        </is>
      </c>
      <c r="D277" t="inlineStr">
        <is>
          <t>Dominica</t>
        </is>
      </c>
      <c r="E277" t="inlineStr">
        <is>
          <t>DMA</t>
        </is>
      </c>
      <c r="G277" t="inlineStr">
        <is>
          <t>2018gn</t>
        </is>
      </c>
      <c r="H277" t="n">
        <v>2019</v>
      </c>
    </row>
    <row r="278">
      <c r="A278" t="inlineStr">
        <is>
          <t>no_year_in_pairs</t>
        </is>
      </c>
      <c r="C278" t="inlineStr">
        <is>
          <t>EBS.20.72, Sup. 1</t>
        </is>
      </c>
      <c r="D278" t="inlineStr">
        <is>
          <t>Dominica</t>
        </is>
      </c>
      <c r="E278" t="inlineStr">
        <is>
          <t>DMA</t>
        </is>
      </c>
      <c r="G278" t="inlineStr">
        <is>
          <t>2018gn</t>
        </is>
      </c>
      <c r="H278" t="n">
        <v>2019</v>
      </c>
    </row>
    <row r="279">
      <c r="A279" t="inlineStr">
        <is>
          <t>no_year_in_pairs</t>
        </is>
      </c>
      <c r="C279" t="inlineStr">
        <is>
          <t>EBS.20.72, Sup. 1</t>
        </is>
      </c>
      <c r="D279" t="inlineStr">
        <is>
          <t>Dominica</t>
        </is>
      </c>
      <c r="E279" t="inlineStr">
        <is>
          <t>DMA</t>
        </is>
      </c>
      <c r="G279" t="inlineStr">
        <is>
          <t>2018gn</t>
        </is>
      </c>
      <c r="H279" t="n">
        <v>2019</v>
      </c>
    </row>
    <row r="280">
      <c r="A280" t="inlineStr">
        <is>
          <t>no_year_in_pairs</t>
        </is>
      </c>
      <c r="C280" t="inlineStr">
        <is>
          <t>EBS.20.72, Sup. 1</t>
        </is>
      </c>
      <c r="D280" t="inlineStr">
        <is>
          <t>Dominica</t>
        </is>
      </c>
      <c r="E280" t="inlineStr">
        <is>
          <t>DMA</t>
        </is>
      </c>
      <c r="G280" t="inlineStr">
        <is>
          <t>2018gn</t>
        </is>
      </c>
      <c r="H280" t="n">
        <v>2019</v>
      </c>
    </row>
    <row r="281">
      <c r="A281" t="inlineStr">
        <is>
          <t>no_year_in_pairs</t>
        </is>
      </c>
      <c r="C281" t="inlineStr">
        <is>
          <t>EBS.20.72, Sup. 1</t>
        </is>
      </c>
      <c r="D281" t="inlineStr">
        <is>
          <t>Dominica</t>
        </is>
      </c>
      <c r="E281" t="inlineStr">
        <is>
          <t>DMA</t>
        </is>
      </c>
      <c r="G281" t="inlineStr">
        <is>
          <t>2018gn</t>
        </is>
      </c>
      <c r="H281" t="n">
        <v>2019</v>
      </c>
    </row>
    <row r="282">
      <c r="A282" t="inlineStr">
        <is>
          <t>no_year_in_pairs</t>
        </is>
      </c>
      <c r="C282" t="inlineStr">
        <is>
          <t>EBS.20.72, Sup. 1</t>
        </is>
      </c>
      <c r="D282" t="inlineStr">
        <is>
          <t>Dominica</t>
        </is>
      </c>
      <c r="E282" t="inlineStr">
        <is>
          <t>DMA</t>
        </is>
      </c>
      <c r="G282" t="inlineStr">
        <is>
          <t>2018gn</t>
        </is>
      </c>
      <c r="H282" t="n">
        <v>2019</v>
      </c>
    </row>
    <row r="283">
      <c r="A283" t="inlineStr">
        <is>
          <t>no_year_in_pairs</t>
        </is>
      </c>
      <c r="C283" t="inlineStr">
        <is>
          <t>EBS.20.72, Sup. 1</t>
        </is>
      </c>
      <c r="D283" t="inlineStr">
        <is>
          <t>Dominica</t>
        </is>
      </c>
      <c r="E283" t="inlineStr">
        <is>
          <t>DMA</t>
        </is>
      </c>
      <c r="G283" t="inlineStr">
        <is>
          <t>2018gn</t>
        </is>
      </c>
      <c r="H283" t="n">
        <v>2019</v>
      </c>
    </row>
    <row r="284">
      <c r="A284" t="inlineStr">
        <is>
          <t>no_year_in_pairs</t>
        </is>
      </c>
      <c r="C284" t="inlineStr">
        <is>
          <t>EBS.20.72, Sup. 1</t>
        </is>
      </c>
      <c r="D284" t="inlineStr">
        <is>
          <t>Dominica</t>
        </is>
      </c>
      <c r="E284" t="inlineStr">
        <is>
          <t>DMA</t>
        </is>
      </c>
      <c r="G284" t="inlineStr">
        <is>
          <t>2018gn</t>
        </is>
      </c>
      <c r="H284" t="n">
        <v>2019</v>
      </c>
    </row>
    <row r="285">
      <c r="A285" t="inlineStr">
        <is>
          <t>no_year_in_pairs</t>
        </is>
      </c>
      <c r="C285" t="inlineStr">
        <is>
          <t>EBS.20.72, Sup. 1</t>
        </is>
      </c>
      <c r="D285" t="inlineStr">
        <is>
          <t>Dominica</t>
        </is>
      </c>
      <c r="E285" t="inlineStr">
        <is>
          <t>DMA</t>
        </is>
      </c>
      <c r="G285" t="inlineStr">
        <is>
          <t>2018gn</t>
        </is>
      </c>
      <c r="H285" t="n">
        <v>2019</v>
      </c>
    </row>
    <row r="286">
      <c r="A286" t="inlineStr">
        <is>
          <t>no_year_in_pairs</t>
        </is>
      </c>
      <c r="C286" t="inlineStr">
        <is>
          <t>EBS.20.72, Sup. 1</t>
        </is>
      </c>
      <c r="D286" t="inlineStr">
        <is>
          <t>Dominica</t>
        </is>
      </c>
      <c r="E286" t="inlineStr">
        <is>
          <t>DMA</t>
        </is>
      </c>
      <c r="G286" t="inlineStr">
        <is>
          <t>2018gn</t>
        </is>
      </c>
      <c r="H286" t="n">
        <v>2019</v>
      </c>
    </row>
    <row r="287">
      <c r="A287" t="inlineStr">
        <is>
          <t>no_year_in_pairs</t>
        </is>
      </c>
      <c r="C287" t="inlineStr">
        <is>
          <t>EBS.20.72, Sup. 1</t>
        </is>
      </c>
      <c r="D287" t="inlineStr">
        <is>
          <t>Dominica</t>
        </is>
      </c>
      <c r="E287" t="inlineStr">
        <is>
          <t>DMA</t>
        </is>
      </c>
      <c r="G287" t="inlineStr">
        <is>
          <t>2018gn</t>
        </is>
      </c>
      <c r="H287" t="n">
        <v>2019</v>
      </c>
    </row>
    <row r="288">
      <c r="A288" t="inlineStr">
        <is>
          <t>no_year_in_pairs</t>
        </is>
      </c>
      <c r="C288" t="inlineStr">
        <is>
          <t>EBS.20.72, Sup. 1</t>
        </is>
      </c>
      <c r="D288" t="inlineStr">
        <is>
          <t>Dominica</t>
        </is>
      </c>
      <c r="E288" t="inlineStr">
        <is>
          <t>DMA</t>
        </is>
      </c>
      <c r="G288" t="inlineStr">
        <is>
          <t>2018gn</t>
        </is>
      </c>
      <c r="H288" t="n">
        <v>2019</v>
      </c>
    </row>
    <row r="289">
      <c r="A289" t="inlineStr">
        <is>
          <t>no_year_in_pairs</t>
        </is>
      </c>
      <c r="C289" t="inlineStr">
        <is>
          <t>EBS.20.72, Sup. 1</t>
        </is>
      </c>
      <c r="D289" t="inlineStr">
        <is>
          <t>Dominica</t>
        </is>
      </c>
      <c r="E289" t="inlineStr">
        <is>
          <t>DMA</t>
        </is>
      </c>
      <c r="G289" t="inlineStr">
        <is>
          <t>2018gn</t>
        </is>
      </c>
      <c r="H289" t="n">
        <v>2019</v>
      </c>
    </row>
    <row r="290">
      <c r="A290" t="inlineStr">
        <is>
          <t>no_year_in_pairs</t>
        </is>
      </c>
      <c r="C290" t="inlineStr">
        <is>
          <t>EBS.20.72, Sup. 1</t>
        </is>
      </c>
      <c r="D290" t="inlineStr">
        <is>
          <t>Dominica</t>
        </is>
      </c>
      <c r="E290" t="inlineStr">
        <is>
          <t>DMA</t>
        </is>
      </c>
      <c r="G290" t="inlineStr">
        <is>
          <t>2018gn</t>
        </is>
      </c>
      <c r="H290" t="n">
        <v>2019</v>
      </c>
    </row>
    <row r="291">
      <c r="A291" t="inlineStr">
        <is>
          <t>no_year_in_pairs</t>
        </is>
      </c>
      <c r="C291" t="inlineStr">
        <is>
          <t>EBS.20.72, Sup. 1</t>
        </is>
      </c>
      <c r="D291" t="inlineStr">
        <is>
          <t>Dominica</t>
        </is>
      </c>
      <c r="E291" t="inlineStr">
        <is>
          <t>DMA</t>
        </is>
      </c>
      <c r="G291" t="inlineStr">
        <is>
          <t>2018gn</t>
        </is>
      </c>
      <c r="H291" t="n">
        <v>2019</v>
      </c>
    </row>
    <row r="292">
      <c r="A292" t="inlineStr">
        <is>
          <t>no_year_in_pairs</t>
        </is>
      </c>
      <c r="C292" t="inlineStr">
        <is>
          <t>EBS.20.72, Sup. 1</t>
        </is>
      </c>
      <c r="D292" t="inlineStr">
        <is>
          <t>Dominica</t>
        </is>
      </c>
      <c r="E292" t="inlineStr">
        <is>
          <t>DMA</t>
        </is>
      </c>
      <c r="G292" t="inlineStr">
        <is>
          <t>2018gn</t>
        </is>
      </c>
      <c r="H292" t="n">
        <v>2019</v>
      </c>
    </row>
    <row r="293">
      <c r="A293" t="inlineStr">
        <is>
          <t>no_year_in_pairs</t>
        </is>
      </c>
      <c r="C293" t="inlineStr">
        <is>
          <t>EBS.20.72, Sup. 1</t>
        </is>
      </c>
      <c r="D293" t="inlineStr">
        <is>
          <t>Dominica</t>
        </is>
      </c>
      <c r="E293" t="inlineStr">
        <is>
          <t>DMA</t>
        </is>
      </c>
      <c r="G293" t="inlineStr">
        <is>
          <t>2018gn</t>
        </is>
      </c>
      <c r="H293" t="n">
        <v>2019</v>
      </c>
    </row>
    <row r="294">
      <c r="A294" t="inlineStr">
        <is>
          <t>no_year_in_pairs</t>
        </is>
      </c>
      <c r="C294" t="inlineStr">
        <is>
          <t>EBS.20.72, Sup. 1</t>
        </is>
      </c>
      <c r="D294" t="inlineStr">
        <is>
          <t>Dominica</t>
        </is>
      </c>
      <c r="E294" t="inlineStr">
        <is>
          <t>DMA</t>
        </is>
      </c>
      <c r="G294" t="inlineStr">
        <is>
          <t>2018gn</t>
        </is>
      </c>
      <c r="H294" t="n">
        <v>2019</v>
      </c>
    </row>
    <row r="295">
      <c r="A295" t="inlineStr">
        <is>
          <t>no_year_in_pairs</t>
        </is>
      </c>
      <c r="C295" t="inlineStr">
        <is>
          <t>EBS.20.72, Sup. 1</t>
        </is>
      </c>
      <c r="D295" t="inlineStr">
        <is>
          <t>Dominica</t>
        </is>
      </c>
      <c r="E295" t="inlineStr">
        <is>
          <t>DMA</t>
        </is>
      </c>
      <c r="G295" t="inlineStr">
        <is>
          <t>2018gn</t>
        </is>
      </c>
      <c r="H295" t="n">
        <v>2019</v>
      </c>
    </row>
    <row r="296">
      <c r="A296" t="inlineStr">
        <is>
          <t>no_year_in_pairs</t>
        </is>
      </c>
      <c r="C296" t="inlineStr">
        <is>
          <t>EBS.20.72, Sup. 1</t>
        </is>
      </c>
      <c r="D296" t="inlineStr">
        <is>
          <t>Dominica</t>
        </is>
      </c>
      <c r="E296" t="inlineStr">
        <is>
          <t>DMA</t>
        </is>
      </c>
      <c r="G296" t="inlineStr">
        <is>
          <t>2018gn</t>
        </is>
      </c>
      <c r="H296" t="n">
        <v>2019</v>
      </c>
    </row>
    <row r="297">
      <c r="A297" t="inlineStr">
        <is>
          <t>no_year_in_pairs</t>
        </is>
      </c>
      <c r="C297" t="inlineStr">
        <is>
          <t>EBS.20.72, Sup. 1</t>
        </is>
      </c>
      <c r="D297" t="inlineStr">
        <is>
          <t>Dominica</t>
        </is>
      </c>
      <c r="E297" t="inlineStr">
        <is>
          <t>DMA</t>
        </is>
      </c>
      <c r="G297" t="inlineStr">
        <is>
          <t>2018gn</t>
        </is>
      </c>
      <c r="H297" t="n">
        <v>2019</v>
      </c>
    </row>
    <row r="298">
      <c r="A298" t="inlineStr">
        <is>
          <t>no_year_in_pairs</t>
        </is>
      </c>
      <c r="C298" t="inlineStr">
        <is>
          <t>EBS.20.72, Sup. 1</t>
        </is>
      </c>
      <c r="D298" t="inlineStr">
        <is>
          <t>Dominica</t>
        </is>
      </c>
      <c r="E298" t="inlineStr">
        <is>
          <t>DMA</t>
        </is>
      </c>
      <c r="G298" t="inlineStr">
        <is>
          <t>2018gn</t>
        </is>
      </c>
      <c r="H298" t="n">
        <v>2019</v>
      </c>
    </row>
    <row r="299">
      <c r="A299" t="inlineStr">
        <is>
          <t>no_year_in_pairs</t>
        </is>
      </c>
      <c r="C299" t="inlineStr">
        <is>
          <t>EBS.20.72, Sup. 1</t>
        </is>
      </c>
      <c r="D299" t="inlineStr">
        <is>
          <t>Dominica</t>
        </is>
      </c>
      <c r="E299" t="inlineStr">
        <is>
          <t>DMA</t>
        </is>
      </c>
      <c r="G299" t="inlineStr">
        <is>
          <t>2018gn</t>
        </is>
      </c>
      <c r="H299" t="n">
        <v>2019</v>
      </c>
    </row>
    <row r="300">
      <c r="A300" t="inlineStr">
        <is>
          <t>no_year_in_pairs</t>
        </is>
      </c>
      <c r="C300" t="inlineStr">
        <is>
          <t>EBS.20.72, Sup. 1</t>
        </is>
      </c>
      <c r="D300" t="inlineStr">
        <is>
          <t>Dominica</t>
        </is>
      </c>
      <c r="E300" t="inlineStr">
        <is>
          <t>DMA</t>
        </is>
      </c>
      <c r="G300" t="inlineStr">
        <is>
          <t>2018gn</t>
        </is>
      </c>
      <c r="H300" t="n">
        <v>2019</v>
      </c>
    </row>
    <row r="301">
      <c r="A301" t="inlineStr">
        <is>
          <t>no_year_in_pairs</t>
        </is>
      </c>
      <c r="C301" t="inlineStr">
        <is>
          <t>EBS.20.72, Sup. 1</t>
        </is>
      </c>
      <c r="D301" t="inlineStr">
        <is>
          <t>Dominica</t>
        </is>
      </c>
      <c r="E301" t="inlineStr">
        <is>
          <t>DMA</t>
        </is>
      </c>
      <c r="G301" t="inlineStr">
        <is>
          <t>2018gn</t>
        </is>
      </c>
      <c r="H301" t="n">
        <v>2019</v>
      </c>
    </row>
    <row r="302">
      <c r="A302" t="inlineStr">
        <is>
          <t>no_year_in_pairs</t>
        </is>
      </c>
      <c r="C302" t="inlineStr">
        <is>
          <t>EBS.20.72, Sup. 1</t>
        </is>
      </c>
      <c r="D302" t="inlineStr">
        <is>
          <t>Dominica</t>
        </is>
      </c>
      <c r="E302" t="inlineStr">
        <is>
          <t>DMA</t>
        </is>
      </c>
      <c r="G302" t="inlineStr">
        <is>
          <t>2018gn</t>
        </is>
      </c>
      <c r="H302" t="n">
        <v>2019</v>
      </c>
    </row>
    <row r="303">
      <c r="A303" t="inlineStr">
        <is>
          <t>no_year_in_pairs</t>
        </is>
      </c>
      <c r="C303" t="inlineStr">
        <is>
          <t>EBS.20.72, Sup. 1</t>
        </is>
      </c>
      <c r="D303" t="inlineStr">
        <is>
          <t>Dominica</t>
        </is>
      </c>
      <c r="E303" t="inlineStr">
        <is>
          <t>DMA</t>
        </is>
      </c>
      <c r="G303" t="inlineStr">
        <is>
          <t>2018gn</t>
        </is>
      </c>
      <c r="H303" t="n">
        <v>2019</v>
      </c>
    </row>
    <row r="304">
      <c r="A304" t="inlineStr">
        <is>
          <t>no_year_in_pairs</t>
        </is>
      </c>
      <c r="C304" t="inlineStr">
        <is>
          <t>EBS.20.72, Sup. 1</t>
        </is>
      </c>
      <c r="D304" t="inlineStr">
        <is>
          <t>Dominica</t>
        </is>
      </c>
      <c r="E304" t="inlineStr">
        <is>
          <t>DMA</t>
        </is>
      </c>
      <c r="G304" t="inlineStr">
        <is>
          <t>2018gn</t>
        </is>
      </c>
      <c r="H304" t="n">
        <v>2019</v>
      </c>
    </row>
    <row r="305">
      <c r="A305" t="inlineStr">
        <is>
          <t>no_year_in_pairs</t>
        </is>
      </c>
      <c r="C305" t="inlineStr">
        <is>
          <t>EBS.20.72, Sup. 1</t>
        </is>
      </c>
      <c r="D305" t="inlineStr">
        <is>
          <t>Dominica</t>
        </is>
      </c>
      <c r="E305" t="inlineStr">
        <is>
          <t>DMA</t>
        </is>
      </c>
      <c r="G305" t="inlineStr">
        <is>
          <t>2018gn</t>
        </is>
      </c>
      <c r="H305" t="n">
        <v>2019</v>
      </c>
    </row>
    <row r="306">
      <c r="A306" t="inlineStr">
        <is>
          <t>no_year_in_pairs</t>
        </is>
      </c>
      <c r="C306" t="inlineStr">
        <is>
          <t>EBS.20.72, Sup. 1</t>
        </is>
      </c>
      <c r="D306" t="inlineStr">
        <is>
          <t>Dominica</t>
        </is>
      </c>
      <c r="E306" t="inlineStr">
        <is>
          <t>DMA</t>
        </is>
      </c>
      <c r="G306" t="inlineStr">
        <is>
          <t>2018gn</t>
        </is>
      </c>
      <c r="H306" t="n">
        <v>2019</v>
      </c>
    </row>
    <row r="307">
      <c r="A307" t="inlineStr">
        <is>
          <t>no_year_in_pairs</t>
        </is>
      </c>
      <c r="C307" t="inlineStr">
        <is>
          <t>EBS.20.72, Sup. 1</t>
        </is>
      </c>
      <c r="D307" t="inlineStr">
        <is>
          <t>Dominica</t>
        </is>
      </c>
      <c r="E307" t="inlineStr">
        <is>
          <t>DMA</t>
        </is>
      </c>
      <c r="G307" t="inlineStr">
        <is>
          <t>2018gn</t>
        </is>
      </c>
      <c r="H307" t="n">
        <v>2019</v>
      </c>
    </row>
    <row r="308">
      <c r="A308" t="inlineStr">
        <is>
          <t>no_year_in_pairs</t>
        </is>
      </c>
      <c r="C308" t="inlineStr">
        <is>
          <t>EBS.20.72, Sup. 1</t>
        </is>
      </c>
      <c r="D308" t="inlineStr">
        <is>
          <t>Dominica</t>
        </is>
      </c>
      <c r="E308" t="inlineStr">
        <is>
          <t>DMA</t>
        </is>
      </c>
      <c r="G308" t="inlineStr">
        <is>
          <t>2018gn</t>
        </is>
      </c>
      <c r="H308" t="n">
        <v>2019</v>
      </c>
    </row>
    <row r="309">
      <c r="A309" t="inlineStr">
        <is>
          <t>no_year_in_pairs</t>
        </is>
      </c>
      <c r="C309" t="inlineStr">
        <is>
          <t>EBS.20.72, Sup. 1</t>
        </is>
      </c>
      <c r="D309" t="inlineStr">
        <is>
          <t>Dominica</t>
        </is>
      </c>
      <c r="E309" t="inlineStr">
        <is>
          <t>DMA</t>
        </is>
      </c>
      <c r="G309" t="inlineStr">
        <is>
          <t>2018gn</t>
        </is>
      </c>
      <c r="H309" t="n">
        <v>2019</v>
      </c>
    </row>
    <row r="310">
      <c r="A310" t="inlineStr">
        <is>
          <t>no_year_in_pairs</t>
        </is>
      </c>
      <c r="C310" t="inlineStr">
        <is>
          <t>EBS.20.72, Sup. 1</t>
        </is>
      </c>
      <c r="D310" t="inlineStr">
        <is>
          <t>Dominica</t>
        </is>
      </c>
      <c r="E310" t="inlineStr">
        <is>
          <t>DMA</t>
        </is>
      </c>
      <c r="G310" t="inlineStr">
        <is>
          <t>2018gn</t>
        </is>
      </c>
      <c r="H310" t="n">
        <v>2019</v>
      </c>
    </row>
    <row r="311">
      <c r="A311" t="inlineStr">
        <is>
          <t>no_year_in_pairs</t>
        </is>
      </c>
      <c r="C311" t="inlineStr">
        <is>
          <t>EBS.20.72, Sup. 1</t>
        </is>
      </c>
      <c r="D311" t="inlineStr">
        <is>
          <t>Dominica</t>
        </is>
      </c>
      <c r="E311" t="inlineStr">
        <is>
          <t>DMA</t>
        </is>
      </c>
      <c r="G311" t="inlineStr">
        <is>
          <t>2018gn</t>
        </is>
      </c>
      <c r="H311" t="n">
        <v>2019</v>
      </c>
    </row>
    <row r="312">
      <c r="A312" t="inlineStr">
        <is>
          <t>no_year_in_pairs</t>
        </is>
      </c>
      <c r="C312" t="inlineStr">
        <is>
          <t>EBS.20.72, Sup. 1</t>
        </is>
      </c>
      <c r="D312" t="inlineStr">
        <is>
          <t>Dominica</t>
        </is>
      </c>
      <c r="E312" t="inlineStr">
        <is>
          <t>DMA</t>
        </is>
      </c>
      <c r="G312" t="inlineStr">
        <is>
          <t>2018gn</t>
        </is>
      </c>
      <c r="H312" t="n">
        <v>2019</v>
      </c>
    </row>
    <row r="313">
      <c r="A313" t="inlineStr">
        <is>
          <t>no_year_in_pairs</t>
        </is>
      </c>
      <c r="C313" t="inlineStr">
        <is>
          <t>EBS.20.72, Sup. 1</t>
        </is>
      </c>
      <c r="D313" t="inlineStr">
        <is>
          <t>Dominica</t>
        </is>
      </c>
      <c r="E313" t="inlineStr">
        <is>
          <t>DMA</t>
        </is>
      </c>
      <c r="G313" t="inlineStr">
        <is>
          <t>2018gn</t>
        </is>
      </c>
      <c r="H313" t="n">
        <v>2019</v>
      </c>
    </row>
    <row r="314">
      <c r="A314" t="inlineStr">
        <is>
          <t>no_year_in_pairs</t>
        </is>
      </c>
      <c r="C314" t="inlineStr">
        <is>
          <t>EBS.20.72, Sup. 1</t>
        </is>
      </c>
      <c r="D314" t="inlineStr">
        <is>
          <t>Dominica</t>
        </is>
      </c>
      <c r="E314" t="inlineStr">
        <is>
          <t>DMA</t>
        </is>
      </c>
      <c r="G314" t="inlineStr">
        <is>
          <t>2018gn</t>
        </is>
      </c>
      <c r="H314" t="n">
        <v>2019</v>
      </c>
    </row>
    <row r="315">
      <c r="A315" t="inlineStr">
        <is>
          <t>no_year_in_pairs</t>
        </is>
      </c>
      <c r="C315" t="inlineStr">
        <is>
          <t>EBS.20.72, Sup. 1</t>
        </is>
      </c>
      <c r="D315" t="inlineStr">
        <is>
          <t>Dominica</t>
        </is>
      </c>
      <c r="E315" t="inlineStr">
        <is>
          <t>DMA</t>
        </is>
      </c>
      <c r="G315" t="inlineStr">
        <is>
          <t>2018gn</t>
        </is>
      </c>
      <c r="H315" t="n">
        <v>2019</v>
      </c>
    </row>
    <row r="316">
      <c r="A316" t="inlineStr">
        <is>
          <t>no_year_in_pairs</t>
        </is>
      </c>
      <c r="C316" t="inlineStr">
        <is>
          <t>EBS.20.72, Sup. 1</t>
        </is>
      </c>
      <c r="D316" t="inlineStr">
        <is>
          <t>Dominica</t>
        </is>
      </c>
      <c r="E316" t="inlineStr">
        <is>
          <t>DMA</t>
        </is>
      </c>
      <c r="G316" t="inlineStr">
        <is>
          <t>2018gn</t>
        </is>
      </c>
      <c r="H316" t="n">
        <v>2019</v>
      </c>
    </row>
    <row r="317">
      <c r="A317" t="inlineStr">
        <is>
          <t>no_year_in_pairs</t>
        </is>
      </c>
      <c r="C317" t="inlineStr">
        <is>
          <t>EBS.20.72, Sup. 1</t>
        </is>
      </c>
      <c r="D317" t="inlineStr">
        <is>
          <t>Dominica</t>
        </is>
      </c>
      <c r="E317" t="inlineStr">
        <is>
          <t>DMA</t>
        </is>
      </c>
      <c r="G317" t="inlineStr">
        <is>
          <t>2018gn</t>
        </is>
      </c>
      <c r="H317" t="n">
        <v>2019</v>
      </c>
    </row>
    <row r="318">
      <c r="A318" t="inlineStr">
        <is>
          <t>no_year_in_pairs</t>
        </is>
      </c>
      <c r="C318" t="inlineStr">
        <is>
          <t>EBS.20.72, Sup. 1</t>
        </is>
      </c>
      <c r="D318" t="inlineStr">
        <is>
          <t>Dominica</t>
        </is>
      </c>
      <c r="E318" t="inlineStr">
        <is>
          <t>DMA</t>
        </is>
      </c>
      <c r="G318" t="inlineStr">
        <is>
          <t>2018gn</t>
        </is>
      </c>
      <c r="H318" t="n">
        <v>2019</v>
      </c>
    </row>
    <row r="319">
      <c r="A319" t="inlineStr">
        <is>
          <t>no_year_in_pairs</t>
        </is>
      </c>
      <c r="C319" t="inlineStr">
        <is>
          <t>EBS.20.72, Sup. 1</t>
        </is>
      </c>
      <c r="D319" t="inlineStr">
        <is>
          <t>Dominica</t>
        </is>
      </c>
      <c r="E319" t="inlineStr">
        <is>
          <t>DMA</t>
        </is>
      </c>
      <c r="G319" t="inlineStr">
        <is>
          <t>2018gn</t>
        </is>
      </c>
      <c r="H319" t="n">
        <v>2019</v>
      </c>
    </row>
    <row r="320">
      <c r="A320" t="inlineStr">
        <is>
          <t>no_year_in_pairs</t>
        </is>
      </c>
      <c r="C320" t="inlineStr">
        <is>
          <t>EBS.20.72, Sup. 1</t>
        </is>
      </c>
      <c r="D320" t="inlineStr">
        <is>
          <t>Dominica</t>
        </is>
      </c>
      <c r="E320" t="inlineStr">
        <is>
          <t>DMA</t>
        </is>
      </c>
      <c r="G320" t="inlineStr">
        <is>
          <t>2018gn</t>
        </is>
      </c>
      <c r="H320" t="n">
        <v>2019</v>
      </c>
    </row>
    <row r="321">
      <c r="A321" t="inlineStr">
        <is>
          <t>no_year_in_pairs</t>
        </is>
      </c>
      <c r="C321" t="inlineStr">
        <is>
          <t>EBS.20.72, Sup. 1</t>
        </is>
      </c>
      <c r="D321" t="inlineStr">
        <is>
          <t>Dominica</t>
        </is>
      </c>
      <c r="E321" t="inlineStr">
        <is>
          <t>DMA</t>
        </is>
      </c>
      <c r="G321" t="inlineStr">
        <is>
          <t>2018gn</t>
        </is>
      </c>
      <c r="H321" t="n">
        <v>2019</v>
      </c>
    </row>
    <row r="322">
      <c r="A322" t="inlineStr">
        <is>
          <t>no_year_in_pairs</t>
        </is>
      </c>
      <c r="C322" t="inlineStr">
        <is>
          <t>EBS.20.72, Sup. 1</t>
        </is>
      </c>
      <c r="D322" t="inlineStr">
        <is>
          <t>Dominica</t>
        </is>
      </c>
      <c r="E322" t="inlineStr">
        <is>
          <t>DMA</t>
        </is>
      </c>
      <c r="G322" t="inlineStr">
        <is>
          <t>2018gn</t>
        </is>
      </c>
      <c r="H322" t="n">
        <v>2019</v>
      </c>
    </row>
    <row r="323">
      <c r="A323" t="inlineStr">
        <is>
          <t>no_year_in_pairs</t>
        </is>
      </c>
      <c r="C323" t="inlineStr">
        <is>
          <t>EBS.20.72, Sup. 1</t>
        </is>
      </c>
      <c r="D323" t="inlineStr">
        <is>
          <t>Dominica</t>
        </is>
      </c>
      <c r="E323" t="inlineStr">
        <is>
          <t>DMA</t>
        </is>
      </c>
      <c r="G323" t="inlineStr">
        <is>
          <t>2018gn</t>
        </is>
      </c>
      <c r="H323" t="n">
        <v>2019</v>
      </c>
    </row>
    <row r="324">
      <c r="A324" t="inlineStr">
        <is>
          <t>no_year_in_pairs</t>
        </is>
      </c>
      <c r="C324" t="inlineStr">
        <is>
          <t>EBS.20.72, Sup. 1</t>
        </is>
      </c>
      <c r="D324" t="inlineStr">
        <is>
          <t>Dominica</t>
        </is>
      </c>
      <c r="E324" t="inlineStr">
        <is>
          <t>DMA</t>
        </is>
      </c>
      <c r="G324" t="inlineStr">
        <is>
          <t>2018gn</t>
        </is>
      </c>
      <c r="H324" t="n">
        <v>2019</v>
      </c>
    </row>
    <row r="325">
      <c r="A325" t="inlineStr">
        <is>
          <t>no_year_in_pairs</t>
        </is>
      </c>
      <c r="C325" t="inlineStr">
        <is>
          <t>EBS.20.72, Sup. 1</t>
        </is>
      </c>
      <c r="D325" t="inlineStr">
        <is>
          <t>Dominica</t>
        </is>
      </c>
      <c r="E325" t="inlineStr">
        <is>
          <t>DMA</t>
        </is>
      </c>
      <c r="G325" t="inlineStr">
        <is>
          <t>2018gn</t>
        </is>
      </c>
      <c r="H325" t="n">
        <v>2019</v>
      </c>
    </row>
    <row r="326">
      <c r="A326" t="inlineStr">
        <is>
          <t>no_year_in_pairs</t>
        </is>
      </c>
      <c r="C326" t="inlineStr">
        <is>
          <t>EBS.20.72, Sup. 1</t>
        </is>
      </c>
      <c r="D326" t="inlineStr">
        <is>
          <t>Dominica</t>
        </is>
      </c>
      <c r="E326" t="inlineStr">
        <is>
          <t>DMA</t>
        </is>
      </c>
      <c r="G326" t="inlineStr">
        <is>
          <t>2018gn</t>
        </is>
      </c>
      <c r="H326" t="n">
        <v>2019</v>
      </c>
    </row>
    <row r="327">
      <c r="A327" t="inlineStr">
        <is>
          <t>no_year_in_pairs</t>
        </is>
      </c>
      <c r="C327" t="inlineStr">
        <is>
          <t>EBS.20.72, Sup. 1</t>
        </is>
      </c>
      <c r="D327" t="inlineStr">
        <is>
          <t>Dominica</t>
        </is>
      </c>
      <c r="E327" t="inlineStr">
        <is>
          <t>DMA</t>
        </is>
      </c>
      <c r="G327" t="inlineStr">
        <is>
          <t>2018gn</t>
        </is>
      </c>
      <c r="H327" t="n">
        <v>2019</v>
      </c>
    </row>
    <row r="328">
      <c r="A328" t="inlineStr">
        <is>
          <t>no_year_in_pairs</t>
        </is>
      </c>
      <c r="C328" t="inlineStr">
        <is>
          <t>EBS.20.72, Sup. 1</t>
        </is>
      </c>
      <c r="D328" t="inlineStr">
        <is>
          <t>Dominica</t>
        </is>
      </c>
      <c r="E328" t="inlineStr">
        <is>
          <t>DMA</t>
        </is>
      </c>
      <c r="G328" t="inlineStr">
        <is>
          <t>2018gn</t>
        </is>
      </c>
      <c r="H328" t="n">
        <v>2019</v>
      </c>
    </row>
    <row r="329">
      <c r="A329" t="inlineStr">
        <is>
          <t>no_year_in_pairs</t>
        </is>
      </c>
      <c r="C329" t="inlineStr">
        <is>
          <t>EBS.20.72, Sup. 1</t>
        </is>
      </c>
      <c r="D329" t="inlineStr">
        <is>
          <t>Dominica</t>
        </is>
      </c>
      <c r="E329" t="inlineStr">
        <is>
          <t>DMA</t>
        </is>
      </c>
      <c r="G329" t="inlineStr">
        <is>
          <t>2018gn</t>
        </is>
      </c>
      <c r="H329" t="n">
        <v>2019</v>
      </c>
    </row>
    <row r="330">
      <c r="A330" t="inlineStr">
        <is>
          <t>no_year_in_pairs</t>
        </is>
      </c>
      <c r="C330" t="inlineStr">
        <is>
          <t>EBS.20.72, Sup. 1</t>
        </is>
      </c>
      <c r="D330" t="inlineStr">
        <is>
          <t>Dominica</t>
        </is>
      </c>
      <c r="E330" t="inlineStr">
        <is>
          <t>DMA</t>
        </is>
      </c>
      <c r="G330" t="inlineStr">
        <is>
          <t>2018gn</t>
        </is>
      </c>
      <c r="H330" t="n">
        <v>2019</v>
      </c>
    </row>
    <row r="331">
      <c r="A331" t="inlineStr">
        <is>
          <t>no_year_in_pairs</t>
        </is>
      </c>
      <c r="C331" t="inlineStr">
        <is>
          <t>EBS.20.72, Sup. 1</t>
        </is>
      </c>
      <c r="D331" t="inlineStr">
        <is>
          <t>Dominica</t>
        </is>
      </c>
      <c r="E331" t="inlineStr">
        <is>
          <t>DMA</t>
        </is>
      </c>
      <c r="G331" t="inlineStr">
        <is>
          <t>2018gn</t>
        </is>
      </c>
      <c r="H331" t="n">
        <v>2019</v>
      </c>
    </row>
    <row r="332">
      <c r="A332" t="inlineStr">
        <is>
          <t>no_year_in_pairs</t>
        </is>
      </c>
      <c r="C332" t="inlineStr">
        <is>
          <t>EBS.20.72, Sup. 1</t>
        </is>
      </c>
      <c r="D332" t="inlineStr">
        <is>
          <t>Dominica</t>
        </is>
      </c>
      <c r="E332" t="inlineStr">
        <is>
          <t>DMA</t>
        </is>
      </c>
      <c r="G332" t="inlineStr">
        <is>
          <t>2018gn</t>
        </is>
      </c>
      <c r="H332" t="n">
        <v>2019</v>
      </c>
    </row>
    <row r="333">
      <c r="A333" t="inlineStr">
        <is>
          <t>no_year_in_pairs</t>
        </is>
      </c>
      <c r="C333" t="inlineStr">
        <is>
          <t>EBS.20.72, Sup. 1</t>
        </is>
      </c>
      <c r="D333" t="inlineStr">
        <is>
          <t>Dominica</t>
        </is>
      </c>
      <c r="E333" t="inlineStr">
        <is>
          <t>DMA</t>
        </is>
      </c>
      <c r="G333" t="inlineStr">
        <is>
          <t>2018gn</t>
        </is>
      </c>
      <c r="H333" t="n">
        <v>2019</v>
      </c>
    </row>
    <row r="334">
      <c r="A334" t="inlineStr">
        <is>
          <t>no_year_in_pairs</t>
        </is>
      </c>
      <c r="C334" t="inlineStr">
        <is>
          <t>EBS.20.72, Sup. 1</t>
        </is>
      </c>
      <c r="D334" t="inlineStr">
        <is>
          <t>Dominica</t>
        </is>
      </c>
      <c r="E334" t="inlineStr">
        <is>
          <t>DMA</t>
        </is>
      </c>
      <c r="G334" t="inlineStr">
        <is>
          <t>2018gn</t>
        </is>
      </c>
      <c r="H334" t="n">
        <v>2019</v>
      </c>
    </row>
    <row r="335">
      <c r="A335" t="inlineStr">
        <is>
          <t>no_year_in_pairs</t>
        </is>
      </c>
      <c r="C335" t="inlineStr">
        <is>
          <t>EBS.20.72, Sup. 1</t>
        </is>
      </c>
      <c r="D335" t="inlineStr">
        <is>
          <t>Dominica</t>
        </is>
      </c>
      <c r="E335" t="inlineStr">
        <is>
          <t>DMA</t>
        </is>
      </c>
      <c r="G335" t="inlineStr">
        <is>
          <t>2018gn</t>
        </is>
      </c>
      <c r="H335" t="n">
        <v>2019</v>
      </c>
    </row>
    <row r="336">
      <c r="A336" t="inlineStr">
        <is>
          <t>no_year_in_pairs</t>
        </is>
      </c>
      <c r="C336" t="inlineStr">
        <is>
          <t>EBS.20.72, Sup. 1</t>
        </is>
      </c>
      <c r="D336" t="inlineStr">
        <is>
          <t>Dominica</t>
        </is>
      </c>
      <c r="E336" t="inlineStr">
        <is>
          <t>DMA</t>
        </is>
      </c>
      <c r="G336" t="inlineStr">
        <is>
          <t>2018gn</t>
        </is>
      </c>
      <c r="H336" t="n">
        <v>2019</v>
      </c>
    </row>
    <row r="337">
      <c r="A337" t="inlineStr">
        <is>
          <t>no_year_in_pairs</t>
        </is>
      </c>
      <c r="C337" t="inlineStr">
        <is>
          <t>EBS.20.72, Sup. 1</t>
        </is>
      </c>
      <c r="D337" t="inlineStr">
        <is>
          <t>Dominica</t>
        </is>
      </c>
      <c r="E337" t="inlineStr">
        <is>
          <t>DMA</t>
        </is>
      </c>
      <c r="G337" t="inlineStr">
        <is>
          <t>2018gn</t>
        </is>
      </c>
      <c r="H337" t="n">
        <v>2019</v>
      </c>
    </row>
    <row r="338">
      <c r="A338" t="inlineStr">
        <is>
          <t>no_year_in_pairs</t>
        </is>
      </c>
      <c r="C338" t="inlineStr">
        <is>
          <t>EBS.20.72, Sup. 1</t>
        </is>
      </c>
      <c r="D338" t="inlineStr">
        <is>
          <t>Dominica</t>
        </is>
      </c>
      <c r="E338" t="inlineStr">
        <is>
          <t>DMA</t>
        </is>
      </c>
      <c r="G338" t="inlineStr">
        <is>
          <t>2018gn</t>
        </is>
      </c>
      <c r="H338" t="n">
        <v>2019</v>
      </c>
    </row>
    <row r="339">
      <c r="A339" t="inlineStr">
        <is>
          <t>no_year_in_pairs</t>
        </is>
      </c>
      <c r="C339" t="inlineStr">
        <is>
          <t>EBS.20.72, Sup. 1</t>
        </is>
      </c>
      <c r="D339" t="inlineStr">
        <is>
          <t>Dominica</t>
        </is>
      </c>
      <c r="E339" t="inlineStr">
        <is>
          <t>DMA</t>
        </is>
      </c>
      <c r="G339" t="inlineStr">
        <is>
          <t>2018gn</t>
        </is>
      </c>
      <c r="H339" t="n">
        <v>2019</v>
      </c>
    </row>
    <row r="340">
      <c r="A340" t="inlineStr">
        <is>
          <t>no_year_in_pairs</t>
        </is>
      </c>
      <c r="C340" t="inlineStr">
        <is>
          <t>EBS.20.72, Sup. 1</t>
        </is>
      </c>
      <c r="D340" t="inlineStr">
        <is>
          <t>Dominica</t>
        </is>
      </c>
      <c r="E340" t="inlineStr">
        <is>
          <t>DMA</t>
        </is>
      </c>
      <c r="G340" t="inlineStr">
        <is>
          <t>2018gn</t>
        </is>
      </c>
      <c r="H340" t="n">
        <v>2019</v>
      </c>
    </row>
    <row r="341">
      <c r="A341" t="inlineStr">
        <is>
          <t>no_year_in_pairs</t>
        </is>
      </c>
      <c r="C341" t="inlineStr">
        <is>
          <t>EBS.20.72, Sup. 1</t>
        </is>
      </c>
      <c r="D341" t="inlineStr">
        <is>
          <t>Dominica</t>
        </is>
      </c>
      <c r="E341" t="inlineStr">
        <is>
          <t>DMA</t>
        </is>
      </c>
      <c r="G341" t="inlineStr">
        <is>
          <t>2018gn</t>
        </is>
      </c>
      <c r="H341" t="n">
        <v>2019</v>
      </c>
    </row>
    <row r="342">
      <c r="A342" t="inlineStr">
        <is>
          <t>no_year_in_pairs</t>
        </is>
      </c>
      <c r="C342" t="inlineStr">
        <is>
          <t>EBS.20.72, Sup. 1</t>
        </is>
      </c>
      <c r="D342" t="inlineStr">
        <is>
          <t>Dominica</t>
        </is>
      </c>
      <c r="E342" t="inlineStr">
        <is>
          <t>DMA</t>
        </is>
      </c>
      <c r="G342" t="inlineStr">
        <is>
          <t>2018gn</t>
        </is>
      </c>
      <c r="H342" t="n">
        <v>2019</v>
      </c>
    </row>
    <row r="343">
      <c r="A343" t="inlineStr">
        <is>
          <t>no_year_in_pairs</t>
        </is>
      </c>
      <c r="C343" t="inlineStr">
        <is>
          <t>EBS.20.72, Sup. 1</t>
        </is>
      </c>
      <c r="D343" t="inlineStr">
        <is>
          <t>Dominica</t>
        </is>
      </c>
      <c r="E343" t="inlineStr">
        <is>
          <t>DMA</t>
        </is>
      </c>
      <c r="G343" t="inlineStr">
        <is>
          <t>2018gn</t>
        </is>
      </c>
      <c r="H343" t="n">
        <v>2019</v>
      </c>
    </row>
    <row r="344">
      <c r="A344" t="inlineStr">
        <is>
          <t>no_year_in_pairs</t>
        </is>
      </c>
      <c r="C344" t="inlineStr">
        <is>
          <t>EBS.20.72, Sup. 1</t>
        </is>
      </c>
      <c r="D344" t="inlineStr">
        <is>
          <t>Dominica</t>
        </is>
      </c>
      <c r="E344" t="inlineStr">
        <is>
          <t>DMA</t>
        </is>
      </c>
      <c r="G344" t="inlineStr">
        <is>
          <t>2018gn</t>
        </is>
      </c>
      <c r="H344" t="n">
        <v>2019</v>
      </c>
    </row>
    <row r="345">
      <c r="A345" t="inlineStr">
        <is>
          <t>no_year_in_pairs</t>
        </is>
      </c>
      <c r="C345" t="inlineStr">
        <is>
          <t>EBS.20.72, Sup. 1</t>
        </is>
      </c>
      <c r="D345" t="inlineStr">
        <is>
          <t>Dominica</t>
        </is>
      </c>
      <c r="E345" t="inlineStr">
        <is>
          <t>DMA</t>
        </is>
      </c>
      <c r="G345" t="inlineStr">
        <is>
          <t>2018gn</t>
        </is>
      </c>
      <c r="H345" t="n">
        <v>2019</v>
      </c>
    </row>
    <row r="346">
      <c r="A346" t="inlineStr">
        <is>
          <t>no_year_in_pairs</t>
        </is>
      </c>
      <c r="C346" t="inlineStr">
        <is>
          <t>EBS.20.72, Sup. 1</t>
        </is>
      </c>
      <c r="D346" t="inlineStr">
        <is>
          <t>Dominica</t>
        </is>
      </c>
      <c r="E346" t="inlineStr">
        <is>
          <t>DMA</t>
        </is>
      </c>
      <c r="G346" t="inlineStr">
        <is>
          <t>2018gn</t>
        </is>
      </c>
      <c r="H346" t="n">
        <v>2019</v>
      </c>
    </row>
    <row r="347">
      <c r="A347" t="inlineStr">
        <is>
          <t>no_year_in_pairs</t>
        </is>
      </c>
      <c r="C347" t="inlineStr">
        <is>
          <t>EBS.20.72, Sup. 1</t>
        </is>
      </c>
      <c r="D347" t="inlineStr">
        <is>
          <t>Dominica</t>
        </is>
      </c>
      <c r="E347" t="inlineStr">
        <is>
          <t>DMA</t>
        </is>
      </c>
      <c r="G347" t="inlineStr">
        <is>
          <t>2018gn</t>
        </is>
      </c>
      <c r="H347" t="n">
        <v>2019</v>
      </c>
    </row>
    <row r="348">
      <c r="A348" t="inlineStr">
        <is>
          <t>no_year_in_pairs</t>
        </is>
      </c>
      <c r="C348" t="inlineStr">
        <is>
          <t>EBS.20.72, Sup. 1</t>
        </is>
      </c>
      <c r="D348" t="inlineStr">
        <is>
          <t>Dominica</t>
        </is>
      </c>
      <c r="E348" t="inlineStr">
        <is>
          <t>DMA</t>
        </is>
      </c>
      <c r="G348" t="inlineStr">
        <is>
          <t>2018gn</t>
        </is>
      </c>
      <c r="H348" t="n">
        <v>2019</v>
      </c>
    </row>
    <row r="349">
      <c r="A349" t="inlineStr">
        <is>
          <t>no_year_in_pairs</t>
        </is>
      </c>
      <c r="C349" t="inlineStr">
        <is>
          <t>EBS.20.72, Sup. 1</t>
        </is>
      </c>
      <c r="D349" t="inlineStr">
        <is>
          <t>Dominica</t>
        </is>
      </c>
      <c r="E349" t="inlineStr">
        <is>
          <t>DMA</t>
        </is>
      </c>
      <c r="G349" t="inlineStr">
        <is>
          <t>2018gn</t>
        </is>
      </c>
      <c r="H349" t="n">
        <v>2019</v>
      </c>
    </row>
    <row r="350">
      <c r="A350" t="inlineStr">
        <is>
          <t>no_year_in_pairs</t>
        </is>
      </c>
      <c r="C350" t="inlineStr">
        <is>
          <t>EBS.20.72, Sup. 1</t>
        </is>
      </c>
      <c r="D350" t="inlineStr">
        <is>
          <t>Dominica</t>
        </is>
      </c>
      <c r="E350" t="inlineStr">
        <is>
          <t>DMA</t>
        </is>
      </c>
      <c r="G350" t="inlineStr">
        <is>
          <t>2018gn</t>
        </is>
      </c>
      <c r="H350" t="n">
        <v>2019</v>
      </c>
    </row>
    <row r="351">
      <c r="A351" t="inlineStr">
        <is>
          <t>no_year_in_pairs</t>
        </is>
      </c>
      <c r="C351" t="inlineStr">
        <is>
          <t>EBS.20.72, Sup. 1</t>
        </is>
      </c>
      <c r="D351" t="inlineStr">
        <is>
          <t>Dominica</t>
        </is>
      </c>
      <c r="E351" t="inlineStr">
        <is>
          <t>DMA</t>
        </is>
      </c>
      <c r="G351" t="inlineStr">
        <is>
          <t>2018gn</t>
        </is>
      </c>
      <c r="H351" t="n">
        <v>2019</v>
      </c>
    </row>
    <row r="352">
      <c r="A352" t="inlineStr">
        <is>
          <t>no_year_in_pairs</t>
        </is>
      </c>
      <c r="C352" t="inlineStr">
        <is>
          <t>EBS.20.72, Sup. 1</t>
        </is>
      </c>
      <c r="D352" t="inlineStr">
        <is>
          <t>Dominica</t>
        </is>
      </c>
      <c r="E352" t="inlineStr">
        <is>
          <t>DMA</t>
        </is>
      </c>
      <c r="G352" t="inlineStr">
        <is>
          <t>2018gn</t>
        </is>
      </c>
      <c r="H352" t="n">
        <v>2019</v>
      </c>
    </row>
    <row r="353">
      <c r="A353" t="inlineStr">
        <is>
          <t>no_year_in_pairs</t>
        </is>
      </c>
      <c r="C353" t="inlineStr">
        <is>
          <t>EBS.20.72, Sup. 1</t>
        </is>
      </c>
      <c r="D353" t="inlineStr">
        <is>
          <t>Dominica</t>
        </is>
      </c>
      <c r="E353" t="inlineStr">
        <is>
          <t>DMA</t>
        </is>
      </c>
      <c r="G353" t="inlineStr">
        <is>
          <t>2018gn</t>
        </is>
      </c>
      <c r="H353" t="n">
        <v>2019</v>
      </c>
    </row>
    <row r="354">
      <c r="A354" t="inlineStr">
        <is>
          <t>no_year_in_pairs</t>
        </is>
      </c>
      <c r="C354" t="inlineStr">
        <is>
          <t>EBS.20.72, Sup. 1</t>
        </is>
      </c>
      <c r="D354" t="inlineStr">
        <is>
          <t>Dominica</t>
        </is>
      </c>
      <c r="E354" t="inlineStr">
        <is>
          <t>DMA</t>
        </is>
      </c>
      <c r="G354" t="inlineStr">
        <is>
          <t>2018gn</t>
        </is>
      </c>
      <c r="H354" t="n">
        <v>2019</v>
      </c>
    </row>
    <row r="355">
      <c r="A355" t="inlineStr">
        <is>
          <t>no_year_in_pairs</t>
        </is>
      </c>
      <c r="C355" t="inlineStr">
        <is>
          <t>EBS.20.72, Sup. 1</t>
        </is>
      </c>
      <c r="D355" t="inlineStr">
        <is>
          <t>Dominica</t>
        </is>
      </c>
      <c r="E355" t="inlineStr">
        <is>
          <t>DMA</t>
        </is>
      </c>
      <c r="G355" t="inlineStr">
        <is>
          <t>2018gn</t>
        </is>
      </c>
      <c r="H355" t="n">
        <v>2019</v>
      </c>
    </row>
    <row r="356">
      <c r="A356" t="inlineStr">
        <is>
          <t>no_year_in_pairs</t>
        </is>
      </c>
      <c r="C356" t="inlineStr">
        <is>
          <t>EBS.20.72, Sup. 1</t>
        </is>
      </c>
      <c r="D356" t="inlineStr">
        <is>
          <t>Dominica</t>
        </is>
      </c>
      <c r="E356" t="inlineStr">
        <is>
          <t>DMA</t>
        </is>
      </c>
      <c r="G356" t="inlineStr">
        <is>
          <t>2018gn</t>
        </is>
      </c>
      <c r="H356" t="n">
        <v>2019</v>
      </c>
    </row>
    <row r="357">
      <c r="A357" t="inlineStr">
        <is>
          <t>no_year_in_pairs</t>
        </is>
      </c>
      <c r="C357" t="inlineStr">
        <is>
          <t>EBS.20.72, Sup. 1</t>
        </is>
      </c>
      <c r="D357" t="inlineStr">
        <is>
          <t>Dominica</t>
        </is>
      </c>
      <c r="E357" t="inlineStr">
        <is>
          <t>DMA</t>
        </is>
      </c>
      <c r="G357" t="inlineStr">
        <is>
          <t>2018gn</t>
        </is>
      </c>
      <c r="H357" t="n">
        <v>2019</v>
      </c>
    </row>
    <row r="358">
      <c r="A358" t="inlineStr">
        <is>
          <t>no_year_in_pairs</t>
        </is>
      </c>
      <c r="C358" t="inlineStr">
        <is>
          <t>EBS.20.72, Sup. 1</t>
        </is>
      </c>
      <c r="D358" t="inlineStr">
        <is>
          <t>Dominica</t>
        </is>
      </c>
      <c r="E358" t="inlineStr">
        <is>
          <t>DMA</t>
        </is>
      </c>
      <c r="G358" t="inlineStr">
        <is>
          <t>2018gn</t>
        </is>
      </c>
      <c r="H358" t="n">
        <v>2019</v>
      </c>
    </row>
    <row r="359">
      <c r="A359" t="inlineStr">
        <is>
          <t>no_year_in_pairs</t>
        </is>
      </c>
      <c r="C359" t="inlineStr">
        <is>
          <t>EBS.20.72, Sup. 1</t>
        </is>
      </c>
      <c r="D359" t="inlineStr">
        <is>
          <t>Dominica</t>
        </is>
      </c>
      <c r="E359" t="inlineStr">
        <is>
          <t>DMA</t>
        </is>
      </c>
      <c r="G359" t="inlineStr">
        <is>
          <t>2018gn</t>
        </is>
      </c>
      <c r="H359" t="n">
        <v>2019</v>
      </c>
    </row>
    <row r="360">
      <c r="A360" t="inlineStr">
        <is>
          <t>no_year_in_pairs</t>
        </is>
      </c>
      <c r="C360" t="inlineStr">
        <is>
          <t>EBS.20.72, Sup. 1</t>
        </is>
      </c>
      <c r="D360" t="inlineStr">
        <is>
          <t>Dominica</t>
        </is>
      </c>
      <c r="E360" t="inlineStr">
        <is>
          <t>DMA</t>
        </is>
      </c>
      <c r="G360" t="inlineStr">
        <is>
          <t>2018gn</t>
        </is>
      </c>
      <c r="H360" t="n">
        <v>2019</v>
      </c>
    </row>
    <row r="361">
      <c r="A361" t="inlineStr">
        <is>
          <t>no_year_in_pairs</t>
        </is>
      </c>
      <c r="C361" t="inlineStr">
        <is>
          <t>EBS.20.72, Sup. 1</t>
        </is>
      </c>
      <c r="D361" t="inlineStr">
        <is>
          <t>Dominica</t>
        </is>
      </c>
      <c r="E361" t="inlineStr">
        <is>
          <t>DMA</t>
        </is>
      </c>
      <c r="G361" t="inlineStr">
        <is>
          <t>2018gn</t>
        </is>
      </c>
      <c r="H361" t="n">
        <v>2019</v>
      </c>
    </row>
    <row r="362">
      <c r="A362" t="inlineStr">
        <is>
          <t>no_year_in_pairs</t>
        </is>
      </c>
      <c r="C362" t="inlineStr">
        <is>
          <t>EBS.20.72, Sup. 1</t>
        </is>
      </c>
      <c r="D362" t="inlineStr">
        <is>
          <t>Dominica</t>
        </is>
      </c>
      <c r="E362" t="inlineStr">
        <is>
          <t>DMA</t>
        </is>
      </c>
      <c r="G362" t="inlineStr">
        <is>
          <t>2018gn</t>
        </is>
      </c>
      <c r="H362" t="n">
        <v>2019</v>
      </c>
    </row>
    <row r="363">
      <c r="A363" t="inlineStr">
        <is>
          <t>no_year_in_pairs</t>
        </is>
      </c>
      <c r="C363" t="inlineStr">
        <is>
          <t>EBS.20.72, Sup. 1</t>
        </is>
      </c>
      <c r="D363" t="inlineStr">
        <is>
          <t>Dominica</t>
        </is>
      </c>
      <c r="E363" t="inlineStr">
        <is>
          <t>DMA</t>
        </is>
      </c>
      <c r="G363" t="inlineStr">
        <is>
          <t>2018gn</t>
        </is>
      </c>
      <c r="H363" t="n">
        <v>2019</v>
      </c>
    </row>
    <row r="364">
      <c r="A364" t="inlineStr">
        <is>
          <t>no_year_in_pairs</t>
        </is>
      </c>
      <c r="C364" t="inlineStr">
        <is>
          <t>EBS.20.72, Sup. 1</t>
        </is>
      </c>
      <c r="D364" t="inlineStr">
        <is>
          <t>Dominica</t>
        </is>
      </c>
      <c r="E364" t="inlineStr">
        <is>
          <t>DMA</t>
        </is>
      </c>
      <c r="G364" t="inlineStr">
        <is>
          <t>2018gn</t>
        </is>
      </c>
      <c r="H364" t="n">
        <v>2019</v>
      </c>
    </row>
    <row r="365">
      <c r="A365" t="inlineStr">
        <is>
          <t>no_year_in_pairs</t>
        </is>
      </c>
      <c r="C365" t="inlineStr">
        <is>
          <t>EBS.20.72, Sup. 1</t>
        </is>
      </c>
      <c r="D365" t="inlineStr">
        <is>
          <t>Dominica</t>
        </is>
      </c>
      <c r="E365" t="inlineStr">
        <is>
          <t>DMA</t>
        </is>
      </c>
      <c r="G365" t="inlineStr">
        <is>
          <t>2018gn</t>
        </is>
      </c>
      <c r="H365" t="n">
        <v>2019</v>
      </c>
    </row>
    <row r="366">
      <c r="A366" t="inlineStr">
        <is>
          <t>no_year_in_pairs</t>
        </is>
      </c>
      <c r="C366" t="inlineStr">
        <is>
          <t>EBS.20.72, Sup. 1</t>
        </is>
      </c>
      <c r="D366" t="inlineStr">
        <is>
          <t>Dominica</t>
        </is>
      </c>
      <c r="E366" t="inlineStr">
        <is>
          <t>DMA</t>
        </is>
      </c>
      <c r="G366" t="inlineStr">
        <is>
          <t>2018gn</t>
        </is>
      </c>
      <c r="H366" t="n">
        <v>2019</v>
      </c>
    </row>
    <row r="367">
      <c r="A367" t="inlineStr">
        <is>
          <t>no_year_in_pairs</t>
        </is>
      </c>
      <c r="C367" t="inlineStr">
        <is>
          <t>EBS.20.72, Sup. 1</t>
        </is>
      </c>
      <c r="D367" t="inlineStr">
        <is>
          <t>Dominica</t>
        </is>
      </c>
      <c r="E367" t="inlineStr">
        <is>
          <t>DMA</t>
        </is>
      </c>
      <c r="G367" t="inlineStr">
        <is>
          <t>2018gn</t>
        </is>
      </c>
      <c r="H367" t="n">
        <v>2019</v>
      </c>
    </row>
    <row r="368">
      <c r="A368" t="inlineStr">
        <is>
          <t>no_year_in_pairs</t>
        </is>
      </c>
      <c r="C368" t="inlineStr">
        <is>
          <t>EBS.20.72, Sup. 1</t>
        </is>
      </c>
      <c r="D368" t="inlineStr">
        <is>
          <t>Dominica</t>
        </is>
      </c>
      <c r="E368" t="inlineStr">
        <is>
          <t>DMA</t>
        </is>
      </c>
      <c r="G368" t="inlineStr">
        <is>
          <t>2018gn</t>
        </is>
      </c>
      <c r="H368" t="n">
        <v>2019</v>
      </c>
    </row>
    <row r="369">
      <c r="A369" t="inlineStr">
        <is>
          <t>no_year_in_pairs</t>
        </is>
      </c>
      <c r="C369" t="inlineStr">
        <is>
          <t>EBS.20.72, Sup. 1</t>
        </is>
      </c>
      <c r="D369" t="inlineStr">
        <is>
          <t>Dominica</t>
        </is>
      </c>
      <c r="E369" t="inlineStr">
        <is>
          <t>DMA</t>
        </is>
      </c>
      <c r="G369" t="inlineStr">
        <is>
          <t>2018gn</t>
        </is>
      </c>
      <c r="H369" t="n">
        <v>2019</v>
      </c>
    </row>
    <row r="370">
      <c r="A370" t="inlineStr">
        <is>
          <t>no_year_in_pairs</t>
        </is>
      </c>
      <c r="C370" t="inlineStr">
        <is>
          <t>EBS.20.72, Sup. 1</t>
        </is>
      </c>
      <c r="D370" t="inlineStr">
        <is>
          <t>Dominica</t>
        </is>
      </c>
      <c r="E370" t="inlineStr">
        <is>
          <t>DMA</t>
        </is>
      </c>
      <c r="G370" t="inlineStr">
        <is>
          <t>2018gn</t>
        </is>
      </c>
      <c r="H370" t="n">
        <v>2019</v>
      </c>
    </row>
    <row r="371">
      <c r="A371" t="inlineStr">
        <is>
          <t>no_year_in_pairs</t>
        </is>
      </c>
      <c r="C371" t="inlineStr">
        <is>
          <t>EBS.20.72, Sup. 1</t>
        </is>
      </c>
      <c r="D371" t="inlineStr">
        <is>
          <t>Dominica</t>
        </is>
      </c>
      <c r="E371" t="inlineStr">
        <is>
          <t>DMA</t>
        </is>
      </c>
      <c r="G371" t="inlineStr">
        <is>
          <t>2018gn</t>
        </is>
      </c>
      <c r="H371" t="n">
        <v>2019</v>
      </c>
    </row>
    <row r="372">
      <c r="A372" t="inlineStr">
        <is>
          <t>no_year_in_pairs</t>
        </is>
      </c>
      <c r="C372" t="inlineStr">
        <is>
          <t>EBS.20.72, Sup. 1</t>
        </is>
      </c>
      <c r="D372" t="inlineStr">
        <is>
          <t>Dominica</t>
        </is>
      </c>
      <c r="E372" t="inlineStr">
        <is>
          <t>DMA</t>
        </is>
      </c>
      <c r="G372" t="inlineStr">
        <is>
          <t>2018gn</t>
        </is>
      </c>
      <c r="H372" t="n">
        <v>2019</v>
      </c>
    </row>
    <row r="373">
      <c r="A373" t="inlineStr">
        <is>
          <t>no_year_in_pairs</t>
        </is>
      </c>
      <c r="C373" t="inlineStr">
        <is>
          <t>EBS.20.72, Sup. 1</t>
        </is>
      </c>
      <c r="D373" t="inlineStr">
        <is>
          <t>Dominica</t>
        </is>
      </c>
      <c r="E373" t="inlineStr">
        <is>
          <t>DMA</t>
        </is>
      </c>
      <c r="G373" t="inlineStr">
        <is>
          <t>2018gn</t>
        </is>
      </c>
      <c r="H373" t="n">
        <v>2019</v>
      </c>
    </row>
    <row r="374">
      <c r="A374" t="inlineStr">
        <is>
          <t>no_year_in_pairs</t>
        </is>
      </c>
      <c r="C374" t="inlineStr">
        <is>
          <t>EBS.20.72, Sup. 1</t>
        </is>
      </c>
      <c r="D374" t="inlineStr">
        <is>
          <t>Dominica</t>
        </is>
      </c>
      <c r="E374" t="inlineStr">
        <is>
          <t>DMA</t>
        </is>
      </c>
      <c r="G374" t="inlineStr">
        <is>
          <t>2018gn</t>
        </is>
      </c>
      <c r="H374" t="n">
        <v>2019</v>
      </c>
    </row>
    <row r="375">
      <c r="A375" t="inlineStr">
        <is>
          <t>no_year_in_pairs</t>
        </is>
      </c>
      <c r="C375" t="inlineStr">
        <is>
          <t>EBS.20.72, Sup. 1</t>
        </is>
      </c>
      <c r="D375" t="inlineStr">
        <is>
          <t>Dominica</t>
        </is>
      </c>
      <c r="E375" t="inlineStr">
        <is>
          <t>DMA</t>
        </is>
      </c>
      <c r="G375" t="inlineStr">
        <is>
          <t>2018gn</t>
        </is>
      </c>
      <c r="H375" t="n">
        <v>2019</v>
      </c>
    </row>
    <row r="376">
      <c r="A376" t="inlineStr">
        <is>
          <t>no_year_in_pairs</t>
        </is>
      </c>
      <c r="C376" t="inlineStr">
        <is>
          <t>EBS.20.72, Sup. 1</t>
        </is>
      </c>
      <c r="D376" t="inlineStr">
        <is>
          <t>Dominica</t>
        </is>
      </c>
      <c r="E376" t="inlineStr">
        <is>
          <t>DMA</t>
        </is>
      </c>
      <c r="G376" t="inlineStr">
        <is>
          <t>2018gn</t>
        </is>
      </c>
      <c r="H376" t="n">
        <v>2019</v>
      </c>
    </row>
    <row r="377">
      <c r="A377" t="inlineStr">
        <is>
          <t>no_year_in_pairs</t>
        </is>
      </c>
      <c r="C377" t="inlineStr">
        <is>
          <t>EBS.20.72, Sup. 1</t>
        </is>
      </c>
      <c r="D377" t="inlineStr">
        <is>
          <t>Dominica</t>
        </is>
      </c>
      <c r="E377" t="inlineStr">
        <is>
          <t>DMA</t>
        </is>
      </c>
      <c r="G377" t="inlineStr">
        <is>
          <t>2018gn</t>
        </is>
      </c>
      <c r="H377" t="n">
        <v>2019</v>
      </c>
    </row>
    <row r="378">
      <c r="A378" t="inlineStr">
        <is>
          <t>no_year_in_pairs</t>
        </is>
      </c>
      <c r="C378" t="inlineStr">
        <is>
          <t>EBS.20.72, Sup. 1</t>
        </is>
      </c>
      <c r="D378" t="inlineStr">
        <is>
          <t>Dominica</t>
        </is>
      </c>
      <c r="E378" t="inlineStr">
        <is>
          <t>DMA</t>
        </is>
      </c>
      <c r="G378" t="inlineStr">
        <is>
          <t>2018gn</t>
        </is>
      </c>
      <c r="H378" t="n">
        <v>2019</v>
      </c>
    </row>
    <row r="379">
      <c r="A379" t="inlineStr">
        <is>
          <t>no_year_in_pairs</t>
        </is>
      </c>
      <c r="C379" t="inlineStr">
        <is>
          <t>EBS.20.72, Sup. 1</t>
        </is>
      </c>
      <c r="D379" t="inlineStr">
        <is>
          <t>Dominica</t>
        </is>
      </c>
      <c r="E379" t="inlineStr">
        <is>
          <t>DMA</t>
        </is>
      </c>
      <c r="G379" t="inlineStr">
        <is>
          <t>2018gn</t>
        </is>
      </c>
      <c r="H379" t="n">
        <v>2019</v>
      </c>
    </row>
    <row r="380">
      <c r="A380" t="inlineStr">
        <is>
          <t>no_year_in_pairs</t>
        </is>
      </c>
      <c r="C380" t="inlineStr">
        <is>
          <t>EBS.20.72, Sup. 1</t>
        </is>
      </c>
      <c r="D380" t="inlineStr">
        <is>
          <t>Dominica</t>
        </is>
      </c>
      <c r="E380" t="inlineStr">
        <is>
          <t>DMA</t>
        </is>
      </c>
      <c r="G380" t="inlineStr">
        <is>
          <t>2018gn</t>
        </is>
      </c>
      <c r="H380" t="n">
        <v>2019</v>
      </c>
    </row>
    <row r="381">
      <c r="A381" t="inlineStr">
        <is>
          <t>no_year_in_pairs</t>
        </is>
      </c>
      <c r="C381" t="inlineStr">
        <is>
          <t>EBS.20.72, Sup. 1</t>
        </is>
      </c>
      <c r="D381" t="inlineStr">
        <is>
          <t>Dominica</t>
        </is>
      </c>
      <c r="E381" t="inlineStr">
        <is>
          <t>DMA</t>
        </is>
      </c>
      <c r="G381" t="inlineStr">
        <is>
          <t>2018gn</t>
        </is>
      </c>
      <c r="H381" t="n">
        <v>2019</v>
      </c>
    </row>
    <row r="382">
      <c r="A382" t="inlineStr">
        <is>
          <t>no_year_in_pairs</t>
        </is>
      </c>
      <c r="C382" t="inlineStr">
        <is>
          <t>EBS.20.72, Sup. 1</t>
        </is>
      </c>
      <c r="D382" t="inlineStr">
        <is>
          <t>Dominica</t>
        </is>
      </c>
      <c r="E382" t="inlineStr">
        <is>
          <t>DMA</t>
        </is>
      </c>
      <c r="G382" t="inlineStr">
        <is>
          <t>2018gn</t>
        </is>
      </c>
      <c r="H382" t="n">
        <v>2019</v>
      </c>
    </row>
    <row r="383">
      <c r="A383" t="inlineStr">
        <is>
          <t>no_year_in_pairs</t>
        </is>
      </c>
      <c r="C383" t="inlineStr">
        <is>
          <t>EBS.20.72, Sup. 1</t>
        </is>
      </c>
      <c r="D383" t="inlineStr">
        <is>
          <t>Dominica</t>
        </is>
      </c>
      <c r="E383" t="inlineStr">
        <is>
          <t>DMA</t>
        </is>
      </c>
      <c r="G383" t="inlineStr">
        <is>
          <t>2018gn</t>
        </is>
      </c>
      <c r="H383" t="n">
        <v>2019</v>
      </c>
    </row>
    <row r="384">
      <c r="A384" t="inlineStr">
        <is>
          <t>no_year_in_pairs</t>
        </is>
      </c>
      <c r="C384" t="inlineStr">
        <is>
          <t>EBS.20.72, Sup. 1</t>
        </is>
      </c>
      <c r="D384" t="inlineStr">
        <is>
          <t>Dominica</t>
        </is>
      </c>
      <c r="E384" t="inlineStr">
        <is>
          <t>DMA</t>
        </is>
      </c>
      <c r="G384" t="inlineStr">
        <is>
          <t>2018gn</t>
        </is>
      </c>
      <c r="H384" t="n">
        <v>2019</v>
      </c>
    </row>
    <row r="385">
      <c r="A385" t="inlineStr">
        <is>
          <t>no_year_in_pairs</t>
        </is>
      </c>
      <c r="C385" t="inlineStr">
        <is>
          <t>EBS.20.72, Sup. 1</t>
        </is>
      </c>
      <c r="D385" t="inlineStr">
        <is>
          <t>Dominica</t>
        </is>
      </c>
      <c r="E385" t="inlineStr">
        <is>
          <t>DMA</t>
        </is>
      </c>
      <c r="G385" t="inlineStr">
        <is>
          <t>2018gn</t>
        </is>
      </c>
      <c r="H385" t="n">
        <v>2019</v>
      </c>
    </row>
    <row r="386">
      <c r="A386" t="inlineStr">
        <is>
          <t>no_year_in_pairs</t>
        </is>
      </c>
      <c r="C386" t="inlineStr">
        <is>
          <t>EBS.20.72, Sup. 1</t>
        </is>
      </c>
      <c r="D386" t="inlineStr">
        <is>
          <t>Dominica</t>
        </is>
      </c>
      <c r="E386" t="inlineStr">
        <is>
          <t>DMA</t>
        </is>
      </c>
      <c r="G386" t="inlineStr">
        <is>
          <t>2018gn</t>
        </is>
      </c>
      <c r="H386" t="n">
        <v>2019</v>
      </c>
    </row>
    <row r="387">
      <c r="A387" t="inlineStr">
        <is>
          <t>no_year_in_pairs</t>
        </is>
      </c>
      <c r="C387" t="inlineStr">
        <is>
          <t>EBS.20.72, Sup. 1</t>
        </is>
      </c>
      <c r="D387" t="inlineStr">
        <is>
          <t>Dominica</t>
        </is>
      </c>
      <c r="E387" t="inlineStr">
        <is>
          <t>DMA</t>
        </is>
      </c>
      <c r="G387" t="inlineStr">
        <is>
          <t>2018gn</t>
        </is>
      </c>
      <c r="H387" t="n">
        <v>2019</v>
      </c>
    </row>
    <row r="388">
      <c r="A388" t="inlineStr">
        <is>
          <t>no_year_in_pairs</t>
        </is>
      </c>
      <c r="C388" t="inlineStr">
        <is>
          <t>EBS.20.72, Sup. 1</t>
        </is>
      </c>
      <c r="D388" t="inlineStr">
        <is>
          <t>Dominica</t>
        </is>
      </c>
      <c r="E388" t="inlineStr">
        <is>
          <t>DMA</t>
        </is>
      </c>
      <c r="G388" t="inlineStr">
        <is>
          <t>2018gn</t>
        </is>
      </c>
      <c r="H388" t="n">
        <v>2019</v>
      </c>
    </row>
    <row r="389">
      <c r="A389" t="inlineStr">
        <is>
          <t>no_year_in_pairs</t>
        </is>
      </c>
      <c r="C389" t="inlineStr">
        <is>
          <t>EBS.20.72, Sup. 1</t>
        </is>
      </c>
      <c r="D389" t="inlineStr">
        <is>
          <t>Dominica</t>
        </is>
      </c>
      <c r="E389" t="inlineStr">
        <is>
          <t>DMA</t>
        </is>
      </c>
      <c r="G389" t="inlineStr">
        <is>
          <t>2018gn</t>
        </is>
      </c>
      <c r="H389" t="n">
        <v>2019</v>
      </c>
    </row>
    <row r="390">
      <c r="A390" t="inlineStr">
        <is>
          <t>no_year_in_pairs</t>
        </is>
      </c>
      <c r="C390" t="inlineStr">
        <is>
          <t>EBS.20.72, Sup. 1</t>
        </is>
      </c>
      <c r="D390" t="inlineStr">
        <is>
          <t>Dominica</t>
        </is>
      </c>
      <c r="E390" t="inlineStr">
        <is>
          <t>DMA</t>
        </is>
      </c>
      <c r="G390" t="inlineStr">
        <is>
          <t>2018gn</t>
        </is>
      </c>
      <c r="H390" t="n">
        <v>2019</v>
      </c>
    </row>
    <row r="391">
      <c r="A391" t="inlineStr">
        <is>
          <t>no_year_in_pairs</t>
        </is>
      </c>
      <c r="C391" t="inlineStr">
        <is>
          <t>EBS.20.72, Sup. 1</t>
        </is>
      </c>
      <c r="D391" t="inlineStr">
        <is>
          <t>Dominica</t>
        </is>
      </c>
      <c r="E391" t="inlineStr">
        <is>
          <t>DMA</t>
        </is>
      </c>
      <c r="G391" t="inlineStr">
        <is>
          <t>2018gn</t>
        </is>
      </c>
      <c r="H391" t="n">
        <v>2019</v>
      </c>
    </row>
    <row r="392">
      <c r="A392" t="inlineStr">
        <is>
          <t>no_year_in_pairs</t>
        </is>
      </c>
      <c r="C392" t="inlineStr">
        <is>
          <t>EBS.20.72, Sup. 1</t>
        </is>
      </c>
      <c r="D392" t="inlineStr">
        <is>
          <t>Dominica</t>
        </is>
      </c>
      <c r="E392" t="inlineStr">
        <is>
          <t>DMA</t>
        </is>
      </c>
      <c r="G392" t="inlineStr">
        <is>
          <t>2018gn</t>
        </is>
      </c>
      <c r="H392" t="n">
        <v>2019</v>
      </c>
    </row>
    <row r="393">
      <c r="A393" t="inlineStr">
        <is>
          <t>no_year_in_pairs</t>
        </is>
      </c>
      <c r="C393" t="inlineStr">
        <is>
          <t>EBS.20.72, Sup. 1</t>
        </is>
      </c>
      <c r="D393" t="inlineStr">
        <is>
          <t>Dominica</t>
        </is>
      </c>
      <c r="E393" t="inlineStr">
        <is>
          <t>DMA</t>
        </is>
      </c>
      <c r="G393" t="inlineStr">
        <is>
          <t>2018gn</t>
        </is>
      </c>
      <c r="H393" t="n">
        <v>2019</v>
      </c>
    </row>
    <row r="394">
      <c r="A394" t="inlineStr">
        <is>
          <t>no_year_in_pairs</t>
        </is>
      </c>
      <c r="C394" t="inlineStr">
        <is>
          <t>EBS.20.72, Sup. 1</t>
        </is>
      </c>
      <c r="D394" t="inlineStr">
        <is>
          <t>Dominica</t>
        </is>
      </c>
      <c r="E394" t="inlineStr">
        <is>
          <t>DMA</t>
        </is>
      </c>
      <c r="G394" t="inlineStr">
        <is>
          <t>2018gn</t>
        </is>
      </c>
      <c r="H394" t="n">
        <v>2019</v>
      </c>
    </row>
    <row r="395">
      <c r="A395" t="inlineStr">
        <is>
          <t>no_year_in_pairs</t>
        </is>
      </c>
      <c r="C395" t="inlineStr">
        <is>
          <t>EBS.20.72, Sup. 1</t>
        </is>
      </c>
      <c r="D395" t="inlineStr">
        <is>
          <t>Dominica</t>
        </is>
      </c>
      <c r="E395" t="inlineStr">
        <is>
          <t>DMA</t>
        </is>
      </c>
      <c r="G395" t="inlineStr">
        <is>
          <t>2018gn</t>
        </is>
      </c>
      <c r="H395" t="n">
        <v>2019</v>
      </c>
    </row>
    <row r="396">
      <c r="A396" t="inlineStr">
        <is>
          <t>no_year_in_pairs</t>
        </is>
      </c>
      <c r="C396" t="inlineStr">
        <is>
          <t>EBS.20.72, Sup. 1</t>
        </is>
      </c>
      <c r="D396" t="inlineStr">
        <is>
          <t>Dominica</t>
        </is>
      </c>
      <c r="E396" t="inlineStr">
        <is>
          <t>DMA</t>
        </is>
      </c>
      <c r="G396" t="inlineStr">
        <is>
          <t>2018gn</t>
        </is>
      </c>
      <c r="H396" t="n">
        <v>2019</v>
      </c>
    </row>
    <row r="397">
      <c r="A397" t="inlineStr">
        <is>
          <t>no_year_in_pairs</t>
        </is>
      </c>
      <c r="C397" t="inlineStr">
        <is>
          <t>EBS.20.72, Sup. 1</t>
        </is>
      </c>
      <c r="D397" t="inlineStr">
        <is>
          <t>Dominica</t>
        </is>
      </c>
      <c r="E397" t="inlineStr">
        <is>
          <t>DMA</t>
        </is>
      </c>
      <c r="G397" t="inlineStr">
        <is>
          <t>2018gn</t>
        </is>
      </c>
      <c r="H397" t="n">
        <v>2019</v>
      </c>
    </row>
    <row r="398">
      <c r="A398" t="inlineStr">
        <is>
          <t>no_year_in_pairs</t>
        </is>
      </c>
      <c r="C398" t="inlineStr">
        <is>
          <t>EBS.20.72, Sup. 1</t>
        </is>
      </c>
      <c r="D398" t="inlineStr">
        <is>
          <t>Dominica</t>
        </is>
      </c>
      <c r="E398" t="inlineStr">
        <is>
          <t>DMA</t>
        </is>
      </c>
      <c r="G398" t="inlineStr">
        <is>
          <t>2018gn</t>
        </is>
      </c>
      <c r="H398" t="n">
        <v>2019</v>
      </c>
    </row>
    <row r="399">
      <c r="A399" t="inlineStr">
        <is>
          <t>no_year_in_pairs</t>
        </is>
      </c>
      <c r="C399" t="inlineStr">
        <is>
          <t>EBS.20.72, Sup. 1</t>
        </is>
      </c>
      <c r="D399" t="inlineStr">
        <is>
          <t>Dominica</t>
        </is>
      </c>
      <c r="E399" t="inlineStr">
        <is>
          <t>DMA</t>
        </is>
      </c>
      <c r="G399" t="inlineStr">
        <is>
          <t>2018gn</t>
        </is>
      </c>
      <c r="H399" t="n">
        <v>2019</v>
      </c>
    </row>
    <row r="400">
      <c r="A400" t="inlineStr">
        <is>
          <t>no_year_in_pairs</t>
        </is>
      </c>
      <c r="C400" t="inlineStr">
        <is>
          <t>EBS.20.72, Sup. 1</t>
        </is>
      </c>
      <c r="D400" t="inlineStr">
        <is>
          <t>Dominica</t>
        </is>
      </c>
      <c r="E400" t="inlineStr">
        <is>
          <t>DMA</t>
        </is>
      </c>
      <c r="G400" t="inlineStr">
        <is>
          <t>2018gn</t>
        </is>
      </c>
      <c r="H400" t="n">
        <v>2019</v>
      </c>
    </row>
    <row r="401">
      <c r="A401" t="inlineStr">
        <is>
          <t>no_year_in_pairs</t>
        </is>
      </c>
      <c r="C401" t="inlineStr">
        <is>
          <t>EBS.20.72, Sup. 1</t>
        </is>
      </c>
      <c r="D401" t="inlineStr">
        <is>
          <t>Dominica</t>
        </is>
      </c>
      <c r="E401" t="inlineStr">
        <is>
          <t>DMA</t>
        </is>
      </c>
      <c r="G401" t="inlineStr">
        <is>
          <t>2018gn</t>
        </is>
      </c>
      <c r="H401" t="n">
        <v>2019</v>
      </c>
    </row>
    <row r="402">
      <c r="A402" t="inlineStr">
        <is>
          <t>no_year_in_pairs</t>
        </is>
      </c>
      <c r="C402" t="inlineStr">
        <is>
          <t>EBS.20.72, Sup. 1</t>
        </is>
      </c>
      <c r="D402" t="inlineStr">
        <is>
          <t>Dominica</t>
        </is>
      </c>
      <c r="E402" t="inlineStr">
        <is>
          <t>DMA</t>
        </is>
      </c>
      <c r="G402" t="inlineStr">
        <is>
          <t>2018gn</t>
        </is>
      </c>
      <c r="H402" t="n">
        <v>2019</v>
      </c>
    </row>
    <row r="403">
      <c r="A403" t="inlineStr">
        <is>
          <t>no_year_in_pairs</t>
        </is>
      </c>
      <c r="C403" t="inlineStr">
        <is>
          <t>EBS.20.72, Sup. 1</t>
        </is>
      </c>
      <c r="D403" t="inlineStr">
        <is>
          <t>Dominica</t>
        </is>
      </c>
      <c r="E403" t="inlineStr">
        <is>
          <t>DMA</t>
        </is>
      </c>
      <c r="G403" t="inlineStr">
        <is>
          <t>2018gn</t>
        </is>
      </c>
      <c r="H403" t="n">
        <v>2019</v>
      </c>
    </row>
    <row r="404">
      <c r="A404" t="inlineStr">
        <is>
          <t>no_year_in_pairs</t>
        </is>
      </c>
      <c r="C404" t="inlineStr">
        <is>
          <t>EBS.20.72, Sup. 1</t>
        </is>
      </c>
      <c r="D404" t="inlineStr">
        <is>
          <t>Dominica</t>
        </is>
      </c>
      <c r="E404" t="inlineStr">
        <is>
          <t>DMA</t>
        </is>
      </c>
      <c r="G404" t="inlineStr">
        <is>
          <t>2018gn</t>
        </is>
      </c>
      <c r="H404" t="n">
        <v>2019</v>
      </c>
    </row>
    <row r="405">
      <c r="A405" t="inlineStr">
        <is>
          <t>no_year_in_pairs</t>
        </is>
      </c>
      <c r="C405" t="inlineStr">
        <is>
          <t>EBS.20.72, Sup. 1</t>
        </is>
      </c>
      <c r="D405" t="inlineStr">
        <is>
          <t>Dominica</t>
        </is>
      </c>
      <c r="E405" t="inlineStr">
        <is>
          <t>DMA</t>
        </is>
      </c>
      <c r="G405" t="inlineStr">
        <is>
          <t>2018gn</t>
        </is>
      </c>
      <c r="H405" t="n">
        <v>2019</v>
      </c>
    </row>
    <row r="406">
      <c r="A406" t="inlineStr">
        <is>
          <t>no_year_in_pairs</t>
        </is>
      </c>
      <c r="C406" t="inlineStr">
        <is>
          <t>EBS.20.72, Sup. 1</t>
        </is>
      </c>
      <c r="D406" t="inlineStr">
        <is>
          <t>Dominica</t>
        </is>
      </c>
      <c r="E406" t="inlineStr">
        <is>
          <t>DMA</t>
        </is>
      </c>
      <c r="G406" t="inlineStr">
        <is>
          <t>2018gn</t>
        </is>
      </c>
      <c r="H406" t="n">
        <v>2019</v>
      </c>
    </row>
    <row r="407">
      <c r="A407" t="inlineStr">
        <is>
          <t>no_year_in_pairs</t>
        </is>
      </c>
      <c r="C407" t="inlineStr">
        <is>
          <t>EBS.20.72, Sup. 1</t>
        </is>
      </c>
      <c r="D407" t="inlineStr">
        <is>
          <t>Dominica</t>
        </is>
      </c>
      <c r="E407" t="inlineStr">
        <is>
          <t>DMA</t>
        </is>
      </c>
      <c r="G407" t="inlineStr">
        <is>
          <t>2018gn</t>
        </is>
      </c>
      <c r="H407" t="n">
        <v>2019</v>
      </c>
    </row>
    <row r="408">
      <c r="A408" t="inlineStr">
        <is>
          <t>no_year_in_pairs</t>
        </is>
      </c>
      <c r="C408" t="inlineStr">
        <is>
          <t>EBS.20.72, Sup. 1</t>
        </is>
      </c>
      <c r="D408" t="inlineStr">
        <is>
          <t>Dominica</t>
        </is>
      </c>
      <c r="E408" t="inlineStr">
        <is>
          <t>DMA</t>
        </is>
      </c>
      <c r="G408" t="inlineStr">
        <is>
          <t>2018gn</t>
        </is>
      </c>
      <c r="H408" t="n">
        <v>2019</v>
      </c>
    </row>
    <row r="409">
      <c r="A409" t="inlineStr">
        <is>
          <t>no_year_in_pairs</t>
        </is>
      </c>
      <c r="C409" t="inlineStr">
        <is>
          <t>EBS.20.72, Sup. 1</t>
        </is>
      </c>
      <c r="D409" t="inlineStr">
        <is>
          <t>Dominica</t>
        </is>
      </c>
      <c r="E409" t="inlineStr">
        <is>
          <t>DMA</t>
        </is>
      </c>
      <c r="G409" t="inlineStr">
        <is>
          <t>2018gn</t>
        </is>
      </c>
      <c r="H409" t="n">
        <v>2019</v>
      </c>
    </row>
    <row r="410">
      <c r="A410" t="inlineStr">
        <is>
          <t>no_year_in_pairs</t>
        </is>
      </c>
      <c r="C410" t="inlineStr">
        <is>
          <t>EBS.20.72, Sup. 1</t>
        </is>
      </c>
      <c r="D410" t="inlineStr">
        <is>
          <t>Dominica</t>
        </is>
      </c>
      <c r="E410" t="inlineStr">
        <is>
          <t>DMA</t>
        </is>
      </c>
      <c r="G410" t="inlineStr">
        <is>
          <t>2018gn</t>
        </is>
      </c>
      <c r="H410" t="n">
        <v>2019</v>
      </c>
    </row>
    <row r="411">
      <c r="A411" t="inlineStr">
        <is>
          <t>no_year_in_pairs</t>
        </is>
      </c>
      <c r="C411" t="inlineStr">
        <is>
          <t>EBS.20.72, Sup. 1</t>
        </is>
      </c>
      <c r="D411" t="inlineStr">
        <is>
          <t>Dominica</t>
        </is>
      </c>
      <c r="E411" t="inlineStr">
        <is>
          <t>DMA</t>
        </is>
      </c>
      <c r="G411" t="inlineStr">
        <is>
          <t>2018gn</t>
        </is>
      </c>
      <c r="H411" t="n">
        <v>2019</v>
      </c>
    </row>
    <row r="412">
      <c r="A412" t="inlineStr">
        <is>
          <t>no_year_in_pairs</t>
        </is>
      </c>
      <c r="C412" t="inlineStr">
        <is>
          <t>EBS.20.72, Sup. 1</t>
        </is>
      </c>
      <c r="D412" t="inlineStr">
        <is>
          <t>Dominica</t>
        </is>
      </c>
      <c r="E412" t="inlineStr">
        <is>
          <t>DMA</t>
        </is>
      </c>
      <c r="G412" t="inlineStr">
        <is>
          <t>2018gn</t>
        </is>
      </c>
      <c r="H412" t="n">
        <v>2019</v>
      </c>
    </row>
    <row r="413">
      <c r="A413" t="inlineStr">
        <is>
          <t>no_year_in_pairs</t>
        </is>
      </c>
      <c r="C413" t="inlineStr">
        <is>
          <t>EBS.20.72, Sup. 1</t>
        </is>
      </c>
      <c r="D413" t="inlineStr">
        <is>
          <t>Dominica</t>
        </is>
      </c>
      <c r="E413" t="inlineStr">
        <is>
          <t>DMA</t>
        </is>
      </c>
      <c r="G413" t="inlineStr">
        <is>
          <t>2018gn</t>
        </is>
      </c>
      <c r="H413" t="n">
        <v>2019</v>
      </c>
    </row>
    <row r="414">
      <c r="A414" t="inlineStr">
        <is>
          <t>no_year_in_pairs</t>
        </is>
      </c>
      <c r="C414" t="inlineStr">
        <is>
          <t>EBS.20.72, Sup. 1</t>
        </is>
      </c>
      <c r="D414" t="inlineStr">
        <is>
          <t>Dominica</t>
        </is>
      </c>
      <c r="E414" t="inlineStr">
        <is>
          <t>DMA</t>
        </is>
      </c>
      <c r="G414" t="inlineStr">
        <is>
          <t>2018gn</t>
        </is>
      </c>
      <c r="H414" t="n">
        <v>2019</v>
      </c>
    </row>
    <row r="415">
      <c r="A415" t="inlineStr">
        <is>
          <t>no_year_in_pairs</t>
        </is>
      </c>
      <c r="C415" t="inlineStr">
        <is>
          <t>EBS.20.72, Sup. 1</t>
        </is>
      </c>
      <c r="D415" t="inlineStr">
        <is>
          <t>Dominica</t>
        </is>
      </c>
      <c r="E415" t="inlineStr">
        <is>
          <t>DMA</t>
        </is>
      </c>
      <c r="G415" t="inlineStr">
        <is>
          <t>2018gn</t>
        </is>
      </c>
      <c r="H415" t="n">
        <v>2019</v>
      </c>
    </row>
    <row r="416">
      <c r="A416" t="inlineStr">
        <is>
          <t>no_year_in_pairs</t>
        </is>
      </c>
      <c r="C416" t="inlineStr">
        <is>
          <t>EBS.20.72, Sup. 1</t>
        </is>
      </c>
      <c r="D416" t="inlineStr">
        <is>
          <t>Dominica</t>
        </is>
      </c>
      <c r="E416" t="inlineStr">
        <is>
          <t>DMA</t>
        </is>
      </c>
      <c r="G416" t="inlineStr">
        <is>
          <t>2018gn</t>
        </is>
      </c>
      <c r="H416" t="n">
        <v>2019</v>
      </c>
    </row>
    <row r="417">
      <c r="A417" t="inlineStr">
        <is>
          <t>no_year_in_pairs</t>
        </is>
      </c>
      <c r="C417" t="inlineStr">
        <is>
          <t>EBS.20.72, Sup. 1</t>
        </is>
      </c>
      <c r="D417" t="inlineStr">
        <is>
          <t>Dominica</t>
        </is>
      </c>
      <c r="E417" t="inlineStr">
        <is>
          <t>DMA</t>
        </is>
      </c>
      <c r="G417" t="inlineStr">
        <is>
          <t>2018gn</t>
        </is>
      </c>
      <c r="H417" t="n">
        <v>2019</v>
      </c>
    </row>
    <row r="418">
      <c r="A418" t="inlineStr">
        <is>
          <t>no_year_in_pairs</t>
        </is>
      </c>
      <c r="C418" t="inlineStr">
        <is>
          <t>EBS.20.72, Sup. 1</t>
        </is>
      </c>
      <c r="D418" t="inlineStr">
        <is>
          <t>Dominica</t>
        </is>
      </c>
      <c r="E418" t="inlineStr">
        <is>
          <t>DMA</t>
        </is>
      </c>
      <c r="G418" t="inlineStr">
        <is>
          <t>2018gn</t>
        </is>
      </c>
      <c r="H418" t="n">
        <v>2019</v>
      </c>
    </row>
    <row r="419">
      <c r="A419" t="inlineStr">
        <is>
          <t>no_year_in_pairs</t>
        </is>
      </c>
      <c r="C419" t="inlineStr">
        <is>
          <t>EBS.20.72, Sup. 1</t>
        </is>
      </c>
      <c r="D419" t="inlineStr">
        <is>
          <t>Dominica</t>
        </is>
      </c>
      <c r="E419" t="inlineStr">
        <is>
          <t>DMA</t>
        </is>
      </c>
      <c r="G419" t="inlineStr">
        <is>
          <t>2018gn</t>
        </is>
      </c>
      <c r="H419" t="n">
        <v>2019</v>
      </c>
    </row>
    <row r="420">
      <c r="A420" t="inlineStr">
        <is>
          <t>no_year_in_pairs</t>
        </is>
      </c>
      <c r="C420" t="inlineStr">
        <is>
          <t>EBS.20.72, Sup. 1</t>
        </is>
      </c>
      <c r="D420" t="inlineStr">
        <is>
          <t>Dominica</t>
        </is>
      </c>
      <c r="E420" t="inlineStr">
        <is>
          <t>DMA</t>
        </is>
      </c>
      <c r="G420" t="inlineStr">
        <is>
          <t>2018gn</t>
        </is>
      </c>
      <c r="H420" t="n">
        <v>2019</v>
      </c>
    </row>
    <row r="421">
      <c r="A421" t="inlineStr">
        <is>
          <t>no_year_in_pairs</t>
        </is>
      </c>
      <c r="C421" t="inlineStr">
        <is>
          <t>EBS.20.72, Sup. 1</t>
        </is>
      </c>
      <c r="D421" t="inlineStr">
        <is>
          <t>Dominica</t>
        </is>
      </c>
      <c r="E421" t="inlineStr">
        <is>
          <t>DMA</t>
        </is>
      </c>
      <c r="G421" t="inlineStr">
        <is>
          <t>2018gn</t>
        </is>
      </c>
      <c r="H421" t="n">
        <v>2019</v>
      </c>
    </row>
    <row r="422">
      <c r="A422" t="inlineStr">
        <is>
          <t>no_year_in_pairs</t>
        </is>
      </c>
      <c r="C422" t="inlineStr">
        <is>
          <t>EBS.20.72, Sup. 1</t>
        </is>
      </c>
      <c r="D422" t="inlineStr">
        <is>
          <t>Dominica</t>
        </is>
      </c>
      <c r="E422" t="inlineStr">
        <is>
          <t>DMA</t>
        </is>
      </c>
      <c r="G422" t="inlineStr">
        <is>
          <t>2018gn</t>
        </is>
      </c>
      <c r="H422" t="n">
        <v>2019</v>
      </c>
    </row>
    <row r="423">
      <c r="A423" t="inlineStr">
        <is>
          <t>no_year_in_pairs</t>
        </is>
      </c>
      <c r="C423" t="inlineStr">
        <is>
          <t>EBS.20.72, Sup. 1</t>
        </is>
      </c>
      <c r="D423" t="inlineStr">
        <is>
          <t>Dominica</t>
        </is>
      </c>
      <c r="E423" t="inlineStr">
        <is>
          <t>DMA</t>
        </is>
      </c>
      <c r="G423" t="inlineStr">
        <is>
          <t>2018gn</t>
        </is>
      </c>
      <c r="H423" t="n">
        <v>2019</v>
      </c>
    </row>
    <row r="424">
      <c r="C424" t="inlineStr">
        <is>
          <t>EBS.20.72, Sup. 1</t>
        </is>
      </c>
      <c r="D424" t="inlineStr">
        <is>
          <t>Dominica</t>
        </is>
      </c>
      <c r="E424" t="inlineStr">
        <is>
          <t>DMA</t>
        </is>
      </c>
      <c r="G424" t="inlineStr">
        <is>
          <t>2018gn</t>
        </is>
      </c>
      <c r="H424" t="n">
        <v>2019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5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t="inlineStr">
        <is>
          <t>link.staff.report</t>
        </is>
      </c>
      <c r="C1" t="inlineStr">
        <is>
          <t>dsa.vintage</t>
        </is>
      </c>
      <c r="D1" t="inlineStr">
        <is>
          <t>country.name</t>
        </is>
      </c>
      <c r="E1" t="inlineStr">
        <is>
          <t>country.code</t>
        </is>
      </c>
      <c r="F1" t="inlineStr">
        <is>
          <t>issue.date</t>
        </is>
      </c>
      <c r="G1" t="inlineStr">
        <is>
          <t>methodo.gn</t>
        </is>
      </c>
      <c r="H1" t="inlineStr">
        <is>
          <t>first.year.proj</t>
        </is>
      </c>
      <c r="I1" t="inlineStr">
        <is>
          <t>indicator</t>
        </is>
      </c>
      <c r="K1" t="inlineStr">
        <is>
          <t>Units</t>
        </is>
      </c>
      <c r="L1" t="inlineStr">
        <is>
          <t>Scale</t>
        </is>
      </c>
      <c r="M1" t="inlineStr">
        <is>
          <t>Descriptor</t>
        </is>
      </c>
      <c r="P1" t="n">
        <v>2004</v>
      </c>
      <c r="Q1" t="n">
        <v>2005</v>
      </c>
      <c r="R1" t="n">
        <v>2006</v>
      </c>
      <c r="S1" t="n">
        <v>2007</v>
      </c>
      <c r="T1" t="n">
        <v>2008</v>
      </c>
      <c r="U1" t="n">
        <v>2009</v>
      </c>
      <c r="V1" t="n">
        <v>2010</v>
      </c>
      <c r="W1" t="n">
        <v>2011</v>
      </c>
      <c r="X1" t="n">
        <v>2012</v>
      </c>
      <c r="Y1" t="n">
        <v>2013</v>
      </c>
      <c r="Z1" t="n">
        <v>2014</v>
      </c>
      <c r="AA1" t="n">
        <v>2015</v>
      </c>
      <c r="AB1" t="n">
        <v>2016</v>
      </c>
      <c r="AC1" t="n">
        <v>2017</v>
      </c>
      <c r="AD1" t="n">
        <v>2018</v>
      </c>
      <c r="AE1" t="n">
        <v>2019</v>
      </c>
      <c r="AF1" t="n">
        <v>2020</v>
      </c>
      <c r="AG1" t="n">
        <v>2021</v>
      </c>
      <c r="AH1" t="n">
        <v>2022</v>
      </c>
      <c r="AI1" t="n">
        <v>2023</v>
      </c>
      <c r="AJ1" t="n">
        <v>2024</v>
      </c>
      <c r="AK1" t="n">
        <v>2025</v>
      </c>
      <c r="AL1" t="n">
        <v>2026</v>
      </c>
      <c r="AM1" t="n">
        <v>2027</v>
      </c>
      <c r="AN1" t="n">
        <v>2028</v>
      </c>
      <c r="AO1" t="n">
        <v>2029</v>
      </c>
      <c r="AP1" t="n">
        <v>2030</v>
      </c>
      <c r="AQ1" t="n">
        <v>2031</v>
      </c>
      <c r="AR1" t="n">
        <v>2032</v>
      </c>
      <c r="AS1" t="n">
        <v>2033</v>
      </c>
      <c r="AT1" t="n">
        <v>2034</v>
      </c>
      <c r="AU1" t="n">
        <v>2035</v>
      </c>
      <c r="AV1" t="n">
        <v>2036</v>
      </c>
      <c r="AW1" t="n">
        <v>2037</v>
      </c>
    </row>
    <row r="2">
      <c r="A2" t="inlineStr">
        <is>
          <t>Dominica_2018_August</t>
        </is>
      </c>
      <c r="C2" t="inlineStr">
        <is>
          <t>SM.18.139</t>
        </is>
      </c>
      <c r="D2" t="inlineStr">
        <is>
          <t>Dominica</t>
        </is>
      </c>
      <c r="E2" t="inlineStr">
        <is>
          <t>DMA</t>
        </is>
      </c>
      <c r="F2" s="11" t="n">
        <v>43255</v>
      </c>
      <c r="G2" t="inlineStr">
        <is>
          <t>2013gn</t>
        </is>
      </c>
      <c r="H2" t="n">
        <v>2017</v>
      </c>
      <c r="I2" t="inlineStr">
        <is>
          <t>dod.ext.dbt.all</t>
        </is>
      </c>
      <c r="K2" t="inlineStr">
        <is>
          <t>US Dollars</t>
        </is>
      </c>
      <c r="L2" t="inlineStr">
        <is>
          <t>Billions</t>
        </is>
      </c>
      <c r="M2" t="inlineStr">
        <is>
          <t>Total Debt (public + private external)</t>
        </is>
      </c>
      <c r="P2" t="n">
        <v>0.3753329419403403</v>
      </c>
      <c r="Q2" t="n">
        <v>0.3815352962962962</v>
      </c>
      <c r="R2" t="n">
        <v>0.4058359446370371</v>
      </c>
      <c r="S2" t="n">
        <v>0.4112306923111114</v>
      </c>
      <c r="T2" t="n">
        <v>0.4012177212888893</v>
      </c>
      <c r="U2" t="n">
        <v>0.4058718688592593</v>
      </c>
      <c r="V2" t="n">
        <v>0.4400951204037042</v>
      </c>
      <c r="W2" t="n">
        <v>0.4603907879185188</v>
      </c>
      <c r="X2" t="n">
        <v>0.4731954883333336</v>
      </c>
      <c r="Y2" t="n">
        <v>0.5323210674547356</v>
      </c>
      <c r="Z2" t="n">
        <v>0.5542876101351593</v>
      </c>
      <c r="AA2" t="n">
        <v>0.5634836247131821</v>
      </c>
      <c r="AB2" t="n">
        <v>0.5396016766189082</v>
      </c>
      <c r="AC2" t="n">
        <v>0.5640994386786738</v>
      </c>
      <c r="AD2" t="n">
        <v>0.5927113731344453</v>
      </c>
      <c r="AE2" t="n">
        <v>0.6219047280072987</v>
      </c>
      <c r="AF2" t="n">
        <v>0.6782123454381186</v>
      </c>
      <c r="AG2" t="n">
        <v>0.7216743894374964</v>
      </c>
      <c r="AH2" t="n">
        <v>0.7448311324844322</v>
      </c>
      <c r="AI2" t="n">
        <v>0.7578454681803485</v>
      </c>
      <c r="AJ2" t="n">
        <v>0.7692284868102113</v>
      </c>
      <c r="AK2" t="n">
        <v>0.7816988565054024</v>
      </c>
      <c r="AL2" t="n">
        <v>0.7918833675420255</v>
      </c>
      <c r="AM2" t="n">
        <v>0.8018094300763422</v>
      </c>
      <c r="AN2" t="n">
        <v>0.8128741749396829</v>
      </c>
      <c r="AO2" t="n">
        <v>0.8234255113056987</v>
      </c>
      <c r="AP2" t="n">
        <v>0.8343424921863669</v>
      </c>
      <c r="AQ2" t="n">
        <v>0.8481730503432211</v>
      </c>
      <c r="AR2" t="n">
        <v>0.8614813048132324</v>
      </c>
      <c r="AS2" t="n">
        <v>0.8755856768553216</v>
      </c>
      <c r="AT2" t="n">
        <v>0.891651964535229</v>
      </c>
      <c r="AU2" t="n">
        <v>0.9088325969489617</v>
      </c>
      <c r="AV2" t="n">
        <v>0.9272731113479786</v>
      </c>
      <c r="AW2" t="n">
        <v>0.941501728419238</v>
      </c>
    </row>
    <row r="3">
      <c r="A3" t="inlineStr">
        <is>
          <t>Dominica_2018_August</t>
        </is>
      </c>
      <c r="C3" t="inlineStr">
        <is>
          <t>SM.18.139</t>
        </is>
      </c>
      <c r="D3" t="inlineStr">
        <is>
          <t>Dominica</t>
        </is>
      </c>
      <c r="E3" t="inlineStr">
        <is>
          <t>DMA</t>
        </is>
      </c>
      <c r="F3" s="11" t="n">
        <v>43255</v>
      </c>
      <c r="G3" t="inlineStr">
        <is>
          <t>2013gn</t>
        </is>
      </c>
      <c r="H3" t="n">
        <v>2017</v>
      </c>
      <c r="I3" t="inlineStr">
        <is>
          <t>dod.ext.mlt</t>
        </is>
      </c>
      <c r="K3" t="inlineStr">
        <is>
          <t>US Dollars</t>
        </is>
      </c>
      <c r="L3" t="inlineStr">
        <is>
          <t>Billions</t>
        </is>
      </c>
      <c r="M3" t="inlineStr">
        <is>
          <t>Total MLT debt outstanding at year-end 1/</t>
        </is>
      </c>
      <c r="P3" t="n">
        <v>0.2791798857758959</v>
      </c>
      <c r="Q3" t="n">
        <v>0.284276037037037</v>
      </c>
      <c r="R3" t="n">
        <v>0.3145631481481482</v>
      </c>
      <c r="S3" t="n">
        <v>0.3199420740740744</v>
      </c>
      <c r="T3" t="n">
        <v>0.3104362592592597</v>
      </c>
      <c r="U3" t="n">
        <v>0.313814888888889</v>
      </c>
      <c r="V3" t="n">
        <v>0.351428338618519</v>
      </c>
      <c r="W3" t="n">
        <v>0.361129047240741</v>
      </c>
      <c r="X3" t="n">
        <v>0.375916481777778</v>
      </c>
      <c r="Y3" t="n">
        <v>0.436206891936217</v>
      </c>
      <c r="Z3" t="n">
        <v>0.460012788212937</v>
      </c>
      <c r="AA3" t="n">
        <v>0.467784649188808</v>
      </c>
      <c r="AB3" t="n">
        <v>0.442488618396686</v>
      </c>
      <c r="AC3" t="n">
        <v>0.4769159633115193</v>
      </c>
      <c r="AD3" t="n">
        <v>0.5078132861920712</v>
      </c>
      <c r="AE3" t="n">
        <v>0.5362339821040816</v>
      </c>
      <c r="AF3" t="n">
        <v>0.5984097721072967</v>
      </c>
      <c r="AG3" t="n">
        <v>0.6454157671001675</v>
      </c>
      <c r="AH3" t="n">
        <v>0.6698235493691022</v>
      </c>
      <c r="AI3" t="n">
        <v>0.6866019057444521</v>
      </c>
      <c r="AJ3" t="n">
        <v>0.7003981748799627</v>
      </c>
      <c r="AK3" t="n">
        <v>0.7153385659971965</v>
      </c>
      <c r="AL3" t="n">
        <v>0.7280251409123687</v>
      </c>
      <c r="AM3" t="n">
        <v>0.7405110214372292</v>
      </c>
      <c r="AN3" t="n">
        <v>0.7541857308552755</v>
      </c>
      <c r="AO3" t="n">
        <v>0.7674110311712719</v>
      </c>
      <c r="AP3" t="n">
        <v>0.7810815701181387</v>
      </c>
      <c r="AQ3" t="n">
        <v>0.7977474512440444</v>
      </c>
      <c r="AR3" t="n">
        <v>0.8140090413783201</v>
      </c>
      <c r="AS3" t="n">
        <v>0.8313733896877971</v>
      </c>
      <c r="AT3" t="n">
        <v>0.850549834490605</v>
      </c>
      <c r="AU3" t="n">
        <v>0.8709599068429635</v>
      </c>
      <c r="AV3" t="n">
        <v>0.8927376026296613</v>
      </c>
      <c r="AW3" t="n">
        <v>0.9104168137413493</v>
      </c>
    </row>
    <row r="4">
      <c r="A4" t="inlineStr">
        <is>
          <t>Dominica_2018_August</t>
        </is>
      </c>
      <c r="C4" t="inlineStr">
        <is>
          <t>SM.18.139</t>
        </is>
      </c>
      <c r="D4" t="inlineStr">
        <is>
          <t>Dominica</t>
        </is>
      </c>
      <c r="E4" t="inlineStr">
        <is>
          <t>DMA</t>
        </is>
      </c>
      <c r="F4" s="11" t="n">
        <v>43255</v>
      </c>
      <c r="G4" t="inlineStr">
        <is>
          <t>2013gn</t>
        </is>
      </c>
      <c r="H4" t="n">
        <v>2017</v>
      </c>
      <c r="I4" t="inlineStr">
        <is>
          <t>dod.ext.ppg</t>
        </is>
      </c>
      <c r="K4" t="inlineStr">
        <is>
          <t>US Dollars</t>
        </is>
      </c>
      <c r="L4" t="inlineStr">
        <is>
          <t>Billions</t>
        </is>
      </c>
      <c r="M4" t="inlineStr">
        <is>
          <t>Public and publicly guaranteed external debt</t>
        </is>
      </c>
      <c r="P4" t="n">
        <v>0.21896895984997</v>
      </c>
      <c r="Q4" t="n">
        <v>0.212121037037037</v>
      </c>
      <c r="R4" t="n">
        <v>0.222670925925926</v>
      </c>
      <c r="S4" t="n">
        <v>0.22432262962963</v>
      </c>
      <c r="T4" t="n">
        <v>0.214040518518519</v>
      </c>
      <c r="U4" t="n">
        <v>0.215132851851852</v>
      </c>
      <c r="V4" t="n">
        <v>0.243755772692593</v>
      </c>
      <c r="W4" t="n">
        <v>0.244621129092593</v>
      </c>
      <c r="X4" t="n">
        <v>0.262513586037037</v>
      </c>
      <c r="Y4" t="n">
        <v>0.319297311380661</v>
      </c>
      <c r="Z4" t="n">
        <v>0.324220363991724</v>
      </c>
      <c r="AA4" t="n">
        <v>0.324498972441851</v>
      </c>
      <c r="AB4" t="n">
        <v>0.311435365870942</v>
      </c>
      <c r="AC4" t="n">
        <v>0.3440006565060473</v>
      </c>
      <c r="AD4" t="n">
        <v>0.3642546725872352</v>
      </c>
      <c r="AE4" t="n">
        <v>0.3832290950638116</v>
      </c>
      <c r="AF4" t="n">
        <v>0.4388815173715607</v>
      </c>
      <c r="AG4" t="n">
        <v>0.4790386338221574</v>
      </c>
      <c r="AH4" t="n">
        <v>0.4965846013314612</v>
      </c>
      <c r="AI4" t="n">
        <v>0.5061248775849311</v>
      </c>
      <c r="AJ4" t="n">
        <v>0.5103686208958127</v>
      </c>
      <c r="AK4" t="n">
        <v>0.5165333506303534</v>
      </c>
      <c r="AL4" t="n">
        <v>0.5210096554882677</v>
      </c>
      <c r="AM4" t="n">
        <v>0.5257246457131732</v>
      </c>
      <c r="AN4" t="n">
        <v>0.5317736161866435</v>
      </c>
      <c r="AO4" t="n">
        <v>0.5376951131164758</v>
      </c>
      <c r="AP4" t="n">
        <v>0.5441532618403537</v>
      </c>
      <c r="AQ4" t="n">
        <v>0.5534533975373924</v>
      </c>
      <c r="AR4" t="n">
        <v>0.5625435891634371</v>
      </c>
      <c r="AS4" t="n">
        <v>0.5719320443712371</v>
      </c>
      <c r="AT4" t="n">
        <v>0.5819502096843699</v>
      </c>
      <c r="AU4" t="n">
        <v>0.5928787152810685</v>
      </c>
      <c r="AV4" t="n">
        <v>0.6048401450056323</v>
      </c>
      <c r="AW4" t="n">
        <v>0.6175260970134393</v>
      </c>
    </row>
    <row r="5">
      <c r="A5" t="inlineStr">
        <is>
          <t>Dominica_2018_August</t>
        </is>
      </c>
      <c r="C5" t="inlineStr">
        <is>
          <t>SM.18.139</t>
        </is>
      </c>
      <c r="D5" t="inlineStr">
        <is>
          <t>Dominica</t>
        </is>
      </c>
      <c r="E5" t="inlineStr">
        <is>
          <t>DMA</t>
        </is>
      </c>
      <c r="F5" s="11" t="n">
        <v>43255</v>
      </c>
      <c r="G5" t="inlineStr">
        <is>
          <t>2013gn</t>
        </is>
      </c>
      <c r="H5" t="n">
        <v>2017</v>
      </c>
      <c r="I5" t="inlineStr">
        <is>
          <t>dod.ext.ppg,mlg.trm</t>
        </is>
      </c>
      <c r="K5" t="inlineStr">
        <is>
          <t>US Dollars</t>
        </is>
      </c>
      <c r="L5" t="inlineStr">
        <is>
          <t>Billions</t>
        </is>
      </c>
      <c r="M5" t="inlineStr">
        <is>
          <t>Medium and Long Term (MLT) external</t>
        </is>
      </c>
      <c r="P5" t="n">
        <v>0.21896895984997</v>
      </c>
      <c r="Q5" t="n">
        <v>0.212121037037037</v>
      </c>
      <c r="R5" t="n">
        <v>0.222670925925926</v>
      </c>
      <c r="S5" t="n">
        <v>0.22432262962963</v>
      </c>
      <c r="T5" t="n">
        <v>0.214040518518519</v>
      </c>
      <c r="U5" t="n">
        <v>0.215132851851852</v>
      </c>
      <c r="V5" t="n">
        <v>0.243755772692593</v>
      </c>
      <c r="W5" t="n">
        <v>0.244621129092593</v>
      </c>
      <c r="X5" t="n">
        <v>0.262513586037037</v>
      </c>
      <c r="Y5" t="n">
        <v>0.319297311380661</v>
      </c>
      <c r="Z5" t="n">
        <v>0.324220363991724</v>
      </c>
      <c r="AA5" t="n">
        <v>0.324498972441851</v>
      </c>
      <c r="AB5" t="n">
        <v>0.311435365870942</v>
      </c>
      <c r="AC5" t="n">
        <v>0.3440006565060473</v>
      </c>
      <c r="AD5" t="n">
        <v>0.3642546725872352</v>
      </c>
      <c r="AE5" t="n">
        <v>0.3832290950638116</v>
      </c>
      <c r="AF5" t="n">
        <v>0.4388815173715607</v>
      </c>
      <c r="AG5" t="n">
        <v>0.4790386338221574</v>
      </c>
      <c r="AH5" t="n">
        <v>0.4965846013314612</v>
      </c>
      <c r="AI5" t="n">
        <v>0.5061248775849311</v>
      </c>
      <c r="AJ5" t="n">
        <v>0.5103686208958127</v>
      </c>
      <c r="AK5" t="n">
        <v>0.5165333506303534</v>
      </c>
      <c r="AL5" t="n">
        <v>0.5210096554882677</v>
      </c>
      <c r="AM5" t="n">
        <v>0.5257246457131732</v>
      </c>
      <c r="AN5" t="n">
        <v>0.5317736161866435</v>
      </c>
      <c r="AO5" t="n">
        <v>0.5376951131164758</v>
      </c>
      <c r="AP5" t="n">
        <v>0.5441532618403537</v>
      </c>
      <c r="AQ5" t="n">
        <v>0.5534533975373924</v>
      </c>
      <c r="AR5" t="n">
        <v>0.5625435891634371</v>
      </c>
      <c r="AS5" t="n">
        <v>0.5719320443712371</v>
      </c>
      <c r="AT5" t="n">
        <v>0.5819502096843699</v>
      </c>
      <c r="AU5" t="n">
        <v>0.5928787152810685</v>
      </c>
      <c r="AV5" t="n">
        <v>0.6048401450056323</v>
      </c>
      <c r="AW5" t="n">
        <v>0.6175260970134393</v>
      </c>
    </row>
    <row r="6">
      <c r="A6" t="inlineStr">
        <is>
          <t>Dominica_2018_August</t>
        </is>
      </c>
      <c r="C6" t="inlineStr">
        <is>
          <t>SM.18.139</t>
        </is>
      </c>
      <c r="D6" t="inlineStr">
        <is>
          <t>Dominica</t>
        </is>
      </c>
      <c r="E6" t="inlineStr">
        <is>
          <t>DMA</t>
        </is>
      </c>
      <c r="F6" s="11" t="n">
        <v>43255</v>
      </c>
      <c r="G6" t="inlineStr">
        <is>
          <t>2013gn</t>
        </is>
      </c>
      <c r="H6" t="n">
        <v>2017</v>
      </c>
      <c r="I6" t="inlineStr">
        <is>
          <t>dod.ext.ppg,sht.trm</t>
        </is>
      </c>
      <c r="K6" t="inlineStr">
        <is>
          <t>US Dollars</t>
        </is>
      </c>
      <c r="L6" t="inlineStr">
        <is>
          <t>Billions</t>
        </is>
      </c>
      <c r="M6" t="inlineStr">
        <is>
          <t>Short Term</t>
        </is>
      </c>
    </row>
    <row r="7">
      <c r="A7" t="inlineStr">
        <is>
          <t>Dominica_2018_August</t>
        </is>
      </c>
      <c r="C7" t="inlineStr">
        <is>
          <t>SM.18.139</t>
        </is>
      </c>
      <c r="D7" t="inlineStr">
        <is>
          <t>Dominica</t>
        </is>
      </c>
      <c r="E7" t="inlineStr">
        <is>
          <t>DMA</t>
        </is>
      </c>
      <c r="F7" s="11" t="n">
        <v>43255</v>
      </c>
      <c r="G7" t="inlineStr">
        <is>
          <t>2013gn</t>
        </is>
      </c>
      <c r="H7" t="n">
        <v>2017</v>
      </c>
      <c r="I7" t="inlineStr">
        <is>
          <t>dod.ext.png</t>
        </is>
      </c>
      <c r="K7" t="inlineStr">
        <is>
          <t>US Dollars</t>
        </is>
      </c>
      <c r="L7" t="inlineStr">
        <is>
          <t>Billions</t>
        </is>
      </c>
      <c r="M7" t="inlineStr">
        <is>
          <t>Private sector external debt</t>
        </is>
      </c>
      <c r="P7" t="n">
        <v>0.0602109259259259</v>
      </c>
      <c r="Q7" t="n">
        <v>0.072155</v>
      </c>
      <c r="R7" t="n">
        <v>0.09189222222222219</v>
      </c>
      <c r="S7" t="n">
        <v>0.09561944444444441</v>
      </c>
      <c r="T7" t="n">
        <v>0.0963957407407407</v>
      </c>
      <c r="U7" t="n">
        <v>0.098682037037037</v>
      </c>
      <c r="V7" t="n">
        <v>0.107672565925926</v>
      </c>
      <c r="W7" t="n">
        <v>0.116507918148148</v>
      </c>
      <c r="X7" t="n">
        <v>0.113402895740741</v>
      </c>
      <c r="Y7" t="n">
        <v>0.116909580555556</v>
      </c>
      <c r="Z7" t="n">
        <v>0.135792424221213</v>
      </c>
      <c r="AA7" t="n">
        <v>0.143285676746957</v>
      </c>
      <c r="AB7" t="n">
        <v>0.131053252525744</v>
      </c>
      <c r="AC7" t="n">
        <v>0.132915306805472</v>
      </c>
      <c r="AD7" t="n">
        <v>0.143558613604836</v>
      </c>
      <c r="AE7" t="n">
        <v>0.15300488704027</v>
      </c>
      <c r="AF7" t="n">
        <v>0.159528254735736</v>
      </c>
      <c r="AG7" t="n">
        <v>0.16637713327801</v>
      </c>
      <c r="AH7" t="n">
        <v>0.173238948037641</v>
      </c>
      <c r="AI7" t="n">
        <v>0.180477028159521</v>
      </c>
      <c r="AJ7" t="n">
        <v>0.19002955398415</v>
      </c>
      <c r="AK7" t="n">
        <v>0.198805215366843</v>
      </c>
      <c r="AL7" t="n">
        <v>0.207015485424101</v>
      </c>
      <c r="AM7" t="n">
        <v>0.214786375724056</v>
      </c>
      <c r="AN7" t="n">
        <v>0.222412114668632</v>
      </c>
      <c r="AO7" t="n">
        <v>0.229715918054796</v>
      </c>
      <c r="AP7" t="n">
        <v>0.236928308277785</v>
      </c>
      <c r="AQ7" t="n">
        <v>0.244294053706652</v>
      </c>
      <c r="AR7" t="n">
        <v>0.251465452214883</v>
      </c>
      <c r="AS7" t="n">
        <v>0.25944134531656</v>
      </c>
      <c r="AT7" t="n">
        <v>0.268599624806235</v>
      </c>
      <c r="AU7" t="n">
        <v>0.278081191561895</v>
      </c>
      <c r="AV7" t="n">
        <v>0.287897457624029</v>
      </c>
      <c r="AW7" t="n">
        <v>0.29289071672791</v>
      </c>
    </row>
    <row r="8">
      <c r="A8" t="inlineStr">
        <is>
          <t>Dominica_2018_August</t>
        </is>
      </c>
      <c r="C8" t="inlineStr">
        <is>
          <t>SM.18.139</t>
        </is>
      </c>
      <c r="D8" t="inlineStr">
        <is>
          <t>Dominica</t>
        </is>
      </c>
      <c r="E8" t="inlineStr">
        <is>
          <t>DMA</t>
        </is>
      </c>
      <c r="F8" s="11" t="n">
        <v>43255</v>
      </c>
      <c r="G8" t="inlineStr">
        <is>
          <t>2013gn</t>
        </is>
      </c>
      <c r="H8" t="n">
        <v>2017</v>
      </c>
      <c r="I8" t="inlineStr">
        <is>
          <t>dod.ext.png.mlg.trm</t>
        </is>
      </c>
      <c r="K8" t="inlineStr">
        <is>
          <t>US Dollars</t>
        </is>
      </c>
      <c r="L8" t="inlineStr">
        <is>
          <t>Billions</t>
        </is>
      </c>
      <c r="M8" t="inlineStr">
        <is>
          <t>Medium and Long Term (MLT) external</t>
        </is>
      </c>
      <c r="P8" t="n">
        <v>0.0602109259259259</v>
      </c>
      <c r="Q8" t="n">
        <v>0.072155</v>
      </c>
      <c r="R8" t="n">
        <v>0.09189222222222219</v>
      </c>
      <c r="S8" t="n">
        <v>0.09561944444444441</v>
      </c>
      <c r="T8" t="n">
        <v>0.0963957407407407</v>
      </c>
      <c r="U8" t="n">
        <v>0.098682037037037</v>
      </c>
      <c r="V8" t="n">
        <v>0.107672565925926</v>
      </c>
      <c r="W8" t="n">
        <v>0.116507918148148</v>
      </c>
      <c r="X8" t="n">
        <v>0.113402895740741</v>
      </c>
      <c r="Y8" t="n">
        <v>0.116909580555556</v>
      </c>
      <c r="Z8" t="n">
        <v>0.135792424221213</v>
      </c>
      <c r="AA8" t="n">
        <v>0.143285676746957</v>
      </c>
      <c r="AB8" t="n">
        <v>0.131053252525744</v>
      </c>
      <c r="AC8" t="n">
        <v>0.132915306805472</v>
      </c>
      <c r="AD8" t="n">
        <v>0.143558613604836</v>
      </c>
      <c r="AE8" t="n">
        <v>0.15300488704027</v>
      </c>
      <c r="AF8" t="n">
        <v>0.159528254735736</v>
      </c>
      <c r="AG8" t="n">
        <v>0.16637713327801</v>
      </c>
      <c r="AH8" t="n">
        <v>0.173238948037641</v>
      </c>
      <c r="AI8" t="n">
        <v>0.180477028159521</v>
      </c>
      <c r="AJ8" t="n">
        <v>0.19002955398415</v>
      </c>
      <c r="AK8" t="n">
        <v>0.198805215366843</v>
      </c>
      <c r="AL8" t="n">
        <v>0.207015485424101</v>
      </c>
      <c r="AM8" t="n">
        <v>0.214786375724056</v>
      </c>
      <c r="AN8" t="n">
        <v>0.222412114668632</v>
      </c>
      <c r="AO8" t="n">
        <v>0.229715918054796</v>
      </c>
      <c r="AP8" t="n">
        <v>0.236928308277785</v>
      </c>
      <c r="AQ8" t="n">
        <v>0.244294053706652</v>
      </c>
      <c r="AR8" t="n">
        <v>0.251465452214883</v>
      </c>
      <c r="AS8" t="n">
        <v>0.25944134531656</v>
      </c>
      <c r="AT8" t="n">
        <v>0.268599624806235</v>
      </c>
      <c r="AU8" t="n">
        <v>0.278081191561895</v>
      </c>
      <c r="AV8" t="n">
        <v>0.287897457624029</v>
      </c>
      <c r="AW8" t="n">
        <v>0.29289071672791</v>
      </c>
    </row>
    <row r="9">
      <c r="A9" t="inlineStr">
        <is>
          <t>Dominica_2018_August</t>
        </is>
      </c>
      <c r="C9" t="inlineStr">
        <is>
          <t>SM.18.139</t>
        </is>
      </c>
      <c r="D9" t="inlineStr">
        <is>
          <t>Dominica</t>
        </is>
      </c>
      <c r="E9" t="inlineStr">
        <is>
          <t>DMA</t>
        </is>
      </c>
      <c r="F9" s="11" t="n">
        <v>43255</v>
      </c>
      <c r="G9" t="inlineStr">
        <is>
          <t>2013gn</t>
        </is>
      </c>
      <c r="H9" t="n">
        <v>2017</v>
      </c>
      <c r="I9" t="inlineStr">
        <is>
          <t>dod.ext.png.sht.trm</t>
        </is>
      </c>
      <c r="K9" t="inlineStr">
        <is>
          <t>US Dollars</t>
        </is>
      </c>
      <c r="L9" t="inlineStr">
        <is>
          <t>Billions</t>
        </is>
      </c>
      <c r="M9" t="inlineStr">
        <is>
          <t>Short Term</t>
        </is>
      </c>
    </row>
    <row r="10">
      <c r="A10" t="inlineStr">
        <is>
          <t>Dominica_2018_August</t>
        </is>
      </c>
      <c r="C10" t="inlineStr">
        <is>
          <t>SM.18.139</t>
        </is>
      </c>
      <c r="D10" t="inlineStr">
        <is>
          <t>Dominica</t>
        </is>
      </c>
      <c r="E10" t="inlineStr">
        <is>
          <t>DMA</t>
        </is>
      </c>
      <c r="F10" s="11" t="n">
        <v>43255</v>
      </c>
      <c r="G10" t="inlineStr">
        <is>
          <t>2013gn</t>
        </is>
      </c>
      <c r="H10" t="n">
        <v>2017</v>
      </c>
      <c r="I10" t="inlineStr">
        <is>
          <t>dod.pub.dbt.all</t>
        </is>
      </c>
      <c r="K10" t="inlineStr">
        <is>
          <t>National Currency</t>
        </is>
      </c>
      <c r="L10" t="inlineStr">
        <is>
          <t>Billions</t>
        </is>
      </c>
      <c r="M10" t="inlineStr">
        <is>
          <t>Total public domestic debt</t>
        </is>
      </c>
      <c r="P10" t="n">
        <v>0.259613251644</v>
      </c>
      <c r="Q10" t="n">
        <v>0.2626</v>
      </c>
      <c r="R10" t="n">
        <v>0.24643655052</v>
      </c>
      <c r="S10" t="n">
        <v>0.24647926924</v>
      </c>
      <c r="T10" t="n">
        <v>0.24510994748</v>
      </c>
      <c r="U10" t="n">
        <v>0.24855384592</v>
      </c>
      <c r="V10" t="n">
        <v>0.23940031082</v>
      </c>
      <c r="W10" t="n">
        <v>0.26800669983</v>
      </c>
      <c r="X10" t="n">
        <v>0.2626533177</v>
      </c>
      <c r="Y10" t="n">
        <v>0.2595082739</v>
      </c>
      <c r="Z10" t="n">
        <v>0.25454201919</v>
      </c>
      <c r="AA10" t="n">
        <v>0.25838723391581</v>
      </c>
      <c r="AB10" t="n">
        <v>0.2622052572</v>
      </c>
      <c r="AC10" t="n">
        <v>0.235395383491317</v>
      </c>
      <c r="AD10" t="n">
        <v>0.22922483474441</v>
      </c>
      <c r="AE10" t="n">
        <v>0.231311013938686</v>
      </c>
      <c r="AF10" t="n">
        <v>0.215466947993219</v>
      </c>
      <c r="AG10" t="n">
        <v>0.205898280310788</v>
      </c>
      <c r="AH10" t="n">
        <v>0.202520474411391</v>
      </c>
      <c r="AI10" t="n">
        <v>0.19235761857692</v>
      </c>
      <c r="AJ10" t="n">
        <v>0.185841842211671</v>
      </c>
      <c r="AK10" t="n">
        <v>0.179172784372156</v>
      </c>
      <c r="AL10" t="n">
        <v>0.172417211900073</v>
      </c>
      <c r="AM10" t="n">
        <v>0.165505703325605</v>
      </c>
      <c r="AN10" t="n">
        <v>0.1584587990279</v>
      </c>
      <c r="AO10" t="n">
        <v>0.151239096362953</v>
      </c>
      <c r="AP10" t="n">
        <v>0.143804489584216</v>
      </c>
      <c r="AQ10" t="n">
        <v>0.136149117567777</v>
      </c>
      <c r="AR10" t="n">
        <v>0.128175111274263</v>
      </c>
      <c r="AS10" t="n">
        <v>0.119373175352316</v>
      </c>
      <c r="AT10" t="n">
        <v>0.110975751120485</v>
      </c>
      <c r="AU10" t="n">
        <v>0.102256263286195</v>
      </c>
      <c r="AV10" t="n">
        <v>0.0932458735394569</v>
      </c>
      <c r="AW10" t="n">
        <v>0.08392926963029941</v>
      </c>
    </row>
    <row r="11">
      <c r="A11" t="inlineStr">
        <is>
          <t>Dominica_2018_August</t>
        </is>
      </c>
      <c r="C11" t="inlineStr">
        <is>
          <t>SM.18.139</t>
        </is>
      </c>
      <c r="D11" t="inlineStr">
        <is>
          <t>Dominica</t>
        </is>
      </c>
      <c r="E11" t="inlineStr">
        <is>
          <t>DMA</t>
        </is>
      </c>
      <c r="F11" s="11" t="n">
        <v>43255</v>
      </c>
      <c r="G11" t="inlineStr">
        <is>
          <t>2013gn</t>
        </is>
      </c>
      <c r="H11" t="n">
        <v>2017</v>
      </c>
      <c r="I11" t="inlineStr">
        <is>
          <t>dod.pub.dbt.mlg.trm</t>
        </is>
      </c>
      <c r="K11" t="inlineStr">
        <is>
          <t>National Currency</t>
        </is>
      </c>
      <c r="L11" t="inlineStr">
        <is>
          <t>Billions</t>
        </is>
      </c>
      <c r="M11" t="inlineStr">
        <is>
          <t>Foreign currency denominated domestic debt</t>
        </is>
      </c>
    </row>
    <row r="12">
      <c r="A12" t="inlineStr">
        <is>
          <t>Dominica_2018_August</t>
        </is>
      </c>
      <c r="C12" t="inlineStr">
        <is>
          <t>SM.18.139</t>
        </is>
      </c>
      <c r="D12" t="inlineStr">
        <is>
          <t>Dominica</t>
        </is>
      </c>
      <c r="E12" t="inlineStr">
        <is>
          <t>DMA</t>
        </is>
      </c>
      <c r="F12" s="11" t="n">
        <v>43255</v>
      </c>
      <c r="G12" t="inlineStr">
        <is>
          <t>2013gn</t>
        </is>
      </c>
      <c r="H12" t="n">
        <v>2017</v>
      </c>
      <c r="I12" t="inlineStr">
        <is>
          <t>dod.pub.dbt.sht.trm</t>
        </is>
      </c>
      <c r="K12" t="inlineStr">
        <is>
          <t>National Currency</t>
        </is>
      </c>
      <c r="L12" t="inlineStr">
        <is>
          <t>Billions</t>
        </is>
      </c>
      <c r="M12" t="inlineStr">
        <is>
          <t xml:space="preserve">Medium and Long Term (MLT) </t>
        </is>
      </c>
      <c r="P12" t="n">
        <v>0.259613251644</v>
      </c>
      <c r="Q12" t="n">
        <v>0.2626</v>
      </c>
      <c r="R12" t="n">
        <v>0.24643655052</v>
      </c>
      <c r="S12" t="n">
        <v>0.24647926924</v>
      </c>
      <c r="T12" t="n">
        <v>0.24510994748</v>
      </c>
      <c r="U12" t="n">
        <v>0.24855384592</v>
      </c>
      <c r="V12" t="n">
        <v>0.23940031082</v>
      </c>
      <c r="W12" t="n">
        <v>0.26800669983</v>
      </c>
      <c r="X12" t="n">
        <v>0.2626533177</v>
      </c>
      <c r="Y12" t="n">
        <v>0.2595082739</v>
      </c>
      <c r="Z12" t="n">
        <v>0.25454201919</v>
      </c>
      <c r="AA12" t="n">
        <v>0.25838723391581</v>
      </c>
      <c r="AB12" t="n">
        <v>0.2622052572</v>
      </c>
      <c r="AC12" t="n">
        <v>0.235395383491317</v>
      </c>
      <c r="AD12" t="n">
        <v>0.22922483474441</v>
      </c>
      <c r="AE12" t="n">
        <v>0.231311013938686</v>
      </c>
      <c r="AF12" t="n">
        <v>0.215466947993219</v>
      </c>
      <c r="AG12" t="n">
        <v>0.205898280310788</v>
      </c>
      <c r="AH12" t="n">
        <v>0.202520474411391</v>
      </c>
      <c r="AI12" t="n">
        <v>0.19235761857692</v>
      </c>
      <c r="AJ12" t="n">
        <v>0.185841842211671</v>
      </c>
      <c r="AK12" t="n">
        <v>0.179172784372156</v>
      </c>
      <c r="AL12" t="n">
        <v>0.172417211900073</v>
      </c>
      <c r="AM12" t="n">
        <v>0.165505703325605</v>
      </c>
      <c r="AN12" t="n">
        <v>0.1584587990279</v>
      </c>
      <c r="AO12" t="n">
        <v>0.151239096362953</v>
      </c>
      <c r="AP12" t="n">
        <v>0.143804489584216</v>
      </c>
      <c r="AQ12" t="n">
        <v>0.136149117567777</v>
      </c>
      <c r="AR12" t="n">
        <v>0.128175111274263</v>
      </c>
      <c r="AS12" t="n">
        <v>0.119373175352316</v>
      </c>
      <c r="AT12" t="n">
        <v>0.110975751120485</v>
      </c>
      <c r="AU12" t="n">
        <v>0.102256263286195</v>
      </c>
      <c r="AV12" t="n">
        <v>0.0932458735394569</v>
      </c>
      <c r="AW12" t="n">
        <v>0.08392926963029941</v>
      </c>
    </row>
    <row r="13">
      <c r="A13" t="inlineStr">
        <is>
          <t>Dominica_2018_August</t>
        </is>
      </c>
      <c r="C13" t="inlineStr">
        <is>
          <t>SM.18.139</t>
        </is>
      </c>
      <c r="D13" t="inlineStr">
        <is>
          <t>Dominica</t>
        </is>
      </c>
      <c r="E13" t="inlineStr">
        <is>
          <t>DMA</t>
        </is>
      </c>
      <c r="F13" s="11" t="n">
        <v>43255</v>
      </c>
      <c r="G13" t="inlineStr">
        <is>
          <t>2013gn</t>
        </is>
      </c>
      <c r="H13" t="n">
        <v>2017</v>
      </c>
      <c r="I13" t="inlineStr">
        <is>
          <t>int.all</t>
        </is>
      </c>
      <c r="K13" t="inlineStr">
        <is>
          <t>National Currency</t>
        </is>
      </c>
      <c r="L13" t="inlineStr">
        <is>
          <t>Billions</t>
        </is>
      </c>
      <c r="M13" t="inlineStr">
        <is>
          <t>Short Term</t>
        </is>
      </c>
    </row>
    <row r="14">
      <c r="A14" t="inlineStr">
        <is>
          <t>Dominica_2018_August</t>
        </is>
      </c>
      <c r="C14" t="inlineStr">
        <is>
          <t>SM.18.139</t>
        </is>
      </c>
      <c r="D14" t="inlineStr">
        <is>
          <t>Dominica</t>
        </is>
      </c>
      <c r="E14" t="inlineStr">
        <is>
          <t>DMA</t>
        </is>
      </c>
      <c r="F14" s="11" t="n">
        <v>43255</v>
      </c>
      <c r="G14" t="inlineStr">
        <is>
          <t>2013gn</t>
        </is>
      </c>
      <c r="H14" t="n">
        <v>2017</v>
      </c>
      <c r="I14" t="inlineStr">
        <is>
          <t>int.ext.all</t>
        </is>
      </c>
      <c r="K14" t="inlineStr">
        <is>
          <t>US Dollars</t>
        </is>
      </c>
      <c r="L14" t="inlineStr">
        <is>
          <t>Billions</t>
        </is>
      </c>
      <c r="M14" t="inlineStr">
        <is>
          <t>Total debt interest due</t>
        </is>
      </c>
    </row>
    <row r="15">
      <c r="A15" t="inlineStr">
        <is>
          <t>Dominica_2018_August</t>
        </is>
      </c>
      <c r="C15" t="inlineStr">
        <is>
          <t>SM.18.139</t>
        </is>
      </c>
      <c r="D15" t="inlineStr">
        <is>
          <t>Dominica</t>
        </is>
      </c>
      <c r="E15" t="inlineStr">
        <is>
          <t>DMA</t>
        </is>
      </c>
      <c r="F15" s="11" t="n">
        <v>43255</v>
      </c>
      <c r="G15" t="inlineStr">
        <is>
          <t>2013gn</t>
        </is>
      </c>
      <c r="H15" t="n">
        <v>2017</v>
      </c>
      <c r="I15" t="inlineStr">
        <is>
          <t>int.ext.ppg</t>
        </is>
      </c>
      <c r="K15" t="inlineStr">
        <is>
          <t>US Dollars</t>
        </is>
      </c>
      <c r="L15" t="inlineStr">
        <is>
          <t>Billions</t>
        </is>
      </c>
      <c r="M15" t="inlineStr">
        <is>
          <t>Total external debt interest due (include interest from new debt)</t>
        </is>
      </c>
      <c r="P15" t="n">
        <v>0.01910188644411744</v>
      </c>
      <c r="Q15" t="n">
        <v>0.01615211934744449</v>
      </c>
      <c r="R15" t="n">
        <v>0.01486223836296297</v>
      </c>
      <c r="S15" t="n">
        <v>0.01684594097596463</v>
      </c>
      <c r="T15" t="n">
        <v>0.01597220518518521</v>
      </c>
      <c r="U15" t="n">
        <v>0.01249725703703703</v>
      </c>
      <c r="V15" t="n">
        <v>0.01239210492592593</v>
      </c>
      <c r="W15" t="n">
        <v>0.01454235185185185</v>
      </c>
      <c r="X15" t="n">
        <v>0.02296392867655728</v>
      </c>
      <c r="Y15" t="n">
        <v>0.01595161035121401</v>
      </c>
      <c r="Z15" t="n">
        <v>0.01585813238695428</v>
      </c>
      <c r="AA15" t="n">
        <v>0.01639292473381208</v>
      </c>
      <c r="AB15" t="n">
        <v>0.0179500375373695</v>
      </c>
      <c r="AC15" t="n">
        <v>0.01285259796855925</v>
      </c>
      <c r="AD15" t="n">
        <v>0.01607988684640418</v>
      </c>
      <c r="AE15" t="n">
        <v>0.01861454989624088</v>
      </c>
      <c r="AF15" t="n">
        <v>0.01995466407005886</v>
      </c>
      <c r="AG15" t="n">
        <v>0.022943787692272</v>
      </c>
      <c r="AH15" t="n">
        <v>0.02547577851229664</v>
      </c>
      <c r="AI15" t="n">
        <v>0.02693504332741968</v>
      </c>
      <c r="AJ15" t="n">
        <v>0.02780982169187254</v>
      </c>
      <c r="AK15" t="n">
        <v>0.02855426370834879</v>
      </c>
      <c r="AL15" t="n">
        <v>0.02926673835009608</v>
      </c>
      <c r="AM15" t="n">
        <v>0.02992524387380893</v>
      </c>
      <c r="AN15" t="n">
        <v>0.02948512878727908</v>
      </c>
      <c r="AO15" t="n">
        <v>0.03147323828228031</v>
      </c>
      <c r="AP15" t="n">
        <v>0.03208772394436749</v>
      </c>
      <c r="AQ15" t="n">
        <v>0.03269231438310181</v>
      </c>
      <c r="AR15" t="n">
        <v>0.03332946874199805</v>
      </c>
      <c r="AS15" t="n">
        <v>0.03376333812672174</v>
      </c>
      <c r="AT15" t="n">
        <v>0.03442157496165487</v>
      </c>
      <c r="AU15" t="n">
        <v>0.03510258632937914</v>
      </c>
      <c r="AV15" t="n">
        <v>0.03583375929823496</v>
      </c>
      <c r="AW15" t="n">
        <v>0.03660911154075214</v>
      </c>
    </row>
    <row r="16">
      <c r="A16" t="inlineStr">
        <is>
          <t>Dominica_2018_August</t>
        </is>
      </c>
      <c r="C16" t="inlineStr">
        <is>
          <t>SM.18.139</t>
        </is>
      </c>
      <c r="D16" t="inlineStr">
        <is>
          <t>Dominica</t>
        </is>
      </c>
      <c r="E16" t="inlineStr">
        <is>
          <t>DMA</t>
        </is>
      </c>
      <c r="F16" s="11" t="n">
        <v>43255</v>
      </c>
      <c r="G16" t="inlineStr">
        <is>
          <t>2013gn</t>
        </is>
      </c>
      <c r="H16" t="n">
        <v>2017</v>
      </c>
      <c r="I16" t="inlineStr">
        <is>
          <t>int.ext.png</t>
        </is>
      </c>
      <c r="K16" t="inlineStr">
        <is>
          <t>US Dollars</t>
        </is>
      </c>
      <c r="L16" t="inlineStr">
        <is>
          <t>Billions</t>
        </is>
      </c>
      <c r="M16" t="inlineStr">
        <is>
          <t>Public and publicly guaranteed</t>
        </is>
      </c>
      <c r="P16" t="n">
        <v>0.008701997555228541</v>
      </c>
      <c r="Q16" t="n">
        <v>0.0100819804585556</v>
      </c>
      <c r="R16" t="n">
        <v>0.0064636716962963</v>
      </c>
      <c r="S16" t="n">
        <v>0.00576447505003873</v>
      </c>
      <c r="T16" t="n">
        <v>0.00477240740740741</v>
      </c>
      <c r="U16" t="n">
        <v>0.006529333333333331</v>
      </c>
      <c r="V16" t="n">
        <v>0.00431154788888889</v>
      </c>
      <c r="W16" t="n">
        <v>0.00433757814814815</v>
      </c>
      <c r="X16" t="n">
        <v>0.0151627971950758</v>
      </c>
      <c r="Y16" t="n">
        <v>0.006409856277139941</v>
      </c>
      <c r="Z16" t="n">
        <v>0.007219275349917241</v>
      </c>
      <c r="AA16" t="n">
        <v>0.00639649394118076</v>
      </c>
      <c r="AB16" t="n">
        <v>0.0075859099001909</v>
      </c>
      <c r="AC16" t="n">
        <v>0.00496312569693243</v>
      </c>
      <c r="AD16" t="n">
        <v>0.008449129906411945</v>
      </c>
      <c r="AE16" t="n">
        <v>0.00976774748543317</v>
      </c>
      <c r="AF16" t="n">
        <v>0.01092121711964722</v>
      </c>
      <c r="AG16" t="n">
        <v>0.0129305902650354</v>
      </c>
      <c r="AH16" t="n">
        <v>0.01424424987608494</v>
      </c>
      <c r="AI16" t="n">
        <v>0.01496590951923968</v>
      </c>
      <c r="AJ16" t="n">
        <v>0.01538130339726914</v>
      </c>
      <c r="AK16" t="n">
        <v>0.01575613094857059</v>
      </c>
      <c r="AL16" t="n">
        <v>0.01609329392922629</v>
      </c>
      <c r="AM16" t="n">
        <v>0.01638219029432003</v>
      </c>
      <c r="AN16" t="n">
        <v>0.01560846114281658</v>
      </c>
      <c r="AO16" t="n">
        <v>0.01724737519437421</v>
      </c>
      <c r="AP16" t="n">
        <v>0.01751738972786459</v>
      </c>
      <c r="AQ16" t="n">
        <v>0.01779475489354011</v>
      </c>
      <c r="AR16" t="n">
        <v>0.01807284793003595</v>
      </c>
      <c r="AS16" t="n">
        <v>0.01814301681172444</v>
      </c>
      <c r="AT16" t="n">
        <v>0.01847911824329917</v>
      </c>
      <c r="AU16" t="n">
        <v>0.01884802481729564</v>
      </c>
      <c r="AV16" t="n">
        <v>0.01925434755674456</v>
      </c>
      <c r="AW16" t="n">
        <v>0.01968907300308274</v>
      </c>
    </row>
    <row r="17">
      <c r="A17" t="inlineStr">
        <is>
          <t>Dominica_2018_August</t>
        </is>
      </c>
      <c r="C17" t="inlineStr">
        <is>
          <t>SM.18.139</t>
        </is>
      </c>
      <c r="D17" t="inlineStr">
        <is>
          <t>Dominica</t>
        </is>
      </c>
      <c r="E17" t="inlineStr">
        <is>
          <t>DMA</t>
        </is>
      </c>
      <c r="F17" s="11" t="n">
        <v>43255</v>
      </c>
      <c r="G17" t="inlineStr">
        <is>
          <t>2013gn</t>
        </is>
      </c>
      <c r="H17" t="n">
        <v>2017</v>
      </c>
      <c r="I17" t="inlineStr">
        <is>
          <t>int.dom.all</t>
        </is>
      </c>
      <c r="K17" t="inlineStr">
        <is>
          <t>US Dollars</t>
        </is>
      </c>
      <c r="L17" t="inlineStr">
        <is>
          <t>Billions</t>
        </is>
      </c>
      <c r="M17" t="inlineStr">
        <is>
          <t xml:space="preserve">Private </t>
        </is>
      </c>
      <c r="P17" t="n">
        <v>0.0103998888888889</v>
      </c>
      <c r="Q17" t="n">
        <v>0.00607013888888889</v>
      </c>
      <c r="R17" t="n">
        <v>0.008398566666666669</v>
      </c>
      <c r="S17" t="n">
        <v>0.0110814659259259</v>
      </c>
      <c r="T17" t="n">
        <v>0.0111997977777778</v>
      </c>
      <c r="U17" t="n">
        <v>0.005967923703703699</v>
      </c>
      <c r="V17" t="n">
        <v>0.00808055703703704</v>
      </c>
      <c r="W17" t="n">
        <v>0.0102047737037037</v>
      </c>
      <c r="X17" t="n">
        <v>0.007801131481481481</v>
      </c>
      <c r="Y17" t="n">
        <v>0.009541754074074071</v>
      </c>
      <c r="Z17" t="n">
        <v>0.00863885703703704</v>
      </c>
      <c r="AA17" t="n">
        <v>0.009996430792631321</v>
      </c>
      <c r="AB17" t="n">
        <v>0.0103641276371786</v>
      </c>
      <c r="AC17" t="n">
        <v>0.00788947227162682</v>
      </c>
      <c r="AD17" t="n">
        <v>0.007630756939992231</v>
      </c>
      <c r="AE17" t="n">
        <v>0.00884680241080771</v>
      </c>
      <c r="AF17" t="n">
        <v>0.009033446950411641</v>
      </c>
      <c r="AG17" t="n">
        <v>0.0100131974272366</v>
      </c>
      <c r="AH17" t="n">
        <v>0.0112315286362117</v>
      </c>
      <c r="AI17" t="n">
        <v>0.01196913380818</v>
      </c>
      <c r="AJ17" t="n">
        <v>0.0124285182946034</v>
      </c>
      <c r="AK17" t="n">
        <v>0.0127981327597782</v>
      </c>
      <c r="AL17" t="n">
        <v>0.0131734444208698</v>
      </c>
      <c r="AM17" t="n">
        <v>0.0135430535794889</v>
      </c>
      <c r="AN17" t="n">
        <v>0.0138766676444625</v>
      </c>
      <c r="AO17" t="n">
        <v>0.0142258630879061</v>
      </c>
      <c r="AP17" t="n">
        <v>0.0145703342165029</v>
      </c>
      <c r="AQ17" t="n">
        <v>0.0148975594895617</v>
      </c>
      <c r="AR17" t="n">
        <v>0.0152566208119621</v>
      </c>
      <c r="AS17" t="n">
        <v>0.0156203213149973</v>
      </c>
      <c r="AT17" t="n">
        <v>0.0159424567183557</v>
      </c>
      <c r="AU17" t="n">
        <v>0.0162545615120835</v>
      </c>
      <c r="AV17" t="n">
        <v>0.0165794117414904</v>
      </c>
      <c r="AW17" t="n">
        <v>0.0169200385376694</v>
      </c>
    </row>
    <row r="18">
      <c r="A18" t="inlineStr">
        <is>
          <t>Dominica_2018_August</t>
        </is>
      </c>
      <c r="C18" t="inlineStr">
        <is>
          <t>SM.18.139</t>
        </is>
      </c>
      <c r="D18" t="inlineStr">
        <is>
          <t>Dominica</t>
        </is>
      </c>
      <c r="E18" t="inlineStr">
        <is>
          <t>DMA</t>
        </is>
      </c>
      <c r="F18" s="11" t="n">
        <v>43255</v>
      </c>
      <c r="G18" t="inlineStr">
        <is>
          <t>2013gn</t>
        </is>
      </c>
      <c r="H18" t="n">
        <v>2017</v>
      </c>
      <c r="I18" t="inlineStr">
        <is>
          <t>amt.all</t>
        </is>
      </c>
      <c r="K18" t="inlineStr">
        <is>
          <t>US Dollars</t>
        </is>
      </c>
      <c r="L18" t="inlineStr">
        <is>
          <t>Billions</t>
        </is>
      </c>
      <c r="M18" t="inlineStr">
        <is>
          <t>Total public domestic debt interest due</t>
        </is>
      </c>
      <c r="P18" t="n">
        <v>0.00754881168250913</v>
      </c>
      <c r="Q18" t="n">
        <v>0.00834229478179275</v>
      </c>
      <c r="R18" t="n">
        <v>0.00338562179259259</v>
      </c>
      <c r="S18" t="n">
        <v>0.00496001621111111</v>
      </c>
      <c r="T18" t="n">
        <v>0.00276728691481481</v>
      </c>
      <c r="U18" t="n">
        <v>0.00362895927037037</v>
      </c>
      <c r="V18" t="n">
        <v>0.00272811100740741</v>
      </c>
      <c r="W18" t="n">
        <v>0.00526360249259259</v>
      </c>
      <c r="X18" t="n">
        <v>0.004747682592592589</v>
      </c>
      <c r="Y18" t="n">
        <v>0.005839330092592589</v>
      </c>
      <c r="Z18" t="n">
        <v>0.00427699922962963</v>
      </c>
      <c r="AA18" t="n">
        <v>0.00325654413703704</v>
      </c>
      <c r="AB18" t="n">
        <v>0.00394851997777778</v>
      </c>
      <c r="AC18" t="n">
        <v>0.00468838774549266</v>
      </c>
      <c r="AD18" t="n">
        <v>0.005465145933766</v>
      </c>
      <c r="AE18" t="n">
        <v>0.00627434204134171</v>
      </c>
      <c r="AF18" t="n">
        <v>0.00673402575338869</v>
      </c>
      <c r="AG18" t="n">
        <v>0.006059698339716</v>
      </c>
      <c r="AH18" t="n">
        <v>0.00562545865278637</v>
      </c>
      <c r="AI18" t="n">
        <v>0.00556129837651329</v>
      </c>
      <c r="AJ18" t="n">
        <v>0.0053682583802898</v>
      </c>
      <c r="AK18" t="n">
        <v>0.00524449342037818</v>
      </c>
      <c r="AL18" t="n">
        <v>0.00511781693090291</v>
      </c>
      <c r="AM18" t="n">
        <v>0.00498949712535426</v>
      </c>
      <c r="AN18" t="n">
        <v>0.004858215366482061</v>
      </c>
      <c r="AO18" t="n">
        <v>0.00472436181181466</v>
      </c>
      <c r="AP18" t="n">
        <v>0.00458722601082762</v>
      </c>
      <c r="AQ18" t="n">
        <v>0.0044460081791604</v>
      </c>
      <c r="AR18" t="n">
        <v>0.00430059698675421</v>
      </c>
      <c r="AS18" t="n">
        <v>0.004149133444433259</v>
      </c>
      <c r="AT18" t="n">
        <v>0.00398194365990744</v>
      </c>
      <c r="AU18" t="n">
        <v>0.00382243743760118</v>
      </c>
      <c r="AV18" t="n">
        <v>0.00365681372650881</v>
      </c>
      <c r="AW18" t="n">
        <v>0.00348566443235244</v>
      </c>
    </row>
    <row r="19">
      <c r="A19" t="inlineStr">
        <is>
          <t>Dominica_2018_August</t>
        </is>
      </c>
      <c r="C19" t="inlineStr">
        <is>
          <t>SM.18.139</t>
        </is>
      </c>
      <c r="D19" t="inlineStr">
        <is>
          <t>Dominica</t>
        </is>
      </c>
      <c r="E19" t="inlineStr">
        <is>
          <t>DMA</t>
        </is>
      </c>
      <c r="F19" s="11" t="n">
        <v>43255</v>
      </c>
      <c r="G19" t="inlineStr">
        <is>
          <t>2013gn</t>
        </is>
      </c>
      <c r="H19" t="n">
        <v>2017</v>
      </c>
      <c r="I19" t="inlineStr">
        <is>
          <t>amt.ext.all</t>
        </is>
      </c>
      <c r="K19" t="inlineStr">
        <is>
          <t>US Dollars</t>
        </is>
      </c>
      <c r="L19" t="inlineStr">
        <is>
          <t>Billions</t>
        </is>
      </c>
      <c r="M19" t="inlineStr">
        <is>
          <t>... from foreign currency denominated debt</t>
        </is>
      </c>
    </row>
    <row r="20">
      <c r="A20" t="inlineStr">
        <is>
          <t>Dominica_2018_August</t>
        </is>
      </c>
      <c r="C20" t="inlineStr">
        <is>
          <t>SM.18.139</t>
        </is>
      </c>
      <c r="D20" t="inlineStr">
        <is>
          <t>Dominica</t>
        </is>
      </c>
      <c r="E20" t="inlineStr">
        <is>
          <t>DMA</t>
        </is>
      </c>
      <c r="F20" s="11" t="n">
        <v>43255</v>
      </c>
      <c r="G20" t="inlineStr">
        <is>
          <t>2013gn</t>
        </is>
      </c>
      <c r="H20" t="n">
        <v>2017</v>
      </c>
      <c r="I20" t="inlineStr">
        <is>
          <t>amt.ext.ppg</t>
        </is>
      </c>
      <c r="K20" t="inlineStr">
        <is>
          <t>US Dollars</t>
        </is>
      </c>
      <c r="L20" t="inlineStr">
        <is>
          <t>Billions</t>
        </is>
      </c>
      <c r="M20" t="inlineStr">
        <is>
          <t>Total debt amortization due</t>
        </is>
      </c>
    </row>
    <row r="21">
      <c r="A21" t="inlineStr">
        <is>
          <t>Dominica_2018_August</t>
        </is>
      </c>
      <c r="C21" t="inlineStr">
        <is>
          <t>SM.18.139</t>
        </is>
      </c>
      <c r="D21" t="inlineStr">
        <is>
          <t>Dominica</t>
        </is>
      </c>
      <c r="E21" t="inlineStr">
        <is>
          <t>DMA</t>
        </is>
      </c>
      <c r="F21" s="11" t="n">
        <v>43255</v>
      </c>
      <c r="G21" t="inlineStr">
        <is>
          <t>2013gn</t>
        </is>
      </c>
      <c r="H21" t="n">
        <v>2017</v>
      </c>
      <c r="I21" t="inlineStr">
        <is>
          <t>amt.ext.png</t>
        </is>
      </c>
      <c r="K21" t="inlineStr">
        <is>
          <t>US Dollars</t>
        </is>
      </c>
      <c r="L21" t="inlineStr">
        <is>
          <t>Billions</t>
        </is>
      </c>
      <c r="M21" t="inlineStr">
        <is>
          <t>Total external amortization due (include amortization from new debt)</t>
        </is>
      </c>
      <c r="P21" t="n">
        <v>0</v>
      </c>
      <c r="Q21" t="n">
        <v>0</v>
      </c>
      <c r="R21" t="n">
        <v>0.0108595925925926</v>
      </c>
      <c r="S21" t="n">
        <v>0.010443037037037</v>
      </c>
      <c r="T21" t="n">
        <v>0.0100148518518519</v>
      </c>
      <c r="U21" t="n">
        <v>0.012117</v>
      </c>
      <c r="V21" t="n">
        <v>0.0104749040740741</v>
      </c>
      <c r="W21" t="n">
        <v>0.0139658275718519</v>
      </c>
      <c r="X21" t="n">
        <v>0.0185304636518442</v>
      </c>
      <c r="Y21" t="n">
        <v>0.0154373486064475</v>
      </c>
      <c r="Z21" t="n">
        <v>0.0173305127669757</v>
      </c>
      <c r="AA21" t="n">
        <v>0.021201572452072</v>
      </c>
      <c r="AB21" t="n">
        <v>0.0220565021914142</v>
      </c>
      <c r="AC21" t="n">
        <v>0.0154323495851503</v>
      </c>
      <c r="AD21" t="n">
        <v>0.0230101790295947</v>
      </c>
      <c r="AE21" t="n">
        <v>0.03109974014772915</v>
      </c>
      <c r="AF21" t="n">
        <v>0.02251118361370061</v>
      </c>
      <c r="AG21" t="n">
        <v>0.02179410672113042</v>
      </c>
      <c r="AH21" t="n">
        <v>0.02453228033659608</v>
      </c>
      <c r="AI21" t="n">
        <v>0.02707476331487899</v>
      </c>
      <c r="AJ21" t="n">
        <v>0.03000057973566523</v>
      </c>
      <c r="AK21" t="n">
        <v>0.03288578946037946</v>
      </c>
      <c r="AL21" t="n">
        <v>0.03620030420348602</v>
      </c>
      <c r="AM21" t="n">
        <v>0.03648654497583516</v>
      </c>
      <c r="AN21" t="n">
        <v>0.03696428592607515</v>
      </c>
      <c r="AO21" t="n">
        <v>0.03771413024847035</v>
      </c>
      <c r="AP21" t="n">
        <v>0.0406633403262803</v>
      </c>
      <c r="AQ21" t="n">
        <v>0.04198153769222385</v>
      </c>
      <c r="AR21" t="n">
        <v>0.04391646947988043</v>
      </c>
      <c r="AS21" t="n">
        <v>0.04516261596748553</v>
      </c>
      <c r="AT21" t="n">
        <v>0.04630422451158406</v>
      </c>
      <c r="AU21" t="n">
        <v>0.04704349399917201</v>
      </c>
      <c r="AV21" t="n">
        <v>0.04775727642602336</v>
      </c>
      <c r="AW21" t="n">
        <v>0.04797190355005196</v>
      </c>
    </row>
    <row r="22">
      <c r="A22" t="inlineStr">
        <is>
          <t>Dominica_2018_August</t>
        </is>
      </c>
      <c r="C22" t="inlineStr">
        <is>
          <t>SM.18.139</t>
        </is>
      </c>
      <c r="D22" t="inlineStr">
        <is>
          <t>Dominica</t>
        </is>
      </c>
      <c r="E22" t="inlineStr">
        <is>
          <t>DMA</t>
        </is>
      </c>
      <c r="F22" s="11" t="n">
        <v>43255</v>
      </c>
      <c r="G22" t="inlineStr">
        <is>
          <t>2013gn</t>
        </is>
      </c>
      <c r="H22" t="n">
        <v>2017</v>
      </c>
      <c r="I22" t="inlineStr">
        <is>
          <t>amt.dom.all</t>
        </is>
      </c>
      <c r="K22" t="inlineStr">
        <is>
          <t>US Dollars</t>
        </is>
      </c>
      <c r="L22" t="inlineStr">
        <is>
          <t>Billions</t>
        </is>
      </c>
      <c r="M22" t="inlineStr">
        <is>
          <t>Public and publicly guaranteed</t>
        </is>
      </c>
      <c r="P22" t="n">
        <v>0</v>
      </c>
      <c r="Q22" t="n">
        <v>0</v>
      </c>
      <c r="R22" t="n">
        <v>0.0108595925925926</v>
      </c>
      <c r="S22" t="n">
        <v>0.010443037037037</v>
      </c>
      <c r="T22" t="n">
        <v>0.0100148518518519</v>
      </c>
      <c r="U22" t="n">
        <v>0.012117</v>
      </c>
      <c r="V22" t="n">
        <v>0.0104749040740741</v>
      </c>
      <c r="W22" t="n">
        <v>0.0139658275718519</v>
      </c>
      <c r="X22" t="n">
        <v>0.0185304636518442</v>
      </c>
      <c r="Y22" t="n">
        <v>0.0154373486064475</v>
      </c>
      <c r="Z22" t="n">
        <v>0.0173305127669757</v>
      </c>
      <c r="AA22" t="n">
        <v>0.021201572452072</v>
      </c>
      <c r="AB22" t="n">
        <v>0.0220565021914142</v>
      </c>
      <c r="AC22" t="n">
        <v>0.0154323495851503</v>
      </c>
      <c r="AD22" t="n">
        <v>0.0230101790295947</v>
      </c>
      <c r="AE22" t="n">
        <v>0.03109974014772915</v>
      </c>
      <c r="AF22" t="n">
        <v>0.02251118361370061</v>
      </c>
      <c r="AG22" t="n">
        <v>0.02179410672113042</v>
      </c>
      <c r="AH22" t="n">
        <v>0.02453228033659608</v>
      </c>
      <c r="AI22" t="n">
        <v>0.02707476331487899</v>
      </c>
      <c r="AJ22" t="n">
        <v>0.03000057973566523</v>
      </c>
      <c r="AK22" t="n">
        <v>0.03288578946037946</v>
      </c>
      <c r="AL22" t="n">
        <v>0.03620030420348602</v>
      </c>
      <c r="AM22" t="n">
        <v>0.03648654497583516</v>
      </c>
      <c r="AN22" t="n">
        <v>0.03696428592607515</v>
      </c>
      <c r="AO22" t="n">
        <v>0.03771413024847035</v>
      </c>
      <c r="AP22" t="n">
        <v>0.0406633403262803</v>
      </c>
      <c r="AQ22" t="n">
        <v>0.04198153769222385</v>
      </c>
      <c r="AR22" t="n">
        <v>0.04391646947988043</v>
      </c>
      <c r="AS22" t="n">
        <v>0.04516261596748553</v>
      </c>
      <c r="AT22" t="n">
        <v>0.04630422451158406</v>
      </c>
      <c r="AU22" t="n">
        <v>0.04704349399917201</v>
      </c>
      <c r="AV22" t="n">
        <v>0.04775727642602336</v>
      </c>
      <c r="AW22" t="n">
        <v>0.04797190355005196</v>
      </c>
    </row>
    <row r="23">
      <c r="A23" t="inlineStr">
        <is>
          <t>Dominica_2018_August</t>
        </is>
      </c>
      <c r="C23" t="inlineStr">
        <is>
          <t>SM.18.139</t>
        </is>
      </c>
      <c r="D23" t="inlineStr">
        <is>
          <t>Dominica</t>
        </is>
      </c>
      <c r="E23" t="inlineStr">
        <is>
          <t>DMA</t>
        </is>
      </c>
      <c r="F23" s="11" t="n">
        <v>43255</v>
      </c>
      <c r="G23" t="inlineStr">
        <is>
          <t>2013gn</t>
        </is>
      </c>
      <c r="H23" t="n">
        <v>2017</v>
      </c>
      <c r="K23" t="inlineStr">
        <is>
          <t>US Dollars</t>
        </is>
      </c>
      <c r="L23" t="inlineStr">
        <is>
          <t>Billions</t>
        </is>
      </c>
      <c r="M23" t="inlineStr">
        <is>
          <t xml:space="preserve">MLT private external debt </t>
        </is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</row>
    <row r="24">
      <c r="A24" t="inlineStr">
        <is>
          <t>Dominica_2018_August</t>
        </is>
      </c>
      <c r="C24" t="inlineStr">
        <is>
          <t>SM.18.139</t>
        </is>
      </c>
      <c r="D24" t="inlineStr">
        <is>
          <t>Dominica</t>
        </is>
      </c>
      <c r="E24" t="inlineStr">
        <is>
          <t>DMA</t>
        </is>
      </c>
      <c r="F24" s="11" t="n">
        <v>43255</v>
      </c>
      <c r="G24" t="inlineStr">
        <is>
          <t>2013gn</t>
        </is>
      </c>
      <c r="H24" t="n">
        <v>2017</v>
      </c>
      <c r="I24" t="inlineStr">
        <is>
          <t>cab</t>
        </is>
      </c>
      <c r="K24" t="inlineStr">
        <is>
          <t>US Dollars</t>
        </is>
      </c>
      <c r="L24" t="inlineStr">
        <is>
          <t>Billions</t>
        </is>
      </c>
      <c r="M24" t="inlineStr">
        <is>
          <t>Total MLT public domestic debt amortization debt</t>
        </is>
      </c>
      <c r="P24" t="n">
        <v>0</v>
      </c>
      <c r="Q24" t="n">
        <v>0</v>
      </c>
      <c r="R24" t="n">
        <v>0.00233487602592593</v>
      </c>
      <c r="S24" t="n">
        <v>0.00145243923333333</v>
      </c>
      <c r="T24" t="n">
        <v>0.00370096397777778</v>
      </c>
      <c r="U24" t="n">
        <v>0.00549956053703704</v>
      </c>
      <c r="V24" t="n">
        <v>0.00498843172962963</v>
      </c>
      <c r="W24" t="n">
        <v>0.0117376405888889</v>
      </c>
      <c r="X24" t="n">
        <v>0.004706705</v>
      </c>
      <c r="Y24" t="n">
        <v>0.00512886740740741</v>
      </c>
      <c r="Z24" t="n">
        <v>0.00326708725925926</v>
      </c>
      <c r="AA24" t="n">
        <v>0.00193926611111111</v>
      </c>
      <c r="AB24" t="n">
        <v>0.00143294759259259</v>
      </c>
      <c r="AC24" t="n">
        <v>0.0138300367333333</v>
      </c>
      <c r="AD24" t="n">
        <v>0.00756438638412699</v>
      </c>
      <c r="AE24" t="n">
        <v>0.0218384361673795</v>
      </c>
      <c r="AF24" t="n">
        <v>0.0138084834466683</v>
      </c>
      <c r="AG24" t="n">
        <v>0.0135830273442065</v>
      </c>
      <c r="AH24" t="n">
        <v>0.0148850222307492</v>
      </c>
      <c r="AI24" t="n">
        <v>0.0166892837313307</v>
      </c>
      <c r="AJ24" t="n">
        <v>0.0162210850574565</v>
      </c>
      <c r="AK24" t="n">
        <v>0.0165233168634342</v>
      </c>
      <c r="AL24" t="n">
        <v>0.0184774789761221</v>
      </c>
      <c r="AM24" t="n">
        <v>0.0203619176394634</v>
      </c>
      <c r="AN24" t="n">
        <v>0.0215144788679588</v>
      </c>
      <c r="AO24" t="n">
        <v>0.0237269905662931</v>
      </c>
      <c r="AP24" t="n">
        <v>0.0242100949511689</v>
      </c>
      <c r="AQ24" t="n">
        <v>0.0259616345947926</v>
      </c>
      <c r="AR24" t="n">
        <v>0.0278843913590099</v>
      </c>
      <c r="AS24" t="n">
        <v>0.0298664325467634</v>
      </c>
      <c r="AT24" t="n">
        <v>0.0318577015308641</v>
      </c>
      <c r="AU24" t="n">
        <v>0.034109669218688</v>
      </c>
      <c r="AV24" t="n">
        <v>0.0366895602345782</v>
      </c>
      <c r="AW24" t="n">
        <v>0.0393831694424949</v>
      </c>
    </row>
    <row r="25">
      <c r="A25" t="inlineStr">
        <is>
          <t>Dominica_2018_August</t>
        </is>
      </c>
      <c r="C25" t="inlineStr">
        <is>
          <t>SM.18.139</t>
        </is>
      </c>
      <c r="D25" t="inlineStr">
        <is>
          <t>Dominica</t>
        </is>
      </c>
      <c r="E25" t="inlineStr">
        <is>
          <t>DMA</t>
        </is>
      </c>
      <c r="F25" s="11" t="n">
        <v>43255</v>
      </c>
      <c r="G25" t="inlineStr">
        <is>
          <t>2013gn</t>
        </is>
      </c>
      <c r="H25" t="n">
        <v>2017</v>
      </c>
      <c r="I25" t="inlineStr">
        <is>
          <t>tb.x.gs</t>
        </is>
      </c>
    </row>
    <row r="26">
      <c r="A26" t="inlineStr">
        <is>
          <t>Dominica_2018_August</t>
        </is>
      </c>
      <c r="C26" t="inlineStr">
        <is>
          <t>SM.18.139</t>
        </is>
      </c>
      <c r="D26" t="inlineStr">
        <is>
          <t>Dominica</t>
        </is>
      </c>
      <c r="E26" t="inlineStr">
        <is>
          <t>DMA</t>
        </is>
      </c>
      <c r="F26" s="11" t="n">
        <v>43255</v>
      </c>
      <c r="G26" t="inlineStr">
        <is>
          <t>2013gn</t>
        </is>
      </c>
      <c r="H26" t="n">
        <v>2017</v>
      </c>
      <c r="I26" t="inlineStr">
        <is>
          <t>tb.m.gs</t>
        </is>
      </c>
      <c r="K26" t="inlineStr">
        <is>
          <t>US Dollars</t>
        </is>
      </c>
      <c r="L26" t="inlineStr">
        <is>
          <t>Billions</t>
        </is>
      </c>
      <c r="M26" t="inlineStr">
        <is>
          <t>Current account balance</t>
        </is>
      </c>
      <c r="P26" t="n">
        <v>-0.058856366037037</v>
      </c>
      <c r="Q26" t="n">
        <v>-0.0760811155555555</v>
      </c>
      <c r="R26" t="n">
        <v>-0.049851557037037</v>
      </c>
      <c r="S26" t="n">
        <v>-0.0869494751851852</v>
      </c>
      <c r="T26" t="n">
        <v>-0.129885324814815</v>
      </c>
      <c r="U26" t="n">
        <v>-0.111079073703704</v>
      </c>
      <c r="V26" t="n">
        <v>-0.07860367962962959</v>
      </c>
      <c r="W26" t="n">
        <v>-0.0705892925925926</v>
      </c>
      <c r="X26" t="n">
        <v>-0.08423725</v>
      </c>
      <c r="Y26" t="n">
        <v>-0.0494000222222222</v>
      </c>
      <c r="Z26" t="n">
        <v>-0.037706</v>
      </c>
      <c r="AA26" t="n">
        <v>-0.0102706</v>
      </c>
      <c r="AB26" t="n">
        <v>0.0047919</v>
      </c>
      <c r="AC26" t="n">
        <v>-0.0696914</v>
      </c>
      <c r="AD26" t="n">
        <v>-0.1538732</v>
      </c>
      <c r="AE26" t="n">
        <v>-0.11923</v>
      </c>
      <c r="AF26" t="n">
        <v>-0.1197339</v>
      </c>
      <c r="AG26" t="n">
        <v>-0.1317776</v>
      </c>
      <c r="AH26" t="n">
        <v>-0.0918099</v>
      </c>
      <c r="AI26" t="n">
        <v>-0.0791366</v>
      </c>
      <c r="AJ26" t="n">
        <v>-0.0521615</v>
      </c>
      <c r="AK26" t="n">
        <v>-0.0548628</v>
      </c>
      <c r="AL26" t="n">
        <v>-0.0576783</v>
      </c>
      <c r="AM26" t="n">
        <v>-0.0606254</v>
      </c>
      <c r="AN26" t="n">
        <v>-0.06374009999999999</v>
      </c>
      <c r="AO26" t="n">
        <v>-0.06697599999999999</v>
      </c>
      <c r="AP26" t="n">
        <v>-0.0703583</v>
      </c>
      <c r="AQ26" t="n">
        <v>-0.0739051</v>
      </c>
      <c r="AR26" t="n">
        <v>-0.07757360000000001</v>
      </c>
      <c r="AS26" t="n">
        <v>-0.081397</v>
      </c>
      <c r="AT26" t="n">
        <v>-0.0849076</v>
      </c>
      <c r="AU26" t="n">
        <v>-0.08214440000000001</v>
      </c>
      <c r="AV26" t="n">
        <v>-0.0791862</v>
      </c>
      <c r="AW26" t="n">
        <v>-0.0760221</v>
      </c>
    </row>
    <row r="27">
      <c r="A27" t="inlineStr">
        <is>
          <t>Dominica_2018_August</t>
        </is>
      </c>
      <c r="C27" t="inlineStr">
        <is>
          <t>SM.18.139</t>
        </is>
      </c>
      <c r="D27" t="inlineStr">
        <is>
          <t>Dominica</t>
        </is>
      </c>
      <c r="E27" t="inlineStr">
        <is>
          <t>DMA</t>
        </is>
      </c>
      <c r="F27" s="11" t="n">
        <v>43255</v>
      </c>
      <c r="G27" t="inlineStr">
        <is>
          <t>2013gn</t>
        </is>
      </c>
      <c r="H27" t="n">
        <v>2017</v>
      </c>
      <c r="I27" t="inlineStr">
        <is>
          <t>net.crt.trsfr.all</t>
        </is>
      </c>
      <c r="K27" t="inlineStr">
        <is>
          <t>US Dollars</t>
        </is>
      </c>
      <c r="L27" t="inlineStr">
        <is>
          <t>Billions</t>
        </is>
      </c>
      <c r="M27" t="inlineStr">
        <is>
          <t>Exports of goods and services</t>
        </is>
      </c>
      <c r="P27" t="n">
        <v>0.13047822037037</v>
      </c>
      <c r="Q27" t="n">
        <v>0.129357542592593</v>
      </c>
      <c r="R27" t="n">
        <v>0.144430703333333</v>
      </c>
      <c r="S27" t="n">
        <v>0.147844255185185</v>
      </c>
      <c r="T27" t="n">
        <v>0.156733717037037</v>
      </c>
      <c r="U27" t="n">
        <v>0.147949173703704</v>
      </c>
      <c r="V27" t="n">
        <v>0.175645608518519</v>
      </c>
      <c r="W27" t="n">
        <v>0.188272808518519</v>
      </c>
      <c r="X27" t="n">
        <v>0.158361769259259</v>
      </c>
      <c r="Y27" t="n">
        <v>0.193466980740741</v>
      </c>
      <c r="Z27" t="n">
        <v>0.272657576060574</v>
      </c>
      <c r="AA27" t="n">
        <v>0.267878332369072</v>
      </c>
      <c r="AB27" t="n">
        <v>0.281129290236728</v>
      </c>
      <c r="AC27" t="n">
        <v>0.237661364431466</v>
      </c>
      <c r="AD27" t="n">
        <v>0.160975598520187</v>
      </c>
      <c r="AE27" t="n">
        <v>0.2231922008144</v>
      </c>
      <c r="AF27" t="n">
        <v>0.258892635359915</v>
      </c>
      <c r="AG27" t="n">
        <v>0.268317168343117</v>
      </c>
      <c r="AH27" t="n">
        <v>0.281947897717391</v>
      </c>
      <c r="AI27" t="n">
        <v>0.291124240896954</v>
      </c>
      <c r="AJ27" t="n">
        <v>0.30136737747433</v>
      </c>
      <c r="AK27" t="n">
        <v>0.311972096772887</v>
      </c>
      <c r="AL27" t="n">
        <v>0.322951162662682</v>
      </c>
      <c r="AM27" t="n">
        <v>0.334317789578388</v>
      </c>
      <c r="AN27" t="n">
        <v>0.346085658424218</v>
      </c>
      <c r="AO27" t="n">
        <v>0.358268933040306</v>
      </c>
      <c r="AP27" t="n">
        <v>0.370882277250341</v>
      </c>
      <c r="AQ27" t="n">
        <v>0.383940872510991</v>
      </c>
      <c r="AR27" t="n">
        <v>0.397460436184342</v>
      </c>
      <c r="AS27" t="n">
        <v>0.411457240455362</v>
      </c>
      <c r="AT27" t="n">
        <v>0.425948131917149</v>
      </c>
      <c r="AU27" t="n">
        <v>0.440950551847538</v>
      </c>
      <c r="AV27" t="n">
        <v>0.456482557201468</v>
      </c>
      <c r="AW27" t="n">
        <v>0.472562842344393</v>
      </c>
    </row>
    <row r="28">
      <c r="A28" t="inlineStr">
        <is>
          <t>Dominica_2018_August</t>
        </is>
      </c>
      <c r="C28" t="inlineStr">
        <is>
          <t>SM.18.139</t>
        </is>
      </c>
      <c r="D28" t="inlineStr">
        <is>
          <t>Dominica</t>
        </is>
      </c>
      <c r="E28" t="inlineStr">
        <is>
          <t>DMA</t>
        </is>
      </c>
      <c r="F28" s="11" t="n">
        <v>43255</v>
      </c>
      <c r="G28" t="inlineStr">
        <is>
          <t>2013gn</t>
        </is>
      </c>
      <c r="H28" t="n">
        <v>2017</v>
      </c>
      <c r="I28" t="inlineStr">
        <is>
          <t>net.crt.trsfr.off</t>
        </is>
      </c>
      <c r="K28" t="inlineStr">
        <is>
          <t>US Dollars</t>
        </is>
      </c>
      <c r="L28" t="inlineStr">
        <is>
          <t>Billions</t>
        </is>
      </c>
      <c r="M28" t="inlineStr">
        <is>
          <t>Imports of goods and services (use positive values)</t>
        </is>
      </c>
      <c r="P28" t="n">
        <v>0.174111516296296</v>
      </c>
      <c r="Q28" t="n">
        <v>0.196125121111111</v>
      </c>
      <c r="R28" t="n">
        <v>0.198852566296296</v>
      </c>
      <c r="S28" t="n">
        <v>0.236331767407407</v>
      </c>
      <c r="T28" t="n">
        <v>0.287322125925926</v>
      </c>
      <c r="U28" t="n">
        <v>0.264465896666667</v>
      </c>
      <c r="V28" t="n">
        <v>0.264518701111111</v>
      </c>
      <c r="W28" t="n">
        <v>0.264806942962963</v>
      </c>
      <c r="X28" t="n">
        <v>0.249877325925926</v>
      </c>
      <c r="Y28" t="n">
        <v>0.243662774814815</v>
      </c>
      <c r="Z28" t="n">
        <v>0.334655658464459</v>
      </c>
      <c r="AA28" t="n">
        <v>0.314670779213034</v>
      </c>
      <c r="AB28" t="n">
        <v>0.313908345472636</v>
      </c>
      <c r="AC28" t="n">
        <v>0.374582938168938</v>
      </c>
      <c r="AD28" t="n">
        <v>0.403225494157238</v>
      </c>
      <c r="AE28" t="n">
        <v>0.43708634231537</v>
      </c>
      <c r="AF28" t="n">
        <v>0.443513760292575</v>
      </c>
      <c r="AG28" t="n">
        <v>0.434650111454533</v>
      </c>
      <c r="AH28" t="n">
        <v>0.397001976298581</v>
      </c>
      <c r="AI28" t="n">
        <v>0.389580467128017</v>
      </c>
      <c r="AJ28" t="n">
        <v>0.373108646593897</v>
      </c>
      <c r="AK28" t="n">
        <v>0.386578242858604</v>
      </c>
      <c r="AL28" t="n">
        <v>0.400536228774175</v>
      </c>
      <c r="AM28" t="n">
        <v>0.415000420190671</v>
      </c>
      <c r="AN28" t="n">
        <v>0.429989255706856</v>
      </c>
      <c r="AO28" t="n">
        <v>0.445521877095309</v>
      </c>
      <c r="AP28" t="n">
        <v>0.461618108207388</v>
      </c>
      <c r="AQ28" t="n">
        <v>0.478298502564336</v>
      </c>
      <c r="AR28" t="n">
        <v>0.495584375626944</v>
      </c>
      <c r="AS28" t="n">
        <v>0.513497830024182</v>
      </c>
      <c r="AT28" t="n">
        <v>0.5315413288866689</v>
      </c>
      <c r="AU28" t="n">
        <v>0.5438027046103949</v>
      </c>
      <c r="AV28" t="n">
        <v>0.5564012829067889</v>
      </c>
      <c r="AW28" t="n">
        <v>0.569347295744567</v>
      </c>
    </row>
    <row r="29">
      <c r="A29" t="inlineStr">
        <is>
          <t>Dominica_2018_August</t>
        </is>
      </c>
      <c r="C29" t="inlineStr">
        <is>
          <t>SM.18.139</t>
        </is>
      </c>
      <c r="D29" t="inlineStr">
        <is>
          <t>Dominica</t>
        </is>
      </c>
      <c r="E29" t="inlineStr">
        <is>
          <t>DMA</t>
        </is>
      </c>
      <c r="F29" s="11" t="n">
        <v>43255</v>
      </c>
      <c r="G29" t="inlineStr">
        <is>
          <t>2013gn</t>
        </is>
      </c>
      <c r="H29" t="n">
        <v>2017</v>
      </c>
      <c r="K29" t="inlineStr">
        <is>
          <t>US Dollars</t>
        </is>
      </c>
      <c r="L29" t="inlineStr">
        <is>
          <t>Billions</t>
        </is>
      </c>
      <c r="M29" t="inlineStr">
        <is>
          <t>Current transfers, net total</t>
        </is>
      </c>
      <c r="P29" t="n">
        <v>0.0181099851851852</v>
      </c>
      <c r="Q29" t="n">
        <v>0.0196659740740741</v>
      </c>
      <c r="R29" t="n">
        <v>0.0195746222222222</v>
      </c>
      <c r="S29" t="n">
        <v>0.0211529037037037</v>
      </c>
      <c r="T29" t="n">
        <v>0.0190391592592593</v>
      </c>
      <c r="U29" t="n">
        <v>0.019091697037037</v>
      </c>
      <c r="V29" t="n">
        <v>0.0197106051851852</v>
      </c>
      <c r="W29" t="n">
        <v>0.0164926296296296</v>
      </c>
      <c r="X29" t="n">
        <v>0.0168094333333333</v>
      </c>
      <c r="Y29" t="n">
        <v>0.0203030940740741</v>
      </c>
      <c r="Z29" t="n">
        <v>0.04726672017351129</v>
      </c>
      <c r="AA29" t="n">
        <v>0.0552780341360899</v>
      </c>
      <c r="AB29" t="n">
        <v>0.0572795738736747</v>
      </c>
      <c r="AC29" t="n">
        <v>0.08867318000539691</v>
      </c>
      <c r="AD29" t="n">
        <v>0.0884226282034182</v>
      </c>
      <c r="AE29" t="n">
        <v>0.09195169117062589</v>
      </c>
      <c r="AF29" t="n">
        <v>0.0624985100082919</v>
      </c>
      <c r="AG29" t="n">
        <v>0.0615705185073935</v>
      </c>
      <c r="AH29" t="n">
        <v>0.06400843253601089</v>
      </c>
      <c r="AI29" t="n">
        <v>0.06611494807122149</v>
      </c>
      <c r="AJ29" t="n">
        <v>0.0674512410582208</v>
      </c>
      <c r="AK29" t="n">
        <v>0.06883470518766109</v>
      </c>
      <c r="AL29" t="n">
        <v>0.0702670056008708</v>
      </c>
      <c r="AM29" t="n">
        <v>0.07174986621866671</v>
      </c>
      <c r="AN29" t="n">
        <v>0.07328507181627079</v>
      </c>
      <c r="AO29" t="n">
        <v>0.07487447017147029</v>
      </c>
      <c r="AP29" t="n">
        <v>0.07651997428860841</v>
      </c>
      <c r="AQ29" t="n">
        <v>0.07822356470108149</v>
      </c>
      <c r="AR29" t="n">
        <v>0.0799872918551148</v>
      </c>
      <c r="AS29" t="n">
        <v>0.0818132785776856</v>
      </c>
      <c r="AT29" t="n">
        <v>0.0837037226315631</v>
      </c>
      <c r="AU29" t="n">
        <v>0.0856608993605424</v>
      </c>
      <c r="AV29" t="n">
        <v>0.0876871644280547</v>
      </c>
      <c r="AW29" t="n">
        <v>0.0897849566524502</v>
      </c>
    </row>
    <row r="30">
      <c r="A30" t="inlineStr">
        <is>
          <t>Dominica_2018_August</t>
        </is>
      </c>
      <c r="C30" t="inlineStr">
        <is>
          <t>SM.18.139</t>
        </is>
      </c>
      <c r="D30" t="inlineStr">
        <is>
          <t>Dominica</t>
        </is>
      </c>
      <c r="E30" t="inlineStr">
        <is>
          <t>DMA</t>
        </is>
      </c>
      <c r="F30" s="11" t="n">
        <v>43255</v>
      </c>
      <c r="G30" t="inlineStr">
        <is>
          <t>2013gn</t>
        </is>
      </c>
      <c r="H30" t="n">
        <v>2017</v>
      </c>
      <c r="I30" t="inlineStr">
        <is>
          <t>net.fdi.exc.dbt.liab</t>
        </is>
      </c>
      <c r="K30" t="inlineStr">
        <is>
          <t>US Dollars</t>
        </is>
      </c>
      <c r="L30" t="inlineStr">
        <is>
          <t>Billions</t>
        </is>
      </c>
      <c r="M30" t="inlineStr">
        <is>
          <t>Current transfers, official</t>
        </is>
      </c>
      <c r="P30" t="n">
        <v>-0.000254814814814815</v>
      </c>
      <c r="Q30" t="n">
        <v>0.000234696296296296</v>
      </c>
      <c r="R30" t="n">
        <v>0.000283103703703704</v>
      </c>
      <c r="S30" t="n">
        <v>-0.000338074074074074</v>
      </c>
      <c r="T30" t="n">
        <v>-5.83888888888887e-05</v>
      </c>
      <c r="U30" t="n">
        <v>0.000301585925925926</v>
      </c>
      <c r="V30" t="n">
        <v>0.000646654814814815</v>
      </c>
      <c r="W30" t="n">
        <v>-0.00205263814814815</v>
      </c>
      <c r="X30" t="n">
        <v>0.000411555555555556</v>
      </c>
      <c r="Y30" t="n">
        <v>0.00541194222222222</v>
      </c>
      <c r="Z30" t="n">
        <v>0.0140173477514969</v>
      </c>
      <c r="AA30" t="n">
        <v>0.0180343711418519</v>
      </c>
      <c r="AB30" t="n">
        <v>0.0183422495385362</v>
      </c>
      <c r="AC30" t="n">
        <v>0.0481087377994622</v>
      </c>
      <c r="AD30" t="n">
        <v>0.0435649385065461</v>
      </c>
      <c r="AE30" t="n">
        <v>0.0486310710777248</v>
      </c>
      <c r="AF30" t="n">
        <v>0.0254817470791975</v>
      </c>
      <c r="AG30" t="n">
        <v>0.0264167128814446</v>
      </c>
      <c r="AH30" t="n">
        <v>0.027317280682428</v>
      </c>
      <c r="AI30" t="n">
        <v>0.0282596226604762</v>
      </c>
      <c r="AJ30" t="n">
        <v>0.0282596226604762</v>
      </c>
      <c r="AK30" t="n">
        <v>0.0282596226604762</v>
      </c>
      <c r="AL30" t="n">
        <v>0.0282596226604762</v>
      </c>
      <c r="AM30" t="n">
        <v>0.0282596226604762</v>
      </c>
      <c r="AN30" t="n">
        <v>0.0282596226604762</v>
      </c>
      <c r="AO30" t="n">
        <v>0.0282596226604762</v>
      </c>
      <c r="AP30" t="n">
        <v>0.0282596226604762</v>
      </c>
      <c r="AQ30" t="n">
        <v>0.0282596226604762</v>
      </c>
      <c r="AR30" t="n">
        <v>0.0282596226604762</v>
      </c>
      <c r="AS30" t="n">
        <v>0.0282596226604762</v>
      </c>
      <c r="AT30" t="n">
        <v>0.0282596226604762</v>
      </c>
      <c r="AU30" t="n">
        <v>0.0282596226604762</v>
      </c>
      <c r="AV30" t="n">
        <v>0.0282596226604762</v>
      </c>
      <c r="AW30" t="n">
        <v>0.0282596226604762</v>
      </c>
    </row>
    <row r="31">
      <c r="A31" t="inlineStr">
        <is>
          <t>Dominica_2018_August</t>
        </is>
      </c>
      <c r="C31" t="inlineStr">
        <is>
          <t>SM.18.139</t>
        </is>
      </c>
      <c r="D31" t="inlineStr">
        <is>
          <t>Dominica</t>
        </is>
      </c>
      <c r="E31" t="inlineStr">
        <is>
          <t>DMA</t>
        </is>
      </c>
      <c r="F31" s="11" t="n">
        <v>43255</v>
      </c>
      <c r="G31" t="inlineStr">
        <is>
          <t>2013gn</t>
        </is>
      </c>
      <c r="H31" t="n">
        <v>2017</v>
      </c>
      <c r="I31" t="inlineStr">
        <is>
          <t>exc.fin</t>
        </is>
      </c>
      <c r="K31" t="inlineStr">
        <is>
          <t>US Dollars</t>
        </is>
      </c>
      <c r="L31" t="inlineStr">
        <is>
          <t>Billions</t>
        </is>
      </c>
      <c r="M31" t="inlineStr">
        <is>
          <t>Gross Workers' Remittances</t>
        </is>
      </c>
    </row>
    <row r="32">
      <c r="A32" t="inlineStr">
        <is>
          <t>Dominica_2018_August</t>
        </is>
      </c>
      <c r="C32" t="inlineStr">
        <is>
          <t>SM.18.139</t>
        </is>
      </c>
      <c r="D32" t="inlineStr">
        <is>
          <t>Dominica</t>
        </is>
      </c>
      <c r="E32" t="inlineStr">
        <is>
          <t>DMA</t>
        </is>
      </c>
      <c r="F32" s="11" t="n">
        <v>43255</v>
      </c>
      <c r="G32" t="inlineStr">
        <is>
          <t>2013gn</t>
        </is>
      </c>
      <c r="H32" t="n">
        <v>2017</v>
      </c>
      <c r="I32" t="inlineStr">
        <is>
          <t>grss.res</t>
        </is>
      </c>
      <c r="K32" t="inlineStr">
        <is>
          <t>US Dollars</t>
        </is>
      </c>
      <c r="L32" t="inlineStr">
        <is>
          <t>Billions</t>
        </is>
      </c>
      <c r="M32" t="inlineStr">
        <is>
          <t>Net foreign direct investment, excluding debt-creating liabilities</t>
        </is>
      </c>
      <c r="P32" t="n">
        <v>0.0261739481481481</v>
      </c>
      <c r="Q32" t="n">
        <v>0.0192355592592593</v>
      </c>
      <c r="R32" t="n">
        <v>0.0259075259259259</v>
      </c>
      <c r="S32" t="n">
        <v>0.0404867748148148</v>
      </c>
      <c r="T32" t="n">
        <v>0.056548262962963</v>
      </c>
      <c r="U32" t="n">
        <v>0.0572355003703704</v>
      </c>
      <c r="V32" t="n">
        <v>0.0428602237037037</v>
      </c>
      <c r="W32" t="n">
        <v>0.034563342962963</v>
      </c>
      <c r="X32" t="n">
        <v>0.0585227703703704</v>
      </c>
      <c r="Y32" t="n">
        <v>0.0233483366666667</v>
      </c>
      <c r="Z32" t="n">
        <v>0.0139964098402072</v>
      </c>
      <c r="AA32" t="n">
        <v>0.0227268216555556</v>
      </c>
      <c r="AB32" t="n">
        <v>0.03161078347586</v>
      </c>
      <c r="AC32" t="n">
        <v>0.0287940481481482</v>
      </c>
      <c r="AD32" t="n">
        <v>0.0331715759259259</v>
      </c>
      <c r="AE32" t="n">
        <v>0.0344268185185185</v>
      </c>
      <c r="AF32" t="n">
        <v>0.0361627148148148</v>
      </c>
      <c r="AG32" t="n">
        <v>0.0348047074074074</v>
      </c>
      <c r="AH32" t="n">
        <v>0.028432762037037</v>
      </c>
      <c r="AI32" t="n">
        <v>0.0293348945950764</v>
      </c>
      <c r="AJ32" t="n">
        <v>0.0303704147530103</v>
      </c>
      <c r="AK32" t="n">
        <v>0.0314424881495177</v>
      </c>
      <c r="AL32" t="n">
        <v>0.032552404822153</v>
      </c>
      <c r="AM32" t="n">
        <v>0.0337015021044116</v>
      </c>
      <c r="AN32" t="n">
        <v>0.0348911613639404</v>
      </c>
      <c r="AO32" t="n">
        <v>0.0361228161570107</v>
      </c>
      <c r="AP32" t="n">
        <v>0.0373979489667288</v>
      </c>
      <c r="AQ32" t="n">
        <v>0.0387180928339308</v>
      </c>
      <c r="AR32" t="n">
        <v>0.0400848378807605</v>
      </c>
      <c r="AS32" t="n">
        <v>0.04149982967977491</v>
      </c>
      <c r="AT32" t="n">
        <v>0.04296476925394421</v>
      </c>
      <c r="AU32" t="n">
        <v>0.0436951703312613</v>
      </c>
      <c r="AV32" t="n">
        <v>0.0444379882268927</v>
      </c>
      <c r="AW32" t="n">
        <v>0.0451934340267499</v>
      </c>
    </row>
    <row r="33">
      <c r="A33" t="inlineStr">
        <is>
          <t>Dominica_2018_August</t>
        </is>
      </c>
      <c r="C33" t="inlineStr">
        <is>
          <t>SM.18.139</t>
        </is>
      </c>
      <c r="D33" t="inlineStr">
        <is>
          <t>Dominica</t>
        </is>
      </c>
      <c r="E33" t="inlineStr">
        <is>
          <t>DMA</t>
        </is>
      </c>
      <c r="F33" s="11" t="n">
        <v>43255</v>
      </c>
      <c r="G33" t="inlineStr">
        <is>
          <t>2013gn</t>
        </is>
      </c>
      <c r="H33" t="n">
        <v>2017</v>
      </c>
      <c r="I33" t="inlineStr">
        <is>
          <t>fuel.cmdt.xprt.shr</t>
        </is>
      </c>
      <c r="K33" t="inlineStr">
        <is>
          <t>US Dollars</t>
        </is>
      </c>
      <c r="L33" t="inlineStr">
        <is>
          <t>Billions</t>
        </is>
      </c>
      <c r="M33" t="inlineStr">
        <is>
          <t>Exceptional financing</t>
        </is>
      </c>
      <c r="P33" t="n">
        <v>1.54e-08</v>
      </c>
      <c r="Q33" t="n">
        <v>1.22849667738655e-08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1e-09</v>
      </c>
      <c r="AU33" t="n">
        <v>2e-09</v>
      </c>
      <c r="AV33" t="n">
        <v>3e-09</v>
      </c>
      <c r="AW33" t="n">
        <v>4e-09</v>
      </c>
    </row>
    <row r="34">
      <c r="A34" t="inlineStr">
        <is>
          <t>Dominica_2018_August</t>
        </is>
      </c>
      <c r="C34" t="inlineStr">
        <is>
          <t>SM.18.139</t>
        </is>
      </c>
      <c r="D34" t="inlineStr">
        <is>
          <t>Dominica</t>
        </is>
      </c>
      <c r="E34" t="inlineStr">
        <is>
          <t>DMA</t>
        </is>
      </c>
      <c r="F34" s="11" t="n">
        <v>43255</v>
      </c>
      <c r="G34" t="inlineStr">
        <is>
          <t>2013gn</t>
        </is>
      </c>
      <c r="H34" t="n">
        <v>2017</v>
      </c>
      <c r="I34" t="inlineStr">
        <is>
          <t>non.fuel.cmdt.xprt.shr</t>
        </is>
      </c>
      <c r="K34" t="inlineStr">
        <is>
          <t>US Dollars</t>
        </is>
      </c>
      <c r="L34" t="inlineStr">
        <is>
          <t>Billions</t>
        </is>
      </c>
      <c r="M34" t="inlineStr">
        <is>
          <t>Gross Reserves (Flow, negative = increase)</t>
        </is>
      </c>
      <c r="P34" t="n">
        <v>-0.00455252066226535</v>
      </c>
      <c r="Q34" t="n">
        <v>0.0100489493893108</v>
      </c>
      <c r="R34" t="n">
        <v>0.0156670031632964</v>
      </c>
      <c r="S34" t="n">
        <v>-0.00504176315996592</v>
      </c>
      <c r="T34" t="n">
        <v>-0.00210980423199968</v>
      </c>
      <c r="U34" t="n">
        <v>0.0013591853727442</v>
      </c>
      <c r="V34" t="n">
        <v>0.000849051379785887</v>
      </c>
      <c r="W34" t="n">
        <v>0.00529566451327796</v>
      </c>
      <c r="X34" t="n">
        <v>0.0165995931845609</v>
      </c>
      <c r="Y34" t="n">
        <v>-0.009193493747036019</v>
      </c>
      <c r="Z34" t="n">
        <v>0.0129172648401958</v>
      </c>
      <c r="AA34" t="n">
        <v>0.0327097601018638</v>
      </c>
      <c r="AB34" t="n">
        <v>0.0941458162174649</v>
      </c>
      <c r="AC34" t="n">
        <v>-0.0111794332363432</v>
      </c>
      <c r="AD34" t="n">
        <v>-0.00173310658190561</v>
      </c>
      <c r="AE34" t="n">
        <v>-0.00342351602790328</v>
      </c>
      <c r="AF34" t="n">
        <v>-0.00297529489086143</v>
      </c>
      <c r="AG34" t="n">
        <v>-0.00682981339015726</v>
      </c>
      <c r="AH34" t="n">
        <v>0.00639124239362252</v>
      </c>
      <c r="AI34" t="n">
        <v>0.00686719229441519</v>
      </c>
      <c r="AJ34" t="n">
        <v>0.00704111747810658</v>
      </c>
      <c r="AK34" t="n">
        <v>0.00721852116547181</v>
      </c>
      <c r="AL34" t="n">
        <v>0.009228539816738879</v>
      </c>
      <c r="AM34" t="n">
        <v>0.00941311061307366</v>
      </c>
      <c r="AN34" t="n">
        <v>0.00960137282533513</v>
      </c>
      <c r="AO34" t="n">
        <v>0.00979340028184183</v>
      </c>
      <c r="AP34" t="n">
        <v>0.00998926828747867</v>
      </c>
      <c r="AQ34" t="n">
        <v>0.0101890536532282</v>
      </c>
      <c r="AR34" t="n">
        <v>0.0103928347262928</v>
      </c>
      <c r="AS34" t="n">
        <v>0.0106006914208187</v>
      </c>
      <c r="AT34" t="n">
        <v>0.010812705249235</v>
      </c>
      <c r="AU34" t="n">
        <v>0.0110289593542197</v>
      </c>
      <c r="AV34" t="n">
        <v>0.0112495385413041</v>
      </c>
      <c r="AW34" t="n">
        <v>0.0114745293121302</v>
      </c>
    </row>
    <row r="35">
      <c r="A35" t="inlineStr">
        <is>
          <t>Dominica_2018_August</t>
        </is>
      </c>
      <c r="C35" t="inlineStr">
        <is>
          <t>SM.18.139</t>
        </is>
      </c>
      <c r="D35" t="inlineStr">
        <is>
          <t>Dominica</t>
        </is>
      </c>
      <c r="E35" t="inlineStr">
        <is>
          <t>DMA</t>
        </is>
      </c>
      <c r="F35" s="11" t="n">
        <v>43255</v>
      </c>
      <c r="G35" t="inlineStr">
        <is>
          <t>2013gn</t>
        </is>
      </c>
      <c r="H35" t="n">
        <v>2017</v>
      </c>
      <c r="I35" t="inlineStr">
        <is>
          <t>fuel.cmdt.impt.shr</t>
        </is>
      </c>
    </row>
    <row r="36">
      <c r="A36" t="inlineStr">
        <is>
          <t>Dominica_2018_August</t>
        </is>
      </c>
      <c r="C36" t="inlineStr">
        <is>
          <t>SM.18.139</t>
        </is>
      </c>
      <c r="D36" t="inlineStr">
        <is>
          <t>Dominica</t>
        </is>
      </c>
      <c r="E36" t="inlineStr">
        <is>
          <t>DMA</t>
        </is>
      </c>
      <c r="F36" s="11" t="n">
        <v>43255</v>
      </c>
      <c r="G36" t="inlineStr">
        <is>
          <t>2013gn</t>
        </is>
      </c>
      <c r="H36" t="n">
        <v>2017</v>
      </c>
      <c r="I36" t="inlineStr">
        <is>
          <t>non.fuel.cmdt.impt.shr</t>
        </is>
      </c>
      <c r="K36" t="inlineStr">
        <is>
          <t>National Currency</t>
        </is>
      </c>
      <c r="L36" t="inlineStr">
        <is>
          <t>Billions</t>
        </is>
      </c>
      <c r="M36" t="inlineStr">
        <is>
          <t>Public sector balance</t>
        </is>
      </c>
      <c r="P36" t="n">
        <v>-0.006314118740109953</v>
      </c>
      <c r="Q36" t="n">
        <v>0.01513237205861501</v>
      </c>
      <c r="R36" t="n">
        <v>0.04075431528628704</v>
      </c>
      <c r="S36" t="n">
        <v>0.03160501953846501</v>
      </c>
      <c r="T36" t="n">
        <v>0.02121826314574804</v>
      </c>
      <c r="U36" t="n">
        <v>0.006965652284245061</v>
      </c>
      <c r="V36" t="n">
        <v>-0.07466865788999999</v>
      </c>
      <c r="W36" t="n">
        <v>-0.06531391302</v>
      </c>
      <c r="X36" t="n">
        <v>-0.07865370282303896</v>
      </c>
      <c r="Y36" t="n">
        <v>0.07830102319915899</v>
      </c>
      <c r="Z36" t="n">
        <v>0.05232470762710401</v>
      </c>
      <c r="AA36" t="n">
        <v>-0.01281623792085906</v>
      </c>
      <c r="AB36" t="n">
        <v>0.05937959057997289</v>
      </c>
      <c r="AC36" t="n">
        <v>0.003454844087551034</v>
      </c>
      <c r="AD36" t="n">
        <v>-0.07684223919994293</v>
      </c>
      <c r="AE36" t="n">
        <v>-0.084983398698524</v>
      </c>
      <c r="AF36" t="n">
        <v>-0.161432669000656</v>
      </c>
      <c r="AG36" t="n">
        <v>-0.1460761790586269</v>
      </c>
      <c r="AH36" t="n">
        <v>-0.008830887856539071</v>
      </c>
      <c r="AI36" t="n">
        <v>-0.01385001280525988</v>
      </c>
      <c r="AJ36" t="n">
        <v>-0.01442604512652002</v>
      </c>
      <c r="AK36" t="n">
        <v>-0.014803758475745</v>
      </c>
      <c r="AL36" t="n">
        <v>-0.01536223781875801</v>
      </c>
      <c r="AM36" t="n">
        <v>-0.01571779140097507</v>
      </c>
      <c r="AN36" t="n">
        <v>-0.016086464407153</v>
      </c>
      <c r="AO36" t="n">
        <v>-0.01652494779172098</v>
      </c>
      <c r="AP36" t="n">
        <v>-0.01686241104168196</v>
      </c>
      <c r="AQ36" t="n">
        <v>-0.01719943301063798</v>
      </c>
      <c r="AR36" t="n">
        <v>-0.02193594000107291</v>
      </c>
      <c r="AS36" t="n">
        <v>-0.02680185705284399</v>
      </c>
      <c r="AT36" t="n">
        <v>-0.03186346691596098</v>
      </c>
      <c r="AU36" t="n">
        <v>-0.03725255765080993</v>
      </c>
      <c r="AV36" t="n">
        <v>-0.008382183450539982</v>
      </c>
      <c r="AW36" t="n">
        <v>0.02132444052166993</v>
      </c>
    </row>
    <row r="37">
      <c r="A37" t="inlineStr">
        <is>
          <t>Dominica_2018_August</t>
        </is>
      </c>
      <c r="C37" t="inlineStr">
        <is>
          <t>SM.18.139</t>
        </is>
      </c>
      <c r="D37" t="inlineStr">
        <is>
          <t>Dominica</t>
        </is>
      </c>
      <c r="E37" t="inlineStr">
        <is>
          <t>DMA</t>
        </is>
      </c>
      <c r="F37" s="11" t="n">
        <v>43255</v>
      </c>
      <c r="G37" t="inlineStr">
        <is>
          <t>2013gn</t>
        </is>
      </c>
      <c r="H37" t="n">
        <v>2017</v>
      </c>
      <c r="I37" t="inlineStr">
        <is>
          <t>fuel.cmdt.impt.shr.2xprt</t>
        </is>
      </c>
    </row>
    <row r="38">
      <c r="A38" t="inlineStr">
        <is>
          <t>Dominica_2018_August</t>
        </is>
      </c>
      <c r="C38" t="inlineStr">
        <is>
          <t>SM.18.139</t>
        </is>
      </c>
      <c r="D38" t="inlineStr">
        <is>
          <t>Dominica</t>
        </is>
      </c>
      <c r="E38" t="inlineStr">
        <is>
          <t>DMA</t>
        </is>
      </c>
      <c r="F38" s="11" t="n">
        <v>43255</v>
      </c>
      <c r="G38" t="inlineStr">
        <is>
          <t>2013gn</t>
        </is>
      </c>
      <c r="H38" t="n">
        <v>2017</v>
      </c>
      <c r="I38" t="inlineStr">
        <is>
          <t>non.fuel.cmdt.impt.shr.2xprt</t>
        </is>
      </c>
      <c r="K38" t="inlineStr">
        <is>
          <t>National Currency</t>
        </is>
      </c>
      <c r="L38" t="inlineStr">
        <is>
          <t>Billions</t>
        </is>
      </c>
      <c r="M38" t="inlineStr">
        <is>
          <t>Public sector revenues (including grants)</t>
        </is>
      </c>
      <c r="P38" t="n">
        <v>0.368177132328044</v>
      </c>
      <c r="Q38" t="n">
        <v>0.40329014446244</v>
      </c>
      <c r="R38" t="n">
        <v>0.442634061478636</v>
      </c>
      <c r="S38" t="n">
        <v>0.524691351310188</v>
      </c>
      <c r="T38" t="n">
        <v>0.560089399711465</v>
      </c>
      <c r="U38" t="n">
        <v>0.5844759232849031</v>
      </c>
      <c r="V38" t="n">
        <v>0.59846718325</v>
      </c>
      <c r="W38" t="n">
        <v>0.5346227274200001</v>
      </c>
      <c r="X38" t="n">
        <v>0.530372739976961</v>
      </c>
      <c r="Y38" t="n">
        <v>0.547512945243</v>
      </c>
      <c r="Z38" t="n">
        <v>0.516641537455459</v>
      </c>
      <c r="AA38" t="n">
        <v>0.6042022338628059</v>
      </c>
      <c r="AB38" t="n">
        <v>0.8601724755685529</v>
      </c>
      <c r="AC38" t="n">
        <v>0.7849414709209941</v>
      </c>
      <c r="AD38" t="n">
        <v>0.628719443016839</v>
      </c>
      <c r="AE38" t="n">
        <v>0.65806902749804</v>
      </c>
      <c r="AF38" t="n">
        <v>0.591075895366031</v>
      </c>
      <c r="AG38" t="n">
        <v>0.6104001334479671</v>
      </c>
      <c r="AH38" t="n">
        <v>0.6360206346984529</v>
      </c>
      <c r="AI38" t="n">
        <v>0.656523518723047</v>
      </c>
      <c r="AJ38" t="n">
        <v>0.679435501570567</v>
      </c>
      <c r="AK38" t="n">
        <v>0.703148349158383</v>
      </c>
      <c r="AL38" t="n">
        <v>0.7276901193383041</v>
      </c>
      <c r="AM38" t="n">
        <v>0.7530898167633709</v>
      </c>
      <c r="AN38" t="n">
        <v>0.7793774992388069</v>
      </c>
      <c r="AO38" t="n">
        <v>0.806584273521655</v>
      </c>
      <c r="AP38" t="n">
        <v>0.834742258736346</v>
      </c>
      <c r="AQ38" t="n">
        <v>0.8638847925377861</v>
      </c>
      <c r="AR38" t="n">
        <v>0.889801336313919</v>
      </c>
      <c r="AS38" t="n">
        <v>0.916495376403337</v>
      </c>
      <c r="AT38" t="n">
        <v>0.943990237695437</v>
      </c>
      <c r="AU38" t="n">
        <v>0.9723099448263001</v>
      </c>
      <c r="AV38" t="n">
        <v>1.00147924317109</v>
      </c>
      <c r="AW38" t="n">
        <v>1.03152362046622</v>
      </c>
    </row>
    <row r="39">
      <c r="A39" t="inlineStr">
        <is>
          <t>Dominica_2018_August</t>
        </is>
      </c>
      <c r="C39" t="inlineStr">
        <is>
          <t>SM.18.139</t>
        </is>
      </c>
      <c r="D39" t="inlineStr">
        <is>
          <t>Dominica</t>
        </is>
      </c>
      <c r="E39" t="inlineStr">
        <is>
          <t>DMA</t>
        </is>
      </c>
      <c r="F39" s="11" t="n">
        <v>43255</v>
      </c>
      <c r="G39" t="inlineStr">
        <is>
          <t>2013gn</t>
        </is>
      </c>
      <c r="H39" t="n">
        <v>2017</v>
      </c>
    </row>
    <row r="40">
      <c r="A40" t="inlineStr">
        <is>
          <t>Dominica_2018_August</t>
        </is>
      </c>
      <c r="C40" t="inlineStr">
        <is>
          <t>SM.18.139</t>
        </is>
      </c>
      <c r="D40" t="inlineStr">
        <is>
          <t>Dominica</t>
        </is>
      </c>
      <c r="E40" t="inlineStr">
        <is>
          <t>DMA</t>
        </is>
      </c>
      <c r="F40" s="11" t="n">
        <v>43255</v>
      </c>
      <c r="G40" t="inlineStr">
        <is>
          <t>2013gn</t>
        </is>
      </c>
      <c r="H40" t="n">
        <v>2017</v>
      </c>
      <c r="I40" t="inlineStr">
        <is>
          <t>prm.bal</t>
        </is>
      </c>
      <c r="K40" t="inlineStr">
        <is>
          <t>National Currency</t>
        </is>
      </c>
      <c r="L40" t="inlineStr">
        <is>
          <t>Billions</t>
        </is>
      </c>
      <c r="M40" t="inlineStr">
        <is>
          <t>Public sector grants</t>
        </is>
      </c>
      <c r="P40" t="n">
        <v>0.04431241964</v>
      </c>
      <c r="Q40" t="n">
        <v>0.06031242482</v>
      </c>
      <c r="R40" t="n">
        <v>0.06673337863000001</v>
      </c>
      <c r="S40" t="n">
        <v>0.107824112857</v>
      </c>
      <c r="T40" t="n">
        <v>0.11381943866</v>
      </c>
      <c r="U40" t="n">
        <v>0.11414025421</v>
      </c>
      <c r="V40" t="n">
        <v>0.12685867312</v>
      </c>
      <c r="W40" t="n">
        <v>0.06405162592999999</v>
      </c>
      <c r="X40" t="n">
        <v>0.03585547157696101</v>
      </c>
      <c r="Y40" t="n">
        <v>0.043949264</v>
      </c>
      <c r="Z40" t="n">
        <v>0.0287</v>
      </c>
      <c r="AA40" t="n">
        <v>0.03094431532</v>
      </c>
      <c r="AB40" t="n">
        <v>0.01430481023</v>
      </c>
      <c r="AC40" t="n">
        <v>0.128162865888</v>
      </c>
      <c r="AD40" t="n">
        <v>0.11228485776</v>
      </c>
      <c r="AE40" t="n">
        <v>0.09469792684800001</v>
      </c>
      <c r="AF40" t="n">
        <v>0.0145557407907021</v>
      </c>
      <c r="AG40" t="n">
        <v>0.015273908155067</v>
      </c>
      <c r="AH40" t="n">
        <v>0.0158482322928974</v>
      </c>
      <c r="AI40" t="n">
        <v>0.0163798164376598</v>
      </c>
      <c r="AJ40" t="n">
        <v>0.0169580233448451</v>
      </c>
      <c r="AK40" t="n">
        <v>0.0175566400707544</v>
      </c>
      <c r="AL40" t="n">
        <v>0.0181763878673121</v>
      </c>
      <c r="AM40" t="n">
        <v>0.0188180121474873</v>
      </c>
      <c r="AN40" t="n">
        <v>0.0194822860647075</v>
      </c>
      <c r="AO40" t="n">
        <v>0.0201700096180056</v>
      </c>
      <c r="AP40" t="n">
        <v>0.0208820087571659</v>
      </c>
      <c r="AQ40" t="n">
        <v>0.021619141646699</v>
      </c>
      <c r="AR40" t="n">
        <v>0.022382295981281</v>
      </c>
      <c r="AS40" t="n">
        <v>0.0231723889857538</v>
      </c>
      <c r="AT40" t="n">
        <v>0.0239903722011433</v>
      </c>
      <c r="AU40" t="n">
        <v>0.0248372301493481</v>
      </c>
      <c r="AV40" t="n">
        <v>0.0257139821058004</v>
      </c>
      <c r="AW40" t="n">
        <v>0.0266216833262615</v>
      </c>
    </row>
    <row r="41">
      <c r="A41" t="inlineStr">
        <is>
          <t>Dominica_2018_August</t>
        </is>
      </c>
      <c r="C41" t="inlineStr">
        <is>
          <t>SM.18.139</t>
        </is>
      </c>
      <c r="D41" t="inlineStr">
        <is>
          <t>Dominica</t>
        </is>
      </c>
      <c r="E41" t="inlineStr">
        <is>
          <t>DMA</t>
        </is>
      </c>
      <c r="F41" s="11" t="n">
        <v>43255</v>
      </c>
      <c r="G41" t="inlineStr">
        <is>
          <t>2013gn</t>
        </is>
      </c>
      <c r="H41" t="n">
        <v>2017</v>
      </c>
      <c r="I41" t="inlineStr">
        <is>
          <t>ovrl.bal.rev.all</t>
        </is>
      </c>
      <c r="K41" t="inlineStr">
        <is>
          <t>National Currency</t>
        </is>
      </c>
      <c r="L41" t="inlineStr">
        <is>
          <t>Billions</t>
        </is>
      </c>
      <c r="M41" t="inlineStr">
        <is>
          <t>Privatization receipts</t>
        </is>
      </c>
      <c r="P41" t="n">
        <v>0</v>
      </c>
      <c r="Q41" t="n">
        <v>0.015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</row>
    <row r="42">
      <c r="A42" t="inlineStr">
        <is>
          <t>Dominica_2018_August</t>
        </is>
      </c>
      <c r="C42" t="inlineStr">
        <is>
          <t>SM.18.139</t>
        </is>
      </c>
      <c r="D42" t="inlineStr">
        <is>
          <t>Dominica</t>
        </is>
      </c>
      <c r="E42" t="inlineStr">
        <is>
          <t>DMA</t>
        </is>
      </c>
      <c r="F42" s="11" t="n">
        <v>43255</v>
      </c>
      <c r="G42" t="inlineStr">
        <is>
          <t>2013gn</t>
        </is>
      </c>
      <c r="H42" t="n">
        <v>2017</v>
      </c>
      <c r="I42" t="inlineStr">
        <is>
          <t>ovrl.bal.rev.grt</t>
        </is>
      </c>
      <c r="K42" t="inlineStr">
        <is>
          <t>National Currency</t>
        </is>
      </c>
      <c r="L42" t="inlineStr">
        <is>
          <t>Billions</t>
        </is>
      </c>
      <c r="M42" t="inlineStr">
        <is>
          <t xml:space="preserve">Public sector expenditure </t>
        </is>
      </c>
      <c r="P42" t="n">
        <v>0.374491251068154</v>
      </c>
      <c r="Q42" t="n">
        <v>0.388157772403825</v>
      </c>
      <c r="R42" t="n">
        <v>0.401879746192349</v>
      </c>
      <c r="S42" t="n">
        <v>0.493086331771723</v>
      </c>
      <c r="T42" t="n">
        <v>0.5388711365657169</v>
      </c>
      <c r="U42" t="n">
        <v>0.577510271000658</v>
      </c>
      <c r="V42" t="n">
        <v>0.67313584114</v>
      </c>
      <c r="W42" t="n">
        <v>0.5999366404400001</v>
      </c>
      <c r="X42" t="n">
        <v>0.6090264428</v>
      </c>
      <c r="Y42" t="n">
        <v>0.469211922043841</v>
      </c>
      <c r="Z42" t="n">
        <v>0.464316829828355</v>
      </c>
      <c r="AA42" t="n">
        <v>0.617018471783665</v>
      </c>
      <c r="AB42" t="n">
        <v>0.80079288498858</v>
      </c>
      <c r="AC42" t="n">
        <v>0.7814866268334431</v>
      </c>
      <c r="AD42" t="n">
        <v>0.7055616822167819</v>
      </c>
      <c r="AE42" t="n">
        <v>0.743052426196564</v>
      </c>
      <c r="AF42" t="n">
        <v>0.752508564366687</v>
      </c>
      <c r="AG42" t="n">
        <v>0.756476312506594</v>
      </c>
      <c r="AH42" t="n">
        <v>0.644851522554992</v>
      </c>
      <c r="AI42" t="n">
        <v>0.6703735315283069</v>
      </c>
      <c r="AJ42" t="n">
        <v>0.693861546697087</v>
      </c>
      <c r="AK42" t="n">
        <v>0.717952107634128</v>
      </c>
      <c r="AL42" t="n">
        <v>0.7430523571570621</v>
      </c>
      <c r="AM42" t="n">
        <v>0.768807608164346</v>
      </c>
      <c r="AN42" t="n">
        <v>0.7954639636459599</v>
      </c>
      <c r="AO42" t="n">
        <v>0.8231092213133759</v>
      </c>
      <c r="AP42" t="n">
        <v>0.851604669778028</v>
      </c>
      <c r="AQ42" t="n">
        <v>0.881084225548424</v>
      </c>
      <c r="AR42" t="n">
        <v>0.9117372763149919</v>
      </c>
      <c r="AS42" t="n">
        <v>0.943297233456181</v>
      </c>
      <c r="AT42" t="n">
        <v>0.975853704611398</v>
      </c>
      <c r="AU42" t="n">
        <v>1.00956250247711</v>
      </c>
      <c r="AV42" t="n">
        <v>1.00986142662163</v>
      </c>
      <c r="AW42" t="n">
        <v>1.01019917994455</v>
      </c>
    </row>
    <row r="43">
      <c r="A43" t="inlineStr">
        <is>
          <t>Dominica_2018_August</t>
        </is>
      </c>
      <c r="C43" t="inlineStr">
        <is>
          <t>SM.18.139</t>
        </is>
      </c>
      <c r="D43" t="inlineStr">
        <is>
          <t>Dominica</t>
        </is>
      </c>
      <c r="E43" t="inlineStr">
        <is>
          <t>DMA</t>
        </is>
      </c>
      <c r="F43" s="11" t="n">
        <v>43255</v>
      </c>
      <c r="G43" t="inlineStr">
        <is>
          <t>2013gn</t>
        </is>
      </c>
      <c r="H43" t="n">
        <v>2017</v>
      </c>
      <c r="I43" t="inlineStr">
        <is>
          <t>ovrl.bal.rev.prvtz</t>
        </is>
      </c>
      <c r="K43" t="inlineStr">
        <is>
          <t>National Currency</t>
        </is>
      </c>
      <c r="L43" t="inlineStr">
        <is>
          <t>Billions</t>
        </is>
      </c>
      <c r="M43" t="inlineStr">
        <is>
          <t xml:space="preserve">Public sector interest expenditure </t>
        </is>
      </c>
      <c r="P43" t="n">
        <v>0.04387718494189172</v>
      </c>
      <c r="Q43" t="n">
        <v>0.04974554314894054</v>
      </c>
      <c r="R43" t="n">
        <v>0.02659309242000001</v>
      </c>
      <c r="S43" t="n">
        <v>0.02895612640510457</v>
      </c>
      <c r="T43" t="n">
        <v>0.02035717467</v>
      </c>
      <c r="U43" t="n">
        <v>0.02742739002999999</v>
      </c>
      <c r="V43" t="n">
        <v>0.01900707902000001</v>
      </c>
      <c r="W43" t="n">
        <v>0.02592318773</v>
      </c>
      <c r="X43" t="n">
        <v>0.05375829542670466</v>
      </c>
      <c r="Y43" t="n">
        <v>0.03307280319827783</v>
      </c>
      <c r="Z43" t="n">
        <v>0.03103994136477655</v>
      </c>
      <c r="AA43" t="n">
        <v>0.02606320281118806</v>
      </c>
      <c r="AB43" t="n">
        <v>0.03114296067051544</v>
      </c>
      <c r="AC43" t="n">
        <v>0.02605908629454775</v>
      </c>
      <c r="AD43" t="n">
        <v>0.03756854476848046</v>
      </c>
      <c r="AE43" t="n">
        <v>0.04331364172229218</v>
      </c>
      <c r="AF43" t="n">
        <v>0.04766915575719695</v>
      </c>
      <c r="AG43" t="n">
        <v>0.05127377923282877</v>
      </c>
      <c r="AH43" t="n">
        <v>0.05364821302795254</v>
      </c>
      <c r="AI43" t="n">
        <v>0.05542346131853303</v>
      </c>
      <c r="AJ43" t="n">
        <v>0.05602381679940913</v>
      </c>
      <c r="AK43" t="n">
        <v>0.05670168579616168</v>
      </c>
      <c r="AL43" t="n">
        <v>0.05726999932234884</v>
      </c>
      <c r="AM43" t="n">
        <v>0.0577035560331206</v>
      </c>
      <c r="AN43" t="n">
        <v>0.05526002657510634</v>
      </c>
      <c r="AO43" t="n">
        <v>0.05932368991670996</v>
      </c>
      <c r="AP43" t="n">
        <v>0.05968246249446897</v>
      </c>
      <c r="AQ43" t="n">
        <v>0.06005006029629139</v>
      </c>
      <c r="AR43" t="n">
        <v>0.06040830127533345</v>
      </c>
      <c r="AS43" t="n">
        <v>0.06018880569162579</v>
      </c>
      <c r="AT43" t="n">
        <v>0.06064486713865785</v>
      </c>
      <c r="AU43" t="n">
        <v>0.06121024808822141</v>
      </c>
      <c r="AV43" t="n">
        <v>0.0618601354647841</v>
      </c>
      <c r="AW43" t="n">
        <v>0.06257179107567501</v>
      </c>
    </row>
    <row r="44">
      <c r="A44" t="inlineStr">
        <is>
          <t>Dominica_2018_August</t>
        </is>
      </c>
      <c r="C44" t="inlineStr">
        <is>
          <t>SM.18.139</t>
        </is>
      </c>
      <c r="D44" t="inlineStr">
        <is>
          <t>Dominica</t>
        </is>
      </c>
      <c r="E44" t="inlineStr">
        <is>
          <t>DMA</t>
        </is>
      </c>
      <c r="F44" s="11" t="n">
        <v>43255</v>
      </c>
      <c r="G44" t="inlineStr">
        <is>
          <t>2013gn</t>
        </is>
      </c>
      <c r="H44" t="n">
        <v>2017</v>
      </c>
      <c r="I44" t="inlineStr">
        <is>
          <t>ovrl.bal.prm.exp</t>
        </is>
      </c>
      <c r="K44" t="inlineStr">
        <is>
          <t>National Currency</t>
        </is>
      </c>
      <c r="L44" t="inlineStr">
        <is>
          <t>Billions</t>
        </is>
      </c>
      <c r="M44" t="inlineStr">
        <is>
          <t>Public Sector Assets (e.g. Deposits)</t>
        </is>
      </c>
    </row>
    <row r="45">
      <c r="A45" t="inlineStr">
        <is>
          <t>Dominica_2018_August</t>
        </is>
      </c>
      <c r="C45" t="inlineStr">
        <is>
          <t>SM.18.139</t>
        </is>
      </c>
      <c r="D45" t="inlineStr">
        <is>
          <t>Dominica</t>
        </is>
      </c>
      <c r="E45" t="inlineStr">
        <is>
          <t>DMA</t>
        </is>
      </c>
      <c r="F45" s="11" t="n">
        <v>43255</v>
      </c>
      <c r="G45" t="inlineStr">
        <is>
          <t>2013gn</t>
        </is>
      </c>
      <c r="H45" t="n">
        <v>2017</v>
      </c>
      <c r="I45" t="inlineStr">
        <is>
          <t>ovrl.bal.int.exp</t>
        </is>
      </c>
      <c r="K45" t="inlineStr">
        <is>
          <t>National Currency</t>
        </is>
      </c>
      <c r="L45" t="inlineStr">
        <is>
          <t>Billions</t>
        </is>
      </c>
      <c r="M45" t="inlineStr">
        <is>
          <t>Recognition of implicit or contingent liabilities</t>
        </is>
      </c>
      <c r="P45" t="n">
        <v>-0.00675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</row>
    <row r="46">
      <c r="A46" t="inlineStr">
        <is>
          <t>Dominica_2018_August</t>
        </is>
      </c>
      <c r="C46" t="inlineStr">
        <is>
          <t>SM.18.139</t>
        </is>
      </c>
      <c r="D46" t="inlineStr">
        <is>
          <t>Dominica</t>
        </is>
      </c>
      <c r="E46" t="inlineStr">
        <is>
          <t>DMA</t>
        </is>
      </c>
      <c r="F46" s="11" t="n">
        <v>43255</v>
      </c>
      <c r="G46" t="inlineStr">
        <is>
          <t>2013gn</t>
        </is>
      </c>
      <c r="H46" t="n">
        <v>2017</v>
      </c>
      <c r="I46" t="inlineStr">
        <is>
          <t>pub.sec.asset</t>
        </is>
      </c>
      <c r="K46" t="inlineStr">
        <is>
          <t>National Currency</t>
        </is>
      </c>
      <c r="L46" t="inlineStr">
        <is>
          <t>Billions</t>
        </is>
      </c>
      <c r="M46" t="inlineStr">
        <is>
          <t>Other debt creating or reducing flow (specify, e.g. bank recapitalization)</t>
        </is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</row>
    <row r="47">
      <c r="A47" t="inlineStr">
        <is>
          <t>Dominica_2018_August</t>
        </is>
      </c>
      <c r="C47" t="inlineStr">
        <is>
          <t>SM.18.139</t>
        </is>
      </c>
      <c r="D47" t="inlineStr">
        <is>
          <t>Dominica</t>
        </is>
      </c>
      <c r="E47" t="inlineStr">
        <is>
          <t>DMA</t>
        </is>
      </c>
      <c r="F47" s="11" t="n">
        <v>43255</v>
      </c>
      <c r="G47" t="inlineStr">
        <is>
          <t>2013gn</t>
        </is>
      </c>
      <c r="H47" t="n">
        <v>2017</v>
      </c>
      <c r="I47" t="inlineStr">
        <is>
          <t>recog.conting.liab</t>
        </is>
      </c>
      <c r="K47" t="inlineStr">
        <is>
          <t>National Currency</t>
        </is>
      </c>
      <c r="L47" t="inlineStr">
        <is>
          <t>Billions</t>
        </is>
      </c>
      <c r="M47" t="inlineStr">
        <is>
          <t>Debt relief</t>
        </is>
      </c>
      <c r="P47" t="n">
        <v>1.54e-08</v>
      </c>
      <c r="Q47" t="n">
        <v>1.22849667738655e-08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1e-09</v>
      </c>
      <c r="AU47" t="n">
        <v>2e-09</v>
      </c>
      <c r="AV47" t="n">
        <v>3e-09</v>
      </c>
      <c r="AW47" t="n">
        <v>4e-09</v>
      </c>
    </row>
    <row r="48">
      <c r="A48" t="inlineStr">
        <is>
          <t>Dominica_2018_August</t>
        </is>
      </c>
      <c r="C48" t="inlineStr">
        <is>
          <t>SM.18.139</t>
        </is>
      </c>
      <c r="D48" t="inlineStr">
        <is>
          <t>Dominica</t>
        </is>
      </c>
      <c r="E48" t="inlineStr">
        <is>
          <t>DMA</t>
        </is>
      </c>
      <c r="F48" s="11" t="n">
        <v>43255</v>
      </c>
      <c r="G48" t="inlineStr">
        <is>
          <t>2013gn</t>
        </is>
      </c>
      <c r="H48" t="n">
        <v>2017</v>
      </c>
      <c r="I48" t="inlineStr">
        <is>
          <t>oth.dbt.crtg.flw</t>
        </is>
      </c>
      <c r="K48" t="inlineStr">
        <is>
          <t>US Dollars</t>
        </is>
      </c>
      <c r="L48" t="inlineStr">
        <is>
          <t>Billions</t>
        </is>
      </c>
      <c r="M48" t="inlineStr">
        <is>
          <t>Concessional loans</t>
        </is>
      </c>
      <c r="P48" t="n">
        <v>0.0184407407407407</v>
      </c>
      <c r="Q48" t="n">
        <v>0.00969303703703704</v>
      </c>
      <c r="R48" t="n">
        <v>0.00624358888888889</v>
      </c>
      <c r="S48" t="n">
        <v>0.0048038962962963</v>
      </c>
      <c r="T48" t="n">
        <v>0.00761035555555555</v>
      </c>
      <c r="U48" t="n">
        <v>0.0166359259259259</v>
      </c>
      <c r="V48" t="n">
        <v>0.0298357888888889</v>
      </c>
      <c r="W48" t="n">
        <v>0.0183003214814815</v>
      </c>
      <c r="X48" t="n">
        <v>0.0395757074074074</v>
      </c>
      <c r="Y48" t="n">
        <v>0.0226716422222222</v>
      </c>
      <c r="Z48" t="n">
        <v>0.025691449649478</v>
      </c>
      <c r="AA48" t="n">
        <v>0.0144729272575967</v>
      </c>
      <c r="AB48" t="n">
        <v>0</v>
      </c>
      <c r="AC48" t="n">
        <v>0.003251629057932816</v>
      </c>
      <c r="AD48" t="n">
        <v>0.003877035228789192</v>
      </c>
      <c r="AE48" t="n">
        <v>0.004758122371984067</v>
      </c>
      <c r="AF48" t="n">
        <v>0.005721645493893468</v>
      </c>
      <c r="AG48" t="n">
        <v>0.005441488153268808</v>
      </c>
      <c r="AH48" t="n">
        <v>0.003062219999156712</v>
      </c>
      <c r="AI48" t="n">
        <v>0.001942380125985648</v>
      </c>
      <c r="AJ48" t="n">
        <v>0.001594179654216984</v>
      </c>
      <c r="AK48" t="n">
        <v>0.00159897435516792</v>
      </c>
      <c r="AL48" t="n">
        <v>0.0016463440251726</v>
      </c>
      <c r="AM48" t="n">
        <v>0.00169029386621064</v>
      </c>
      <c r="AN48" t="n">
        <v>0.001733082963420396</v>
      </c>
      <c r="AO48" t="n">
        <v>0.001772605413174852</v>
      </c>
      <c r="AP48" t="n">
        <v>0.00180752655272418</v>
      </c>
      <c r="AQ48" t="n">
        <v>0.001848861586810068</v>
      </c>
      <c r="AR48" t="n">
        <v>0.001635745987097112</v>
      </c>
      <c r="AS48" t="n">
        <v>0.001550529704244276</v>
      </c>
      <c r="AT48" t="n">
        <v>0.001601088665690796</v>
      </c>
      <c r="AU48" t="n">
        <v>0.001669056139889256</v>
      </c>
      <c r="AV48" t="n">
        <v>0.00174085364054928</v>
      </c>
      <c r="AW48" t="n">
        <v>0.001814523085925256</v>
      </c>
    </row>
    <row r="49">
      <c r="A49" t="inlineStr">
        <is>
          <t>Dominica_2018_August</t>
        </is>
      </c>
      <c r="C49" t="inlineStr">
        <is>
          <t>SM.18.139</t>
        </is>
      </c>
      <c r="D49" t="inlineStr">
        <is>
          <t>Dominica</t>
        </is>
      </c>
      <c r="E49" t="inlineStr">
        <is>
          <t>DMA</t>
        </is>
      </c>
      <c r="F49" s="11" t="n">
        <v>43255</v>
      </c>
      <c r="G49" t="inlineStr">
        <is>
          <t>2013gn</t>
        </is>
      </c>
      <c r="H49" t="n">
        <v>2017</v>
      </c>
      <c r="I49" t="inlineStr">
        <is>
          <t>dbt.rlf</t>
        </is>
      </c>
    </row>
    <row r="50">
      <c r="A50" t="inlineStr">
        <is>
          <t>Dominica_2018_August</t>
        </is>
      </c>
      <c r="C50" t="inlineStr">
        <is>
          <t>SM.18.139</t>
        </is>
      </c>
      <c r="D50" t="inlineStr">
        <is>
          <t>Dominica</t>
        </is>
      </c>
      <c r="E50" t="inlineStr">
        <is>
          <t>DMA</t>
        </is>
      </c>
      <c r="F50" s="11" t="n">
        <v>43255</v>
      </c>
      <c r="G50" t="inlineStr">
        <is>
          <t>2013gn</t>
        </is>
      </c>
      <c r="H50" t="n">
        <v>2017</v>
      </c>
      <c r="I50" t="inlineStr">
        <is>
          <t>css.loan</t>
        </is>
      </c>
      <c r="M50" t="inlineStr">
        <is>
          <t>Capital transfers (% of GDP)</t>
        </is>
      </c>
      <c r="AC50" t="n">
        <v>-24.88545855059896</v>
      </c>
      <c r="AD50" t="n">
        <v>-19.80794145988428</v>
      </c>
      <c r="AE50" t="n">
        <v>-11.4691949392177</v>
      </c>
      <c r="AF50" t="n">
        <v>-6.760287098987154</v>
      </c>
      <c r="AG50" t="n">
        <v>-4.532524439618177</v>
      </c>
      <c r="AH50" t="n">
        <v>-3.719332622947374</v>
      </c>
      <c r="AI50" t="n">
        <v>-3.542448423827032</v>
      </c>
      <c r="AJ50" t="n">
        <v>-3.50796698944885</v>
      </c>
      <c r="AK50" t="n">
        <v>-3.48799281713795</v>
      </c>
      <c r="AL50" t="n">
        <v>-3.474639918740325</v>
      </c>
      <c r="AM50" t="n">
        <v>-3.461355464654002</v>
      </c>
      <c r="AN50" t="n">
        <v>-3.448138945020539</v>
      </c>
      <c r="AO50" t="n">
        <v>-3.434989968051796</v>
      </c>
      <c r="AP50" t="n">
        <v>-3.421908466140588</v>
      </c>
      <c r="AQ50" t="n">
        <v>-3.408893874545048</v>
      </c>
      <c r="AR50" t="n">
        <v>-3.395945816784208</v>
      </c>
      <c r="AS50" t="n">
        <v>-3.383064136824079</v>
      </c>
      <c r="AT50" t="n">
        <v>-3.370248389089456</v>
      </c>
      <c r="AU50" t="n">
        <v>-3.357498247747975</v>
      </c>
      <c r="AV50" t="n">
        <v>-3.344813376947286</v>
      </c>
      <c r="AW50" t="n">
        <v>-3.332193442554355</v>
      </c>
    </row>
    <row r="51">
      <c r="A51" t="inlineStr">
        <is>
          <t>Dominica_2018_August</t>
        </is>
      </c>
      <c r="C51" t="inlineStr">
        <is>
          <t>SM.18.139</t>
        </is>
      </c>
      <c r="D51" t="inlineStr">
        <is>
          <t>Dominica</t>
        </is>
      </c>
      <c r="E51" t="inlineStr">
        <is>
          <t>DMA</t>
        </is>
      </c>
      <c r="F51" s="11" t="n">
        <v>43255</v>
      </c>
      <c r="G51" t="inlineStr">
        <is>
          <t>2013gn</t>
        </is>
      </c>
      <c r="H51" t="n">
        <v>2017</v>
      </c>
      <c r="M51" t="inlineStr">
        <is>
          <t>Commercial banks (% of GDP)</t>
        </is>
      </c>
      <c r="Y51" t="n">
        <v>60.45251524563164</v>
      </c>
      <c r="AC51" t="n">
        <v>12.69011204738179</v>
      </c>
      <c r="AD51" t="n">
        <v>-1.187891507612501</v>
      </c>
      <c r="AE51" t="n">
        <v>-1.020461138207957</v>
      </c>
      <c r="AF51" t="n">
        <v>-2.029968572434042</v>
      </c>
      <c r="AG51" t="n">
        <v>-2.610356565606001</v>
      </c>
      <c r="AH51" t="n">
        <v>-2.445327140693742</v>
      </c>
      <c r="AI51" t="n">
        <v>-2.688348862737489</v>
      </c>
      <c r="AJ51" t="n">
        <v>-2.635636235221864</v>
      </c>
      <c r="AK51" t="n">
        <v>-2.583957313852017</v>
      </c>
      <c r="AL51" t="n">
        <v>-2.533291706877771</v>
      </c>
      <c r="AM51" t="n">
        <v>-2.483619612349708</v>
      </c>
      <c r="AN51" t="n">
        <v>-2.434921427490634</v>
      </c>
      <c r="AO51" t="n">
        <v>-2.387178005577533</v>
      </c>
      <c r="AP51" t="n">
        <v>-2.340370840310329</v>
      </c>
      <c r="AQ51" t="n">
        <v>-2.294481430334018</v>
      </c>
      <c r="AR51" t="n">
        <v>-2.249491735608424</v>
      </c>
      <c r="AS51" t="n">
        <v>-2.205384249019779</v>
      </c>
      <c r="AT51" t="n">
        <v>-2.162141611295601</v>
      </c>
      <c r="AU51" t="n">
        <v>-2.119746864689792</v>
      </c>
      <c r="AV51" t="n">
        <v>-2.078183383959619</v>
      </c>
      <c r="AW51" t="n">
        <v>-2.022267860889401</v>
      </c>
    </row>
    <row r="52">
      <c r="A52" t="inlineStr">
        <is>
          <t>Dominica_2018_August</t>
        </is>
      </c>
      <c r="C52" t="inlineStr">
        <is>
          <t>SM.18.139</t>
        </is>
      </c>
      <c r="D52" t="inlineStr">
        <is>
          <t>Dominica</t>
        </is>
      </c>
      <c r="E52" t="inlineStr">
        <is>
          <t>DMA</t>
        </is>
      </c>
      <c r="F52" s="11" t="n">
        <v>43255</v>
      </c>
      <c r="G52" t="inlineStr">
        <is>
          <t>2013gn</t>
        </is>
      </c>
      <c r="H52" t="n">
        <v>2017</v>
      </c>
      <c r="I52" t="inlineStr">
        <is>
          <t>gdp.crt.usd</t>
        </is>
      </c>
      <c r="M52" t="inlineStr">
        <is>
          <t>Other investment flows (% of GDP)</t>
        </is>
      </c>
      <c r="AC52" t="n">
        <v>0.2350209455896256</v>
      </c>
      <c r="AD52" t="n">
        <v>-1.32051995206507</v>
      </c>
      <c r="AE52" t="n">
        <v>-0.9687265943538489</v>
      </c>
      <c r="AF52" t="n">
        <v>-0.3422469135275311</v>
      </c>
      <c r="AG52" t="n">
        <v>-0.2995195853330411</v>
      </c>
      <c r="AH52" t="n">
        <v>-0.4702341431240443</v>
      </c>
      <c r="AI52" t="n">
        <v>1.365764382913169</v>
      </c>
      <c r="AJ52" t="n">
        <v>2.722003595925796</v>
      </c>
      <c r="AK52" t="n">
        <v>2.415372706023259</v>
      </c>
      <c r="AL52" t="n">
        <v>2.182707615968102</v>
      </c>
      <c r="AM52" t="n">
        <v>1.995458667512408</v>
      </c>
      <c r="AN52" t="n">
        <v>1.891418884214288</v>
      </c>
      <c r="AO52" t="n">
        <v>1.749801044271164</v>
      </c>
      <c r="AP52" t="n">
        <v>1.66898581429991</v>
      </c>
      <c r="AQ52" t="n">
        <v>1.646356796474527</v>
      </c>
      <c r="AR52" t="n">
        <v>1.548263676298622</v>
      </c>
      <c r="AS52" t="n">
        <v>1.438123363854337</v>
      </c>
      <c r="AT52" t="n">
        <v>1.657865741211363</v>
      </c>
      <c r="AU52" t="n">
        <v>2.190861827582538</v>
      </c>
      <c r="AV52" t="n">
        <v>2.725559283971105</v>
      </c>
      <c r="AW52" t="n">
        <v>2.923609382824516</v>
      </c>
    </row>
    <row r="53">
      <c r="A53" t="inlineStr">
        <is>
          <t>Dominica_2018_August</t>
        </is>
      </c>
      <c r="C53" t="inlineStr">
        <is>
          <t>SM.18.139</t>
        </is>
      </c>
      <c r="D53" t="inlineStr">
        <is>
          <t>Dominica</t>
        </is>
      </c>
      <c r="E53" t="inlineStr">
        <is>
          <t>DMA</t>
        </is>
      </c>
      <c r="F53" s="11" t="n">
        <v>43255</v>
      </c>
      <c r="G53" t="inlineStr">
        <is>
          <t>2013gn</t>
        </is>
      </c>
      <c r="H53" t="n">
        <v>2017</v>
      </c>
      <c r="I53" t="inlineStr">
        <is>
          <t>gdp.cst.lcu</t>
        </is>
      </c>
    </row>
    <row r="54">
      <c r="A54" t="inlineStr">
        <is>
          <t>Dominica_2018_August</t>
        </is>
      </c>
      <c r="C54" t="inlineStr">
        <is>
          <t>SM.18.139</t>
        </is>
      </c>
      <c r="D54" t="inlineStr">
        <is>
          <t>Dominica</t>
        </is>
      </c>
      <c r="E54" t="inlineStr">
        <is>
          <t>DMA</t>
        </is>
      </c>
      <c r="F54" s="11" t="n">
        <v>43255</v>
      </c>
      <c r="G54" t="inlineStr">
        <is>
          <t>2013gn</t>
        </is>
      </c>
      <c r="H54" t="n">
        <v>2017</v>
      </c>
      <c r="I54" t="inlineStr">
        <is>
          <t>gdp.def</t>
        </is>
      </c>
      <c r="K54" t="inlineStr">
        <is>
          <t>US Dollars</t>
        </is>
      </c>
      <c r="L54" t="inlineStr">
        <is>
          <t>Billions</t>
        </is>
      </c>
      <c r="M54" t="inlineStr">
        <is>
          <t>Gross domestic product, current prices, U.S. dollars</t>
        </is>
      </c>
      <c r="P54" t="n">
        <v>0.3657271111111111</v>
      </c>
      <c r="Q54" t="n">
        <v>0.3772526296296296</v>
      </c>
      <c r="R54" t="n">
        <v>0.4058129999999999</v>
      </c>
      <c r="S54" t="n">
        <v>0.439783037037037</v>
      </c>
      <c r="T54" t="n">
        <v>0.4736322592592592</v>
      </c>
      <c r="U54" t="n">
        <v>0.4914493703703703</v>
      </c>
      <c r="V54" t="n">
        <v>0.4974064074074074</v>
      </c>
      <c r="W54" t="n">
        <v>0.493447</v>
      </c>
      <c r="X54" t="n">
        <v>0.4971763703703703</v>
      </c>
      <c r="Y54" t="n">
        <v>0.5183129259259259</v>
      </c>
      <c r="Z54" t="n">
        <v>0.5316372962962962</v>
      </c>
      <c r="AA54" t="n">
        <v>0.558289962962963</v>
      </c>
      <c r="AB54" t="n">
        <v>0.5694232592592592</v>
      </c>
      <c r="AC54" t="n">
        <v>0.5213184444444444</v>
      </c>
      <c r="AD54" t="n">
        <v>0.5123590740740741</v>
      </c>
      <c r="AE54" t="n">
        <v>0.5628466666666666</v>
      </c>
      <c r="AF54" t="n">
        <v>0.6024466666666666</v>
      </c>
      <c r="AG54" t="n">
        <v>0.6321708518518518</v>
      </c>
      <c r="AH54" t="n">
        <v>0.6559415185185185</v>
      </c>
      <c r="AI54" t="n">
        <v>0.6779432222222221</v>
      </c>
      <c r="AJ54" t="n">
        <v>0.7018745925925925</v>
      </c>
      <c r="AK54" t="n">
        <v>0.7266507037037035</v>
      </c>
      <c r="AL54" t="n">
        <v>0.7523014074074074</v>
      </c>
      <c r="AM54" t="n">
        <v>0.7788575555555555</v>
      </c>
      <c r="AN54" t="n">
        <v>0.806351148148148</v>
      </c>
      <c r="AO54" t="n">
        <v>0.8348152962962962</v>
      </c>
      <c r="AP54" t="n">
        <v>0.8642841851851851</v>
      </c>
      <c r="AQ54" t="n">
        <v>0.8947933333333333</v>
      </c>
      <c r="AR54" t="n">
        <v>0.9263794814814814</v>
      </c>
      <c r="AS54" t="n">
        <v>0.9590805925925926</v>
      </c>
      <c r="AT54" t="n">
        <v>0.9929360499400779</v>
      </c>
      <c r="AU54" t="n">
        <v>1.027986601840678</v>
      </c>
      <c r="AV54" t="n">
        <v>1.064274435023</v>
      </c>
      <c r="AW54" t="n">
        <v>1.101843225403315</v>
      </c>
    </row>
    <row r="55">
      <c r="A55" t="inlineStr">
        <is>
          <t>Dominica_2018_August</t>
        </is>
      </c>
      <c r="C55" t="inlineStr">
        <is>
          <t>SM.18.139</t>
        </is>
      </c>
      <c r="D55" t="inlineStr">
        <is>
          <t>Dominica</t>
        </is>
      </c>
      <c r="E55" t="inlineStr">
        <is>
          <t>DMA</t>
        </is>
      </c>
      <c r="F55" s="11" t="n">
        <v>43255</v>
      </c>
      <c r="G55" t="inlineStr">
        <is>
          <t>2013gn</t>
        </is>
      </c>
      <c r="H55" t="n">
        <v>2017</v>
      </c>
      <c r="I55" t="inlineStr">
        <is>
          <t>exc.rat.eop.lcu2usd</t>
        </is>
      </c>
    </row>
    <row r="56">
      <c r="A56" t="inlineStr">
        <is>
          <t>Dominica_2018_August</t>
        </is>
      </c>
      <c r="C56" t="inlineStr">
        <is>
          <t>SM.18.139</t>
        </is>
      </c>
      <c r="D56" t="inlineStr">
        <is>
          <t>Dominica</t>
        </is>
      </c>
      <c r="E56" t="inlineStr">
        <is>
          <t>DMA</t>
        </is>
      </c>
      <c r="F56" s="11" t="n">
        <v>43255</v>
      </c>
      <c r="G56" t="inlineStr">
        <is>
          <t>2013gn</t>
        </is>
      </c>
      <c r="H56" t="n">
        <v>2017</v>
      </c>
      <c r="I56" t="inlineStr">
        <is>
          <t>exc.rat.avg.lcu2usd</t>
        </is>
      </c>
      <c r="K56" t="inlineStr">
        <is>
          <t>National Currency</t>
        </is>
      </c>
      <c r="L56" t="inlineStr">
        <is>
          <t>Billions</t>
        </is>
      </c>
      <c r="M56" t="inlineStr">
        <is>
          <t>Gross domestic product, constant prices</t>
        </is>
      </c>
      <c r="P56" t="n">
        <v>1.0034905</v>
      </c>
      <c r="Q56" t="n">
        <v>1.0302239</v>
      </c>
      <c r="R56" t="n">
        <v>1.0871494</v>
      </c>
      <c r="S56" t="n">
        <v>1.1605218</v>
      </c>
      <c r="T56" t="n">
        <v>1.1933991</v>
      </c>
      <c r="U56" t="n">
        <v>1.1903676</v>
      </c>
      <c r="V56" t="n">
        <v>1.1929775</v>
      </c>
      <c r="W56" t="n">
        <v>1.1852241</v>
      </c>
      <c r="X56" t="n">
        <v>1.1833927</v>
      </c>
      <c r="Y56" t="n">
        <v>1.2128042</v>
      </c>
      <c r="Z56" t="n">
        <v>1.2150351</v>
      </c>
      <c r="AA56" t="n">
        <v>1.2081272</v>
      </c>
      <c r="AB56" t="n">
        <v>1.1951944</v>
      </c>
      <c r="AC56" t="n">
        <v>1.0842839</v>
      </c>
      <c r="AD56" t="n">
        <v>1.0491558</v>
      </c>
      <c r="AE56" t="n">
        <v>1.1335784</v>
      </c>
      <c r="AF56" t="n">
        <v>1.1918183</v>
      </c>
      <c r="AG56" t="n">
        <v>1.2268627</v>
      </c>
      <c r="AH56" t="n">
        <v>1.2502781</v>
      </c>
      <c r="AI56" t="n">
        <v>1.2690323</v>
      </c>
      <c r="AJ56" t="n">
        <v>1.2880678</v>
      </c>
      <c r="AK56" t="n">
        <v>1.3073888</v>
      </c>
      <c r="AL56" t="n">
        <v>1.3269996</v>
      </c>
      <c r="AM56" t="n">
        <v>1.3469046</v>
      </c>
      <c r="AN56" t="n">
        <v>1.3671082</v>
      </c>
      <c r="AO56" t="n">
        <v>1.3876148</v>
      </c>
      <c r="AP56" t="n">
        <v>1.408429</v>
      </c>
      <c r="AQ56" t="n">
        <v>1.4295555</v>
      </c>
      <c r="AR56" t="n">
        <v>1.4509988</v>
      </c>
      <c r="AS56" t="n">
        <v>1.4727638</v>
      </c>
      <c r="AT56" t="n">
        <v>1.4948553</v>
      </c>
      <c r="AU56" t="n">
        <v>1.5172781</v>
      </c>
      <c r="AV56" t="n">
        <v>1.5400372</v>
      </c>
      <c r="AW56" t="n">
        <v>1.5631378</v>
      </c>
    </row>
    <row r="57">
      <c r="A57" t="inlineStr">
        <is>
          <t>Dominica_2018_August</t>
        </is>
      </c>
      <c r="C57" t="inlineStr">
        <is>
          <t>SM.18.139</t>
        </is>
      </c>
      <c r="D57" t="inlineStr">
        <is>
          <t>Dominica</t>
        </is>
      </c>
      <c r="E57" t="inlineStr">
        <is>
          <t>DMA</t>
        </is>
      </c>
      <c r="F57" s="11" t="n">
        <v>43255</v>
      </c>
      <c r="G57" t="inlineStr">
        <is>
          <t>2013gn</t>
        </is>
      </c>
      <c r="H57" t="n">
        <v>2017</v>
      </c>
      <c r="I57" t="inlineStr">
        <is>
          <t>pub.inv.cst.prc</t>
        </is>
      </c>
      <c r="L57" t="inlineStr">
        <is>
          <t>None</t>
        </is>
      </c>
      <c r="M57" t="inlineStr">
        <is>
          <t>US Gross domestic product deflator</t>
        </is>
      </c>
      <c r="P57" t="n">
        <v>86.73489763471001</v>
      </c>
      <c r="Q57" t="n">
        <v>89.12002962215418</v>
      </c>
      <c r="R57" t="n">
        <v>91.98728419129915</v>
      </c>
      <c r="S57" t="n">
        <v>94.81380612845392</v>
      </c>
      <c r="T57" t="n">
        <v>97.33675098747794</v>
      </c>
      <c r="U57" t="n">
        <v>99.24614178670465</v>
      </c>
      <c r="V57" t="n">
        <v>99.99982661465107</v>
      </c>
      <c r="W57" t="n">
        <v>101.2216074351655</v>
      </c>
      <c r="X57" t="n">
        <v>103.3111249070026</v>
      </c>
      <c r="Y57" t="n">
        <v>105.2142269837264</v>
      </c>
      <c r="Z57" t="n">
        <v>106.9133544813583</v>
      </c>
      <c r="AA57" t="n">
        <v>108.83220328134</v>
      </c>
      <c r="AB57" t="n">
        <v>110.0122787659309</v>
      </c>
      <c r="AC57" t="n">
        <v>111.4159061745677</v>
      </c>
      <c r="AD57" t="n">
        <v>113.4216850200451</v>
      </c>
      <c r="AE57" t="n">
        <v>116.4071815961213</v>
      </c>
      <c r="AF57" t="n">
        <v>119.2802186054559</v>
      </c>
      <c r="AG57" t="n">
        <v>121.6680368383904</v>
      </c>
      <c r="AH57" t="n">
        <v>124.0530931542624</v>
      </c>
      <c r="AI57" t="n">
        <v>126.3099728460545</v>
      </c>
      <c r="AJ57" t="n">
        <v>128.6440800093264</v>
      </c>
      <c r="AK57" t="n">
        <v>131.0213196040831</v>
      </c>
      <c r="AL57" t="n">
        <v>133.4424886831229</v>
      </c>
      <c r="AM57" t="n">
        <v>135.9083990281415</v>
      </c>
      <c r="AN57" t="n">
        <v>138.4198774219104</v>
      </c>
      <c r="AO57" t="n">
        <v>140.9777659254846</v>
      </c>
      <c r="AP57" t="n">
        <v>143.5829221605334</v>
      </c>
      <c r="AQ57" t="n">
        <v>146.2362195968876</v>
      </c>
      <c r="AR57" t="n">
        <v>148.9385478454013</v>
      </c>
      <c r="AS57" t="n">
        <v>151.6908129562248</v>
      </c>
      <c r="AT57" t="n">
        <v>154.4939377225897</v>
      </c>
      <c r="AU57" t="n">
        <v>157.3488619902078</v>
      </c>
      <c r="AV57" t="n">
        <v>160.2565429723868</v>
      </c>
      <c r="AW57" t="n">
        <v>163.2179555709702</v>
      </c>
    </row>
    <row r="58">
      <c r="A58" t="inlineStr">
        <is>
          <t>Dominica_2018_August</t>
        </is>
      </c>
      <c r="C58" t="inlineStr">
        <is>
          <t>SM.18.139</t>
        </is>
      </c>
      <c r="D58" t="inlineStr">
        <is>
          <t>Dominica</t>
        </is>
      </c>
      <c r="E58" t="inlineStr">
        <is>
          <t>DMA</t>
        </is>
      </c>
      <c r="F58" s="11" t="n">
        <v>43255</v>
      </c>
      <c r="G58" t="inlineStr">
        <is>
          <t>2013gn</t>
        </is>
      </c>
      <c r="H58" t="n">
        <v>2017</v>
      </c>
      <c r="I58" t="inlineStr">
        <is>
          <t>prv.inv.cst.prc</t>
        </is>
      </c>
      <c r="K58" t="inlineStr">
        <is>
          <t>National Currency</t>
        </is>
      </c>
      <c r="L58" t="inlineStr">
        <is>
          <t>None</t>
        </is>
      </c>
      <c r="M58" t="inlineStr">
        <is>
          <t>Exchange rate, national currency per U.S. Dollar, end of period</t>
        </is>
      </c>
      <c r="P58" t="n">
        <v>2.7</v>
      </c>
      <c r="Q58" t="n">
        <v>2.7</v>
      </c>
      <c r="R58" t="n">
        <v>2.7</v>
      </c>
      <c r="S58" t="n">
        <v>2.7</v>
      </c>
      <c r="T58" t="n">
        <v>2.7</v>
      </c>
      <c r="U58" t="n">
        <v>2.7</v>
      </c>
      <c r="V58" t="n">
        <v>2.7</v>
      </c>
      <c r="W58" t="n">
        <v>2.7</v>
      </c>
      <c r="X58" t="n">
        <v>2.7</v>
      </c>
      <c r="Y58" t="n">
        <v>2.7</v>
      </c>
      <c r="Z58" t="n">
        <v>2.7</v>
      </c>
      <c r="AA58" t="n">
        <v>2.7</v>
      </c>
      <c r="AB58" t="n">
        <v>2.7</v>
      </c>
      <c r="AC58" t="n">
        <v>2.7</v>
      </c>
      <c r="AD58" t="n">
        <v>2.7</v>
      </c>
      <c r="AE58" t="n">
        <v>2.7</v>
      </c>
      <c r="AF58" t="n">
        <v>2.7</v>
      </c>
      <c r="AG58" t="n">
        <v>2.7</v>
      </c>
      <c r="AH58" t="n">
        <v>2.7</v>
      </c>
      <c r="AI58" t="n">
        <v>2.7</v>
      </c>
      <c r="AJ58" t="n">
        <v>2.7</v>
      </c>
      <c r="AK58" t="n">
        <v>2.7</v>
      </c>
      <c r="AL58" t="n">
        <v>2.7</v>
      </c>
      <c r="AM58" t="n">
        <v>2.7</v>
      </c>
      <c r="AN58" t="n">
        <v>2.7</v>
      </c>
      <c r="AO58" t="n">
        <v>2.7</v>
      </c>
      <c r="AP58" t="n">
        <v>2.7</v>
      </c>
      <c r="AQ58" t="n">
        <v>2.7</v>
      </c>
      <c r="AR58" t="n">
        <v>2.7</v>
      </c>
      <c r="AS58" t="n">
        <v>2.7</v>
      </c>
      <c r="AT58" t="n">
        <v>2.7</v>
      </c>
      <c r="AU58" t="n">
        <v>2.7</v>
      </c>
      <c r="AV58" t="n">
        <v>2.7</v>
      </c>
      <c r="AW58" t="n">
        <v>2.7</v>
      </c>
    </row>
    <row r="59">
      <c r="A59" t="inlineStr">
        <is>
          <t>Dominica_2018_August</t>
        </is>
      </c>
      <c r="C59" t="inlineStr">
        <is>
          <t>SM.18.139</t>
        </is>
      </c>
      <c r="D59" t="inlineStr">
        <is>
          <t>Dominica</t>
        </is>
      </c>
      <c r="E59" t="inlineStr">
        <is>
          <t>DMA</t>
        </is>
      </c>
      <c r="F59" s="11" t="n">
        <v>43255</v>
      </c>
      <c r="G59" t="inlineStr">
        <is>
          <t>2013gn</t>
        </is>
      </c>
      <c r="H59" t="n">
        <v>2017</v>
      </c>
      <c r="I59" t="inlineStr">
        <is>
          <t>pub.inv.2gdp.vtg-1</t>
        </is>
      </c>
      <c r="K59" t="inlineStr">
        <is>
          <t>National Currency</t>
        </is>
      </c>
      <c r="L59" t="inlineStr">
        <is>
          <t>None</t>
        </is>
      </c>
      <c r="M59" t="inlineStr">
        <is>
          <t>Exchange rate, national currency per U.S. Dollar, average</t>
        </is>
      </c>
      <c r="P59" t="n">
        <v>2.7</v>
      </c>
      <c r="Q59" t="n">
        <v>2.7</v>
      </c>
      <c r="R59" t="n">
        <v>2.7</v>
      </c>
      <c r="S59" t="n">
        <v>2.7</v>
      </c>
      <c r="T59" t="n">
        <v>2.7</v>
      </c>
      <c r="U59" t="n">
        <v>2.7</v>
      </c>
      <c r="V59" t="n">
        <v>2.7</v>
      </c>
      <c r="W59" t="n">
        <v>2.7</v>
      </c>
      <c r="X59" t="n">
        <v>2.7</v>
      </c>
      <c r="Y59" t="n">
        <v>2.7</v>
      </c>
      <c r="Z59" t="n">
        <v>2.7</v>
      </c>
      <c r="AA59" t="n">
        <v>2.7</v>
      </c>
      <c r="AB59" t="n">
        <v>2.7</v>
      </c>
      <c r="AC59" t="n">
        <v>2.7</v>
      </c>
      <c r="AD59" t="n">
        <v>2.7</v>
      </c>
      <c r="AE59" t="n">
        <v>2.7</v>
      </c>
      <c r="AF59" t="n">
        <v>2.7</v>
      </c>
      <c r="AG59" t="n">
        <v>2.7</v>
      </c>
      <c r="AH59" t="n">
        <v>2.7</v>
      </c>
      <c r="AI59" t="n">
        <v>2.7</v>
      </c>
      <c r="AJ59" t="n">
        <v>2.7</v>
      </c>
      <c r="AK59" t="n">
        <v>2.7</v>
      </c>
      <c r="AL59" t="n">
        <v>2.7</v>
      </c>
      <c r="AM59" t="n">
        <v>2.7</v>
      </c>
      <c r="AN59" t="n">
        <v>2.7</v>
      </c>
      <c r="AO59" t="n">
        <v>2.7</v>
      </c>
      <c r="AP59" t="n">
        <v>2.7</v>
      </c>
      <c r="AQ59" t="n">
        <v>2.7</v>
      </c>
      <c r="AR59" t="n">
        <v>2.7</v>
      </c>
      <c r="AS59" t="n">
        <v>2.7</v>
      </c>
      <c r="AT59" t="n">
        <v>2.7</v>
      </c>
      <c r="AU59" t="n">
        <v>2.7</v>
      </c>
      <c r="AV59" t="n">
        <v>2.7</v>
      </c>
      <c r="AW59" t="n">
        <v>2.7</v>
      </c>
    </row>
    <row r="60">
      <c r="A60" t="inlineStr">
        <is>
          <t>Dominica_2018_August</t>
        </is>
      </c>
      <c r="C60" t="inlineStr">
        <is>
          <t>SM.18.139</t>
        </is>
      </c>
      <c r="D60" t="inlineStr">
        <is>
          <t>Dominica</t>
        </is>
      </c>
      <c r="E60" t="inlineStr">
        <is>
          <t>DMA</t>
        </is>
      </c>
      <c r="F60" s="11" t="n">
        <v>43255</v>
      </c>
      <c r="G60" t="inlineStr">
        <is>
          <t>2013gn</t>
        </is>
      </c>
      <c r="H60" t="n">
        <v>2017</v>
      </c>
      <c r="I60" t="inlineStr">
        <is>
          <t>prv.inv.2gdp.vtg-1</t>
        </is>
      </c>
    </row>
    <row r="61">
      <c r="A61" t="inlineStr">
        <is>
          <t>Dominica_2018_August</t>
        </is>
      </c>
      <c r="C61" t="inlineStr">
        <is>
          <t>SM.18.139</t>
        </is>
      </c>
      <c r="D61" t="inlineStr">
        <is>
          <t>Dominica</t>
        </is>
      </c>
      <c r="E61" t="inlineStr">
        <is>
          <t>DMA</t>
        </is>
      </c>
      <c r="F61" s="11" t="n">
        <v>43255</v>
      </c>
      <c r="G61" t="inlineStr">
        <is>
          <t>2013gn</t>
        </is>
      </c>
      <c r="H61" t="n">
        <v>2017</v>
      </c>
      <c r="K61" t="inlineStr">
        <is>
          <t>Units</t>
        </is>
      </c>
      <c r="L61" t="inlineStr">
        <is>
          <t>Scale</t>
        </is>
      </c>
      <c r="M61" t="inlineStr">
        <is>
          <t>Calculated variables</t>
        </is>
      </c>
      <c r="P61" t="n">
        <v>2004</v>
      </c>
      <c r="Q61" t="n">
        <v>2005</v>
      </c>
      <c r="R61" t="n">
        <v>2006</v>
      </c>
      <c r="S61" t="n">
        <v>2007</v>
      </c>
      <c r="T61" t="n">
        <v>2008</v>
      </c>
      <c r="U61" t="n">
        <v>2009</v>
      </c>
      <c r="V61" t="n">
        <v>2010</v>
      </c>
      <c r="W61" t="n">
        <v>2011</v>
      </c>
      <c r="X61" t="n">
        <v>2012</v>
      </c>
      <c r="Y61" t="n">
        <v>2013</v>
      </c>
      <c r="Z61" t="n">
        <v>2014</v>
      </c>
      <c r="AA61" t="n">
        <v>2015</v>
      </c>
      <c r="AB61" t="n">
        <v>2016</v>
      </c>
      <c r="AC61" t="n">
        <v>2017</v>
      </c>
      <c r="AD61" t="n">
        <v>2018</v>
      </c>
      <c r="AE61" t="n">
        <v>2019</v>
      </c>
      <c r="AF61" t="n">
        <v>2020</v>
      </c>
      <c r="AG61" t="n">
        <v>2021</v>
      </c>
      <c r="AH61" t="n">
        <v>2022</v>
      </c>
      <c r="AI61" t="n">
        <v>2023</v>
      </c>
      <c r="AJ61" t="n">
        <v>2024</v>
      </c>
      <c r="AK61" t="n">
        <v>2025</v>
      </c>
      <c r="AL61" t="n">
        <v>2026</v>
      </c>
      <c r="AM61" t="n">
        <v>2027</v>
      </c>
      <c r="AN61" t="n">
        <v>2028</v>
      </c>
      <c r="AO61" t="n">
        <v>2029</v>
      </c>
      <c r="AP61" t="n">
        <v>2030</v>
      </c>
      <c r="AQ61" t="n">
        <v>2031</v>
      </c>
      <c r="AR61" t="n">
        <v>2032</v>
      </c>
      <c r="AS61" t="n">
        <v>2033</v>
      </c>
      <c r="AT61" t="n">
        <v>2034</v>
      </c>
      <c r="AU61" t="n">
        <v>2035</v>
      </c>
      <c r="AV61" t="n">
        <v>2036</v>
      </c>
      <c r="AW61" t="n">
        <v>2037</v>
      </c>
    </row>
    <row r="62">
      <c r="A62" t="inlineStr">
        <is>
          <t>Dominica_2018_August</t>
        </is>
      </c>
      <c r="C62" t="inlineStr">
        <is>
          <t>SM.18.139</t>
        </is>
      </c>
      <c r="D62" t="inlineStr">
        <is>
          <t>Dominica</t>
        </is>
      </c>
      <c r="E62" t="inlineStr">
        <is>
          <t>DMA</t>
        </is>
      </c>
      <c r="F62" s="11" t="n">
        <v>43255</v>
      </c>
      <c r="G62" t="inlineStr">
        <is>
          <t>2013gn</t>
        </is>
      </c>
      <c r="H62" t="n">
        <v>2017</v>
      </c>
    </row>
    <row r="63">
      <c r="A63" t="inlineStr">
        <is>
          <t>Dominica_2018_August</t>
        </is>
      </c>
      <c r="C63" t="inlineStr">
        <is>
          <t>SM.18.139</t>
        </is>
      </c>
      <c r="D63" t="inlineStr">
        <is>
          <t>Dominica</t>
        </is>
      </c>
      <c r="E63" t="inlineStr">
        <is>
          <t>DMA</t>
        </is>
      </c>
      <c r="F63" s="11" t="n">
        <v>43255</v>
      </c>
      <c r="G63" t="inlineStr">
        <is>
          <t>2013gn</t>
        </is>
      </c>
      <c r="H63" t="n">
        <v>2017</v>
      </c>
      <c r="M63" t="inlineStr">
        <is>
          <t>External Sector</t>
        </is>
      </c>
      <c r="AA63" t="inlineStr">
        <is>
          <t>...</t>
        </is>
      </c>
    </row>
    <row r="64">
      <c r="A64" t="inlineStr">
        <is>
          <t>Dominica_2018_August</t>
        </is>
      </c>
      <c r="C64" t="inlineStr">
        <is>
          <t>SM.18.139</t>
        </is>
      </c>
      <c r="D64" t="inlineStr">
        <is>
          <t>Dominica</t>
        </is>
      </c>
      <c r="E64" t="inlineStr">
        <is>
          <t>DMA</t>
        </is>
      </c>
      <c r="F64" s="11" t="n">
        <v>43255</v>
      </c>
      <c r="G64" t="inlineStr">
        <is>
          <t>2013gn</t>
        </is>
      </c>
      <c r="H64" t="n">
        <v>2017</v>
      </c>
      <c r="M64" t="inlineStr">
        <is>
          <t>External interest rate (paid)</t>
        </is>
      </c>
      <c r="P64" t="n">
        <v>5.86</v>
      </c>
      <c r="Q64" t="n">
        <v>5.785559838078795</v>
      </c>
      <c r="R64" t="n">
        <v>5.228101009803594</v>
      </c>
      <c r="S64" t="n">
        <v>5.355344729710927</v>
      </c>
      <c r="T64" t="n">
        <v>4.992217804241418</v>
      </c>
      <c r="U64" t="n">
        <v>4.025707907593356</v>
      </c>
      <c r="V64" t="n">
        <v>3.948858185091896</v>
      </c>
      <c r="W64" t="n">
        <v>4.138070341458092</v>
      </c>
      <c r="X64" t="n">
        <v>6.358925944068061</v>
      </c>
      <c r="Y64" t="n">
        <v>4.243392116189191</v>
      </c>
      <c r="Z64" t="n">
        <v>3.635461218084809</v>
      </c>
      <c r="AA64" t="n">
        <v>3.563580220779405</v>
      </c>
      <c r="AB64" t="n">
        <v>3.837243819030171</v>
      </c>
      <c r="AC64" t="n">
        <v>2.904616623842072</v>
      </c>
      <c r="AD64" t="n">
        <v>3.371639467622699</v>
      </c>
      <c r="AE64" t="n">
        <v>3.665628766002838</v>
      </c>
      <c r="AF64" t="n">
        <v>3.721260631741483</v>
      </c>
      <c r="AG64" t="n">
        <v>3.834126506904387</v>
      </c>
      <c r="AH64" t="n">
        <v>3.947188744204143</v>
      </c>
      <c r="AI64" t="n">
        <v>4.02121474420979</v>
      </c>
      <c r="AJ64" t="n">
        <v>4.05035603006659</v>
      </c>
      <c r="AK64" t="n">
        <v>4.076861524266899</v>
      </c>
      <c r="AL64" t="n">
        <v>4.091312805048846</v>
      </c>
      <c r="AM64" t="n">
        <v>4.110468470402863</v>
      </c>
      <c r="AN64" t="n">
        <v>3.981727203742699</v>
      </c>
      <c r="AO64" t="n">
        <v>4.173141574369015</v>
      </c>
      <c r="AP64" t="n">
        <v>4.18129563441291</v>
      </c>
      <c r="AQ64" t="n">
        <v>4.185518598032865</v>
      </c>
      <c r="AR64" t="n">
        <v>4.177947380467657</v>
      </c>
      <c r="AS64" t="n">
        <v>4.147784165830886</v>
      </c>
      <c r="AT64" t="n">
        <v>4.140326763956336</v>
      </c>
      <c r="AU64" t="n">
        <v>4.127046400567711</v>
      </c>
      <c r="AV64" t="n">
        <v>4.114283449409788</v>
      </c>
      <c r="AW64" t="n">
        <v>4.10076952431664</v>
      </c>
    </row>
    <row r="65">
      <c r="A65" t="inlineStr">
        <is>
          <t>Dominica_2018_August</t>
        </is>
      </c>
      <c r="C65" t="inlineStr">
        <is>
          <t>SM.18.139</t>
        </is>
      </c>
      <c r="D65" t="inlineStr">
        <is>
          <t>Dominica</t>
        </is>
      </c>
      <c r="E65" t="inlineStr">
        <is>
          <t>DMA</t>
        </is>
      </c>
      <c r="F65" s="11" t="n">
        <v>43255</v>
      </c>
      <c r="G65" t="inlineStr">
        <is>
          <t>2013gn</t>
        </is>
      </c>
      <c r="H65" t="n">
        <v>2017</v>
      </c>
      <c r="I65" t="inlineStr">
        <is>
          <t>ext.paid.int.rat</t>
        </is>
      </c>
      <c r="M65" t="inlineStr">
        <is>
          <t>Private debt in percent of GDP</t>
        </is>
      </c>
      <c r="P65" t="n">
        <v>16.46334769741292</v>
      </c>
      <c r="Q65" t="n">
        <v>19.1264405687082</v>
      </c>
      <c r="R65" t="n">
        <v>22.64398188875719</v>
      </c>
      <c r="S65" t="n">
        <v>21.74241305182302</v>
      </c>
      <c r="T65" t="n">
        <v>20.35244408636767</v>
      </c>
      <c r="U65" t="n">
        <v>20.07979722563637</v>
      </c>
      <c r="V65" t="n">
        <v>21.64679914099606</v>
      </c>
      <c r="W65" t="n">
        <v>23.61102978600498</v>
      </c>
      <c r="X65" t="n">
        <v>22.80938968524626</v>
      </c>
      <c r="Y65" t="n">
        <v>22.55579104972273</v>
      </c>
      <c r="Z65" t="n">
        <v>25.54230584784483</v>
      </c>
      <c r="AA65" t="n">
        <v>25.66509990373275</v>
      </c>
      <c r="AB65" t="n">
        <v>23.01508594788104</v>
      </c>
      <c r="AC65" t="n">
        <v>25.49599160012772</v>
      </c>
      <c r="AD65" t="n">
        <v>28.01914143206549</v>
      </c>
      <c r="AE65" t="n">
        <v>27.18411533755848</v>
      </c>
      <c r="AF65" t="n">
        <v>26.48006264494827</v>
      </c>
      <c r="AG65" t="n">
        <v>26.31838098682225</v>
      </c>
      <c r="AH65" t="n">
        <v>26.4107307049127</v>
      </c>
      <c r="AI65" t="n">
        <v>26.621260047108</v>
      </c>
      <c r="AJ65" t="n">
        <v>27.07457371867766</v>
      </c>
      <c r="AK65" t="n">
        <v>27.35911688429426</v>
      </c>
      <c r="AL65" t="n">
        <v>27.51762569972066</v>
      </c>
      <c r="AM65" t="n">
        <v>27.57710626185682</v>
      </c>
      <c r="AN65" t="n">
        <v>27.58253834938039</v>
      </c>
      <c r="AO65" t="n">
        <v>27.516975200855</v>
      </c>
      <c r="AP65" t="n">
        <v>27.41324119300178</v>
      </c>
      <c r="AQ65" t="n">
        <v>27.3017293050893</v>
      </c>
      <c r="AR65" t="n">
        <v>27.14497214605134</v>
      </c>
      <c r="AS65" t="n">
        <v>27.05104735935033</v>
      </c>
      <c r="AT65" t="n">
        <v>27.05104974509129</v>
      </c>
      <c r="AU65" t="n">
        <v>27.05105213083248</v>
      </c>
      <c r="AV65" t="n">
        <v>27.05105451657375</v>
      </c>
      <c r="AW65" t="n">
        <v>26.58188660375901</v>
      </c>
    </row>
    <row r="66">
      <c r="A66" t="inlineStr">
        <is>
          <t>Dominica_2018_August</t>
        </is>
      </c>
      <c r="C66" t="inlineStr">
        <is>
          <t>SM.18.139</t>
        </is>
      </c>
      <c r="D66" t="inlineStr">
        <is>
          <t>Dominica</t>
        </is>
      </c>
      <c r="E66" t="inlineStr">
        <is>
          <t>DMA</t>
        </is>
      </c>
      <c r="F66" s="11" t="n">
        <v>43255</v>
      </c>
      <c r="G66" t="inlineStr">
        <is>
          <t>2013gn</t>
        </is>
      </c>
      <c r="H66" t="n">
        <v>2017</v>
      </c>
      <c r="I66" t="inlineStr">
        <is>
          <t>prv.dbt.2gdp</t>
        </is>
      </c>
      <c r="M66" t="inlineStr">
        <is>
          <t>Private debt service in percent of exports</t>
        </is>
      </c>
      <c r="P66" t="n">
        <v>7.970593758382213</v>
      </c>
      <c r="Q66" t="n">
        <v>4.692527986564013</v>
      </c>
      <c r="R66" t="n">
        <v>5.814945487929625</v>
      </c>
      <c r="S66" t="n">
        <v>7.495364572702274</v>
      </c>
      <c r="T66" t="n">
        <v>7.145748846836339</v>
      </c>
      <c r="U66" t="n">
        <v>4.033766160570513</v>
      </c>
      <c r="V66" t="n">
        <v>4.600489078658107</v>
      </c>
      <c r="W66" t="n">
        <v>5.420205808795767</v>
      </c>
      <c r="X66" t="n">
        <v>4.926145696635913</v>
      </c>
      <c r="Y66" t="n">
        <v>4.931980660235078</v>
      </c>
      <c r="Z66" t="n">
        <v>3.168390609882712</v>
      </c>
      <c r="AA66" t="n">
        <v>3.731705623304628</v>
      </c>
      <c r="AB66" t="n">
        <v>3.686605415057028</v>
      </c>
      <c r="AC66" t="n">
        <v>3.319627609855742</v>
      </c>
      <c r="AD66" t="n">
        <v>4.740319036015451</v>
      </c>
      <c r="AE66" t="n">
        <v>3.963759655815414</v>
      </c>
      <c r="AF66" t="n">
        <v>3.489263778343195</v>
      </c>
      <c r="AG66" t="n">
        <v>3.731851185322582</v>
      </c>
      <c r="AH66" t="n">
        <v>3.983547572846088</v>
      </c>
      <c r="AI66" t="n">
        <v>4.111349082887461</v>
      </c>
      <c r="AJ66" t="n">
        <v>4.124042356131278</v>
      </c>
      <c r="AK66" t="n">
        <v>4.102332513761681</v>
      </c>
      <c r="AL66" t="n">
        <v>4.079082518934691</v>
      </c>
      <c r="AM66" t="n">
        <v>4.050952118512209</v>
      </c>
      <c r="AN66" t="n">
        <v>4.009604936432538</v>
      </c>
      <c r="AO66" t="n">
        <v>3.970721928687481</v>
      </c>
      <c r="AP66" t="n">
        <v>3.928560384315183</v>
      </c>
      <c r="AQ66" t="n">
        <v>3.880170243957351</v>
      </c>
      <c r="AR66" t="n">
        <v>3.838525655138688</v>
      </c>
      <c r="AS66" t="n">
        <v>3.796341339797594</v>
      </c>
      <c r="AT66" t="n">
        <v>3.742816442603078</v>
      </c>
      <c r="AU66" t="n">
        <v>3.686254942641196</v>
      </c>
      <c r="AV66" t="n">
        <v>3.631992390494145</v>
      </c>
      <c r="AW66" t="n">
        <v>3.580484333835639</v>
      </c>
    </row>
    <row r="67">
      <c r="A67" t="inlineStr">
        <is>
          <t>Dominica_2018_August</t>
        </is>
      </c>
      <c r="C67" t="inlineStr">
        <is>
          <t>SM.18.139</t>
        </is>
      </c>
      <c r="D67" t="inlineStr">
        <is>
          <t>Dominica</t>
        </is>
      </c>
      <c r="E67" t="inlineStr">
        <is>
          <t>DMA</t>
        </is>
      </c>
      <c r="F67" s="11" t="n">
        <v>43255</v>
      </c>
      <c r="G67" t="inlineStr">
        <is>
          <t>2013gn</t>
        </is>
      </c>
      <c r="H67" t="n">
        <v>2017</v>
      </c>
      <c r="I67" t="inlineStr">
        <is>
          <t>prv.tds.2xprt</t>
        </is>
      </c>
      <c r="M67" t="inlineStr">
        <is>
          <t>Non-interest current account in percent of GDP</t>
        </is>
      </c>
      <c r="P67" t="n">
        <v>-10.86998430937809</v>
      </c>
      <c r="Q67" t="n">
        <v>-15.88564041738999</v>
      </c>
      <c r="R67" t="n">
        <v>-8.622030017292213</v>
      </c>
      <c r="S67" t="n">
        <v>-15.94048162510568</v>
      </c>
      <c r="T67" t="n">
        <v>-24.05096304204132</v>
      </c>
      <c r="U67" t="n">
        <v>-20.05940440871312</v>
      </c>
      <c r="V67" t="n">
        <v>-13.31136344801288</v>
      </c>
      <c r="W67" t="n">
        <v>-11.35824936431689</v>
      </c>
      <c r="X67" t="n">
        <v>-12.32426257060393</v>
      </c>
      <c r="Y67" t="n">
        <v>-6.453323889473757</v>
      </c>
      <c r="Z67" t="n">
        <v>-4.109543812153709</v>
      </c>
      <c r="AA67" t="n">
        <v>1.096620956844649</v>
      </c>
      <c r="AB67" t="n">
        <v>3.993854688505983</v>
      </c>
      <c r="AC67" t="n">
        <v>-10.90289488836567</v>
      </c>
      <c r="AD67" t="n">
        <v>-26.89389534138989</v>
      </c>
      <c r="AE67" t="n">
        <v>-17.87617410966145</v>
      </c>
      <c r="AF67" t="n">
        <v>-16.5623351328374</v>
      </c>
      <c r="AG67" t="n">
        <v>-17.21588586201267</v>
      </c>
      <c r="AH67" t="n">
        <v>-10.11281030624846</v>
      </c>
      <c r="AI67" t="n">
        <v>-7.699989462461097</v>
      </c>
      <c r="AJ67" t="n">
        <v>-3.469519849433066</v>
      </c>
      <c r="AK67" t="n">
        <v>-3.620520307426646</v>
      </c>
      <c r="AL67" t="n">
        <v>-3.776619499864593</v>
      </c>
      <c r="AM67" t="n">
        <v>-3.941690737569181</v>
      </c>
      <c r="AN67" t="n">
        <v>-4.248145648628427</v>
      </c>
      <c r="AO67" t="n">
        <v>-4.252768471688244</v>
      </c>
      <c r="AP67" t="n">
        <v>-4.428008369426833</v>
      </c>
      <c r="AQ67" t="n">
        <v>-4.605844062714466</v>
      </c>
      <c r="AR67" t="n">
        <v>-4.776026686951875</v>
      </c>
      <c r="AS67" t="n">
        <v>-4.966596367518463</v>
      </c>
      <c r="AT67" t="n">
        <v>-5.084519294207506</v>
      </c>
      <c r="AU67" t="n">
        <v>-4.576111554993948</v>
      </c>
      <c r="AV67" t="n">
        <v>-4.073426860133885</v>
      </c>
      <c r="AW67" t="n">
        <v>-3.577005108401085</v>
      </c>
    </row>
    <row r="68">
      <c r="A68" t="inlineStr">
        <is>
          <t>Dominica_2018_August</t>
        </is>
      </c>
      <c r="C68" t="inlineStr">
        <is>
          <t>SM.18.139</t>
        </is>
      </c>
      <c r="D68" t="inlineStr">
        <is>
          <t>Dominica</t>
        </is>
      </c>
      <c r="E68" t="inlineStr">
        <is>
          <t>DMA</t>
        </is>
      </c>
      <c r="F68" s="11" t="n">
        <v>43255</v>
      </c>
      <c r="G68" t="inlineStr">
        <is>
          <t>2013gn</t>
        </is>
      </c>
      <c r="H68" t="n">
        <v>2017</v>
      </c>
      <c r="I68" t="inlineStr">
        <is>
          <t>nicab.2gdp</t>
        </is>
      </c>
      <c r="M68" t="inlineStr">
        <is>
          <t>Current official transfers in percent of GDP</t>
        </is>
      </c>
      <c r="P68" t="n">
        <v>-0.06967348251560167</v>
      </c>
      <c r="Q68" t="n">
        <v>0.06221197093489068</v>
      </c>
      <c r="R68" t="n">
        <v>0.06976210809010654</v>
      </c>
      <c r="S68" t="n">
        <v>-0.07687292269201429</v>
      </c>
      <c r="T68" t="n">
        <v>-0.012327895270522</v>
      </c>
      <c r="U68" t="n">
        <v>0.06136663186660352</v>
      </c>
      <c r="V68" t="n">
        <v>0.1300053246570191</v>
      </c>
      <c r="W68" t="n">
        <v>-0.4159794563850119</v>
      </c>
      <c r="X68" t="n">
        <v>0.08277858323173498</v>
      </c>
      <c r="Y68" t="n">
        <v>1.044145718062926</v>
      </c>
      <c r="Z68" t="n">
        <v>2.636637393416553</v>
      </c>
      <c r="AA68" t="n">
        <v>3.230287545586468</v>
      </c>
      <c r="AB68" t="n">
        <v>3.221197806776795</v>
      </c>
      <c r="AC68" t="n">
        <v>9.228282312307295</v>
      </c>
      <c r="AD68" t="n">
        <v>8.502813887950722</v>
      </c>
      <c r="AE68" t="n">
        <v>8.640198824616201</v>
      </c>
      <c r="AF68" t="n">
        <v>4.229710028970338</v>
      </c>
      <c r="AG68" t="n">
        <v>4.178729975300302</v>
      </c>
      <c r="AH68" t="n">
        <v>4.16459088366988</v>
      </c>
      <c r="AI68" t="n">
        <v>4.168435015523028</v>
      </c>
      <c r="AJ68" t="n">
        <v>4.02630654517504</v>
      </c>
      <c r="AK68" t="n">
        <v>3.889024329906827</v>
      </c>
      <c r="AL68" t="n">
        <v>3.756422941951544</v>
      </c>
      <c r="AM68" t="n">
        <v>3.628342879760439</v>
      </c>
      <c r="AN68" t="n">
        <v>3.504629803699884</v>
      </c>
      <c r="AO68" t="n">
        <v>3.385134746075157</v>
      </c>
      <c r="AP68" t="n">
        <v>3.269714191799214</v>
      </c>
      <c r="AQ68" t="n">
        <v>3.158229013084161</v>
      </c>
      <c r="AR68" t="n">
        <v>3.050544968384116</v>
      </c>
      <c r="AS68" t="n">
        <v>2.946532635394552</v>
      </c>
      <c r="AT68" t="n">
        <v>2.846066739361676</v>
      </c>
      <c r="AU68" t="n">
        <v>2.749026359864563</v>
      </c>
      <c r="AV68" t="n">
        <v>2.655294699422662</v>
      </c>
      <c r="AW68" t="n">
        <v>2.564758942918776</v>
      </c>
    </row>
    <row r="69">
      <c r="A69" t="inlineStr">
        <is>
          <t>Dominica_2018_August</t>
        </is>
      </c>
      <c r="C69" t="inlineStr">
        <is>
          <t>SM.18.139</t>
        </is>
      </c>
      <c r="D69" t="inlineStr">
        <is>
          <t>Dominica</t>
        </is>
      </c>
      <c r="E69" t="inlineStr">
        <is>
          <t>DMA</t>
        </is>
      </c>
      <c r="F69" s="11" t="n">
        <v>43255</v>
      </c>
      <c r="G69" t="inlineStr">
        <is>
          <t>2013gn</t>
        </is>
      </c>
      <c r="H69" t="n">
        <v>2017</v>
      </c>
      <c r="I69" t="inlineStr">
        <is>
          <t>off.trsfr.crt.2gdp</t>
        </is>
      </c>
      <c r="M69" t="inlineStr">
        <is>
          <t>Total gross financing</t>
        </is>
      </c>
      <c r="P69" t="inlineStr">
        <is>
          <t>...</t>
        </is>
      </c>
      <c r="Q69" t="n">
        <v>0.0568455562962962</v>
      </c>
      <c r="R69" t="n">
        <v>0.03480362370370371</v>
      </c>
      <c r="S69" t="n">
        <v>0.0569057374074074</v>
      </c>
      <c r="T69" t="n">
        <v>0.08335191370370389</v>
      </c>
      <c r="U69" t="n">
        <v>0.06596057333333359</v>
      </c>
      <c r="V69" t="n">
        <v>0.04621835999999999</v>
      </c>
      <c r="W69" t="n">
        <v>0.0499917772014815</v>
      </c>
      <c r="X69" t="n">
        <v>0.0442449432814738</v>
      </c>
      <c r="Y69" t="n">
        <v>0.041489034162003</v>
      </c>
      <c r="Z69" t="n">
        <v>0.0410401029267685</v>
      </c>
      <c r="AA69" t="n">
        <v>0.008745350796516402</v>
      </c>
      <c r="AB69" t="n">
        <v>-0.0143461812844458</v>
      </c>
      <c r="AC69" t="n">
        <v>0.0563297014370021</v>
      </c>
      <c r="AD69" t="n">
        <v>0.1437118031036688</v>
      </c>
      <c r="AE69" t="n">
        <v>0.1159029216292106</v>
      </c>
      <c r="AF69" t="n">
        <v>0.1060823687988858</v>
      </c>
      <c r="AG69" t="n">
        <v>0.118766999313723</v>
      </c>
      <c r="AH69" t="n">
        <v>0.08790941829955909</v>
      </c>
      <c r="AI69" t="n">
        <v>0.07687646871980258</v>
      </c>
      <c r="AJ69" t="n">
        <v>0.05179166498265493</v>
      </c>
      <c r="AK69" t="n">
        <v>0.05630610131086176</v>
      </c>
      <c r="AL69" t="n">
        <v>0.06132619938133302</v>
      </c>
      <c r="AM69" t="n">
        <v>0.06341044287142356</v>
      </c>
      <c r="AN69" t="n">
        <v>0.06581322456213473</v>
      </c>
      <c r="AO69" t="n">
        <v>0.06856731409145964</v>
      </c>
      <c r="AP69" t="n">
        <v>0.07362369135955149</v>
      </c>
      <c r="AQ69" t="n">
        <v>0.07716854485829305</v>
      </c>
      <c r="AR69" t="n">
        <v>0.08140523159911994</v>
      </c>
      <c r="AS69" t="n">
        <v>0.08505978628771062</v>
      </c>
      <c r="AT69" t="n">
        <v>0.08824705525763986</v>
      </c>
      <c r="AU69" t="n">
        <v>0.08549272366791072</v>
      </c>
      <c r="AV69" t="n">
        <v>0.08250548819913066</v>
      </c>
      <c r="AW69" t="n">
        <v>0.07880056952330206</v>
      </c>
    </row>
    <row r="70">
      <c r="A70" t="inlineStr">
        <is>
          <t>Dominica_2018_August</t>
        </is>
      </c>
      <c r="C70" t="inlineStr">
        <is>
          <t>SM.18.139</t>
        </is>
      </c>
      <c r="D70" t="inlineStr">
        <is>
          <t>Dominica</t>
        </is>
      </c>
      <c r="E70" t="inlineStr">
        <is>
          <t>DMA</t>
        </is>
      </c>
      <c r="F70" s="11" t="n">
        <v>43255</v>
      </c>
      <c r="G70" t="inlineStr">
        <is>
          <t>2013gn</t>
        </is>
      </c>
      <c r="H70" t="n">
        <v>2017</v>
      </c>
      <c r="I70" t="inlineStr">
        <is>
          <t>tot.grss.fin.2gdp</t>
        </is>
      </c>
      <c r="M70" t="inlineStr">
        <is>
          <t>o/w covered by private sector</t>
        </is>
      </c>
      <c r="P70" t="inlineStr">
        <is>
          <t>...</t>
        </is>
      </c>
      <c r="Q70" t="n">
        <v>0.01194407407407409</v>
      </c>
      <c r="R70" t="n">
        <v>0.0197372222222222</v>
      </c>
      <c r="S70" t="n">
        <v>0.003727222222222215</v>
      </c>
      <c r="T70" t="n">
        <v>0.0007762962962962888</v>
      </c>
      <c r="U70" t="n">
        <v>0.0022862962962963</v>
      </c>
      <c r="V70" t="n">
        <v>0.008990528888889002</v>
      </c>
      <c r="W70" t="n">
        <v>0.008835352222221995</v>
      </c>
      <c r="X70" t="n">
        <v>-0.003105022407406996</v>
      </c>
      <c r="Y70" t="n">
        <v>0.003506684814815003</v>
      </c>
      <c r="Z70" t="n">
        <v>0.01888284366565701</v>
      </c>
      <c r="AA70" t="n">
        <v>0.007493252525743982</v>
      </c>
      <c r="AB70" t="n">
        <v>-0.01223242422121298</v>
      </c>
      <c r="AC70" t="n">
        <v>0.001862054279727993</v>
      </c>
      <c r="AD70" t="n">
        <v>0.01064330679936398</v>
      </c>
      <c r="AE70" t="n">
        <v>0.009446273435433999</v>
      </c>
      <c r="AF70" t="n">
        <v>0.00652336769546602</v>
      </c>
      <c r="AG70" t="n">
        <v>0.006848878542274006</v>
      </c>
      <c r="AH70" t="n">
        <v>0.006861814759630963</v>
      </c>
      <c r="AI70" t="n">
        <v>0.007238080121880042</v>
      </c>
      <c r="AJ70" t="n">
        <v>0.009552525824628982</v>
      </c>
      <c r="AK70" t="n">
        <v>0.008775661382692979</v>
      </c>
      <c r="AL70" t="n">
        <v>0.008210270057258023</v>
      </c>
      <c r="AM70" t="n">
        <v>0.007770890299955008</v>
      </c>
      <c r="AN70" t="n">
        <v>0.007625738944575994</v>
      </c>
      <c r="AO70" t="n">
        <v>0.007303803386164015</v>
      </c>
      <c r="AP70" t="n">
        <v>0.007212390222988974</v>
      </c>
      <c r="AQ70" t="n">
        <v>0.007365745428867004</v>
      </c>
      <c r="AR70" t="n">
        <v>0.007171398508230981</v>
      </c>
      <c r="AS70" t="n">
        <v>0.007975893101677012</v>
      </c>
      <c r="AT70" t="n">
        <v>0.009158279489675014</v>
      </c>
      <c r="AU70" t="n">
        <v>0.009481566755660031</v>
      </c>
      <c r="AV70" t="n">
        <v>0.009816266062133927</v>
      </c>
      <c r="AW70" t="n">
        <v>0.004993259103881043</v>
      </c>
    </row>
    <row r="71">
      <c r="A71" t="inlineStr">
        <is>
          <t>Dominica_2018_August</t>
        </is>
      </c>
      <c r="C71" t="inlineStr">
        <is>
          <t>SM.18.139</t>
        </is>
      </c>
      <c r="D71" t="inlineStr">
        <is>
          <t>Dominica</t>
        </is>
      </c>
      <c r="E71" t="inlineStr">
        <is>
          <t>DMA</t>
        </is>
      </c>
      <c r="F71" s="11" t="n">
        <v>43255</v>
      </c>
      <c r="G71" t="inlineStr">
        <is>
          <t>2013gn</t>
        </is>
      </c>
      <c r="H71" t="n">
        <v>2017</v>
      </c>
      <c r="I71" t="inlineStr">
        <is>
          <t>tot.grss.fin.prv.2gdp</t>
        </is>
      </c>
      <c r="M71" t="inlineStr">
        <is>
          <t>o/w covered by public sector</t>
        </is>
      </c>
      <c r="P71" t="inlineStr">
        <is>
          <t>...</t>
        </is>
      </c>
      <c r="Q71" t="n">
        <v>0.04490148222222211</v>
      </c>
      <c r="R71" t="n">
        <v>0.01506640148148151</v>
      </c>
      <c r="S71" t="n">
        <v>0.05317851518518519</v>
      </c>
      <c r="T71" t="n">
        <v>0.0825756174074076</v>
      </c>
      <c r="U71" t="n">
        <v>0.06367427703703729</v>
      </c>
      <c r="V71" t="n">
        <v>0.03722783111111099</v>
      </c>
      <c r="W71" t="n">
        <v>0.0411564249792595</v>
      </c>
      <c r="X71" t="n">
        <v>0.04734996568888079</v>
      </c>
      <c r="Y71" t="n">
        <v>0.037982349347188</v>
      </c>
      <c r="Z71" t="n">
        <v>0.02215725926111149</v>
      </c>
      <c r="AA71" t="n">
        <v>0.00125209827077242</v>
      </c>
      <c r="AB71" t="n">
        <v>-0.002113757063232819</v>
      </c>
      <c r="AC71" t="n">
        <v>0.0544676471572741</v>
      </c>
      <c r="AD71" t="n">
        <v>0.1330684963043048</v>
      </c>
      <c r="AE71" t="n">
        <v>0.1064566481937766</v>
      </c>
      <c r="AF71" t="n">
        <v>0.09955900110341979</v>
      </c>
      <c r="AG71" t="n">
        <v>0.111918120771449</v>
      </c>
      <c r="AH71" t="n">
        <v>0.08104760353992813</v>
      </c>
      <c r="AI71" t="n">
        <v>0.06963838859792254</v>
      </c>
      <c r="AJ71" t="n">
        <v>0.04223913915802595</v>
      </c>
      <c r="AK71" t="n">
        <v>0.04753043992816879</v>
      </c>
      <c r="AL71" t="n">
        <v>0.053115929324075</v>
      </c>
      <c r="AM71" t="n">
        <v>0.05563955257146855</v>
      </c>
      <c r="AN71" t="n">
        <v>0.05818748561755874</v>
      </c>
      <c r="AO71" t="n">
        <v>0.06126351070529562</v>
      </c>
      <c r="AP71" t="n">
        <v>0.06641130113656252</v>
      </c>
      <c r="AQ71" t="n">
        <v>0.06980279942942605</v>
      </c>
      <c r="AR71" t="n">
        <v>0.07423383309088896</v>
      </c>
      <c r="AS71" t="n">
        <v>0.07708389318603361</v>
      </c>
      <c r="AT71" t="n">
        <v>0.07908877576796484</v>
      </c>
      <c r="AU71" t="n">
        <v>0.07601115691225069</v>
      </c>
      <c r="AV71" t="n">
        <v>0.07268922213699673</v>
      </c>
      <c r="AW71" t="n">
        <v>0.07380731041942101</v>
      </c>
    </row>
    <row r="72">
      <c r="A72" t="inlineStr">
        <is>
          <t>Dominica_2018_August</t>
        </is>
      </c>
      <c r="C72" t="inlineStr">
        <is>
          <t>SM.18.139</t>
        </is>
      </c>
      <c r="D72" t="inlineStr">
        <is>
          <t>Dominica</t>
        </is>
      </c>
      <c r="E72" t="inlineStr">
        <is>
          <t>DMA</t>
        </is>
      </c>
      <c r="F72" s="11" t="n">
        <v>43255</v>
      </c>
      <c r="G72" t="inlineStr">
        <is>
          <t>2013gn</t>
        </is>
      </c>
      <c r="H72" t="n">
        <v>2017</v>
      </c>
      <c r="I72" t="inlineStr">
        <is>
          <t>tot.grss.fin.pub.2gdp</t>
        </is>
      </c>
      <c r="M72" t="inlineStr">
        <is>
          <t>Checkline for new disbursement to public sector</t>
        </is>
      </c>
      <c r="AC72" t="n">
        <v>0.006470006937018484</v>
      </c>
      <c r="AD72" t="n">
        <v>0.08980430119352228</v>
      </c>
      <c r="AE72" t="n">
        <v>0.05638248556947113</v>
      </c>
      <c r="AF72" t="n">
        <v>0.02139539518197014</v>
      </c>
      <c r="AG72" t="n">
        <v>0.04996689759972182</v>
      </c>
      <c r="AH72" t="n">
        <v>0.03896935569402824</v>
      </c>
      <c r="AI72" t="n">
        <v>0.03302334902957372</v>
      </c>
      <c r="AJ72" t="n">
        <v>0.007994816111479071</v>
      </c>
      <c r="AK72" t="n">
        <v>0.008479920733248582</v>
      </c>
      <c r="AL72" t="n">
        <v>0.01243932026267482</v>
      </c>
      <c r="AM72" t="n">
        <v>0.01443801737072779</v>
      </c>
      <c r="AN72" t="n">
        <v>0.01517422921801331</v>
      </c>
      <c r="AO72" t="n">
        <v>0.01762788352699292</v>
      </c>
      <c r="AP72" t="n">
        <v>0.01928981208640433</v>
      </c>
      <c r="AQ72" t="n">
        <v>0.01852112604016357</v>
      </c>
      <c r="AR72" t="n">
        <v>0.02122717198496397</v>
      </c>
      <c r="AS72" t="n">
        <v>0.02253282201074788</v>
      </c>
      <c r="AT72" t="n">
        <v>0.02276638594324804</v>
      </c>
      <c r="AU72" t="n">
        <v>0.01803915731637992</v>
      </c>
      <c r="AV72" t="n">
        <v>0.01297051598640968</v>
      </c>
      <c r="AW72" t="n">
        <v>0.01314945486156203</v>
      </c>
    </row>
    <row r="73">
      <c r="A73" t="inlineStr">
        <is>
          <t>Dominica_2018_August</t>
        </is>
      </c>
      <c r="C73" t="inlineStr">
        <is>
          <t>SM.18.139</t>
        </is>
      </c>
      <c r="D73" t="inlineStr">
        <is>
          <t>Dominica</t>
        </is>
      </c>
      <c r="E73" t="inlineStr">
        <is>
          <t>DMA</t>
        </is>
      </c>
      <c r="F73" s="11" t="n">
        <v>43255</v>
      </c>
      <c r="G73" t="inlineStr">
        <is>
          <t>2013gn</t>
        </is>
      </c>
      <c r="H73" t="n">
        <v>2017</v>
      </c>
      <c r="I73" t="inlineStr">
        <is>
          <t>fin.gap.rsdl</t>
        </is>
      </c>
    </row>
    <row r="74">
      <c r="A74" t="inlineStr">
        <is>
          <t>Dominica_2018_August</t>
        </is>
      </c>
      <c r="C74" t="inlineStr">
        <is>
          <t>SM.18.139</t>
        </is>
      </c>
      <c r="D74" t="inlineStr">
        <is>
          <t>Dominica</t>
        </is>
      </c>
      <c r="E74" t="inlineStr">
        <is>
          <t>DMA</t>
        </is>
      </c>
      <c r="F74" s="11" t="n">
        <v>43255</v>
      </c>
      <c r="G74" t="inlineStr">
        <is>
          <t>2013gn</t>
        </is>
      </c>
      <c r="H74" t="n">
        <v>2017</v>
      </c>
      <c r="M74" t="inlineStr">
        <is>
          <t>Public Sector</t>
        </is>
      </c>
    </row>
    <row r="75">
      <c r="A75" t="inlineStr">
        <is>
          <t>Dominica_2018_August</t>
        </is>
      </c>
      <c r="C75" t="inlineStr">
        <is>
          <t>SM.18.139</t>
        </is>
      </c>
      <c r="D75" t="inlineStr">
        <is>
          <t>Dominica</t>
        </is>
      </c>
      <c r="E75" t="inlineStr">
        <is>
          <t>DMA</t>
        </is>
      </c>
      <c r="F75" s="11" t="n">
        <v>43255</v>
      </c>
      <c r="G75" t="inlineStr">
        <is>
          <t>2013gn</t>
        </is>
      </c>
      <c r="H75" t="n">
        <v>2017</v>
      </c>
      <c r="K75" t="inlineStr">
        <is>
          <t>National Currency</t>
        </is>
      </c>
      <c r="L75" t="inlineStr">
        <is>
          <t>Billions</t>
        </is>
      </c>
      <c r="M75" t="inlineStr">
        <is>
          <t>Total public debt outstanding at year-end  (Gross)</t>
        </is>
      </c>
      <c r="P75" t="n">
        <v>0.850829443238919</v>
      </c>
      <c r="Q75" t="n">
        <v>0.8353268</v>
      </c>
      <c r="R75" t="n">
        <v>0.8476480505200003</v>
      </c>
      <c r="S75" t="n">
        <v>0.852150369240001</v>
      </c>
      <c r="T75" t="n">
        <v>0.8230193474800014</v>
      </c>
      <c r="U75" t="n">
        <v>0.8294125459200004</v>
      </c>
      <c r="V75" t="n">
        <v>0.8975408970900012</v>
      </c>
      <c r="W75" t="n">
        <v>0.9284837483800013</v>
      </c>
      <c r="X75" t="n">
        <v>0.97144</v>
      </c>
      <c r="Y75" t="n">
        <v>1.121611014627785</v>
      </c>
      <c r="Z75" t="n">
        <v>1.129937001967655</v>
      </c>
      <c r="AA75" t="n">
        <v>1.134534459508808</v>
      </c>
      <c r="AB75" t="n">
        <v>1.103080745051543</v>
      </c>
      <c r="AC75" t="n">
        <v>1.164197156057645</v>
      </c>
      <c r="AD75" t="n">
        <v>1.212712450729945</v>
      </c>
      <c r="AE75" t="n">
        <v>1.266029570610977</v>
      </c>
      <c r="AF75" t="n">
        <v>1.400447044896433</v>
      </c>
      <c r="AG75" t="n">
        <v>1.499302591630613</v>
      </c>
      <c r="AH75" t="n">
        <v>1.543298898006336</v>
      </c>
      <c r="AI75" t="n">
        <v>1.558894788056234</v>
      </c>
      <c r="AJ75" t="n">
        <v>1.563837118630365</v>
      </c>
      <c r="AK75" t="n">
        <v>1.57381283107411</v>
      </c>
      <c r="AL75" t="n">
        <v>1.579143281718396</v>
      </c>
      <c r="AM75" t="n">
        <v>1.584962246751173</v>
      </c>
      <c r="AN75" t="n">
        <v>1.594247562731838</v>
      </c>
      <c r="AO75" t="n">
        <v>1.603015901777438</v>
      </c>
      <c r="AP75" t="n">
        <v>1.613018296553171</v>
      </c>
      <c r="AQ75" t="n">
        <v>1.630473290918736</v>
      </c>
      <c r="AR75" t="n">
        <v>1.647042802015543</v>
      </c>
      <c r="AS75" t="n">
        <v>1.663589695154656</v>
      </c>
      <c r="AT75" t="n">
        <v>1.682241317268284</v>
      </c>
      <c r="AU75" t="n">
        <v>1.70302879454508</v>
      </c>
      <c r="AV75" t="n">
        <v>1.726314265054664</v>
      </c>
      <c r="AW75" t="n">
        <v>1.751249731566586</v>
      </c>
    </row>
    <row r="76">
      <c r="A76" t="inlineStr">
        <is>
          <t>Dominica_2018_August</t>
        </is>
      </c>
      <c r="C76" t="inlineStr">
        <is>
          <t>SM.18.139</t>
        </is>
      </c>
      <c r="D76" t="inlineStr">
        <is>
          <t>Dominica</t>
        </is>
      </c>
      <c r="E76" t="inlineStr">
        <is>
          <t>DMA</t>
        </is>
      </c>
      <c r="F76" s="11" t="n">
        <v>43255</v>
      </c>
      <c r="G76" t="inlineStr">
        <is>
          <t>2013gn</t>
        </is>
      </c>
      <c r="H76" t="n">
        <v>2017</v>
      </c>
      <c r="M76" t="inlineStr">
        <is>
          <t>OLD</t>
        </is>
      </c>
      <c r="P76" t="n">
        <v>0.9104399999999999</v>
      </c>
      <c r="Q76" t="n">
        <v>0.8508294432389176</v>
      </c>
      <c r="R76" t="n">
        <v>0.8353268</v>
      </c>
      <c r="S76" t="n">
        <v>0.8476480505200001</v>
      </c>
      <c r="T76" t="n">
        <v>0.8521503692400001</v>
      </c>
      <c r="U76" t="n">
        <v>0.8230193474800001</v>
      </c>
      <c r="V76" t="n">
        <v>0.8294125459199999</v>
      </c>
      <c r="W76" t="n">
        <v>0.89754089709</v>
      </c>
      <c r="X76" t="n">
        <v>0.92848374838</v>
      </c>
      <c r="Y76" t="n">
        <v>0.97144</v>
      </c>
      <c r="Z76" t="n">
        <v>1.0401</v>
      </c>
      <c r="AA76" t="n">
        <v>1.159551767477654</v>
      </c>
      <c r="AB76" t="n">
        <v>1.15943440666301</v>
      </c>
      <c r="AC76" t="n">
        <v>1.223402133889511</v>
      </c>
      <c r="AD76" t="n">
        <v>1.272789987913246</v>
      </c>
      <c r="AE76" t="n">
        <v>1.303358862669154</v>
      </c>
      <c r="AF76" t="n">
        <v>1.329185249940377</v>
      </c>
      <c r="AG76" t="n">
        <v>1.34347070716974</v>
      </c>
      <c r="AH76" t="n">
        <v>1.358582625959092</v>
      </c>
      <c r="AI76" t="n">
        <v>1.374475267194781</v>
      </c>
      <c r="AJ76" t="n">
        <v>1.39123333678674</v>
      </c>
      <c r="AK76" t="n">
        <v>1.409057093358355</v>
      </c>
      <c r="AL76" t="n">
        <v>1.428152655866662</v>
      </c>
      <c r="AM76" t="n">
        <v>1.448203848258755</v>
      </c>
      <c r="AN76" t="n">
        <v>1.475169201269948</v>
      </c>
      <c r="AO76" t="n">
        <v>1.505085434253735</v>
      </c>
      <c r="AP76" t="n">
        <v>1.536850909404173</v>
      </c>
      <c r="AQ76" t="n">
        <v>1.570552392278842</v>
      </c>
      <c r="AR76" t="n">
        <v>1.606339190402797</v>
      </c>
      <c r="AS76" t="n">
        <v>1.643817293077322</v>
      </c>
      <c r="AT76" t="n">
        <v>1.684677578221509</v>
      </c>
      <c r="AU76" t="n">
        <v>1.684516654063453</v>
      </c>
      <c r="AV76" t="n">
        <v>1.64320532117963</v>
      </c>
    </row>
    <row r="77">
      <c r="A77" t="inlineStr">
        <is>
          <t>Dominica_2018_August</t>
        </is>
      </c>
      <c r="C77" t="inlineStr">
        <is>
          <t>SM.18.139</t>
        </is>
      </c>
      <c r="D77" t="inlineStr">
        <is>
          <t>Dominica</t>
        </is>
      </c>
      <c r="E77" t="inlineStr">
        <is>
          <t>DMA</t>
        </is>
      </c>
      <c r="F77" s="11" t="n">
        <v>43255</v>
      </c>
      <c r="G77" t="inlineStr">
        <is>
          <t>2013gn</t>
        </is>
      </c>
      <c r="H77" t="n">
        <v>2017</v>
      </c>
      <c r="K77" t="inlineStr">
        <is>
          <t>National Currency</t>
        </is>
      </c>
      <c r="L77" t="inlineStr">
        <is>
          <t>Billions</t>
        </is>
      </c>
      <c r="M77" t="inlineStr">
        <is>
          <t>Total public external debt</t>
        </is>
      </c>
      <c r="P77" t="n">
        <v>0.591216191594919</v>
      </c>
      <c r="Q77" t="n">
        <v>0.5727268</v>
      </c>
      <c r="R77" t="n">
        <v>0.6012115000000002</v>
      </c>
      <c r="S77" t="n">
        <v>0.605671100000001</v>
      </c>
      <c r="T77" t="n">
        <v>0.5779094000000013</v>
      </c>
      <c r="U77" t="n">
        <v>0.5808587000000004</v>
      </c>
      <c r="V77" t="n">
        <v>0.6581405862700012</v>
      </c>
      <c r="W77" t="n">
        <v>0.6604770485500012</v>
      </c>
      <c r="X77" t="n">
        <v>0.7087866823</v>
      </c>
      <c r="Y77" t="n">
        <v>0.8621027407277848</v>
      </c>
      <c r="Z77" t="n">
        <v>0.8753949827776548</v>
      </c>
      <c r="AA77" t="n">
        <v>0.8761472255929977</v>
      </c>
      <c r="AB77" t="n">
        <v>0.8408754878515434</v>
      </c>
      <c r="AC77" t="n">
        <v>0.9288017725663279</v>
      </c>
      <c r="AD77" t="n">
        <v>0.9834876159855351</v>
      </c>
      <c r="AE77" t="n">
        <v>1.034718556672291</v>
      </c>
      <c r="AF77" t="n">
        <v>1.184980096903214</v>
      </c>
      <c r="AG77" t="n">
        <v>1.293404311319825</v>
      </c>
      <c r="AH77" t="n">
        <v>1.340778423594945</v>
      </c>
      <c r="AI77" t="n">
        <v>1.366537169479314</v>
      </c>
      <c r="AJ77" t="n">
        <v>1.377995276418694</v>
      </c>
      <c r="AK77" t="n">
        <v>1.394640046701954</v>
      </c>
      <c r="AL77" t="n">
        <v>1.406726069818323</v>
      </c>
      <c r="AM77" t="n">
        <v>1.419456543425568</v>
      </c>
      <c r="AN77" t="n">
        <v>1.435788763703938</v>
      </c>
      <c r="AO77" t="n">
        <v>1.451776805414485</v>
      </c>
      <c r="AP77" t="n">
        <v>1.469213806968955</v>
      </c>
      <c r="AQ77" t="n">
        <v>1.49432417335096</v>
      </c>
      <c r="AR77" t="n">
        <v>1.51886769074128</v>
      </c>
      <c r="AS77" t="n">
        <v>1.54421651980234</v>
      </c>
      <c r="AT77" t="n">
        <v>1.571265566147799</v>
      </c>
      <c r="AU77" t="n">
        <v>1.600772531258885</v>
      </c>
      <c r="AV77" t="n">
        <v>1.633068391515207</v>
      </c>
      <c r="AW77" t="n">
        <v>1.667320461936286</v>
      </c>
    </row>
    <row r="78">
      <c r="A78" t="inlineStr">
        <is>
          <t>Dominica_2018_August</t>
        </is>
      </c>
      <c r="C78" t="inlineStr">
        <is>
          <t>SM.18.139</t>
        </is>
      </c>
      <c r="D78" t="inlineStr">
        <is>
          <t>Dominica</t>
        </is>
      </c>
      <c r="E78" t="inlineStr">
        <is>
          <t>DMA</t>
        </is>
      </c>
      <c r="F78" s="11" t="n">
        <v>43255</v>
      </c>
      <c r="G78" t="inlineStr">
        <is>
          <t>2013gn</t>
        </is>
      </c>
      <c r="H78" t="n">
        <v>2017</v>
      </c>
      <c r="I78" t="inlineStr">
        <is>
          <t>dod.pub.dbt.eoy</t>
        </is>
      </c>
      <c r="K78" t="inlineStr">
        <is>
          <t>National Currency</t>
        </is>
      </c>
      <c r="L78" t="inlineStr">
        <is>
          <t>Billions</t>
        </is>
      </c>
      <c r="M78" t="inlineStr">
        <is>
          <t>Foreign-currency denominated public debt (end of period)</t>
        </is>
      </c>
      <c r="P78" t="n">
        <v>0.591216191594919</v>
      </c>
      <c r="Q78" t="n">
        <v>0.5727268</v>
      </c>
      <c r="R78" t="n">
        <v>0.6012115000000002</v>
      </c>
      <c r="S78" t="n">
        <v>0.605671100000001</v>
      </c>
      <c r="T78" t="n">
        <v>0.5779094000000013</v>
      </c>
      <c r="U78" t="n">
        <v>0.5808587000000004</v>
      </c>
      <c r="V78" t="n">
        <v>0.6581405862700012</v>
      </c>
      <c r="W78" t="n">
        <v>0.6604770485500012</v>
      </c>
      <c r="X78" t="n">
        <v>0.7087866823</v>
      </c>
      <c r="Y78" t="n">
        <v>0.8621027407277848</v>
      </c>
      <c r="Z78" t="n">
        <v>0.8753949827776548</v>
      </c>
      <c r="AA78" t="n">
        <v>0.8761472255929977</v>
      </c>
      <c r="AB78" t="n">
        <v>0.8408754878515434</v>
      </c>
      <c r="AC78" t="n">
        <v>0.9288017725663279</v>
      </c>
      <c r="AD78" t="n">
        <v>0.9834876159855351</v>
      </c>
      <c r="AE78" t="n">
        <v>1.034718556672291</v>
      </c>
      <c r="AF78" t="n">
        <v>1.184980096903214</v>
      </c>
      <c r="AG78" t="n">
        <v>1.293404311319825</v>
      </c>
      <c r="AH78" t="n">
        <v>1.340778423594945</v>
      </c>
      <c r="AI78" t="n">
        <v>1.366537169479314</v>
      </c>
      <c r="AJ78" t="n">
        <v>1.377995276418694</v>
      </c>
      <c r="AK78" t="n">
        <v>1.394640046701954</v>
      </c>
      <c r="AL78" t="n">
        <v>1.406726069818323</v>
      </c>
      <c r="AM78" t="n">
        <v>1.419456543425568</v>
      </c>
      <c r="AN78" t="n">
        <v>1.435788763703938</v>
      </c>
      <c r="AO78" t="n">
        <v>1.451776805414485</v>
      </c>
      <c r="AP78" t="n">
        <v>1.469213806968955</v>
      </c>
      <c r="AQ78" t="n">
        <v>1.49432417335096</v>
      </c>
      <c r="AR78" t="n">
        <v>1.51886769074128</v>
      </c>
      <c r="AS78" t="n">
        <v>1.54421651980234</v>
      </c>
      <c r="AT78" t="n">
        <v>1.571265566147799</v>
      </c>
      <c r="AU78" t="n">
        <v>1.600772531258885</v>
      </c>
      <c r="AV78" t="n">
        <v>1.633068391515207</v>
      </c>
      <c r="AW78" t="n">
        <v>1.667320461936286</v>
      </c>
    </row>
    <row r="79">
      <c r="A79" t="inlineStr">
        <is>
          <t>Dominica_2018_August</t>
        </is>
      </c>
      <c r="C79" t="inlineStr">
        <is>
          <t>SM.18.139</t>
        </is>
      </c>
      <c r="D79" t="inlineStr">
        <is>
          <t>Dominica</t>
        </is>
      </c>
      <c r="E79" t="inlineStr">
        <is>
          <t>DMA</t>
        </is>
      </c>
      <c r="F79" s="11" t="n">
        <v>43255</v>
      </c>
      <c r="G79" t="inlineStr">
        <is>
          <t>2013gn</t>
        </is>
      </c>
      <c r="H79" t="n">
        <v>2017</v>
      </c>
      <c r="I79" t="inlineStr">
        <is>
          <t>dod.pub.ext</t>
        </is>
      </c>
      <c r="M79" t="inlineStr">
        <is>
          <t>Share of foreign-currency denominated Public debt in total Public debt (previous period)</t>
        </is>
      </c>
      <c r="Q79" t="n">
        <v>0.6948703953453822</v>
      </c>
      <c r="R79" t="n">
        <v>0.6856320185105996</v>
      </c>
      <c r="S79" t="n">
        <v>0.7092701972607376</v>
      </c>
      <c r="T79" t="n">
        <v>0.7107561316204967</v>
      </c>
      <c r="U79" t="n">
        <v>0.7021820346866682</v>
      </c>
      <c r="V79" t="n">
        <v>0.7003254325695071</v>
      </c>
      <c r="W79" t="n">
        <v>0.7332708608641885</v>
      </c>
      <c r="X79" t="n">
        <v>0.711350144471982</v>
      </c>
      <c r="Y79" t="n">
        <v>0.7296247656056988</v>
      </c>
      <c r="Z79" t="n">
        <v>0.7686289894486104</v>
      </c>
      <c r="AA79" t="n">
        <v>0.7747290169746238</v>
      </c>
      <c r="AB79" t="n">
        <v>0.7722526347699674</v>
      </c>
      <c r="AC79" t="n">
        <v>0.7622973128882347</v>
      </c>
      <c r="AD79" t="n">
        <v>0.7978045365714143</v>
      </c>
      <c r="AE79" t="n">
        <v>0.8109817091376962</v>
      </c>
      <c r="AF79" t="n">
        <v>0.8172941459597528</v>
      </c>
      <c r="AG79" t="n">
        <v>0.8461441660515243</v>
      </c>
      <c r="AH79" t="n">
        <v>0.862670630024819</v>
      </c>
      <c r="AI79" t="n">
        <v>0.8687743024549484</v>
      </c>
      <c r="AJ79" t="n">
        <v>0.8766064136908378</v>
      </c>
      <c r="AK79" t="n">
        <v>0.8811629165226399</v>
      </c>
      <c r="AL79" t="n">
        <v>0.8861536894130717</v>
      </c>
      <c r="AM79" t="n">
        <v>0.8908159798441775</v>
      </c>
      <c r="AN79" t="n">
        <v>0.895577510653736</v>
      </c>
      <c r="AO79" t="n">
        <v>0.9006059016603598</v>
      </c>
      <c r="AP79" t="n">
        <v>0.9056534023179321</v>
      </c>
      <c r="AQ79" t="n">
        <v>0.9108475769360402</v>
      </c>
      <c r="AR79" t="n">
        <v>0.9164971800972834</v>
      </c>
      <c r="AS79" t="n">
        <v>0.92217863973091</v>
      </c>
      <c r="AT79" t="n">
        <v>0.9282436193852365</v>
      </c>
      <c r="AU79" t="n">
        <v>0.9340310156567231</v>
      </c>
      <c r="AV79" t="n">
        <v>0.9399562334977959</v>
      </c>
      <c r="AW79" t="n">
        <v>0.9459855743377615</v>
      </c>
    </row>
    <row r="80">
      <c r="A80" t="inlineStr">
        <is>
          <t>Dominica_2018_August</t>
        </is>
      </c>
      <c r="C80" t="inlineStr">
        <is>
          <t>SM.18.139</t>
        </is>
      </c>
      <c r="D80" t="inlineStr">
        <is>
          <t>Dominica</t>
        </is>
      </c>
      <c r="E80" t="inlineStr">
        <is>
          <t>DMA</t>
        </is>
      </c>
      <c r="F80" s="11" t="n">
        <v>43255</v>
      </c>
      <c r="G80" t="inlineStr">
        <is>
          <t>2013gn</t>
        </is>
      </c>
      <c r="H80" t="n">
        <v>2017</v>
      </c>
      <c r="I80" t="inlineStr">
        <is>
          <t>dod.pub.dom</t>
        </is>
      </c>
      <c r="M80" t="inlineStr">
        <is>
          <t>Interest rate on forex debt</t>
        </is>
      </c>
      <c r="P80" t="inlineStr">
        <is>
          <t>...</t>
        </is>
      </c>
      <c r="Q80" t="n">
        <v>4.604296638876773</v>
      </c>
      <c r="R80" t="n">
        <v>3.047162029086122</v>
      </c>
      <c r="S80" t="n">
        <v>2.588786580946068</v>
      </c>
      <c r="T80" t="n">
        <v>2.127474796139354</v>
      </c>
      <c r="U80" t="n">
        <v>3.050512762035009</v>
      </c>
      <c r="V80" t="n">
        <v>2.004132726255111</v>
      </c>
      <c r="W80" t="n">
        <v>1.779477097192027</v>
      </c>
      <c r="X80" t="n">
        <v>6.198482220780053</v>
      </c>
      <c r="Y80" t="n">
        <v>2.441723635680936</v>
      </c>
      <c r="Z80" t="n">
        <v>2.260988455775169</v>
      </c>
      <c r="AA80" t="n">
        <v>1.972884695590569</v>
      </c>
      <c r="AB80" t="n">
        <v>2.337730022103619</v>
      </c>
      <c r="AC80" t="n">
        <v>1.593629446370948</v>
      </c>
      <c r="AD80" t="n">
        <v>2.456137727243964</v>
      </c>
      <c r="AE80" t="n">
        <v>2.681570950361356</v>
      </c>
      <c r="AF80" t="n">
        <v>2.849788092897467</v>
      </c>
      <c r="AG80" t="n">
        <v>2.946259925110551</v>
      </c>
      <c r="AH80" t="n">
        <v>2.973507535797854</v>
      </c>
      <c r="AI80" t="n">
        <v>3.01376834463101</v>
      </c>
      <c r="AJ80" t="n">
        <v>3.039033265992355</v>
      </c>
      <c r="AK80" t="n">
        <v>3.087206051366365</v>
      </c>
      <c r="AL80" t="n">
        <v>3.115635013612727</v>
      </c>
      <c r="AM80" t="n">
        <v>3.144316064347667</v>
      </c>
      <c r="AN80" t="n">
        <v>2.968942253343075</v>
      </c>
      <c r="AO80" t="n">
        <v>3.243367980167086</v>
      </c>
      <c r="AP80" t="n">
        <v>3.257866642368008</v>
      </c>
      <c r="AQ80" t="n">
        <v>3.270173339282642</v>
      </c>
      <c r="AR80" t="n">
        <v>3.26546878390333</v>
      </c>
      <c r="AS80" t="n">
        <v>3.225175286186278</v>
      </c>
      <c r="AT80" t="n">
        <v>3.230998931632602</v>
      </c>
      <c r="AU80" t="n">
        <v>3.238769314563555</v>
      </c>
      <c r="AV80" t="n">
        <v>3.247603103379512</v>
      </c>
      <c r="AW80" t="n">
        <v>3.255252344881869</v>
      </c>
    </row>
    <row r="81">
      <c r="A81" t="inlineStr">
        <is>
          <t>Dominica_2018_August</t>
        </is>
      </c>
      <c r="C81" t="inlineStr">
        <is>
          <t>SM.18.139</t>
        </is>
      </c>
      <c r="D81" t="inlineStr">
        <is>
          <t>Dominica</t>
        </is>
      </c>
      <c r="E81" t="inlineStr">
        <is>
          <t>DMA</t>
        </is>
      </c>
      <c r="F81" s="11" t="n">
        <v>43255</v>
      </c>
      <c r="G81" t="inlineStr">
        <is>
          <t>2013gn</t>
        </is>
      </c>
      <c r="H81" t="n">
        <v>2017</v>
      </c>
      <c r="I81" t="inlineStr">
        <is>
          <t>dod.fgn.cur</t>
        </is>
      </c>
      <c r="M81" t="inlineStr">
        <is>
          <t>Interest rate on domestic debt</t>
        </is>
      </c>
      <c r="Q81" t="n">
        <v>8.676057854599501</v>
      </c>
      <c r="R81" t="n">
        <v>3.481027738004568</v>
      </c>
      <c r="S81" t="n">
        <v>5.434276588331462</v>
      </c>
      <c r="T81" t="n">
        <v>3.031360281551598</v>
      </c>
      <c r="U81" t="n">
        <v>3.997467312418846</v>
      </c>
      <c r="V81" t="n">
        <v>2.963502613582898</v>
      </c>
      <c r="W81" t="n">
        <v>5.936386081255128</v>
      </c>
      <c r="X81" t="n">
        <v>4.782993487898279</v>
      </c>
      <c r="Y81" t="n">
        <v>6.002662135799852</v>
      </c>
      <c r="Z81" t="n">
        <v>4.449915120798775</v>
      </c>
      <c r="AA81" t="n">
        <v>3.45430950771111</v>
      </c>
      <c r="AB81" t="n">
        <v>4.125979359906639</v>
      </c>
      <c r="AC81" t="n">
        <v>4.827762436195037</v>
      </c>
      <c r="AD81" t="n">
        <v>6.26855709840737</v>
      </c>
      <c r="AE81" t="n">
        <v>7.390439840653322</v>
      </c>
      <c r="AF81" t="n">
        <v>7.86035616054537</v>
      </c>
      <c r="AG81" t="n">
        <v>7.593362076928896</v>
      </c>
      <c r="AH81" t="n">
        <v>7.376816522992296</v>
      </c>
      <c r="AI81" t="n">
        <v>7.414314853955982</v>
      </c>
      <c r="AJ81" t="n">
        <v>7.535078534457153</v>
      </c>
      <c r="AK81" t="n">
        <v>7.619453222430347</v>
      </c>
      <c r="AL81" t="n">
        <v>7.71216776133621</v>
      </c>
      <c r="AM81" t="n">
        <v>7.813397566284854</v>
      </c>
      <c r="AN81" t="n">
        <v>7.92551629697962</v>
      </c>
      <c r="AO81" t="n">
        <v>8.049901280429156</v>
      </c>
      <c r="AP81" t="n">
        <v>8.189357465817606</v>
      </c>
      <c r="AQ81" t="n">
        <v>8.347598964706224</v>
      </c>
      <c r="AR81" t="n">
        <v>8.528598695071189</v>
      </c>
      <c r="AS81" t="n">
        <v>8.740121376605545</v>
      </c>
      <c r="AT81" t="n">
        <v>9.00641861123241</v>
      </c>
      <c r="AU81" t="n">
        <v>9.29985242480428</v>
      </c>
      <c r="AV81" t="n">
        <v>9.655542598833392</v>
      </c>
      <c r="AW81" t="n">
        <v>10.0929870782638</v>
      </c>
    </row>
    <row r="82">
      <c r="A82" t="inlineStr">
        <is>
          <t>Dominica_2018_August</t>
        </is>
      </c>
      <c r="C82" t="inlineStr">
        <is>
          <t>SM.18.139</t>
        </is>
      </c>
      <c r="D82" t="inlineStr">
        <is>
          <t>Dominica</t>
        </is>
      </c>
      <c r="E82" t="inlineStr">
        <is>
          <t>DMA</t>
        </is>
      </c>
      <c r="F82" s="11" t="n">
        <v>43255</v>
      </c>
      <c r="G82" t="inlineStr">
        <is>
          <t>2013gn</t>
        </is>
      </c>
      <c r="H82" t="n">
        <v>2017</v>
      </c>
      <c r="I82" t="inlineStr">
        <is>
          <t>dod.dom.cur.shr</t>
        </is>
      </c>
      <c r="M82" t="inlineStr">
        <is>
          <t>Average Maturity (MLT Debt/Amortization)</t>
        </is>
      </c>
      <c r="P82" t="inlineStr">
        <is>
          <t>…</t>
        </is>
      </c>
      <c r="Q82" t="inlineStr">
        <is>
          <t>…</t>
        </is>
      </c>
      <c r="R82" t="n">
        <v>23.79358589509187</v>
      </c>
      <c r="S82" t="n">
        <v>26.53203963365491</v>
      </c>
      <c r="T82" t="n">
        <v>22.22412318264401</v>
      </c>
      <c r="U82" t="n">
        <v>17.43756002633924</v>
      </c>
      <c r="V82" t="n">
        <v>21.49746721520187</v>
      </c>
      <c r="W82" t="n">
        <v>13.37885096360707</v>
      </c>
      <c r="X82" t="n">
        <v>15.48349534245162</v>
      </c>
      <c r="Y82" t="n">
        <v>20.19873206715946</v>
      </c>
      <c r="Z82" t="n">
        <v>20.3176673680872</v>
      </c>
      <c r="AA82" t="n">
        <v>18.15828526779305</v>
      </c>
      <c r="AB82" t="n">
        <v>17.39284776143764</v>
      </c>
      <c r="AC82" t="n">
        <v>14.73509806002541</v>
      </c>
      <c r="AD82" t="n">
        <v>14.69040535660507</v>
      </c>
      <c r="AE82" t="n">
        <v>8.857498946997231</v>
      </c>
      <c r="AF82" t="n">
        <v>14.28108054625747</v>
      </c>
      <c r="AG82" t="n">
        <v>15.69650201550881</v>
      </c>
      <c r="AH82" t="n">
        <v>14.50104769270333</v>
      </c>
      <c r="AI82" t="n">
        <v>13.19275704578222</v>
      </c>
      <c r="AJ82" t="n">
        <v>12.53089726253763</v>
      </c>
      <c r="AK82" t="n">
        <v>11.79729172429137</v>
      </c>
      <c r="AL82" t="n">
        <v>10.69662755340178</v>
      </c>
      <c r="AM82" t="n">
        <v>10.32610254255692</v>
      </c>
      <c r="AN82" t="n">
        <v>10.09703372413383</v>
      </c>
      <c r="AO82" t="n">
        <v>9.663065799871323</v>
      </c>
      <c r="AP82" t="n">
        <v>9.208918586684593</v>
      </c>
      <c r="AQ82" t="n">
        <v>8.88800119731776</v>
      </c>
      <c r="AR82" t="n">
        <v>8.495940654069974</v>
      </c>
      <c r="AS82" t="n">
        <v>8.212077105332721</v>
      </c>
      <c r="AT82" t="n">
        <v>7.971302285854968</v>
      </c>
      <c r="AU82" t="n">
        <v>7.772357605997202</v>
      </c>
      <c r="AV82" t="n">
        <v>7.57133930657048</v>
      </c>
      <c r="AW82" t="n">
        <v>7.42499536056329</v>
      </c>
    </row>
    <row r="83">
      <c r="A83" t="inlineStr">
        <is>
          <t>Dominica_2018_August</t>
        </is>
      </c>
      <c r="C83" t="inlineStr">
        <is>
          <t>SM.18.139</t>
        </is>
      </c>
      <c r="D83" t="inlineStr">
        <is>
          <t>Dominica</t>
        </is>
      </c>
      <c r="E83" t="inlineStr">
        <is>
          <t>DMA</t>
        </is>
      </c>
      <c r="F83" s="11" t="n">
        <v>43255</v>
      </c>
      <c r="G83" t="inlineStr">
        <is>
          <t>2013gn</t>
        </is>
      </c>
      <c r="H83" t="n">
        <v>2017</v>
      </c>
      <c r="I83" t="inlineStr">
        <is>
          <t>int.rat.ext.dbt</t>
        </is>
      </c>
      <c r="K83" t="inlineStr">
        <is>
          <t>US Dollars</t>
        </is>
      </c>
      <c r="L83" t="inlineStr">
        <is>
          <t>Billions</t>
        </is>
      </c>
      <c r="M83" t="inlineStr">
        <is>
          <t>Total short-term external debt (public +private)</t>
        </is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</row>
    <row r="84">
      <c r="A84" t="inlineStr">
        <is>
          <t>Dominica_2018_August</t>
        </is>
      </c>
      <c r="C84" t="inlineStr">
        <is>
          <t>SM.18.139</t>
        </is>
      </c>
      <c r="D84" t="inlineStr">
        <is>
          <t>Dominica</t>
        </is>
      </c>
      <c r="E84" t="inlineStr">
        <is>
          <t>DMA</t>
        </is>
      </c>
      <c r="F84" s="11" t="n">
        <v>43255</v>
      </c>
      <c r="G84" t="inlineStr">
        <is>
          <t>2013gn</t>
        </is>
      </c>
      <c r="H84" t="n">
        <v>2017</v>
      </c>
      <c r="I84" t="inlineStr">
        <is>
          <t>int.rat.dom.dbt</t>
        </is>
      </c>
      <c r="M84" t="inlineStr">
        <is>
          <t>PV of public sector external debt (from BOP; expressed in local currency; end of period)</t>
        </is>
      </c>
      <c r="AB84" t="n">
        <v>0.6616755284634603</v>
      </c>
      <c r="AC84" t="n">
        <v>0.7481412738437337</v>
      </c>
      <c r="AD84" t="n">
        <v>0.7955254372715611</v>
      </c>
      <c r="AE84" t="n">
        <v>0.8364899285652703</v>
      </c>
      <c r="AF84" t="n">
        <v>0.9690339405774986</v>
      </c>
      <c r="AG84" t="n">
        <v>1.06398338938333</v>
      </c>
      <c r="AH84" t="n">
        <v>1.109068672897171</v>
      </c>
      <c r="AI84" t="n">
        <v>1.135284801445209</v>
      </c>
      <c r="AJ84" t="n">
        <v>1.14875738053773</v>
      </c>
      <c r="AK84" t="n">
        <v>1.165235371424575</v>
      </c>
      <c r="AL84" t="n">
        <v>1.175521626207705</v>
      </c>
      <c r="AM84" t="n">
        <v>1.18608802335223</v>
      </c>
      <c r="AN84" t="n">
        <v>1.20199003875001</v>
      </c>
      <c r="AO84" t="n">
        <v>1.213166720573607</v>
      </c>
      <c r="AP84" t="n">
        <v>1.22383211113984</v>
      </c>
      <c r="AQ84" t="n">
        <v>1.239901850980437</v>
      </c>
      <c r="AR84" t="n">
        <v>1.254605421620191</v>
      </c>
      <c r="AS84" t="n">
        <v>1.269977480322847</v>
      </c>
      <c r="AT84" t="n">
        <v>1.286177208832251</v>
      </c>
      <c r="AU84" t="n">
        <v>1.303997473424015</v>
      </c>
      <c r="AV84" t="n">
        <v>1.323705728133842</v>
      </c>
      <c r="AW84" t="n">
        <v>1.344936909744853</v>
      </c>
    </row>
    <row r="85">
      <c r="A85" t="inlineStr">
        <is>
          <t>Dominica_2018_August</t>
        </is>
      </c>
      <c r="C85" t="inlineStr">
        <is>
          <t>SM.18.139</t>
        </is>
      </c>
      <c r="D85" t="inlineStr">
        <is>
          <t>Dominica</t>
        </is>
      </c>
      <c r="E85" t="inlineStr">
        <is>
          <t>DMA</t>
        </is>
      </c>
      <c r="F85" s="11" t="n">
        <v>43255</v>
      </c>
      <c r="G85" t="inlineStr">
        <is>
          <t>2013gn</t>
        </is>
      </c>
      <c r="H85" t="n">
        <v>2017</v>
      </c>
      <c r="I85" t="inlineStr">
        <is>
          <t>avg.mat</t>
        </is>
      </c>
      <c r="M85" t="inlineStr">
        <is>
          <t>Grant element of new public external borrowing (in percent; if available)</t>
        </is>
      </c>
      <c r="AC85" t="n">
        <v>17.99194607496393</v>
      </c>
      <c r="AD85" t="n">
        <v>18.74451617486202</v>
      </c>
      <c r="AE85" t="n">
        <v>17.50721981413448</v>
      </c>
      <c r="AF85" t="n">
        <v>14.24113495049689</v>
      </c>
      <c r="AG85" t="n">
        <v>16.15002275387937</v>
      </c>
      <c r="AH85" t="n">
        <v>14.98841064564498</v>
      </c>
      <c r="AI85" t="n">
        <v>14.75622671794486</v>
      </c>
      <c r="AJ85" t="n">
        <v>14.29839456301089</v>
      </c>
      <c r="AK85" t="n">
        <v>14.28642726918808</v>
      </c>
      <c r="AL85" t="n">
        <v>15.12348221998809</v>
      </c>
      <c r="AM85" t="n">
        <v>15.019436728228</v>
      </c>
      <c r="AN85" t="n">
        <v>15.1475790687929</v>
      </c>
      <c r="AO85" t="n">
        <v>15.56912362654328</v>
      </c>
      <c r="AP85" t="n">
        <v>15.82434017504999</v>
      </c>
      <c r="AQ85" t="n">
        <v>16.02362477196863</v>
      </c>
      <c r="AR85" t="n">
        <v>16.09745266518751</v>
      </c>
      <c r="AS85" t="n">
        <v>16.10512289757816</v>
      </c>
      <c r="AT85" t="n">
        <v>16.08108096540975</v>
      </c>
      <c r="AU85" t="n">
        <v>16.03960413153003</v>
      </c>
      <c r="AV85" t="n">
        <v>16.00140148246836</v>
      </c>
      <c r="AW85" t="n">
        <v>15.90321213773809</v>
      </c>
    </row>
    <row r="86">
      <c r="A86" t="inlineStr">
        <is>
          <t>Dominica_2018_August</t>
        </is>
      </c>
      <c r="C86" t="inlineStr">
        <is>
          <t>SM.18.139</t>
        </is>
      </c>
      <c r="D86" t="inlineStr">
        <is>
          <t>Dominica</t>
        </is>
      </c>
      <c r="E86" t="inlineStr">
        <is>
          <t>DMA</t>
        </is>
      </c>
      <c r="F86" s="11" t="n">
        <v>43255</v>
      </c>
      <c r="G86" t="inlineStr">
        <is>
          <t>2013gn</t>
        </is>
      </c>
      <c r="H86" t="n">
        <v>2017</v>
      </c>
      <c r="I86" t="inlineStr">
        <is>
          <t>dod.dbt.sht.trm.all</t>
        </is>
      </c>
      <c r="M86" t="inlineStr">
        <is>
          <t>PV of contingent liabilities (if available)</t>
        </is>
      </c>
    </row>
    <row r="87">
      <c r="A87" t="inlineStr">
        <is>
          <t>Dominica_2018_August</t>
        </is>
      </c>
      <c r="C87" t="inlineStr">
        <is>
          <t>SM.18.139</t>
        </is>
      </c>
      <c r="D87" t="inlineStr">
        <is>
          <t>Dominica</t>
        </is>
      </c>
      <c r="E87" t="inlineStr">
        <is>
          <t>DMA</t>
        </is>
      </c>
      <c r="F87" s="11" t="n">
        <v>43255</v>
      </c>
      <c r="G87" t="inlineStr">
        <is>
          <t>2013gn</t>
        </is>
      </c>
      <c r="H87" t="n">
        <v>2017</v>
      </c>
      <c r="I87" t="inlineStr">
        <is>
          <t>new.dis.ext.grt.lmt</t>
        </is>
      </c>
      <c r="M87" t="inlineStr">
        <is>
          <t>PV of public sector foreign currency-denominated debt (end of period)</t>
        </is>
      </c>
      <c r="P87" t="inlineStr">
        <is>
          <t>…</t>
        </is>
      </c>
      <c r="Q87" t="inlineStr">
        <is>
          <t>…</t>
        </is>
      </c>
      <c r="R87" t="inlineStr">
        <is>
          <t>…</t>
        </is>
      </c>
      <c r="S87" t="inlineStr">
        <is>
          <t>…</t>
        </is>
      </c>
      <c r="T87" t="inlineStr">
        <is>
          <t>…</t>
        </is>
      </c>
      <c r="U87" t="inlineStr">
        <is>
          <t>…</t>
        </is>
      </c>
      <c r="V87" t="inlineStr">
        <is>
          <t>…</t>
        </is>
      </c>
      <c r="W87" t="inlineStr">
        <is>
          <t>…</t>
        </is>
      </c>
      <c r="X87" t="inlineStr">
        <is>
          <t>…</t>
        </is>
      </c>
      <c r="Y87" t="inlineStr">
        <is>
          <t>…</t>
        </is>
      </c>
      <c r="Z87" t="inlineStr">
        <is>
          <t>…</t>
        </is>
      </c>
      <c r="AA87" t="inlineStr">
        <is>
          <t>…</t>
        </is>
      </c>
      <c r="AB87" t="n">
        <v>0.6616755284634603</v>
      </c>
      <c r="AC87" t="n">
        <v>0.7481412738437337</v>
      </c>
      <c r="AD87" t="n">
        <v>0.7955254372715611</v>
      </c>
      <c r="AE87" t="n">
        <v>0.8364899285652703</v>
      </c>
      <c r="AF87" t="n">
        <v>0.9690339405774986</v>
      </c>
      <c r="AG87" t="n">
        <v>1.06398338938333</v>
      </c>
      <c r="AH87" t="n">
        <v>1.109068672897171</v>
      </c>
      <c r="AI87" t="n">
        <v>1.135284801445209</v>
      </c>
      <c r="AJ87" t="n">
        <v>1.14875738053773</v>
      </c>
      <c r="AK87" t="n">
        <v>1.165235371424575</v>
      </c>
      <c r="AL87" t="n">
        <v>1.175521626207705</v>
      </c>
      <c r="AM87" t="n">
        <v>1.18608802335223</v>
      </c>
      <c r="AN87" t="n">
        <v>1.20199003875001</v>
      </c>
      <c r="AO87" t="n">
        <v>1.213166720573607</v>
      </c>
      <c r="AP87" t="n">
        <v>1.22383211113984</v>
      </c>
      <c r="AQ87" t="n">
        <v>1.239901850980437</v>
      </c>
      <c r="AR87" t="n">
        <v>1.254605421620191</v>
      </c>
      <c r="AS87" t="n">
        <v>1.269977480322847</v>
      </c>
      <c r="AT87" t="n">
        <v>1.286177208832251</v>
      </c>
      <c r="AU87" t="n">
        <v>1.303997473424015</v>
      </c>
      <c r="AV87" t="n">
        <v>1.323705728133842</v>
      </c>
      <c r="AW87" t="n">
        <v>1.344936909744853</v>
      </c>
    </row>
    <row r="88">
      <c r="A88" t="inlineStr">
        <is>
          <t>Dominica_2018_August</t>
        </is>
      </c>
      <c r="C88" t="inlineStr">
        <is>
          <t>SM.18.139</t>
        </is>
      </c>
      <c r="D88" t="inlineStr">
        <is>
          <t>Dominica</t>
        </is>
      </c>
      <c r="E88" t="inlineStr">
        <is>
          <t>DMA</t>
        </is>
      </c>
      <c r="F88" s="11" t="n">
        <v>43255</v>
      </c>
      <c r="G88" t="inlineStr">
        <is>
          <t>2013gn</t>
        </is>
      </c>
      <c r="H88" t="n">
        <v>2017</v>
      </c>
      <c r="I88" t="inlineStr">
        <is>
          <t>pv.conting.liab</t>
        </is>
      </c>
    </row>
    <row r="89">
      <c r="A89" t="inlineStr">
        <is>
          <t>Dominica_2018_August</t>
        </is>
      </c>
      <c r="C89" t="inlineStr">
        <is>
          <t>SM.18.139</t>
        </is>
      </c>
      <c r="D89" t="inlineStr">
        <is>
          <t>Dominica</t>
        </is>
      </c>
      <c r="E89" t="inlineStr">
        <is>
          <t>DMA</t>
        </is>
      </c>
      <c r="F89" s="11" t="n">
        <v>43255</v>
      </c>
      <c r="G89" t="inlineStr">
        <is>
          <t>2013gn</t>
        </is>
      </c>
      <c r="H89" t="n">
        <v>2017</v>
      </c>
      <c r="I89" t="inlineStr">
        <is>
          <t>pv.pub.ext.dbt.eop</t>
        </is>
      </c>
      <c r="K89" t="inlineStr">
        <is>
          <t>US Dollars</t>
        </is>
      </c>
      <c r="L89" t="inlineStr">
        <is>
          <t>Billions</t>
        </is>
      </c>
      <c r="M89" t="inlineStr">
        <is>
          <t>Government revenues (excluding grants)</t>
        </is>
      </c>
      <c r="P89" t="n">
        <v>0.1199498935881644</v>
      </c>
      <c r="Q89" t="n">
        <v>0.1270287850527556</v>
      </c>
      <c r="R89" t="n">
        <v>0.1392224751291244</v>
      </c>
      <c r="S89" t="n">
        <v>0.1543952735011807</v>
      </c>
      <c r="T89" t="n">
        <v>0.1652851707598018</v>
      </c>
      <c r="U89" t="n">
        <v>0.1741983959536678</v>
      </c>
      <c r="V89" t="n">
        <v>0.1746698185666667</v>
      </c>
      <c r="W89" t="n">
        <v>0.1742855931444444</v>
      </c>
      <c r="X89" t="n">
        <v>0.1831545438518518</v>
      </c>
      <c r="Y89" t="n">
        <v>0.186505067127037</v>
      </c>
      <c r="Z89" t="n">
        <v>0.1807190879464663</v>
      </c>
      <c r="AA89" t="n">
        <v>0.2123177476084466</v>
      </c>
      <c r="AB89" t="n">
        <v>0.3132843204957603</v>
      </c>
      <c r="AC89" t="n">
        <v>0.2432513351974052</v>
      </c>
      <c r="AD89" t="n">
        <v>0.1912720686136441</v>
      </c>
      <c r="AE89" t="n">
        <v>0.2086559632037185</v>
      </c>
      <c r="AF89" t="n">
        <v>0.2135259831760477</v>
      </c>
      <c r="AG89" t="n">
        <v>0.2204171204788518</v>
      </c>
      <c r="AH89" t="n">
        <v>0.229693482372428</v>
      </c>
      <c r="AI89" t="n">
        <v>0.2370902601056989</v>
      </c>
      <c r="AJ89" t="n">
        <v>0.2453620289724896</v>
      </c>
      <c r="AK89" t="n">
        <v>0.2539228552176402</v>
      </c>
      <c r="AL89" t="n">
        <v>0.2627828635077748</v>
      </c>
      <c r="AM89" t="n">
        <v>0.271952520228105</v>
      </c>
      <c r="AN89" t="n">
        <v>0.2814426715459628</v>
      </c>
      <c r="AO89" t="n">
        <v>0.2912645421865367</v>
      </c>
      <c r="AP89" t="n">
        <v>0.3014297222145111</v>
      </c>
      <c r="AQ89" t="n">
        <v>0.311950241070773</v>
      </c>
      <c r="AR89" t="n">
        <v>0.3212663112343103</v>
      </c>
      <c r="AS89" t="n">
        <v>0.330860365710216</v>
      </c>
      <c r="AT89" t="n">
        <v>0.3407406909238124</v>
      </c>
      <c r="AU89" t="n">
        <v>0.3509158202507229</v>
      </c>
      <c r="AV89" t="n">
        <v>0.3613945411352924</v>
      </c>
      <c r="AW89" t="n">
        <v>0.372185902644429</v>
      </c>
    </row>
    <row r="90">
      <c r="A90" t="inlineStr">
        <is>
          <t>Dominica_2018_August</t>
        </is>
      </c>
      <c r="C90" t="inlineStr">
        <is>
          <t>SM.18.139</t>
        </is>
      </c>
      <c r="D90" t="inlineStr">
        <is>
          <t>Dominica</t>
        </is>
      </c>
      <c r="E90" t="inlineStr">
        <is>
          <t>DMA</t>
        </is>
      </c>
      <c r="F90" s="11" t="n">
        <v>43255</v>
      </c>
      <c r="G90" t="inlineStr">
        <is>
          <t>2013gn</t>
        </is>
      </c>
      <c r="H90" t="n">
        <v>2017</v>
      </c>
      <c r="I90" t="inlineStr">
        <is>
          <t>dod.pub.dbt</t>
        </is>
      </c>
      <c r="M90" t="inlineStr">
        <is>
          <t>Real revenue and grants</t>
        </is>
      </c>
      <c r="P90" t="n">
        <v>0.3741529351255167</v>
      </c>
      <c r="Q90" t="n">
        <v>0.4078995158658869</v>
      </c>
      <c r="R90" t="n">
        <v>0.4391818073805956</v>
      </c>
      <c r="S90" t="n">
        <v>0.5128082108727786</v>
      </c>
      <c r="T90" t="n">
        <v>0.5226825731067667</v>
      </c>
      <c r="U90" t="n">
        <v>0.5243305663289638</v>
      </c>
      <c r="V90" t="n">
        <v>0.5316152788286521</v>
      </c>
      <c r="W90" t="n">
        <v>0.4756019359697941</v>
      </c>
      <c r="X90" t="n">
        <v>0.46755837057282</v>
      </c>
      <c r="Y90" t="n">
        <v>0.4744924216345213</v>
      </c>
      <c r="Z90" t="n">
        <v>0.4373195970535659</v>
      </c>
      <c r="AA90" t="n">
        <v>0.4842519793944968</v>
      </c>
      <c r="AB90" t="n">
        <v>0.6686904552375357</v>
      </c>
      <c r="AC90" t="n">
        <v>0.6046630483208968</v>
      </c>
      <c r="AD90" t="n">
        <v>0.4768246301612737</v>
      </c>
      <c r="AE90" t="n">
        <v>0.4908730061873204</v>
      </c>
      <c r="AF90" t="n">
        <v>0.4330827925054506</v>
      </c>
      <c r="AG90" t="n">
        <v>0.4387451726759128</v>
      </c>
      <c r="AH90" t="n">
        <v>0.4490026920938672</v>
      </c>
      <c r="AI90" t="n">
        <v>0.4551618744043197</v>
      </c>
      <c r="AJ90" t="n">
        <v>0.4618103623185491</v>
      </c>
      <c r="AK90" t="n">
        <v>0.4685568151003518</v>
      </c>
      <c r="AL90" t="n">
        <v>0.4754026864556953</v>
      </c>
      <c r="AM90" t="n">
        <v>0.4823494746444585</v>
      </c>
      <c r="AN90" t="n">
        <v>0.4893986633729083</v>
      </c>
      <c r="AO90" t="n">
        <v>0.4965517435087089</v>
      </c>
      <c r="AP90" t="n">
        <v>0.5038102842501149</v>
      </c>
      <c r="AQ90" t="n">
        <v>0.5111758711669199</v>
      </c>
      <c r="AR90" t="n">
        <v>0.5161874192465133</v>
      </c>
      <c r="AS90" t="n">
        <v>0.5212481325611414</v>
      </c>
      <c r="AT90" t="n">
        <v>0.5263584699331073</v>
      </c>
      <c r="AU90" t="n">
        <v>0.5315188836319371</v>
      </c>
      <c r="AV90" t="n">
        <v>0.5367298754966799</v>
      </c>
      <c r="AW90" t="n">
        <v>0.5419919954628417</v>
      </c>
    </row>
    <row r="91">
      <c r="A91" t="inlineStr">
        <is>
          <t>Dominica_2018_August</t>
        </is>
      </c>
      <c r="C91" t="inlineStr">
        <is>
          <t>SM.18.139</t>
        </is>
      </c>
      <c r="D91" t="inlineStr">
        <is>
          <t>Dominica</t>
        </is>
      </c>
      <c r="E91" t="inlineStr">
        <is>
          <t>DMA</t>
        </is>
      </c>
      <c r="F91" s="11" t="n">
        <v>43255</v>
      </c>
      <c r="G91" t="inlineStr">
        <is>
          <t>2013gn</t>
        </is>
      </c>
      <c r="H91" t="n">
        <v>2017</v>
      </c>
      <c r="M91" t="inlineStr">
        <is>
          <t>Growth in real revenues and grants</t>
        </is>
      </c>
      <c r="P91" t="inlineStr">
        <is>
          <t>...</t>
        </is>
      </c>
      <c r="Q91" t="n">
        <v>9.019461715314158</v>
      </c>
      <c r="R91" t="n">
        <v>7.669117098190936</v>
      </c>
      <c r="S91" t="n">
        <v>16.76444749187398</v>
      </c>
      <c r="T91" t="n">
        <v>1.925546827181712</v>
      </c>
      <c r="U91" t="n">
        <v>0.3152952302200696</v>
      </c>
      <c r="V91" t="n">
        <v>1.389335844120509</v>
      </c>
      <c r="W91" t="n">
        <v>-10.53644338106241</v>
      </c>
      <c r="X91" t="n">
        <v>-1.691238993923061</v>
      </c>
      <c r="Y91" t="n">
        <v>1.483034311460663</v>
      </c>
      <c r="Z91" t="n">
        <v>-7.834229354581312</v>
      </c>
      <c r="AA91" t="n">
        <v>10.73182694238655</v>
      </c>
      <c r="AB91" t="n">
        <v>38.08729415492709</v>
      </c>
      <c r="AC91" t="n">
        <v>-9.575044239848573</v>
      </c>
      <c r="AD91" t="n">
        <v>-21.14209203202025</v>
      </c>
      <c r="AE91" t="n">
        <v>2.946235395033003</v>
      </c>
      <c r="AF91" t="n">
        <v>-11.77294594598601</v>
      </c>
      <c r="AG91" t="n">
        <v>1.307459051352411</v>
      </c>
      <c r="AH91" t="n">
        <v>2.337921886500438</v>
      </c>
      <c r="AI91" t="n">
        <v>1.371747301052895</v>
      </c>
      <c r="AJ91" t="n">
        <v>1.460686469606087</v>
      </c>
      <c r="AK91" t="n">
        <v>1.460870810245951</v>
      </c>
      <c r="AL91" t="n">
        <v>1.461054697044006</v>
      </c>
      <c r="AM91" t="n">
        <v>1.461242939234131</v>
      </c>
      <c r="AN91" t="n">
        <v>1.461427678271199</v>
      </c>
      <c r="AO91" t="n">
        <v>1.461605981205993</v>
      </c>
      <c r="AP91" t="n">
        <v>1.461789397841207</v>
      </c>
      <c r="AQ91" t="n">
        <v>1.461976292875433</v>
      </c>
      <c r="AR91" t="n">
        <v>0.9803960558922853</v>
      </c>
      <c r="AS91" t="n">
        <v>0.9804022969051251</v>
      </c>
      <c r="AT91" t="n">
        <v>0.9804039674648601</v>
      </c>
      <c r="AU91" t="n">
        <v>0.9803990993981104</v>
      </c>
      <c r="AV91" t="n">
        <v>0.9803963744684729</v>
      </c>
      <c r="AW91" t="n">
        <v>0.9804037759761908</v>
      </c>
    </row>
    <row r="92">
      <c r="A92" t="inlineStr">
        <is>
          <t>Dominica_2018_August</t>
        </is>
      </c>
      <c r="C92" t="inlineStr">
        <is>
          <t>SM.18.139</t>
        </is>
      </c>
      <c r="D92" t="inlineStr">
        <is>
          <t>Dominica</t>
        </is>
      </c>
      <c r="E92" t="inlineStr">
        <is>
          <t>DMA</t>
        </is>
      </c>
      <c r="F92" s="11" t="n">
        <v>43255</v>
      </c>
      <c r="G92" t="inlineStr">
        <is>
          <t>2013gn</t>
        </is>
      </c>
      <c r="H92" t="n">
        <v>2017</v>
      </c>
      <c r="I92" t="inlineStr">
        <is>
          <t>gov.rev.exc.grt</t>
        </is>
      </c>
      <c r="M92" t="inlineStr">
        <is>
          <t>Revenues in percent of GDP</t>
        </is>
      </c>
      <c r="P92" t="n">
        <v>32.79764883269007</v>
      </c>
      <c r="Q92" t="n">
        <v>33.67207411581649</v>
      </c>
      <c r="R92" t="n">
        <v>34.30705155555009</v>
      </c>
      <c r="S92" t="n">
        <v>35.10714613764834</v>
      </c>
      <c r="T92" t="n">
        <v>34.89736341403367</v>
      </c>
      <c r="U92" t="n">
        <v>35.44584782403666</v>
      </c>
      <c r="V92" t="n">
        <v>35.11611751788332</v>
      </c>
      <c r="W92" t="n">
        <v>35.32002284833922</v>
      </c>
      <c r="X92" t="n">
        <v>36.83894785977284</v>
      </c>
      <c r="Y92" t="n">
        <v>35.98310167431386</v>
      </c>
      <c r="Z92" t="n">
        <v>33.99292886437119</v>
      </c>
      <c r="AA92" t="n">
        <v>38.03001337900317</v>
      </c>
      <c r="AB92" t="n">
        <v>55.01782995364465</v>
      </c>
      <c r="AC92" t="n">
        <v>46.66079587048409</v>
      </c>
      <c r="AD92" t="n">
        <v>37.33164460087048</v>
      </c>
      <c r="AE92" t="n">
        <v>37.0715464016935</v>
      </c>
      <c r="AF92" t="n">
        <v>35.44313463588165</v>
      </c>
      <c r="AG92" t="n">
        <v>34.86670096116773</v>
      </c>
      <c r="AH92" t="n">
        <v>35.01737211134369</v>
      </c>
      <c r="AI92" t="n">
        <v>34.97199357322927</v>
      </c>
      <c r="AJ92" t="n">
        <v>34.95810100009012</v>
      </c>
      <c r="AK92" t="n">
        <v>34.94427982019527</v>
      </c>
      <c r="AL92" t="n">
        <v>34.9305292958817</v>
      </c>
      <c r="AM92" t="n">
        <v>34.91684946602624</v>
      </c>
      <c r="AN92" t="n">
        <v>34.90323938799109</v>
      </c>
      <c r="AO92" t="n">
        <v>34.88969877274025</v>
      </c>
      <c r="AP92" t="n">
        <v>34.876227909912</v>
      </c>
      <c r="AQ92" t="n">
        <v>34.8628258000849</v>
      </c>
      <c r="AR92" t="n">
        <v>34.67977407277371</v>
      </c>
      <c r="AS92" t="n">
        <v>34.49766039117028</v>
      </c>
      <c r="AT92" t="n">
        <v>34.31647898617193</v>
      </c>
      <c r="AU92" t="n">
        <v>34.13622508526717</v>
      </c>
      <c r="AV92" t="n">
        <v>33.95689394037566</v>
      </c>
      <c r="AW92" t="n">
        <v>33.77848082772351</v>
      </c>
    </row>
    <row r="93">
      <c r="A93" t="inlineStr">
        <is>
          <t>Dominica_2018_August</t>
        </is>
      </c>
      <c r="C93" t="inlineStr">
        <is>
          <t>SM.18.139</t>
        </is>
      </c>
      <c r="D93" t="inlineStr">
        <is>
          <t>Dominica</t>
        </is>
      </c>
      <c r="E93" t="inlineStr">
        <is>
          <t>DMA</t>
        </is>
      </c>
      <c r="F93" s="11" t="n">
        <v>43255</v>
      </c>
      <c r="G93" t="inlineStr">
        <is>
          <t>2013gn</t>
        </is>
      </c>
      <c r="H93" t="n">
        <v>2017</v>
      </c>
      <c r="I93" t="inlineStr">
        <is>
          <t>rev.real.inc.grt</t>
        </is>
      </c>
      <c r="M93" t="inlineStr">
        <is>
          <t>Real non-interest expenditure</t>
        </is>
      </c>
      <c r="P93" t="n">
        <v>0.335980190982384</v>
      </c>
      <c r="Q93" t="n">
        <v>0.3422800838839217</v>
      </c>
      <c r="R93" t="n">
        <v>0.3723596650898749</v>
      </c>
      <c r="S93" t="n">
        <v>0.4536186457652583</v>
      </c>
      <c r="T93" t="n">
        <v>0.4838838441417652</v>
      </c>
      <c r="U93" t="n">
        <v>0.493476731917698</v>
      </c>
      <c r="V93" t="n">
        <v>0.5810591691524714</v>
      </c>
      <c r="W93" t="n">
        <v>0.5106440399551352</v>
      </c>
      <c r="X93" t="n">
        <v>0.4895053056990148</v>
      </c>
      <c r="Y93" t="n">
        <v>0.3779722625165151</v>
      </c>
      <c r="Z93" t="n">
        <v>0.366754239716644</v>
      </c>
      <c r="AA93" t="n">
        <v>0.4736348902650849</v>
      </c>
      <c r="AB93" t="n">
        <v>0.5983190265715087</v>
      </c>
      <c r="AC93" t="n">
        <v>0.5819276167328176</v>
      </c>
      <c r="AD93" t="n">
        <v>0.5066100376754603</v>
      </c>
      <c r="AE93" t="n">
        <v>0.5219557011924109</v>
      </c>
      <c r="AF93" t="n">
        <v>0.5164376042766151</v>
      </c>
      <c r="AG93" t="n">
        <v>0.5068875157103224</v>
      </c>
      <c r="AH93" t="n">
        <v>0.4173636248111657</v>
      </c>
      <c r="AI93" t="n">
        <v>0.4263393749643028</v>
      </c>
      <c r="AJ93" t="n">
        <v>0.4335364761829332</v>
      </c>
      <c r="AK93" t="n">
        <v>0.4406373022293368</v>
      </c>
      <c r="AL93" t="n">
        <v>0.4480241885584477</v>
      </c>
      <c r="AM93" t="n">
        <v>0.4554578462329903</v>
      </c>
      <c r="AN93" t="n">
        <v>0.464800199877008</v>
      </c>
      <c r="AO93" t="n">
        <v>0.4702038580864519</v>
      </c>
      <c r="AP93" t="n">
        <v>0.4779661604283604</v>
      </c>
      <c r="AQ93" t="n">
        <v>0.4858203990924016</v>
      </c>
      <c r="AR93" t="n">
        <v>0.4938690116784291</v>
      </c>
      <c r="AS93" t="n">
        <v>0.5022596192767919</v>
      </c>
      <c r="AT93" t="n">
        <v>0.5103102808959673</v>
      </c>
      <c r="AU93" t="n">
        <v>0.5184222728819902</v>
      </c>
      <c r="AV93" t="n">
        <v>0.5080690572898676</v>
      </c>
      <c r="AW93" t="n">
        <v>0.4979105172755502</v>
      </c>
    </row>
    <row r="94">
      <c r="A94" t="inlineStr">
        <is>
          <t>Dominica_2018_August</t>
        </is>
      </c>
      <c r="C94" t="inlineStr">
        <is>
          <t>SM.18.139</t>
        </is>
      </c>
      <c r="D94" t="inlineStr">
        <is>
          <t>Dominica</t>
        </is>
      </c>
      <c r="E94" t="inlineStr">
        <is>
          <t>DMA</t>
        </is>
      </c>
      <c r="F94" s="11" t="n">
        <v>43255</v>
      </c>
      <c r="G94" t="inlineStr">
        <is>
          <t>2013gn</t>
        </is>
      </c>
      <c r="H94" t="n">
        <v>2017</v>
      </c>
      <c r="I94" t="inlineStr">
        <is>
          <t>gov.rev.gwth</t>
        </is>
      </c>
      <c r="M94" t="inlineStr">
        <is>
          <t>Growth of real non-interest expenditures</t>
        </is>
      </c>
      <c r="Q94" t="n">
        <v>0.01875078671488728</v>
      </c>
      <c r="R94" t="n">
        <v>0.08788002171973908</v>
      </c>
      <c r="S94" t="n">
        <v>0.2182271290199229</v>
      </c>
      <c r="T94" t="n">
        <v>0.06671947606000472</v>
      </c>
      <c r="U94" t="n">
        <v>0.01982477384205095</v>
      </c>
      <c r="V94" t="n">
        <v>0.1774803786480867</v>
      </c>
      <c r="W94" t="n">
        <v>-0.1211840943841281</v>
      </c>
      <c r="X94" t="n">
        <v>-0.04139622242135166</v>
      </c>
      <c r="Y94" t="n">
        <v>-0.2278484867967473</v>
      </c>
      <c r="Z94" t="n">
        <v>-0.02967948686282484</v>
      </c>
      <c r="AA94" t="n">
        <v>0.2914230811101663</v>
      </c>
      <c r="AB94" t="n">
        <v>0.2632494752163219</v>
      </c>
      <c r="AC94" t="n">
        <v>-0.02739576899738139</v>
      </c>
      <c r="AD94" t="n">
        <v>-0.1294277447772995</v>
      </c>
      <c r="AE94" t="n">
        <v>0.03029087932675578</v>
      </c>
      <c r="AF94" t="n">
        <v>-0.01057196406359706</v>
      </c>
      <c r="AG94" t="n">
        <v>-0.01849224085776968</v>
      </c>
      <c r="AH94" t="n">
        <v>-0.1766149059199125</v>
      </c>
      <c r="AI94" t="n">
        <v>0.02150582757948327</v>
      </c>
      <c r="AJ94" t="n">
        <v>0.01688115534539358</v>
      </c>
      <c r="AK94" t="n">
        <v>0.01637884338804163</v>
      </c>
      <c r="AL94" t="n">
        <v>0.01676409666575673</v>
      </c>
      <c r="AM94" t="n">
        <v>0.01659209003527473</v>
      </c>
      <c r="AN94" t="n">
        <v>0.02051200505444495</v>
      </c>
      <c r="AO94" t="n">
        <v>0.01162576567495832</v>
      </c>
      <c r="AP94" t="n">
        <v>0.01650837654437387</v>
      </c>
      <c r="AQ94" t="n">
        <v>0.01643262497286857</v>
      </c>
      <c r="AR94" t="n">
        <v>0.01656705358824739</v>
      </c>
      <c r="AS94" t="n">
        <v>0.01698954054607915</v>
      </c>
      <c r="AT94" t="n">
        <v>0.01602888488381304</v>
      </c>
      <c r="AU94" t="n">
        <v>0.01589619549067356</v>
      </c>
      <c r="AV94" t="n">
        <v>-0.01997062266358163</v>
      </c>
      <c r="AW94" t="n">
        <v>-0.01999440798167262</v>
      </c>
    </row>
    <row r="95">
      <c r="A95" t="inlineStr">
        <is>
          <t>Dominica_2018_August</t>
        </is>
      </c>
      <c r="C95" t="inlineStr">
        <is>
          <t>SM.18.139</t>
        </is>
      </c>
      <c r="D95" t="inlineStr">
        <is>
          <t>Dominica</t>
        </is>
      </c>
      <c r="E95" t="inlineStr">
        <is>
          <t>DMA</t>
        </is>
      </c>
      <c r="F95" s="11" t="n">
        <v>43255</v>
      </c>
      <c r="G95" t="inlineStr">
        <is>
          <t>2013gn</t>
        </is>
      </c>
      <c r="H95" t="n">
        <v>2017</v>
      </c>
      <c r="I95" t="inlineStr">
        <is>
          <t>gov.rev.2gdp</t>
        </is>
      </c>
      <c r="M95" t="inlineStr">
        <is>
          <t>Gross financing need</t>
        </is>
      </c>
      <c r="P95" t="inlineStr">
        <is>
          <t>…</t>
        </is>
      </c>
      <c r="Q95" t="n">
        <v>-0.01513237205861501</v>
      </c>
      <c r="R95" t="n">
        <v>-0.005129250016286994</v>
      </c>
      <c r="S95" t="n">
        <v>0.0005127663915348857</v>
      </c>
      <c r="T95" t="n">
        <v>0.0158144395942521</v>
      </c>
      <c r="U95" t="n">
        <v>0.04059906116575495</v>
      </c>
      <c r="V95" t="n">
        <v>0.1164196645600001</v>
      </c>
      <c r="W95" t="n">
        <v>0.1347132770540002</v>
      </c>
      <c r="X95" t="n">
        <v>0.1413940581830183</v>
      </c>
      <c r="Y95" t="n">
        <v>-0.02277223996175073</v>
      </c>
      <c r="Z95" t="n">
        <v>0.003288812443730388</v>
      </c>
      <c r="AA95" t="n">
        <v>0.07529650204145347</v>
      </c>
      <c r="AB95" t="n">
        <v>0.004041923836845443</v>
      </c>
      <c r="AC95" t="n">
        <v>0.0755535989723547</v>
      </c>
      <c r="AD95" t="n">
        <v>0.1593935658169915</v>
      </c>
      <c r="AE95" t="n">
        <v>0.2279164747493174</v>
      </c>
      <c r="AF95" t="n">
        <v>0.2594957700636521</v>
      </c>
      <c r="AG95" t="n">
        <v>0.2415944410350366</v>
      </c>
      <c r="AH95" t="n">
        <v>0.1152576047883713</v>
      </c>
      <c r="AI95" t="n">
        <v>0.132012939830026</v>
      </c>
      <c r="AJ95" t="n">
        <v>0.1392245400679487</v>
      </c>
      <c r="AK95" t="n">
        <v>0.1482083455500419</v>
      </c>
      <c r="AL95" t="n">
        <v>0.1629922524036999</v>
      </c>
      <c r="AM95" t="n">
        <v>0.1692086404622812</v>
      </c>
      <c r="AN95" t="n">
        <v>0.1739791293510447</v>
      </c>
      <c r="AO95" t="n">
        <v>0.1824159739915823</v>
      </c>
      <c r="AP95" t="n">
        <v>0.1920206862907948</v>
      </c>
      <c r="AQ95" t="n">
        <v>0.2006459981855824</v>
      </c>
      <c r="AR95" t="n">
        <v>0.2157982642660768</v>
      </c>
      <c r="AS95" t="n">
        <v>0.2293802880413161</v>
      </c>
      <c r="AT95" t="n">
        <v>0.242900667230571</v>
      </c>
      <c r="AU95" t="n">
        <v>0.256366098339032</v>
      </c>
      <c r="AV95" t="n">
        <v>0.2363886424341642</v>
      </c>
      <c r="AW95" t="n">
        <v>0.2145342565582066</v>
      </c>
    </row>
    <row r="96">
      <c r="A96" t="inlineStr">
        <is>
          <t>Dominica_2018_August</t>
        </is>
      </c>
      <c r="C96" t="inlineStr">
        <is>
          <t>SM.18.139</t>
        </is>
      </c>
      <c r="D96" t="inlineStr">
        <is>
          <t>Dominica</t>
        </is>
      </c>
      <c r="E96" t="inlineStr">
        <is>
          <t>DMA</t>
        </is>
      </c>
      <c r="F96" s="11" t="n">
        <v>43255</v>
      </c>
      <c r="G96" t="inlineStr">
        <is>
          <t>2013gn</t>
        </is>
      </c>
      <c r="H96" t="n">
        <v>2017</v>
      </c>
      <c r="I96" t="inlineStr">
        <is>
          <t>real.prim.exp</t>
        </is>
      </c>
    </row>
    <row r="97">
      <c r="A97" t="inlineStr">
        <is>
          <t>Dominica_2018_August</t>
        </is>
      </c>
      <c r="C97" t="inlineStr">
        <is>
          <t>SM.18.139</t>
        </is>
      </c>
      <c r="D97" t="inlineStr">
        <is>
          <t>Dominica</t>
        </is>
      </c>
      <c r="E97" t="inlineStr">
        <is>
          <t>DMA</t>
        </is>
      </c>
      <c r="F97" s="11" t="n">
        <v>43255</v>
      </c>
      <c r="G97" t="inlineStr">
        <is>
          <t>2013gn</t>
        </is>
      </c>
      <c r="H97" t="n">
        <v>2017</v>
      </c>
      <c r="I97" t="inlineStr">
        <is>
          <t>real.prim.exp.gwth</t>
        </is>
      </c>
      <c r="M97" t="inlineStr">
        <is>
          <t>Aid Flows</t>
        </is>
      </c>
      <c r="P97" t="n">
        <v>0.03485274801481478</v>
      </c>
      <c r="Q97" t="n">
        <v>0.03203097215555556</v>
      </c>
      <c r="R97" t="n">
        <v>0.03095965504814815</v>
      </c>
      <c r="S97" t="n">
        <v>0.04473875291000001</v>
      </c>
      <c r="T97" t="n">
        <v>0.0497657032074074</v>
      </c>
      <c r="U97" t="n">
        <v>0.05891009415185182</v>
      </c>
      <c r="V97" t="n">
        <v>0.07682048263703704</v>
      </c>
      <c r="W97" t="n">
        <v>0.04202314590000002</v>
      </c>
      <c r="X97" t="n">
        <v>0.05285551169517073</v>
      </c>
      <c r="Y97" t="n">
        <v>0.03894914740740739</v>
      </c>
      <c r="Z97" t="n">
        <v>0.03632107927910763</v>
      </c>
      <c r="AA97" t="n">
        <v>0.02593378478352262</v>
      </c>
      <c r="AB97" t="n">
        <v>0.005298077862962963</v>
      </c>
      <c r="AC97" t="n">
        <v>0.05071935716459948</v>
      </c>
      <c r="AD97" t="n">
        <v>0.04546401958434475</v>
      </c>
      <c r="AE97" t="n">
        <v>0.03983142861198406</v>
      </c>
      <c r="AF97" t="n">
        <v>0.01111266060156091</v>
      </c>
      <c r="AG97" t="n">
        <v>0.01109849117366399</v>
      </c>
      <c r="AH97" t="n">
        <v>0.008931935663192786</v>
      </c>
      <c r="AI97" t="n">
        <v>0.008008978806600389</v>
      </c>
      <c r="AJ97" t="n">
        <v>0.00787492904119665</v>
      </c>
      <c r="AK97" t="n">
        <v>0.008101433640632512</v>
      </c>
      <c r="AL97" t="n">
        <v>0.008378339531584489</v>
      </c>
      <c r="AM97" t="n">
        <v>0.00865992799490964</v>
      </c>
      <c r="AN97" t="n">
        <v>0.008948744468867616</v>
      </c>
      <c r="AO97" t="n">
        <v>0.009242979345769519</v>
      </c>
      <c r="AP97" t="n">
        <v>0.009541603870193031</v>
      </c>
      <c r="AQ97" t="n">
        <v>0.009855951085587475</v>
      </c>
      <c r="AR97" t="n">
        <v>0.009925485239423408</v>
      </c>
      <c r="AS97" t="n">
        <v>0.0101328959952642</v>
      </c>
      <c r="AT97" t="n">
        <v>0.01048641170315128</v>
      </c>
      <c r="AU97" t="n">
        <v>0.01086803026927744</v>
      </c>
      <c r="AV97" t="n">
        <v>0.01126455071677165</v>
      </c>
      <c r="AW97" t="n">
        <v>0.01167440579935544</v>
      </c>
    </row>
    <row r="98">
      <c r="A98" t="inlineStr">
        <is>
          <t>Dominica_2018_August</t>
        </is>
      </c>
      <c r="C98" t="inlineStr">
        <is>
          <t>SM.18.139</t>
        </is>
      </c>
      <c r="D98" t="inlineStr">
        <is>
          <t>Dominica</t>
        </is>
      </c>
      <c r="E98" t="inlineStr">
        <is>
          <t>DMA</t>
        </is>
      </c>
      <c r="F98" s="11" t="n">
        <v>43255</v>
      </c>
      <c r="G98" t="inlineStr">
        <is>
          <t>2013gn</t>
        </is>
      </c>
      <c r="H98" t="n">
        <v>2017</v>
      </c>
      <c r="I98" t="inlineStr">
        <is>
          <t>grss.fin.need</t>
        </is>
      </c>
      <c r="K98" t="inlineStr">
        <is>
          <t>US Dollars</t>
        </is>
      </c>
      <c r="L98" t="inlineStr">
        <is>
          <t>Billions</t>
        </is>
      </c>
      <c r="M98" t="inlineStr">
        <is>
          <t>Grants</t>
        </is>
      </c>
      <c r="P98" t="n">
        <v>0.01641200727407408</v>
      </c>
      <c r="Q98" t="n">
        <v>0.02233793511851852</v>
      </c>
      <c r="R98" t="n">
        <v>0.02471606615925926</v>
      </c>
      <c r="S98" t="n">
        <v>0.0399348566137037</v>
      </c>
      <c r="T98" t="n">
        <v>0.04215534765185185</v>
      </c>
      <c r="U98" t="n">
        <v>0.04227416822592592</v>
      </c>
      <c r="V98" t="n">
        <v>0.04698469374814815</v>
      </c>
      <c r="W98" t="n">
        <v>0.02372282441851851</v>
      </c>
      <c r="X98" t="n">
        <v>0.01327980428776333</v>
      </c>
      <c r="Y98" t="n">
        <v>0.01627750518518518</v>
      </c>
      <c r="Z98" t="n">
        <v>0.01062962962962963</v>
      </c>
      <c r="AA98" t="n">
        <v>0.01146085752592592</v>
      </c>
      <c r="AB98" t="n">
        <v>0.005298077862962963</v>
      </c>
      <c r="AC98" t="n">
        <v>0.04746772810666666</v>
      </c>
      <c r="AD98" t="n">
        <v>0.04158698435555556</v>
      </c>
      <c r="AE98" t="n">
        <v>0.03507330624</v>
      </c>
      <c r="AF98" t="n">
        <v>0.005391015107667444</v>
      </c>
      <c r="AG98" t="n">
        <v>0.005657003020395185</v>
      </c>
      <c r="AH98" t="n">
        <v>0.005869715664036074</v>
      </c>
      <c r="AI98" t="n">
        <v>0.00606659868061474</v>
      </c>
      <c r="AJ98" t="n">
        <v>0.006280749386979666</v>
      </c>
      <c r="AK98" t="n">
        <v>0.006502459285464592</v>
      </c>
      <c r="AL98" t="n">
        <v>0.006731995506411888</v>
      </c>
      <c r="AM98" t="n">
        <v>0.006969634128699</v>
      </c>
      <c r="AN98" t="n">
        <v>0.00721566150544722</v>
      </c>
      <c r="AO98" t="n">
        <v>0.007470373932594666</v>
      </c>
      <c r="AP98" t="n">
        <v>0.007734077317468851</v>
      </c>
      <c r="AQ98" t="n">
        <v>0.008007089498777407</v>
      </c>
      <c r="AR98" t="n">
        <v>0.008289739252326296</v>
      </c>
      <c r="AS98" t="n">
        <v>0.008582366291019926</v>
      </c>
      <c r="AT98" t="n">
        <v>0.008885323037460481</v>
      </c>
      <c r="AU98" t="n">
        <v>0.009198974129388185</v>
      </c>
      <c r="AV98" t="n">
        <v>0.009523697076222372</v>
      </c>
      <c r="AW98" t="n">
        <v>0.009859882713430185</v>
      </c>
    </row>
    <row r="99">
      <c r="A99" t="inlineStr">
        <is>
          <t>Dominica_2018_August</t>
        </is>
      </c>
      <c r="C99" t="inlineStr">
        <is>
          <t>SM.18.139</t>
        </is>
      </c>
      <c r="D99" t="inlineStr">
        <is>
          <t>Dominica</t>
        </is>
      </c>
      <c r="E99" t="inlineStr">
        <is>
          <t>DMA</t>
        </is>
      </c>
      <c r="F99" s="11" t="n">
        <v>43255</v>
      </c>
      <c r="G99" t="inlineStr">
        <is>
          <t>2013gn</t>
        </is>
      </c>
      <c r="H99" t="n">
        <v>2017</v>
      </c>
      <c r="M99" t="inlineStr">
        <is>
          <t>Concessional loans</t>
        </is>
      </c>
      <c r="P99" t="n">
        <v>0.0184407407407407</v>
      </c>
      <c r="Q99" t="n">
        <v>0.00969303703703704</v>
      </c>
      <c r="R99" t="n">
        <v>0.00624358888888889</v>
      </c>
      <c r="S99" t="n">
        <v>0.0048038962962963</v>
      </c>
      <c r="T99" t="n">
        <v>0.00761035555555555</v>
      </c>
      <c r="U99" t="n">
        <v>0.0166359259259259</v>
      </c>
      <c r="V99" t="n">
        <v>0.0298357888888889</v>
      </c>
      <c r="W99" t="n">
        <v>0.0183003214814815</v>
      </c>
      <c r="X99" t="n">
        <v>0.0395757074074074</v>
      </c>
      <c r="Y99" t="n">
        <v>0.0226716422222222</v>
      </c>
      <c r="Z99" t="n">
        <v>0.025691449649478</v>
      </c>
      <c r="AA99" t="n">
        <v>0.0144729272575967</v>
      </c>
      <c r="AB99" t="n">
        <v>0</v>
      </c>
      <c r="AC99" t="n">
        <v>0.003251629057932816</v>
      </c>
      <c r="AD99" t="n">
        <v>0.003877035228789192</v>
      </c>
      <c r="AE99" t="n">
        <v>0.004758122371984067</v>
      </c>
      <c r="AF99" t="n">
        <v>0.005721645493893468</v>
      </c>
      <c r="AG99" t="n">
        <v>0.005441488153268808</v>
      </c>
      <c r="AH99" t="n">
        <v>0.003062219999156712</v>
      </c>
      <c r="AI99" t="n">
        <v>0.001942380125985648</v>
      </c>
      <c r="AJ99" t="n">
        <v>0.001594179654216984</v>
      </c>
      <c r="AK99" t="n">
        <v>0.00159897435516792</v>
      </c>
      <c r="AL99" t="n">
        <v>0.0016463440251726</v>
      </c>
      <c r="AM99" t="n">
        <v>0.00169029386621064</v>
      </c>
      <c r="AN99" t="n">
        <v>0.001733082963420396</v>
      </c>
      <c r="AO99" t="n">
        <v>0.001772605413174852</v>
      </c>
      <c r="AP99" t="n">
        <v>0.00180752655272418</v>
      </c>
      <c r="AQ99" t="n">
        <v>0.001848861586810068</v>
      </c>
      <c r="AR99" t="n">
        <v>0.001635745987097112</v>
      </c>
      <c r="AS99" t="n">
        <v>0.001550529704244276</v>
      </c>
      <c r="AT99" t="n">
        <v>0.001601088665690796</v>
      </c>
      <c r="AU99" t="n">
        <v>0.001669056139889256</v>
      </c>
      <c r="AV99" t="n">
        <v>0.00174085364054928</v>
      </c>
      <c r="AW99" t="n">
        <v>0.001814523085925256</v>
      </c>
    </row>
    <row r="100">
      <c r="A100" t="inlineStr">
        <is>
          <t>Dominica_2018_August</t>
        </is>
      </c>
      <c r="C100" t="inlineStr">
        <is>
          <t>SM.18.139</t>
        </is>
      </c>
      <c r="D100" t="inlineStr">
        <is>
          <t>Dominica</t>
        </is>
      </c>
      <c r="E100" t="inlineStr">
        <is>
          <t>DMA</t>
        </is>
      </c>
      <c r="F100" s="11" t="n">
        <v>43255</v>
      </c>
      <c r="G100" t="inlineStr">
        <is>
          <t>2013gn</t>
        </is>
      </c>
      <c r="H100" t="n">
        <v>2017</v>
      </c>
      <c r="I100" t="inlineStr">
        <is>
          <t>aid.flw</t>
        </is>
      </c>
      <c r="M100" t="inlineStr">
        <is>
          <t xml:space="preserve">Real Economy </t>
        </is>
      </c>
    </row>
    <row r="101">
      <c r="A101" t="inlineStr">
        <is>
          <t>Dominica_2018_August</t>
        </is>
      </c>
      <c r="C101" t="inlineStr">
        <is>
          <t>SM.18.139</t>
        </is>
      </c>
      <c r="D101" t="inlineStr">
        <is>
          <t>Dominica</t>
        </is>
      </c>
      <c r="E101" t="inlineStr">
        <is>
          <t>DMA</t>
        </is>
      </c>
      <c r="F101" s="11" t="n">
        <v>43255</v>
      </c>
      <c r="G101" t="inlineStr">
        <is>
          <t>2013gn</t>
        </is>
      </c>
      <c r="H101" t="n">
        <v>2017</v>
      </c>
      <c r="I101" t="inlineStr">
        <is>
          <t>grnt</t>
        </is>
      </c>
      <c r="M101" t="inlineStr">
        <is>
          <t>Real GDP growth</t>
        </is>
      </c>
      <c r="Q101" t="n">
        <v>2.664041164315956</v>
      </c>
      <c r="R101" t="n">
        <v>5.525546437041506</v>
      </c>
      <c r="S101" t="n">
        <v>6.749063192234672</v>
      </c>
      <c r="T101" t="n">
        <v>2.832975649401837</v>
      </c>
      <c r="U101" t="n">
        <v>-0.2540223132395436</v>
      </c>
      <c r="V101" t="n">
        <v>0.2192515992538668</v>
      </c>
      <c r="W101" t="n">
        <v>-0.6499200529767046</v>
      </c>
      <c r="X101" t="n">
        <v>-0.1545193014553026</v>
      </c>
      <c r="Y101" t="n">
        <v>2.485354185470312</v>
      </c>
      <c r="Z101" t="n">
        <v>0.1839456030907405</v>
      </c>
      <c r="AA101" t="n">
        <v>-0.568535015984295</v>
      </c>
      <c r="AB101" t="n">
        <v>-1.070483306724657</v>
      </c>
      <c r="AC101" t="n">
        <v>-9.279703787099415</v>
      </c>
      <c r="AD101" t="n">
        <v>-3.23975113897752</v>
      </c>
      <c r="AE101" t="n">
        <v>8.046717179660057</v>
      </c>
      <c r="AF101" t="n">
        <v>5.137703753000245</v>
      </c>
      <c r="AG101" t="n">
        <v>2.940414658845225</v>
      </c>
      <c r="AH101" t="n">
        <v>1.908559124016085</v>
      </c>
      <c r="AI101" t="n">
        <v>1.500002279492851</v>
      </c>
      <c r="AJ101" t="n">
        <v>1.500001221403124</v>
      </c>
      <c r="AK101" t="n">
        <v>1.499998680193682</v>
      </c>
      <c r="AL101" t="n">
        <v>1.499997552373089</v>
      </c>
      <c r="AM101" t="n">
        <v>1.500000452147843</v>
      </c>
      <c r="AN101" t="n">
        <v>1.500002301573566</v>
      </c>
      <c r="AO101" t="n">
        <v>1.499998317616691</v>
      </c>
      <c r="AP101" t="n">
        <v>1.4999984145456</v>
      </c>
      <c r="AQ101" t="n">
        <v>1.500004615071115</v>
      </c>
      <c r="AR101" t="n">
        <v>1.49999772656606</v>
      </c>
      <c r="AS101" t="n">
        <v>1.500001240524806</v>
      </c>
      <c r="AT101" t="n">
        <v>1.500002919680665</v>
      </c>
      <c r="AU101" t="n">
        <v>1.499998026564842</v>
      </c>
      <c r="AV101" t="n">
        <v>1.499995287614042</v>
      </c>
      <c r="AW101" t="n">
        <v>1.500002727206851</v>
      </c>
    </row>
    <row r="102">
      <c r="A102" t="inlineStr">
        <is>
          <t>Dominica_2018_August</t>
        </is>
      </c>
      <c r="C102" t="inlineStr">
        <is>
          <t>SM.18.139</t>
        </is>
      </c>
      <c r="D102" t="inlineStr">
        <is>
          <t>Dominica</t>
        </is>
      </c>
      <c r="E102" t="inlineStr">
        <is>
          <t>DMA</t>
        </is>
      </c>
      <c r="F102" s="11" t="n">
        <v>43255</v>
      </c>
      <c r="G102" t="inlineStr">
        <is>
          <t>2013gn</t>
        </is>
      </c>
      <c r="H102" t="n">
        <v>2017</v>
      </c>
      <c r="I102" t="inlineStr">
        <is>
          <t>css.loan</t>
        </is>
      </c>
      <c r="M102" t="inlineStr">
        <is>
          <t>GDP deflator index (national currency)</t>
        </is>
      </c>
      <c r="P102" t="n">
        <v>98.40284486998131</v>
      </c>
      <c r="Q102" t="n">
        <v>98.86997379889945</v>
      </c>
      <c r="R102" t="n">
        <v>100.7860649143531</v>
      </c>
      <c r="S102" t="n">
        <v>102.3172679737683</v>
      </c>
      <c r="T102" t="n">
        <v>107.1567005539053</v>
      </c>
      <c r="U102" t="n">
        <v>111.4708851282578</v>
      </c>
      <c r="V102" t="n">
        <v>112.5752413603777</v>
      </c>
      <c r="W102" t="n">
        <v>112.4097037851323</v>
      </c>
      <c r="X102" t="n">
        <v>113.4345513539166</v>
      </c>
      <c r="Y102" t="n">
        <v>115.3891864820389</v>
      </c>
      <c r="Z102" t="n">
        <v>118.1382085175975</v>
      </c>
      <c r="AA102" t="n">
        <v>124.7702145932978</v>
      </c>
      <c r="AB102" t="n">
        <v>128.6353751322797</v>
      </c>
      <c r="AC102" t="n">
        <v>129.8146915212889</v>
      </c>
      <c r="AD102" t="n">
        <v>131.8554880028305</v>
      </c>
      <c r="AE102" t="n">
        <v>134.0609524669842</v>
      </c>
      <c r="AF102" t="n">
        <v>136.48103909799</v>
      </c>
      <c r="AG102" t="n">
        <v>139.1240682433332</v>
      </c>
      <c r="AH102" t="n">
        <v>141.6518532956788</v>
      </c>
      <c r="AI102" t="n">
        <v>144.239567424722</v>
      </c>
      <c r="AJ102" t="n">
        <v>147.1243516839719</v>
      </c>
      <c r="AK102" t="n">
        <v>150.0668278632951</v>
      </c>
      <c r="AL102" t="n">
        <v>153.068154655058</v>
      </c>
      <c r="AM102" t="n">
        <v>156.1294987039171</v>
      </c>
      <c r="AN102" t="n">
        <v>159.2520694411751</v>
      </c>
      <c r="AO102" t="n">
        <v>162.4371043030098</v>
      </c>
      <c r="AP102" t="n">
        <v>165.6858315186637</v>
      </c>
      <c r="AQ102" t="n">
        <v>168.999524677426</v>
      </c>
      <c r="AR102" t="n">
        <v>172.3795085151001</v>
      </c>
      <c r="AS102" t="n">
        <v>175.8270810295582</v>
      </c>
      <c r="AT102" t="n">
        <v>179.3436016742363</v>
      </c>
      <c r="AU102" t="n">
        <v>182.9304611310102</v>
      </c>
      <c r="AV102" t="n">
        <v>186.5890625604434</v>
      </c>
      <c r="AW102" t="n">
        <v>190.3208219127546</v>
      </c>
    </row>
    <row r="103">
      <c r="A103" t="inlineStr">
        <is>
          <t>Dominica_2018_August</t>
        </is>
      </c>
      <c r="C103" t="inlineStr">
        <is>
          <t>SM.18.139</t>
        </is>
      </c>
      <c r="D103" t="inlineStr">
        <is>
          <t>Dominica</t>
        </is>
      </c>
      <c r="E103" t="inlineStr">
        <is>
          <t>DMA</t>
        </is>
      </c>
      <c r="F103" s="11" t="n">
        <v>43255</v>
      </c>
      <c r="G103" t="inlineStr">
        <is>
          <t>2013gn</t>
        </is>
      </c>
      <c r="H103" t="n">
        <v>2017</v>
      </c>
      <c r="M103" t="inlineStr">
        <is>
          <t>Change in GDP Deflator factor (percent)</t>
        </is>
      </c>
      <c r="P103" t="inlineStr">
        <is>
          <t>...</t>
        </is>
      </c>
      <c r="Q103" t="n">
        <v>0.4747107967613795</v>
      </c>
      <c r="R103" t="n">
        <v>1.937990920631694</v>
      </c>
      <c r="S103" t="n">
        <v>1.519260684219059</v>
      </c>
      <c r="T103" t="n">
        <v>4.729829750123526</v>
      </c>
      <c r="U103" t="n">
        <v>4.026052082652853</v>
      </c>
      <c r="V103" t="n">
        <v>0.9907127146691064</v>
      </c>
      <c r="W103" t="n">
        <v>-0.147046165075948</v>
      </c>
      <c r="X103" t="n">
        <v>0.9117073831484079</v>
      </c>
      <c r="Y103" t="n">
        <v>1.723139118365991</v>
      </c>
      <c r="Z103" t="n">
        <v>2.382391382910543</v>
      </c>
      <c r="AA103" t="n">
        <v>5.61376895664738</v>
      </c>
      <c r="AB103" t="n">
        <v>3.097823107526776</v>
      </c>
      <c r="AC103" t="n">
        <v>0.9167901036526205</v>
      </c>
      <c r="AD103" t="n">
        <v>1.572084374754246</v>
      </c>
      <c r="AE103" t="n">
        <v>1.672637595567039</v>
      </c>
      <c r="AF103" t="n">
        <v>1.8052136632416</v>
      </c>
      <c r="AG103" t="n">
        <v>1.936554090451748</v>
      </c>
      <c r="AH103" t="n">
        <v>1.816928648121752</v>
      </c>
      <c r="AI103" t="n">
        <v>1.826812758772545</v>
      </c>
      <c r="AJ103" t="n">
        <v>1.999995085090278</v>
      </c>
      <c r="AK103" t="n">
        <v>1.999992622325175</v>
      </c>
      <c r="AL103" t="n">
        <v>1.999993492563812</v>
      </c>
      <c r="AM103" t="n">
        <v>1.999987558325222</v>
      </c>
      <c r="AN103" t="n">
        <v>1.99998767893288</v>
      </c>
      <c r="AO103" t="n">
        <v>1.999995901473106</v>
      </c>
      <c r="AP103" t="n">
        <v>1.999990845437472</v>
      </c>
      <c r="AQ103" t="n">
        <v>1.999985833664386</v>
      </c>
      <c r="AR103" t="n">
        <v>1.999996061601705</v>
      </c>
      <c r="AS103" t="n">
        <v>1.999989757573806</v>
      </c>
      <c r="AT103" t="n">
        <v>1.999988070146608</v>
      </c>
      <c r="AU103" t="n">
        <v>1.999992987365729</v>
      </c>
      <c r="AV103" t="n">
        <v>1.999995739809002</v>
      </c>
      <c r="AW103" t="n">
        <v>1.999988263568442</v>
      </c>
    </row>
    <row r="104">
      <c r="A104" t="inlineStr">
        <is>
          <t>Dominica_2018_August</t>
        </is>
      </c>
      <c r="C104" t="inlineStr">
        <is>
          <t>SM.18.139</t>
        </is>
      </c>
      <c r="D104" t="inlineStr">
        <is>
          <t>Dominica</t>
        </is>
      </c>
      <c r="E104" t="inlineStr">
        <is>
          <t>DMA</t>
        </is>
      </c>
      <c r="F104" s="11" t="n">
        <v>43255</v>
      </c>
      <c r="G104" t="inlineStr">
        <is>
          <t>2013gn</t>
        </is>
      </c>
      <c r="H104" t="n">
        <v>2017</v>
      </c>
      <c r="I104" t="inlineStr">
        <is>
          <t>real.gdp.gwth</t>
        </is>
      </c>
      <c r="M104" t="inlineStr">
        <is>
          <t>GDP deflator index (dollars)</t>
        </is>
      </c>
      <c r="P104" t="n">
        <v>36.44549809999308</v>
      </c>
      <c r="Q104" t="n">
        <v>36.6185088144072</v>
      </c>
      <c r="R104" t="n">
        <v>37.32817219050114</v>
      </c>
      <c r="S104" t="n">
        <v>37.89528443472901</v>
      </c>
      <c r="T104" t="n">
        <v>39.68766687181675</v>
      </c>
      <c r="U104" t="n">
        <v>41.28551301046587</v>
      </c>
      <c r="V104" t="n">
        <v>41.69453383717693</v>
      </c>
      <c r="W104" t="n">
        <v>41.63322362412308</v>
      </c>
      <c r="X104" t="n">
        <v>42.01279679774688</v>
      </c>
      <c r="Y104" t="n">
        <v>42.73673573408848</v>
      </c>
      <c r="Z104" t="n">
        <v>43.75489204355464</v>
      </c>
      <c r="AA104" t="n">
        <v>46.21119059011029</v>
      </c>
      <c r="AB104" t="n">
        <v>47.64273153047397</v>
      </c>
      <c r="AC104" t="n">
        <v>48.07951537825513</v>
      </c>
      <c r="AD104" t="n">
        <v>48.83536592697425</v>
      </c>
      <c r="AE104" t="n">
        <v>49.65220461740155</v>
      </c>
      <c r="AF104" t="n">
        <v>50.54853299925556</v>
      </c>
      <c r="AG104" t="n">
        <v>51.52743268271599</v>
      </c>
      <c r="AH104" t="n">
        <v>52.46364936876991</v>
      </c>
      <c r="AI104" t="n">
        <v>53.42206200915628</v>
      </c>
      <c r="AJ104" t="n">
        <v>54.49050062369329</v>
      </c>
      <c r="AK104" t="n">
        <v>55.58030661603522</v>
      </c>
      <c r="AL104" t="n">
        <v>56.69190913150294</v>
      </c>
      <c r="AM104" t="n">
        <v>57.82574026071003</v>
      </c>
      <c r="AN104" t="n">
        <v>58.98224794117598</v>
      </c>
      <c r="AO104" t="n">
        <v>60.16189048259621</v>
      </c>
      <c r="AP104" t="n">
        <v>61.36512278469026</v>
      </c>
      <c r="AQ104" t="n">
        <v>62.59241654719479</v>
      </c>
      <c r="AR104" t="n">
        <v>63.84426241300002</v>
      </c>
      <c r="AS104" t="n">
        <v>65.12114112205857</v>
      </c>
      <c r="AT104" t="n">
        <v>66.42355617564309</v>
      </c>
      <c r="AU104" t="n">
        <v>67.75202264111488</v>
      </c>
      <c r="AV104" t="n">
        <v>69.10706020757161</v>
      </c>
      <c r="AW104" t="n">
        <v>70.48919330102021</v>
      </c>
    </row>
    <row r="105">
      <c r="A105" t="inlineStr">
        <is>
          <t>Dominica_2018_August</t>
        </is>
      </c>
      <c r="C105" t="inlineStr">
        <is>
          <t>SM.18.139</t>
        </is>
      </c>
      <c r="D105" t="inlineStr">
        <is>
          <t>Dominica</t>
        </is>
      </c>
      <c r="E105" t="inlineStr">
        <is>
          <t>DMA</t>
        </is>
      </c>
      <c r="F105" s="11" t="n">
        <v>43255</v>
      </c>
      <c r="G105" t="inlineStr">
        <is>
          <t>2013gn</t>
        </is>
      </c>
      <c r="H105" t="n">
        <v>2017</v>
      </c>
      <c r="I105" t="inlineStr">
        <is>
          <t>gdp.def.lcu</t>
        </is>
      </c>
      <c r="M105" t="inlineStr">
        <is>
          <t>Change in GDP Deflator factor (percent)</t>
        </is>
      </c>
      <c r="P105" t="inlineStr">
        <is>
          <t>...</t>
        </is>
      </c>
      <c r="Q105" t="n">
        <v>0.4747107967613573</v>
      </c>
      <c r="R105" t="n">
        <v>1.937990920631716</v>
      </c>
      <c r="S105" t="n">
        <v>1.519260684219059</v>
      </c>
      <c r="T105" t="n">
        <v>4.729829750123504</v>
      </c>
      <c r="U105" t="n">
        <v>4.026052082652876</v>
      </c>
      <c r="V105" t="n">
        <v>0.9907127146691064</v>
      </c>
      <c r="W105" t="n">
        <v>-0.1470461650759258</v>
      </c>
      <c r="X105" t="n">
        <v>0.9117073831483857</v>
      </c>
      <c r="Y105" t="n">
        <v>1.723139118366013</v>
      </c>
      <c r="Z105" t="n">
        <v>2.38239138291052</v>
      </c>
      <c r="AA105" t="n">
        <v>5.613768956647402</v>
      </c>
      <c r="AB105" t="n">
        <v>3.097823107526776</v>
      </c>
      <c r="AC105" t="n">
        <v>0.9167901036525983</v>
      </c>
      <c r="AD105" t="n">
        <v>1.572084374754246</v>
      </c>
      <c r="AE105" t="n">
        <v>1.672637595567039</v>
      </c>
      <c r="AF105" t="n">
        <v>1.8052136632416</v>
      </c>
      <c r="AG105" t="n">
        <v>1.936554090451748</v>
      </c>
      <c r="AH105" t="n">
        <v>1.816928648121752</v>
      </c>
      <c r="AI105" t="n">
        <v>1.826812758772522</v>
      </c>
      <c r="AJ105" t="n">
        <v>1.9999950850903</v>
      </c>
      <c r="AK105" t="n">
        <v>1.999992622325197</v>
      </c>
      <c r="AL105" t="n">
        <v>1.999993492563812</v>
      </c>
      <c r="AM105" t="n">
        <v>1.999987558325222</v>
      </c>
      <c r="AN105" t="n">
        <v>1.999987678932902</v>
      </c>
      <c r="AO105" t="n">
        <v>1.999995901473106</v>
      </c>
      <c r="AP105" t="n">
        <v>1.999990845437494</v>
      </c>
      <c r="AQ105" t="n">
        <v>1.999985833664342</v>
      </c>
      <c r="AR105" t="n">
        <v>1.999996061601683</v>
      </c>
      <c r="AS105" t="n">
        <v>1.999989757573828</v>
      </c>
      <c r="AT105" t="n">
        <v>1.999988070146608</v>
      </c>
      <c r="AU105" t="n">
        <v>1.999992987365729</v>
      </c>
      <c r="AV105" t="n">
        <v>1.999995739809002</v>
      </c>
      <c r="AW105" t="n">
        <v>1.999988263568442</v>
      </c>
    </row>
    <row r="106">
      <c r="A106" t="inlineStr">
        <is>
          <t>Dominica_2018_August</t>
        </is>
      </c>
      <c r="C106" t="inlineStr">
        <is>
          <t>SM.18.139</t>
        </is>
      </c>
      <c r="D106" t="inlineStr">
        <is>
          <t>Dominica</t>
        </is>
      </c>
      <c r="E106" t="inlineStr">
        <is>
          <t>DMA</t>
        </is>
      </c>
      <c r="F106" s="11" t="n">
        <v>43255</v>
      </c>
      <c r="G106" t="inlineStr">
        <is>
          <t>2013gn</t>
        </is>
      </c>
      <c r="H106" t="n">
        <v>2017</v>
      </c>
      <c r="I106" t="inlineStr">
        <is>
          <t>dlta.gdp.def.lcu</t>
        </is>
      </c>
      <c r="M106" t="inlineStr">
        <is>
          <t>US GDP Deflator (percent change)</t>
        </is>
      </c>
      <c r="Q106" t="n">
        <v>2.749910419551438</v>
      </c>
      <c r="R106" t="n">
        <v>3.217295350216332</v>
      </c>
      <c r="S106" t="n">
        <v>3.072731151923835</v>
      </c>
      <c r="T106" t="n">
        <v>2.66094671445416</v>
      </c>
      <c r="U106" t="n">
        <v>1.961633997288814</v>
      </c>
      <c r="V106" t="n">
        <v>0.7594097003450262</v>
      </c>
      <c r="W106" t="n">
        <v>1.221782938907068</v>
      </c>
      <c r="X106" t="n">
        <v>2.064299831609984</v>
      </c>
      <c r="Y106" t="n">
        <v>1.842107593385478</v>
      </c>
      <c r="Z106" t="n">
        <v>1.614921808905834</v>
      </c>
      <c r="AA106" t="n">
        <v>1.79476998854835</v>
      </c>
      <c r="AB106" t="n">
        <v>1.084307262934181</v>
      </c>
      <c r="AC106" t="n">
        <v>1.275882496374137</v>
      </c>
      <c r="AD106" t="n">
        <v>1.800262560656951</v>
      </c>
      <c r="AE106" t="n">
        <v>2.632209683314546</v>
      </c>
      <c r="AF106" t="n">
        <v>2.4680925780874</v>
      </c>
      <c r="AG106" t="n">
        <v>2.0018560167405</v>
      </c>
      <c r="AH106" t="n">
        <v>1.960298183359344</v>
      </c>
      <c r="AI106" t="n">
        <v>1.819285303096563</v>
      </c>
      <c r="AJ106" t="n">
        <v>1.84791993116542</v>
      </c>
      <c r="AK106" t="n">
        <v>1.84791993116542</v>
      </c>
      <c r="AL106" t="n">
        <v>1.84791993116542</v>
      </c>
      <c r="AM106" t="n">
        <v>1.84791993116542</v>
      </c>
      <c r="AN106" t="n">
        <v>1.84791993116542</v>
      </c>
      <c r="AO106" t="n">
        <v>1.84791993116542</v>
      </c>
      <c r="AP106" t="n">
        <v>1.84791993116542</v>
      </c>
      <c r="AQ106" t="n">
        <v>1.84791993116542</v>
      </c>
      <c r="AR106" t="n">
        <v>1.84791993116542</v>
      </c>
      <c r="AS106" t="n">
        <v>1.84791993116542</v>
      </c>
      <c r="AT106" t="n">
        <v>1.84791993116542</v>
      </c>
      <c r="AU106" t="n">
        <v>1.84791993116542</v>
      </c>
      <c r="AV106" t="n">
        <v>1.84791993116542</v>
      </c>
      <c r="AW106" t="n">
        <v>1.84791993116542</v>
      </c>
    </row>
    <row r="107">
      <c r="A107" t="inlineStr">
        <is>
          <t>Dominica_2018_August</t>
        </is>
      </c>
      <c r="C107" t="inlineStr">
        <is>
          <t>SM.18.139</t>
        </is>
      </c>
      <c r="D107" t="inlineStr">
        <is>
          <t>Dominica</t>
        </is>
      </c>
      <c r="E107" t="inlineStr">
        <is>
          <t>DMA</t>
        </is>
      </c>
      <c r="F107" s="11" t="n">
        <v>43255</v>
      </c>
      <c r="G107" t="inlineStr">
        <is>
          <t>2013gn</t>
        </is>
      </c>
      <c r="H107" t="n">
        <v>2017</v>
      </c>
      <c r="I107" t="inlineStr">
        <is>
          <t>gdp.def.usd</t>
        </is>
      </c>
      <c r="M107" t="inlineStr">
        <is>
          <t>Exchange rate dollar/NC</t>
        </is>
      </c>
      <c r="P107" t="n">
        <v>0.3703703703703703</v>
      </c>
      <c r="Q107" t="n">
        <v>0.3703703703703703</v>
      </c>
      <c r="R107" t="n">
        <v>0.3703703703703703</v>
      </c>
      <c r="S107" t="n">
        <v>0.3703703703703703</v>
      </c>
      <c r="T107" t="n">
        <v>0.3703703703703703</v>
      </c>
      <c r="U107" t="n">
        <v>0.3703703703703703</v>
      </c>
      <c r="V107" t="n">
        <v>0.3703703703703703</v>
      </c>
      <c r="W107" t="n">
        <v>0.3703703703703703</v>
      </c>
      <c r="X107" t="n">
        <v>0.3703703703703703</v>
      </c>
      <c r="Y107" t="n">
        <v>0.3703703703703703</v>
      </c>
      <c r="Z107" t="n">
        <v>0.3703703703703703</v>
      </c>
      <c r="AA107" t="n">
        <v>0.3703703703703703</v>
      </c>
      <c r="AB107" t="n">
        <v>0.3703703703703703</v>
      </c>
      <c r="AC107" t="n">
        <v>0.3703703703703703</v>
      </c>
      <c r="AD107" t="n">
        <v>0.3703703703703703</v>
      </c>
      <c r="AE107" t="n">
        <v>0.3703703703703703</v>
      </c>
      <c r="AF107" t="n">
        <v>0.3703703703703703</v>
      </c>
      <c r="AG107" t="n">
        <v>0.3703703703703703</v>
      </c>
      <c r="AH107" t="n">
        <v>0.3703703703703703</v>
      </c>
      <c r="AI107" t="n">
        <v>0.3703703703703703</v>
      </c>
      <c r="AJ107" t="n">
        <v>0.3703703703703703</v>
      </c>
      <c r="AK107" t="n">
        <v>0.3703703703703703</v>
      </c>
      <c r="AL107" t="n">
        <v>0.3703703703703703</v>
      </c>
      <c r="AM107" t="n">
        <v>0.3703703703703703</v>
      </c>
      <c r="AN107" t="n">
        <v>0.3703703703703703</v>
      </c>
      <c r="AO107" t="n">
        <v>0.3703703703703703</v>
      </c>
      <c r="AP107" t="n">
        <v>0.3703703703703703</v>
      </c>
      <c r="AQ107" t="n">
        <v>0.3703703703703703</v>
      </c>
      <c r="AR107" t="n">
        <v>0.3703703703703703</v>
      </c>
      <c r="AS107" t="n">
        <v>0.3703703703703703</v>
      </c>
      <c r="AT107" t="n">
        <v>0.3703703703703703</v>
      </c>
      <c r="AU107" t="n">
        <v>0.3703703703703703</v>
      </c>
      <c r="AV107" t="n">
        <v>0.3703703703703703</v>
      </c>
      <c r="AW107" t="n">
        <v>0.3703703703703703</v>
      </c>
    </row>
    <row r="108">
      <c r="A108" t="inlineStr">
        <is>
          <t>Dominica_2018_August</t>
        </is>
      </c>
      <c r="C108" t="inlineStr">
        <is>
          <t>SM.18.139</t>
        </is>
      </c>
      <c r="D108" t="inlineStr">
        <is>
          <t>Dominica</t>
        </is>
      </c>
      <c r="E108" t="inlineStr">
        <is>
          <t>DMA</t>
        </is>
      </c>
      <c r="F108" s="11" t="n">
        <v>43255</v>
      </c>
      <c r="G108" t="inlineStr">
        <is>
          <t>2013gn</t>
        </is>
      </c>
      <c r="H108" t="n">
        <v>2017</v>
      </c>
      <c r="I108" t="inlineStr">
        <is>
          <t>dlta.gdp.def.usd</t>
        </is>
      </c>
      <c r="M108" t="inlineStr">
        <is>
          <t>Depreciation of NC</t>
        </is>
      </c>
      <c r="P108" t="inlineStr">
        <is>
          <t>...</t>
        </is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</row>
    <row r="109">
      <c r="A109" t="inlineStr">
        <is>
          <t>Dominica_2018_August</t>
        </is>
      </c>
      <c r="C109" t="inlineStr">
        <is>
          <t>SM.18.139</t>
        </is>
      </c>
      <c r="D109" t="inlineStr">
        <is>
          <t>Dominica</t>
        </is>
      </c>
      <c r="E109" t="inlineStr">
        <is>
          <t>DMA</t>
        </is>
      </c>
      <c r="F109" s="11" t="n">
        <v>43255</v>
      </c>
      <c r="G109" t="inlineStr">
        <is>
          <t>2013gn</t>
        </is>
      </c>
      <c r="H109" t="n">
        <v>2017</v>
      </c>
      <c r="I109" t="inlineStr">
        <is>
          <t>gdp.def.usd.gwth</t>
        </is>
      </c>
    </row>
    <row r="110">
      <c r="A110" t="inlineStr">
        <is>
          <t>Dominica_2018_August</t>
        </is>
      </c>
      <c r="C110" t="inlineStr">
        <is>
          <t>SM.18.139</t>
        </is>
      </c>
      <c r="D110" t="inlineStr">
        <is>
          <t>Dominica</t>
        </is>
      </c>
      <c r="E110" t="inlineStr">
        <is>
          <t>DMA</t>
        </is>
      </c>
      <c r="F110" s="11" t="n">
        <v>43255</v>
      </c>
      <c r="G110" t="inlineStr">
        <is>
          <t>2013gn</t>
        </is>
      </c>
      <c r="H110" t="n">
        <v>2017</v>
      </c>
      <c r="I110" t="inlineStr">
        <is>
          <t>exc.rat.usd2lcu</t>
        </is>
      </c>
      <c r="N110" t="inlineStr">
        <is>
          <t xml:space="preserve">1/ Includes arrears </t>
        </is>
      </c>
    </row>
    <row r="111">
      <c r="A111" t="inlineStr">
        <is>
          <t>Dominica_2018_August</t>
        </is>
      </c>
      <c r="C111" t="inlineStr">
        <is>
          <t>SM.18.139</t>
        </is>
      </c>
      <c r="D111" t="inlineStr">
        <is>
          <t>Dominica</t>
        </is>
      </c>
      <c r="E111" t="inlineStr">
        <is>
          <t>DMA</t>
        </is>
      </c>
      <c r="F111" s="11" t="n">
        <v>43255</v>
      </c>
      <c r="G111" t="inlineStr">
        <is>
          <t>2013gn</t>
        </is>
      </c>
      <c r="H111" t="n">
        <v>2017</v>
      </c>
      <c r="I111" t="inlineStr">
        <is>
          <t>depr.rat.lcu</t>
        </is>
      </c>
    </row>
    <row r="112">
      <c r="A112" t="inlineStr">
        <is>
          <t>Dominica_2018_August</t>
        </is>
      </c>
      <c r="C112" t="inlineStr">
        <is>
          <t>SM.18.139</t>
        </is>
      </c>
      <c r="D112" t="inlineStr">
        <is>
          <t>Dominica</t>
        </is>
      </c>
      <c r="E112" t="inlineStr">
        <is>
          <t>DMA</t>
        </is>
      </c>
      <c r="F112" s="11" t="n">
        <v>43255</v>
      </c>
      <c r="G112" t="inlineStr">
        <is>
          <t>2013gn</t>
        </is>
      </c>
      <c r="H112" t="n">
        <v>2017</v>
      </c>
    </row>
    <row r="113">
      <c r="A113" t="inlineStr">
        <is>
          <t>Dominica_2018_August</t>
        </is>
      </c>
      <c r="C113" t="inlineStr">
        <is>
          <t>SM.18.139</t>
        </is>
      </c>
      <c r="D113" t="inlineStr">
        <is>
          <t>Dominica</t>
        </is>
      </c>
      <c r="E113" t="inlineStr">
        <is>
          <t>DMA</t>
        </is>
      </c>
      <c r="F113" s="11" t="n">
        <v>43255</v>
      </c>
      <c r="G113" t="inlineStr">
        <is>
          <t>2013gn</t>
        </is>
      </c>
      <c r="H113" t="n">
        <v>2017</v>
      </c>
    </row>
    <row r="114">
      <c r="A114" t="inlineStr">
        <is>
          <t>Dominica_2018_August</t>
        </is>
      </c>
      <c r="C114" t="inlineStr">
        <is>
          <t>SM.18.139</t>
        </is>
      </c>
      <c r="D114" t="inlineStr">
        <is>
          <t>Dominica</t>
        </is>
      </c>
      <c r="E114" t="inlineStr">
        <is>
          <t>DMA</t>
        </is>
      </c>
      <c r="F114" s="11" t="n">
        <v>43255</v>
      </c>
      <c r="G114" t="inlineStr">
        <is>
          <t>2013gn</t>
        </is>
      </c>
      <c r="H114" t="n">
        <v>2017</v>
      </c>
    </row>
    <row r="115">
      <c r="A115" t="inlineStr">
        <is>
          <t>Dominica_2018_August</t>
        </is>
      </c>
      <c r="C115" t="inlineStr">
        <is>
          <t>SM.18.139</t>
        </is>
      </c>
      <c r="D115" t="inlineStr">
        <is>
          <t>Dominica</t>
        </is>
      </c>
      <c r="E115" t="inlineStr">
        <is>
          <t>DMA</t>
        </is>
      </c>
      <c r="F115" s="11" t="n">
        <v>43255</v>
      </c>
      <c r="G115" t="inlineStr">
        <is>
          <t>2013gn</t>
        </is>
      </c>
      <c r="H115" t="n">
        <v>2017</v>
      </c>
    </row>
    <row r="116">
      <c r="A116" t="inlineStr">
        <is>
          <t>Dominica_2018_August</t>
        </is>
      </c>
      <c r="C116" t="inlineStr">
        <is>
          <t>SM.18.139</t>
        </is>
      </c>
      <c r="D116" t="inlineStr">
        <is>
          <t>Dominica</t>
        </is>
      </c>
      <c r="E116" t="inlineStr">
        <is>
          <t>DMA</t>
        </is>
      </c>
      <c r="F116" s="11" t="n">
        <v>43255</v>
      </c>
      <c r="G116" t="inlineStr">
        <is>
          <t>2013gn</t>
        </is>
      </c>
      <c r="H116" t="n">
        <v>2017</v>
      </c>
      <c r="J116" t="inlineStr">
        <is>
          <t>ENG</t>
        </is>
      </c>
      <c r="M116" t="inlineStr">
        <is>
          <t>Please fill out the yellow cells</t>
        </is>
      </c>
      <c r="N116" t="inlineStr">
        <is>
          <t>Blue cells are populated automatically</t>
        </is>
      </c>
    </row>
    <row r="117">
      <c r="A117" t="inlineStr">
        <is>
          <t>Dominica_2018_August</t>
        </is>
      </c>
      <c r="C117" t="inlineStr">
        <is>
          <t>SM.18.139</t>
        </is>
      </c>
      <c r="D117" t="inlineStr">
        <is>
          <t>Dominica</t>
        </is>
      </c>
      <c r="E117" t="inlineStr">
        <is>
          <t>DMA</t>
        </is>
      </c>
      <c r="F117" s="11" t="n">
        <v>43255</v>
      </c>
      <c r="G117" t="inlineStr">
        <is>
          <t>2013gn</t>
        </is>
      </c>
      <c r="H117" t="n">
        <v>2017</v>
      </c>
    </row>
    <row r="118">
      <c r="A118" t="inlineStr">
        <is>
          <t>Dominica_2018_August</t>
        </is>
      </c>
      <c r="C118" t="inlineStr">
        <is>
          <t>SM.18.139</t>
        </is>
      </c>
      <c r="D118" t="inlineStr">
        <is>
          <t>Dominica</t>
        </is>
      </c>
      <c r="E118" t="inlineStr">
        <is>
          <t>DMA</t>
        </is>
      </c>
      <c r="F118" s="11" t="n">
        <v>43255</v>
      </c>
      <c r="G118" t="inlineStr">
        <is>
          <t>2013gn</t>
        </is>
      </c>
      <c r="H118" t="n">
        <v>2017</v>
      </c>
    </row>
    <row r="119">
      <c r="A119" t="inlineStr">
        <is>
          <t>Dominica_2018_August</t>
        </is>
      </c>
      <c r="C119" t="inlineStr">
        <is>
          <t>SM.18.139</t>
        </is>
      </c>
      <c r="D119" t="inlineStr">
        <is>
          <t>Dominica</t>
        </is>
      </c>
      <c r="E119" t="inlineStr">
        <is>
          <t>DMA</t>
        </is>
      </c>
      <c r="F119" s="11" t="n">
        <v>43255</v>
      </c>
      <c r="G119" t="inlineStr">
        <is>
          <t>2013gn</t>
        </is>
      </c>
      <c r="H119" t="n">
        <v>2017</v>
      </c>
      <c r="M119" t="inlineStr">
        <is>
          <t>CPIA rating</t>
        </is>
      </c>
      <c r="N119" t="inlineStr">
        <is>
          <t>Policy performance</t>
        </is>
      </c>
      <c r="O119" t="inlineStr">
        <is>
          <t>To include remittances as baseline:</t>
        </is>
      </c>
    </row>
    <row r="120">
      <c r="A120" t="inlineStr">
        <is>
          <t>Dominica_2018_August</t>
        </is>
      </c>
      <c r="C120" t="inlineStr">
        <is>
          <t>SM.18.139</t>
        </is>
      </c>
      <c r="D120" t="inlineStr">
        <is>
          <t>Dominica</t>
        </is>
      </c>
      <c r="E120" t="inlineStr">
        <is>
          <t>DMA</t>
        </is>
      </c>
      <c r="F120" s="11" t="n">
        <v>43255</v>
      </c>
      <c r="G120" t="inlineStr">
        <is>
          <t>2013gn</t>
        </is>
      </c>
      <c r="H120" t="n">
        <v>2017</v>
      </c>
      <c r="M120" t="inlineStr">
        <is>
          <t>EXTERNAL debt burden thresholds</t>
        </is>
      </c>
      <c r="N120" t="inlineStr">
        <is>
          <t>Without remittances</t>
        </is>
      </c>
      <c r="O120" t="inlineStr">
        <is>
          <t>With remittances</t>
        </is>
      </c>
    </row>
    <row r="121">
      <c r="A121" t="inlineStr">
        <is>
          <t>Dominica_2018_August</t>
        </is>
      </c>
      <c r="C121" t="inlineStr">
        <is>
          <t>SM.18.139</t>
        </is>
      </c>
      <c r="D121" t="inlineStr">
        <is>
          <t>Dominica</t>
        </is>
      </c>
      <c r="E121" t="inlineStr">
        <is>
          <t>DMA</t>
        </is>
      </c>
      <c r="F121" s="11" t="n">
        <v>43255</v>
      </c>
      <c r="G121" t="inlineStr">
        <is>
          <t>2013gn</t>
        </is>
      </c>
      <c r="H121" t="n">
        <v>2017</v>
      </c>
      <c r="M121" t="inlineStr">
        <is>
          <t>PV of debt in % of</t>
        </is>
      </c>
    </row>
    <row r="122">
      <c r="A122" t="inlineStr">
        <is>
          <t>Dominica_2018_August</t>
        </is>
      </c>
      <c r="C122" t="inlineStr">
        <is>
          <t>SM.18.139</t>
        </is>
      </c>
      <c r="D122" t="inlineStr">
        <is>
          <t>Dominica</t>
        </is>
      </c>
      <c r="E122" t="inlineStr">
        <is>
          <t>DMA</t>
        </is>
      </c>
      <c r="F122" s="11" t="n">
        <v>43255</v>
      </c>
      <c r="G122" t="inlineStr">
        <is>
          <t>2013gn</t>
        </is>
      </c>
      <c r="H122" t="n">
        <v>2017</v>
      </c>
      <c r="M122" t="inlineStr">
        <is>
          <t>Exports</t>
        </is>
      </c>
    </row>
    <row r="123">
      <c r="A123" t="inlineStr">
        <is>
          <t>Dominica_2018_August</t>
        </is>
      </c>
      <c r="C123" t="inlineStr">
        <is>
          <t>SM.18.139</t>
        </is>
      </c>
      <c r="D123" t="inlineStr">
        <is>
          <t>Dominica</t>
        </is>
      </c>
      <c r="E123" t="inlineStr">
        <is>
          <t>DMA</t>
        </is>
      </c>
      <c r="F123" s="11" t="n">
        <v>43255</v>
      </c>
      <c r="G123" t="inlineStr">
        <is>
          <t>2013gn</t>
        </is>
      </c>
      <c r="H123" t="n">
        <v>2017</v>
      </c>
      <c r="M123" t="inlineStr">
        <is>
          <t>GDP</t>
        </is>
      </c>
    </row>
    <row r="124">
      <c r="A124" t="inlineStr">
        <is>
          <t>Dominica_2018_August</t>
        </is>
      </c>
      <c r="C124" t="inlineStr">
        <is>
          <t>SM.18.139</t>
        </is>
      </c>
      <c r="D124" t="inlineStr">
        <is>
          <t>Dominica</t>
        </is>
      </c>
      <c r="E124" t="inlineStr">
        <is>
          <t>DMA</t>
        </is>
      </c>
      <c r="F124" s="11" t="n">
        <v>43255</v>
      </c>
      <c r="G124" t="inlineStr">
        <is>
          <t>2013gn</t>
        </is>
      </c>
      <c r="H124" t="n">
        <v>2017</v>
      </c>
      <c r="M124" t="inlineStr">
        <is>
          <t>Revenue</t>
        </is>
      </c>
    </row>
    <row r="125">
      <c r="A125" t="inlineStr">
        <is>
          <t>Dominica_2018_August</t>
        </is>
      </c>
      <c r="C125" t="inlineStr">
        <is>
          <t>SM.18.139</t>
        </is>
      </c>
      <c r="D125" t="inlineStr">
        <is>
          <t>Dominica</t>
        </is>
      </c>
      <c r="E125" t="inlineStr">
        <is>
          <t>DMA</t>
        </is>
      </c>
      <c r="F125" s="11" t="n">
        <v>43255</v>
      </c>
      <c r="G125" t="inlineStr">
        <is>
          <t>2013gn</t>
        </is>
      </c>
      <c r="H125" t="n">
        <v>2017</v>
      </c>
      <c r="M125" t="inlineStr">
        <is>
          <t>Debt service in % of</t>
        </is>
      </c>
    </row>
    <row r="126">
      <c r="A126" t="inlineStr">
        <is>
          <t>Dominica_2018_August</t>
        </is>
      </c>
      <c r="C126" t="inlineStr">
        <is>
          <t>SM.18.139</t>
        </is>
      </c>
      <c r="D126" t="inlineStr">
        <is>
          <t>Dominica</t>
        </is>
      </c>
      <c r="E126" t="inlineStr">
        <is>
          <t>DMA</t>
        </is>
      </c>
      <c r="F126" s="11" t="n">
        <v>43255</v>
      </c>
      <c r="G126" t="inlineStr">
        <is>
          <t>2013gn</t>
        </is>
      </c>
      <c r="H126" t="n">
        <v>2017</v>
      </c>
      <c r="M126" t="inlineStr">
        <is>
          <t>Exports</t>
        </is>
      </c>
    </row>
    <row r="127">
      <c r="A127" t="inlineStr">
        <is>
          <t>Dominica_2018_August</t>
        </is>
      </c>
      <c r="C127" t="inlineStr">
        <is>
          <t>SM.18.139</t>
        </is>
      </c>
      <c r="D127" t="inlineStr">
        <is>
          <t>Dominica</t>
        </is>
      </c>
      <c r="E127" t="inlineStr">
        <is>
          <t>DMA</t>
        </is>
      </c>
      <c r="F127" s="11" t="n">
        <v>43255</v>
      </c>
      <c r="G127" t="inlineStr">
        <is>
          <t>2013gn</t>
        </is>
      </c>
      <c r="H127" t="n">
        <v>2017</v>
      </c>
      <c r="M127" t="inlineStr">
        <is>
          <t>Revenue</t>
        </is>
      </c>
    </row>
    <row r="128">
      <c r="A128" t="inlineStr">
        <is>
          <t>Dominica_2018_August</t>
        </is>
      </c>
      <c r="C128" t="inlineStr">
        <is>
          <t>SM.18.139</t>
        </is>
      </c>
      <c r="D128" t="inlineStr">
        <is>
          <t>Dominica</t>
        </is>
      </c>
      <c r="E128" t="inlineStr">
        <is>
          <t>DMA</t>
        </is>
      </c>
      <c r="F128" s="11" t="n">
        <v>43255</v>
      </c>
      <c r="G128" t="inlineStr">
        <is>
          <t>2013gn</t>
        </is>
      </c>
      <c r="H128" t="n">
        <v>2017</v>
      </c>
      <c r="M128" t="inlineStr">
        <is>
          <t>TOTAL public debt benchmark</t>
        </is>
      </c>
    </row>
    <row r="129">
      <c r="A129" t="inlineStr">
        <is>
          <t>Dominica_2018_August</t>
        </is>
      </c>
      <c r="C129" t="inlineStr">
        <is>
          <t>SM.18.139</t>
        </is>
      </c>
      <c r="D129" t="inlineStr">
        <is>
          <t>Dominica</t>
        </is>
      </c>
      <c r="E129" t="inlineStr">
        <is>
          <t>DMA</t>
        </is>
      </c>
      <c r="F129" s="11" t="n">
        <v>43255</v>
      </c>
      <c r="G129" t="inlineStr">
        <is>
          <t>2013gn</t>
        </is>
      </c>
      <c r="H129" t="n">
        <v>2017</v>
      </c>
      <c r="M129" t="inlineStr">
        <is>
          <t>PV of total public debt in percent of GDP</t>
        </is>
      </c>
    </row>
    <row r="130">
      <c r="A130" t="inlineStr">
        <is>
          <t>Dominica_2018_August</t>
        </is>
      </c>
      <c r="C130" t="inlineStr">
        <is>
          <t>SM.18.139</t>
        </is>
      </c>
      <c r="D130" t="inlineStr">
        <is>
          <t>Dominica</t>
        </is>
      </c>
      <c r="E130" t="inlineStr">
        <is>
          <t>DMA</t>
        </is>
      </c>
      <c r="F130" s="11" t="n">
        <v>43255</v>
      </c>
      <c r="G130" t="inlineStr">
        <is>
          <t>2013gn</t>
        </is>
      </c>
      <c r="H130" t="n">
        <v>2017</v>
      </c>
      <c r="M130" t="inlineStr">
        <is>
          <t>External debt distress rating</t>
        </is>
      </c>
      <c r="AA130" t="inlineStr">
        <is>
          <t>First year of projections</t>
        </is>
      </c>
    </row>
    <row r="131">
      <c r="A131" t="inlineStr">
        <is>
          <t>Dominica_2018_August</t>
        </is>
      </c>
      <c r="C131" t="inlineStr">
        <is>
          <t>SM.18.139</t>
        </is>
      </c>
      <c r="D131" t="inlineStr">
        <is>
          <t>Dominica</t>
        </is>
      </c>
      <c r="E131" t="inlineStr">
        <is>
          <t>DMA</t>
        </is>
      </c>
      <c r="F131" s="11" t="n">
        <v>43255</v>
      </c>
      <c r="G131" t="inlineStr">
        <is>
          <t>2013gn</t>
        </is>
      </c>
      <c r="H131" t="n">
        <v>2017</v>
      </c>
      <c r="N131" t="inlineStr">
        <is>
          <t xml:space="preserve">Medium and Long Term (MLT) </t>
        </is>
      </c>
    </row>
    <row r="132">
      <c r="A132" t="inlineStr">
        <is>
          <t>Dominica_2018_August</t>
        </is>
      </c>
      <c r="C132" t="inlineStr">
        <is>
          <t>SM.18.139</t>
        </is>
      </c>
      <c r="D132" t="inlineStr">
        <is>
          <t>Dominica</t>
        </is>
      </c>
      <c r="E132" t="inlineStr">
        <is>
          <t>DMA</t>
        </is>
      </c>
      <c r="F132" s="11" t="n">
        <v>43255</v>
      </c>
      <c r="G132" t="inlineStr">
        <is>
          <t>2013gn</t>
        </is>
      </c>
      <c r="H132" t="n">
        <v>2017</v>
      </c>
      <c r="N132" t="inlineStr">
        <is>
          <t>Medium and Long Term (MLT) external</t>
        </is>
      </c>
    </row>
    <row r="133">
      <c r="A133" t="inlineStr">
        <is>
          <t>Dominica_2018_August</t>
        </is>
      </c>
      <c r="C133" t="inlineStr">
        <is>
          <t>SM.18.139</t>
        </is>
      </c>
      <c r="D133" t="inlineStr">
        <is>
          <t>Dominica</t>
        </is>
      </c>
      <c r="E133" t="inlineStr">
        <is>
          <t>DMA</t>
        </is>
      </c>
      <c r="F133" s="11" t="n">
        <v>43255</v>
      </c>
      <c r="G133" t="inlineStr">
        <is>
          <t>2013gn</t>
        </is>
      </c>
      <c r="H133" t="n">
        <v>2017</v>
      </c>
      <c r="N133" t="inlineStr">
        <is>
          <t>Short Term</t>
        </is>
      </c>
    </row>
    <row r="134">
      <c r="A134" t="inlineStr">
        <is>
          <t>Dominica_2018_August</t>
        </is>
      </c>
      <c r="C134" t="inlineStr">
        <is>
          <t>SM.18.139</t>
        </is>
      </c>
      <c r="D134" t="inlineStr">
        <is>
          <t>Dominica</t>
        </is>
      </c>
      <c r="E134" t="inlineStr">
        <is>
          <t>DMA</t>
        </is>
      </c>
      <c r="F134" s="11" t="n">
        <v>43255</v>
      </c>
      <c r="G134" t="inlineStr">
        <is>
          <t>2013gn</t>
        </is>
      </c>
      <c r="H134" t="n">
        <v>2017</v>
      </c>
      <c r="L134" t="inlineStr">
        <is>
          <t>Units</t>
        </is>
      </c>
      <c r="M134" t="inlineStr">
        <is>
          <t>Scale</t>
        </is>
      </c>
      <c r="N134" t="inlineStr">
        <is>
          <t>Descriptor</t>
        </is>
      </c>
    </row>
    <row r="135">
      <c r="A135" t="inlineStr">
        <is>
          <t>Dominica_2018_August</t>
        </is>
      </c>
      <c r="C135" t="inlineStr">
        <is>
          <t>SM.18.139</t>
        </is>
      </c>
      <c r="D135" t="inlineStr">
        <is>
          <t>Dominica</t>
        </is>
      </c>
      <c r="E135" t="inlineStr">
        <is>
          <t>DMA</t>
        </is>
      </c>
      <c r="F135" s="11" t="n">
        <v>43255</v>
      </c>
      <c r="G135" t="inlineStr">
        <is>
          <t>2013gn</t>
        </is>
      </c>
      <c r="H135" t="n">
        <v>2017</v>
      </c>
      <c r="L135" t="inlineStr">
        <is>
          <t>US Dollars</t>
        </is>
      </c>
      <c r="M135" t="inlineStr">
        <is>
          <t>Billions</t>
        </is>
      </c>
      <c r="N135" t="inlineStr">
        <is>
          <t>Total MLT debt outstanding at year-end 1/</t>
        </is>
      </c>
    </row>
    <row r="136">
      <c r="A136" t="inlineStr">
        <is>
          <t>Dominica_2018_August</t>
        </is>
      </c>
      <c r="C136" t="inlineStr">
        <is>
          <t>SM.18.139</t>
        </is>
      </c>
      <c r="D136" t="inlineStr">
        <is>
          <t>Dominica</t>
        </is>
      </c>
      <c r="E136" t="inlineStr">
        <is>
          <t>DMA</t>
        </is>
      </c>
      <c r="F136" s="11" t="n">
        <v>43255</v>
      </c>
      <c r="G136" t="inlineStr">
        <is>
          <t>2013gn</t>
        </is>
      </c>
      <c r="H136" t="n">
        <v>2017</v>
      </c>
      <c r="L136" t="inlineStr">
        <is>
          <t>US Dollars</t>
        </is>
      </c>
      <c r="M136" t="inlineStr">
        <is>
          <t>Billions</t>
        </is>
      </c>
      <c r="N136" t="inlineStr">
        <is>
          <t>Private sector external debt</t>
        </is>
      </c>
    </row>
    <row r="137">
      <c r="A137" t="inlineStr">
        <is>
          <t>Dominica_2018_August</t>
        </is>
      </c>
      <c r="C137" t="inlineStr">
        <is>
          <t>SM.18.139</t>
        </is>
      </c>
      <c r="D137" t="inlineStr">
        <is>
          <t>Dominica</t>
        </is>
      </c>
      <c r="E137" t="inlineStr">
        <is>
          <t>DMA</t>
        </is>
      </c>
      <c r="F137" s="11" t="n">
        <v>43255</v>
      </c>
      <c r="G137" t="inlineStr">
        <is>
          <t>2013gn</t>
        </is>
      </c>
      <c r="H137" t="n">
        <v>2017</v>
      </c>
      <c r="L137" t="inlineStr">
        <is>
          <t>US Dollars</t>
        </is>
      </c>
      <c r="M137" t="inlineStr">
        <is>
          <t>Billions</t>
        </is>
      </c>
      <c r="N137" t="inlineStr">
        <is>
          <t>Public and publicly guaranteed external debt</t>
        </is>
      </c>
    </row>
    <row r="138">
      <c r="A138" t="inlineStr">
        <is>
          <t>Dominica_2018_August</t>
        </is>
      </c>
      <c r="C138" t="inlineStr">
        <is>
          <t>SM.18.139</t>
        </is>
      </c>
      <c r="D138" t="inlineStr">
        <is>
          <t>Dominica</t>
        </is>
      </c>
      <c r="E138" t="inlineStr">
        <is>
          <t>DMA</t>
        </is>
      </c>
      <c r="F138" s="11" t="n">
        <v>43255</v>
      </c>
      <c r="G138" t="inlineStr">
        <is>
          <t>2013gn</t>
        </is>
      </c>
      <c r="H138" t="n">
        <v>2017</v>
      </c>
      <c r="L138" t="inlineStr">
        <is>
          <t>National Currency</t>
        </is>
      </c>
      <c r="M138" t="inlineStr">
        <is>
          <t>Billions</t>
        </is>
      </c>
      <c r="N138" t="inlineStr">
        <is>
          <t>Total public debt outstanding at year-end</t>
        </is>
      </c>
    </row>
    <row r="139">
      <c r="A139" t="inlineStr">
        <is>
          <t>Dominica_2018_August</t>
        </is>
      </c>
      <c r="C139" t="inlineStr">
        <is>
          <t>SM.18.139</t>
        </is>
      </c>
      <c r="D139" t="inlineStr">
        <is>
          <t>Dominica</t>
        </is>
      </c>
      <c r="E139" t="inlineStr">
        <is>
          <t>DMA</t>
        </is>
      </c>
      <c r="F139" s="11" t="n">
        <v>43255</v>
      </c>
      <c r="G139" t="inlineStr">
        <is>
          <t>2013gn</t>
        </is>
      </c>
      <c r="H139" t="n">
        <v>2017</v>
      </c>
      <c r="L139" t="inlineStr">
        <is>
          <t>National Currency</t>
        </is>
      </c>
      <c r="M139" t="inlineStr">
        <is>
          <t>Billions</t>
        </is>
      </c>
      <c r="N139" t="inlineStr">
        <is>
          <t>Total public domestic debt</t>
        </is>
      </c>
    </row>
    <row r="140">
      <c r="A140" t="inlineStr">
        <is>
          <t>Dominica_2018_August</t>
        </is>
      </c>
      <c r="C140" t="inlineStr">
        <is>
          <t>SM.18.139</t>
        </is>
      </c>
      <c r="D140" t="inlineStr">
        <is>
          <t>Dominica</t>
        </is>
      </c>
      <c r="E140" t="inlineStr">
        <is>
          <t>DMA</t>
        </is>
      </c>
      <c r="F140" s="11" t="n">
        <v>43255</v>
      </c>
      <c r="G140" t="inlineStr">
        <is>
          <t>2013gn</t>
        </is>
      </c>
      <c r="H140" t="n">
        <v>2017</v>
      </c>
      <c r="L140" t="inlineStr">
        <is>
          <t>National Currency</t>
        </is>
      </c>
      <c r="M140" t="inlineStr">
        <is>
          <t>Billions</t>
        </is>
      </c>
      <c r="N140" t="inlineStr">
        <is>
          <t>Foreign currency denominated domestic debt</t>
        </is>
      </c>
    </row>
    <row r="141">
      <c r="A141" t="inlineStr">
        <is>
          <t>Dominica_2018_August</t>
        </is>
      </c>
      <c r="C141" t="inlineStr">
        <is>
          <t>SM.18.139</t>
        </is>
      </c>
      <c r="D141" t="inlineStr">
        <is>
          <t>Dominica</t>
        </is>
      </c>
      <c r="E141" t="inlineStr">
        <is>
          <t>DMA</t>
        </is>
      </c>
      <c r="F141" s="11" t="n">
        <v>43255</v>
      </c>
      <c r="G141" t="inlineStr">
        <is>
          <t>2013gn</t>
        </is>
      </c>
      <c r="H141" t="n">
        <v>2017</v>
      </c>
      <c r="L141" t="inlineStr">
        <is>
          <t>National Currency</t>
        </is>
      </c>
      <c r="M141" t="inlineStr">
        <is>
          <t>Billions</t>
        </is>
      </c>
      <c r="N141" t="inlineStr">
        <is>
          <t>Total public external debt</t>
        </is>
      </c>
    </row>
    <row r="142">
      <c r="A142" t="inlineStr">
        <is>
          <t>Dominica_2018_August</t>
        </is>
      </c>
      <c r="C142" t="inlineStr">
        <is>
          <t>SM.18.139</t>
        </is>
      </c>
      <c r="D142" t="inlineStr">
        <is>
          <t>Dominica</t>
        </is>
      </c>
      <c r="E142" t="inlineStr">
        <is>
          <t>DMA</t>
        </is>
      </c>
      <c r="F142" s="11" t="n">
        <v>43255</v>
      </c>
      <c r="G142" t="inlineStr">
        <is>
          <t>2013gn</t>
        </is>
      </c>
      <c r="H142" t="n">
        <v>2017</v>
      </c>
      <c r="L142" t="inlineStr">
        <is>
          <t>National Currency</t>
        </is>
      </c>
      <c r="M142" t="inlineStr">
        <is>
          <t>Billions</t>
        </is>
      </c>
      <c r="N142" t="inlineStr">
        <is>
          <t>Foreign-currency denominated public debt (end of period)</t>
        </is>
      </c>
    </row>
    <row r="143">
      <c r="A143" t="inlineStr">
        <is>
          <t>Dominica_2018_August</t>
        </is>
      </c>
      <c r="C143" t="inlineStr">
        <is>
          <t>SM.18.139</t>
        </is>
      </c>
      <c r="D143" t="inlineStr">
        <is>
          <t>Dominica</t>
        </is>
      </c>
      <c r="E143" t="inlineStr">
        <is>
          <t>DMA</t>
        </is>
      </c>
      <c r="F143" s="11" t="n">
        <v>43255</v>
      </c>
      <c r="G143" t="inlineStr">
        <is>
          <t>2013gn</t>
        </is>
      </c>
      <c r="H143" t="n">
        <v>2017</v>
      </c>
      <c r="L143" t="inlineStr">
        <is>
          <t>US Dollars</t>
        </is>
      </c>
      <c r="M143" t="inlineStr">
        <is>
          <t>Billions</t>
        </is>
      </c>
      <c r="N143" t="inlineStr">
        <is>
          <t>Total Debt (public + private external)</t>
        </is>
      </c>
    </row>
    <row r="144">
      <c r="A144" t="inlineStr">
        <is>
          <t>Dominica_2018_August</t>
        </is>
      </c>
      <c r="C144" t="inlineStr">
        <is>
          <t>SM.18.139</t>
        </is>
      </c>
      <c r="D144" t="inlineStr">
        <is>
          <t>Dominica</t>
        </is>
      </c>
      <c r="E144" t="inlineStr">
        <is>
          <t>DMA</t>
        </is>
      </c>
      <c r="F144" s="11" t="n">
        <v>43255</v>
      </c>
      <c r="G144" t="inlineStr">
        <is>
          <t>2013gn</t>
        </is>
      </c>
      <c r="H144" t="n">
        <v>2017</v>
      </c>
      <c r="L144" t="inlineStr">
        <is>
          <t>US Dollars</t>
        </is>
      </c>
      <c r="M144" t="inlineStr">
        <is>
          <t>Billions</t>
        </is>
      </c>
      <c r="N144" t="inlineStr">
        <is>
          <t>Total short-term external debt (public +private)</t>
        </is>
      </c>
    </row>
    <row r="145">
      <c r="A145" t="inlineStr">
        <is>
          <t>Dominica_2018_August</t>
        </is>
      </c>
      <c r="C145" t="inlineStr">
        <is>
          <t>SM.18.139</t>
        </is>
      </c>
      <c r="D145" t="inlineStr">
        <is>
          <t>Dominica</t>
        </is>
      </c>
      <c r="E145" t="inlineStr">
        <is>
          <t>DMA</t>
        </is>
      </c>
      <c r="F145" s="11" t="n">
        <v>43255</v>
      </c>
      <c r="G145" t="inlineStr">
        <is>
          <t>2013gn</t>
        </is>
      </c>
      <c r="H145" t="n">
        <v>2017</v>
      </c>
      <c r="L145" t="inlineStr">
        <is>
          <t>US Dollars</t>
        </is>
      </c>
      <c r="M145" t="inlineStr">
        <is>
          <t>Billions</t>
        </is>
      </c>
      <c r="N145" t="inlineStr">
        <is>
          <t>Public and publicly guaranteed external</t>
        </is>
      </c>
    </row>
    <row r="146">
      <c r="A146" t="inlineStr">
        <is>
          <t>Dominica_2018_August</t>
        </is>
      </c>
      <c r="C146" t="inlineStr">
        <is>
          <t>SM.18.139</t>
        </is>
      </c>
      <c r="D146" t="inlineStr">
        <is>
          <t>Dominica</t>
        </is>
      </c>
      <c r="E146" t="inlineStr">
        <is>
          <t>DMA</t>
        </is>
      </c>
      <c r="F146" s="11" t="n">
        <v>43255</v>
      </c>
      <c r="G146" t="inlineStr">
        <is>
          <t>2013gn</t>
        </is>
      </c>
      <c r="H146" t="n">
        <v>2017</v>
      </c>
      <c r="L146" t="inlineStr">
        <is>
          <t>US Dollars</t>
        </is>
      </c>
      <c r="M146" t="inlineStr">
        <is>
          <t>Billions</t>
        </is>
      </c>
      <c r="N146" t="inlineStr">
        <is>
          <t>Public and publicly guaranteed domestic</t>
        </is>
      </c>
    </row>
    <row r="147">
      <c r="A147" t="inlineStr">
        <is>
          <t>Dominica_2018_August</t>
        </is>
      </c>
      <c r="C147" t="inlineStr">
        <is>
          <t>SM.18.139</t>
        </is>
      </c>
      <c r="D147" t="inlineStr">
        <is>
          <t>Dominica</t>
        </is>
      </c>
      <c r="E147" t="inlineStr">
        <is>
          <t>DMA</t>
        </is>
      </c>
      <c r="F147" s="11" t="n">
        <v>43255</v>
      </c>
      <c r="G147" t="inlineStr">
        <is>
          <t>2013gn</t>
        </is>
      </c>
      <c r="H147" t="n">
        <v>2017</v>
      </c>
      <c r="L147" t="inlineStr">
        <is>
          <t>US Dollars</t>
        </is>
      </c>
      <c r="M147" t="inlineStr">
        <is>
          <t>Billions</t>
        </is>
      </c>
      <c r="N147" t="inlineStr">
        <is>
          <t>Private external</t>
        </is>
      </c>
    </row>
    <row r="148">
      <c r="A148" t="inlineStr">
        <is>
          <t>Dominica_2018_August</t>
        </is>
      </c>
      <c r="C148" t="inlineStr">
        <is>
          <t>SM.18.139</t>
        </is>
      </c>
      <c r="D148" t="inlineStr">
        <is>
          <t>Dominica</t>
        </is>
      </c>
      <c r="E148" t="inlineStr">
        <is>
          <t>DMA</t>
        </is>
      </c>
      <c r="F148" s="11" t="n">
        <v>43255</v>
      </c>
      <c r="G148" t="inlineStr">
        <is>
          <t>2013gn</t>
        </is>
      </c>
      <c r="H148" t="n">
        <v>2017</v>
      </c>
      <c r="L148" t="inlineStr">
        <is>
          <t>US Dollars</t>
        </is>
      </c>
      <c r="M148" t="inlineStr">
        <is>
          <t>Billions</t>
        </is>
      </c>
      <c r="N148" t="inlineStr">
        <is>
          <t>Total debt interest due</t>
        </is>
      </c>
    </row>
    <row r="149">
      <c r="A149" t="inlineStr">
        <is>
          <t>Dominica_2018_August</t>
        </is>
      </c>
      <c r="C149" t="inlineStr">
        <is>
          <t>SM.18.139</t>
        </is>
      </c>
      <c r="D149" t="inlineStr">
        <is>
          <t>Dominica</t>
        </is>
      </c>
      <c r="E149" t="inlineStr">
        <is>
          <t>DMA</t>
        </is>
      </c>
      <c r="F149" s="11" t="n">
        <v>43255</v>
      </c>
      <c r="G149" t="inlineStr">
        <is>
          <t>2013gn</t>
        </is>
      </c>
      <c r="H149" t="n">
        <v>2017</v>
      </c>
      <c r="L149" t="inlineStr">
        <is>
          <t>US Dollars</t>
        </is>
      </c>
      <c r="M149" t="inlineStr">
        <is>
          <t>Billions</t>
        </is>
      </c>
      <c r="N149" t="inlineStr">
        <is>
          <t>Total external debt interest due (include interest from new debt)</t>
        </is>
      </c>
    </row>
    <row r="150">
      <c r="A150" t="inlineStr">
        <is>
          <t>Dominica_2018_August</t>
        </is>
      </c>
      <c r="C150" t="inlineStr">
        <is>
          <t>SM.18.139</t>
        </is>
      </c>
      <c r="D150" t="inlineStr">
        <is>
          <t>Dominica</t>
        </is>
      </c>
      <c r="E150" t="inlineStr">
        <is>
          <t>DMA</t>
        </is>
      </c>
      <c r="F150" s="11" t="n">
        <v>43255</v>
      </c>
      <c r="G150" t="inlineStr">
        <is>
          <t>2013gn</t>
        </is>
      </c>
      <c r="H150" t="n">
        <v>2017</v>
      </c>
      <c r="L150" t="inlineStr">
        <is>
          <t>US Dollars</t>
        </is>
      </c>
      <c r="M150" t="inlineStr">
        <is>
          <t>Billions</t>
        </is>
      </c>
      <c r="N150" t="inlineStr">
        <is>
          <t>Total external debt interest due (exclude interest from new debt)</t>
        </is>
      </c>
    </row>
    <row r="151">
      <c r="A151" t="inlineStr">
        <is>
          <t>Dominica_2018_August</t>
        </is>
      </c>
      <c r="C151" t="inlineStr">
        <is>
          <t>SM.18.139</t>
        </is>
      </c>
      <c r="D151" t="inlineStr">
        <is>
          <t>Dominica</t>
        </is>
      </c>
      <c r="E151" t="inlineStr">
        <is>
          <t>DMA</t>
        </is>
      </c>
      <c r="F151" s="11" t="n">
        <v>43255</v>
      </c>
      <c r="G151" t="inlineStr">
        <is>
          <t>2013gn</t>
        </is>
      </c>
      <c r="H151" t="n">
        <v>2017</v>
      </c>
      <c r="L151" t="inlineStr">
        <is>
          <t>US Dollars</t>
        </is>
      </c>
      <c r="M151" t="inlineStr">
        <is>
          <t>Billions</t>
        </is>
      </c>
      <c r="N151" t="inlineStr">
        <is>
          <t>Public and publicly guaranteed</t>
        </is>
      </c>
    </row>
    <row r="152">
      <c r="A152" t="inlineStr">
        <is>
          <t>Dominica_2018_August</t>
        </is>
      </c>
      <c r="C152" t="inlineStr">
        <is>
          <t>SM.18.139</t>
        </is>
      </c>
      <c r="D152" t="inlineStr">
        <is>
          <t>Dominica</t>
        </is>
      </c>
      <c r="E152" t="inlineStr">
        <is>
          <t>DMA</t>
        </is>
      </c>
      <c r="F152" s="11" t="n">
        <v>43255</v>
      </c>
      <c r="G152" t="inlineStr">
        <is>
          <t>2013gn</t>
        </is>
      </c>
      <c r="H152" t="n">
        <v>2017</v>
      </c>
      <c r="L152" t="inlineStr">
        <is>
          <t>US Dollars</t>
        </is>
      </c>
      <c r="M152" t="inlineStr">
        <is>
          <t>Billions</t>
        </is>
      </c>
      <c r="N152" t="inlineStr">
        <is>
          <t>Public and publicly guaranteed (old debt)</t>
        </is>
      </c>
    </row>
    <row r="153">
      <c r="A153" t="inlineStr">
        <is>
          <t>Dominica_2018_August</t>
        </is>
      </c>
      <c r="C153" t="inlineStr">
        <is>
          <t>SM.18.139</t>
        </is>
      </c>
      <c r="D153" t="inlineStr">
        <is>
          <t>Dominica</t>
        </is>
      </c>
      <c r="E153" t="inlineStr">
        <is>
          <t>DMA</t>
        </is>
      </c>
      <c r="F153" s="11" t="n">
        <v>43255</v>
      </c>
      <c r="G153" t="inlineStr">
        <is>
          <t>2013gn</t>
        </is>
      </c>
      <c r="H153" t="n">
        <v>2017</v>
      </c>
      <c r="L153" t="inlineStr">
        <is>
          <t>US Dollars</t>
        </is>
      </c>
      <c r="M153" t="inlineStr">
        <is>
          <t>Billions</t>
        </is>
      </c>
      <c r="N153" t="inlineStr">
        <is>
          <t xml:space="preserve">Private </t>
        </is>
      </c>
    </row>
    <row r="154">
      <c r="A154" t="inlineStr">
        <is>
          <t>Dominica_2018_August</t>
        </is>
      </c>
      <c r="C154" t="inlineStr">
        <is>
          <t>SM.18.139</t>
        </is>
      </c>
      <c r="D154" t="inlineStr">
        <is>
          <t>Dominica</t>
        </is>
      </c>
      <c r="E154" t="inlineStr">
        <is>
          <t>DMA</t>
        </is>
      </c>
      <c r="F154" s="11" t="n">
        <v>43255</v>
      </c>
      <c r="G154" t="inlineStr">
        <is>
          <t>2013gn</t>
        </is>
      </c>
      <c r="H154" t="n">
        <v>2017</v>
      </c>
      <c r="L154" t="inlineStr">
        <is>
          <t>US Dollars</t>
        </is>
      </c>
      <c r="M154" t="inlineStr">
        <is>
          <t>Billions</t>
        </is>
      </c>
      <c r="N154" t="inlineStr">
        <is>
          <t>Total public domestic debt interest due</t>
        </is>
      </c>
    </row>
    <row r="155">
      <c r="A155" t="inlineStr">
        <is>
          <t>Dominica_2018_August</t>
        </is>
      </c>
      <c r="C155" t="inlineStr">
        <is>
          <t>SM.18.139</t>
        </is>
      </c>
      <c r="D155" t="inlineStr">
        <is>
          <t>Dominica</t>
        </is>
      </c>
      <c r="E155" t="inlineStr">
        <is>
          <t>DMA</t>
        </is>
      </c>
      <c r="F155" s="11" t="n">
        <v>43255</v>
      </c>
      <c r="G155" t="inlineStr">
        <is>
          <t>2013gn</t>
        </is>
      </c>
      <c r="H155" t="n">
        <v>2017</v>
      </c>
      <c r="L155" t="inlineStr">
        <is>
          <t>US Dollars</t>
        </is>
      </c>
      <c r="M155" t="inlineStr">
        <is>
          <t>Billions</t>
        </is>
      </c>
      <c r="N155" t="inlineStr">
        <is>
          <t>... from foreign currency denominated debt</t>
        </is>
      </c>
    </row>
    <row r="156">
      <c r="A156" t="inlineStr">
        <is>
          <t>Dominica_2018_August</t>
        </is>
      </c>
      <c r="C156" t="inlineStr">
        <is>
          <t>SM.18.139</t>
        </is>
      </c>
      <c r="D156" t="inlineStr">
        <is>
          <t>Dominica</t>
        </is>
      </c>
      <c r="E156" t="inlineStr">
        <is>
          <t>DMA</t>
        </is>
      </c>
      <c r="F156" s="11" t="n">
        <v>43255</v>
      </c>
      <c r="G156" t="inlineStr">
        <is>
          <t>2013gn</t>
        </is>
      </c>
      <c r="H156" t="n">
        <v>2017</v>
      </c>
      <c r="L156" t="inlineStr">
        <is>
          <t>US Dollars</t>
        </is>
      </c>
      <c r="M156" t="inlineStr">
        <is>
          <t>Billions</t>
        </is>
      </c>
      <c r="N156" t="inlineStr">
        <is>
          <t>Total debt amortization due</t>
        </is>
      </c>
    </row>
    <row r="157">
      <c r="A157" t="inlineStr">
        <is>
          <t>Dominica_2018_August</t>
        </is>
      </c>
      <c r="C157" t="inlineStr">
        <is>
          <t>SM.18.139</t>
        </is>
      </c>
      <c r="D157" t="inlineStr">
        <is>
          <t>Dominica</t>
        </is>
      </c>
      <c r="E157" t="inlineStr">
        <is>
          <t>DMA</t>
        </is>
      </c>
      <c r="F157" s="11" t="n">
        <v>43255</v>
      </c>
      <c r="G157" t="inlineStr">
        <is>
          <t>2013gn</t>
        </is>
      </c>
      <c r="H157" t="n">
        <v>2017</v>
      </c>
      <c r="L157" t="inlineStr">
        <is>
          <t>US Dollars</t>
        </is>
      </c>
      <c r="M157" t="inlineStr">
        <is>
          <t>Billions</t>
        </is>
      </c>
      <c r="N157" t="inlineStr">
        <is>
          <t>Total external amortization due (include amortization from new debt)</t>
        </is>
      </c>
    </row>
    <row r="158">
      <c r="A158" t="inlineStr">
        <is>
          <t>Dominica_2018_August</t>
        </is>
      </c>
      <c r="C158" t="inlineStr">
        <is>
          <t>SM.18.139</t>
        </is>
      </c>
      <c r="D158" t="inlineStr">
        <is>
          <t>Dominica</t>
        </is>
      </c>
      <c r="E158" t="inlineStr">
        <is>
          <t>DMA</t>
        </is>
      </c>
      <c r="F158" s="11" t="n">
        <v>43255</v>
      </c>
      <c r="G158" t="inlineStr">
        <is>
          <t>2013gn</t>
        </is>
      </c>
      <c r="H158" t="n">
        <v>2017</v>
      </c>
      <c r="N158" t="inlineStr">
        <is>
          <t>Total external amortization due (exclude amortization from new debt)</t>
        </is>
      </c>
    </row>
    <row r="159">
      <c r="A159" t="inlineStr">
        <is>
          <t>Dominica_2018_August</t>
        </is>
      </c>
      <c r="C159" t="inlineStr">
        <is>
          <t>SM.18.139</t>
        </is>
      </c>
      <c r="D159" t="inlineStr">
        <is>
          <t>Dominica</t>
        </is>
      </c>
      <c r="E159" t="inlineStr">
        <is>
          <t>DMA</t>
        </is>
      </c>
      <c r="F159" s="11" t="n">
        <v>43255</v>
      </c>
      <c r="G159" t="inlineStr">
        <is>
          <t>2013gn</t>
        </is>
      </c>
      <c r="H159" t="n">
        <v>2017</v>
      </c>
      <c r="L159" t="inlineStr">
        <is>
          <t>US Dollars</t>
        </is>
      </c>
      <c r="M159" t="inlineStr">
        <is>
          <t>Billions</t>
        </is>
      </c>
      <c r="N159" t="inlineStr">
        <is>
          <t>Public and publicly guaranteed</t>
        </is>
      </c>
    </row>
    <row r="160">
      <c r="A160" t="inlineStr">
        <is>
          <t>Dominica_2018_August</t>
        </is>
      </c>
      <c r="C160" t="inlineStr">
        <is>
          <t>SM.18.139</t>
        </is>
      </c>
      <c r="D160" t="inlineStr">
        <is>
          <t>Dominica</t>
        </is>
      </c>
      <c r="E160" t="inlineStr">
        <is>
          <t>DMA</t>
        </is>
      </c>
      <c r="F160" s="11" t="n">
        <v>43255</v>
      </c>
      <c r="G160" t="inlineStr">
        <is>
          <t>2013gn</t>
        </is>
      </c>
      <c r="H160" t="n">
        <v>2017</v>
      </c>
      <c r="N160" t="inlineStr">
        <is>
          <t>Public and publicly guaranteed (old debt)</t>
        </is>
      </c>
    </row>
    <row r="161">
      <c r="A161" t="inlineStr">
        <is>
          <t>Dominica_2018_August</t>
        </is>
      </c>
      <c r="C161" t="inlineStr">
        <is>
          <t>SM.18.139</t>
        </is>
      </c>
      <c r="D161" t="inlineStr">
        <is>
          <t>Dominica</t>
        </is>
      </c>
      <c r="E161" t="inlineStr">
        <is>
          <t>DMA</t>
        </is>
      </c>
      <c r="F161" s="11" t="n">
        <v>43255</v>
      </c>
      <c r="G161" t="inlineStr">
        <is>
          <t>2013gn</t>
        </is>
      </c>
      <c r="H161" t="n">
        <v>2017</v>
      </c>
      <c r="L161" t="inlineStr">
        <is>
          <t>US Dollars</t>
        </is>
      </c>
      <c r="M161" t="inlineStr">
        <is>
          <t>Billions</t>
        </is>
      </c>
      <c r="N161" t="inlineStr">
        <is>
          <t xml:space="preserve">MLT private external debt </t>
        </is>
      </c>
    </row>
    <row r="162">
      <c r="A162" t="inlineStr">
        <is>
          <t>Dominica_2018_August</t>
        </is>
      </c>
      <c r="C162" t="inlineStr">
        <is>
          <t>SM.18.139</t>
        </is>
      </c>
      <c r="D162" t="inlineStr">
        <is>
          <t>Dominica</t>
        </is>
      </c>
      <c r="E162" t="inlineStr">
        <is>
          <t>DMA</t>
        </is>
      </c>
      <c r="F162" s="11" t="n">
        <v>43255</v>
      </c>
      <c r="G162" t="inlineStr">
        <is>
          <t>2013gn</t>
        </is>
      </c>
      <c r="H162" t="n">
        <v>2017</v>
      </c>
      <c r="L162" t="inlineStr">
        <is>
          <t>US Dollars</t>
        </is>
      </c>
      <c r="M162" t="inlineStr">
        <is>
          <t>Billions</t>
        </is>
      </c>
      <c r="N162" t="inlineStr">
        <is>
          <t>Total MLT public domestic debt amortization debt</t>
        </is>
      </c>
    </row>
    <row r="163">
      <c r="A163" t="inlineStr">
        <is>
          <t>Dominica_2018_August</t>
        </is>
      </c>
      <c r="C163" t="inlineStr">
        <is>
          <t>SM.18.139</t>
        </is>
      </c>
      <c r="D163" t="inlineStr">
        <is>
          <t>Dominica</t>
        </is>
      </c>
      <c r="E163" t="inlineStr">
        <is>
          <t>DMA</t>
        </is>
      </c>
      <c r="F163" s="11" t="n">
        <v>43255</v>
      </c>
      <c r="G163" t="inlineStr">
        <is>
          <t>2013gn</t>
        </is>
      </c>
      <c r="H163" t="n">
        <v>2017</v>
      </c>
    </row>
    <row r="164">
      <c r="A164" t="inlineStr">
        <is>
          <t>Dominica_2018_August</t>
        </is>
      </c>
      <c r="C164" t="inlineStr">
        <is>
          <t>SM.18.139</t>
        </is>
      </c>
      <c r="D164" t="inlineStr">
        <is>
          <t>Dominica</t>
        </is>
      </c>
      <c r="E164" t="inlineStr">
        <is>
          <t>DMA</t>
        </is>
      </c>
      <c r="F164" s="11" t="n">
        <v>43255</v>
      </c>
      <c r="G164" t="inlineStr">
        <is>
          <t>2013gn</t>
        </is>
      </c>
      <c r="H164" t="n">
        <v>2017</v>
      </c>
      <c r="L164" t="inlineStr">
        <is>
          <t>US Dollars</t>
        </is>
      </c>
      <c r="M164" t="inlineStr">
        <is>
          <t>Billions</t>
        </is>
      </c>
      <c r="N164" t="inlineStr">
        <is>
          <t>Current account balance</t>
        </is>
      </c>
    </row>
    <row r="165">
      <c r="A165" t="inlineStr">
        <is>
          <t>Dominica_2018_August</t>
        </is>
      </c>
      <c r="C165" t="inlineStr">
        <is>
          <t>SM.18.139</t>
        </is>
      </c>
      <c r="D165" t="inlineStr">
        <is>
          <t>Dominica</t>
        </is>
      </c>
      <c r="E165" t="inlineStr">
        <is>
          <t>DMA</t>
        </is>
      </c>
      <c r="F165" s="11" t="n">
        <v>43255</v>
      </c>
      <c r="G165" t="inlineStr">
        <is>
          <t>2013gn</t>
        </is>
      </c>
      <c r="H165" t="n">
        <v>2017</v>
      </c>
      <c r="L165" t="inlineStr">
        <is>
          <t>US Dollars</t>
        </is>
      </c>
      <c r="M165" t="inlineStr">
        <is>
          <t>Billions</t>
        </is>
      </c>
      <c r="N165" t="inlineStr">
        <is>
          <t>Exports of goods and services</t>
        </is>
      </c>
    </row>
    <row r="166">
      <c r="A166" t="inlineStr">
        <is>
          <t>Dominica_2018_August</t>
        </is>
      </c>
      <c r="C166" t="inlineStr">
        <is>
          <t>SM.18.139</t>
        </is>
      </c>
      <c r="D166" t="inlineStr">
        <is>
          <t>Dominica</t>
        </is>
      </c>
      <c r="E166" t="inlineStr">
        <is>
          <t>DMA</t>
        </is>
      </c>
      <c r="F166" s="11" t="n">
        <v>43255</v>
      </c>
      <c r="G166" t="inlineStr">
        <is>
          <t>2013gn</t>
        </is>
      </c>
      <c r="H166" t="n">
        <v>2017</v>
      </c>
      <c r="L166" t="inlineStr">
        <is>
          <t>US Dollars</t>
        </is>
      </c>
      <c r="M166" t="inlineStr">
        <is>
          <t>Billions</t>
        </is>
      </c>
      <c r="N166" t="inlineStr">
        <is>
          <t>Imports of goods and services (use positive values)</t>
        </is>
      </c>
    </row>
    <row r="167">
      <c r="A167" t="inlineStr">
        <is>
          <t>Dominica_2018_August</t>
        </is>
      </c>
      <c r="C167" t="inlineStr">
        <is>
          <t>SM.18.139</t>
        </is>
      </c>
      <c r="D167" t="inlineStr">
        <is>
          <t>Dominica</t>
        </is>
      </c>
      <c r="E167" t="inlineStr">
        <is>
          <t>DMA</t>
        </is>
      </c>
      <c r="F167" s="11" t="n">
        <v>43255</v>
      </c>
      <c r="G167" t="inlineStr">
        <is>
          <t>2013gn</t>
        </is>
      </c>
      <c r="H167" t="n">
        <v>2017</v>
      </c>
      <c r="L167" t="inlineStr">
        <is>
          <t>US Dollars</t>
        </is>
      </c>
      <c r="M167" t="inlineStr">
        <is>
          <t>Billions</t>
        </is>
      </c>
      <c r="N167" t="inlineStr">
        <is>
          <t>Current transfers, net total</t>
        </is>
      </c>
    </row>
    <row r="168">
      <c r="A168" t="inlineStr">
        <is>
          <t>Dominica_2018_August</t>
        </is>
      </c>
      <c r="C168" t="inlineStr">
        <is>
          <t>SM.18.139</t>
        </is>
      </c>
      <c r="D168" t="inlineStr">
        <is>
          <t>Dominica</t>
        </is>
      </c>
      <c r="E168" t="inlineStr">
        <is>
          <t>DMA</t>
        </is>
      </c>
      <c r="F168" s="11" t="n">
        <v>43255</v>
      </c>
      <c r="G168" t="inlineStr">
        <is>
          <t>2013gn</t>
        </is>
      </c>
      <c r="H168" t="n">
        <v>2017</v>
      </c>
      <c r="L168" t="inlineStr">
        <is>
          <t>US Dollars</t>
        </is>
      </c>
      <c r="M168" t="inlineStr">
        <is>
          <t>Billions</t>
        </is>
      </c>
      <c r="N168" t="inlineStr">
        <is>
          <t>Current transfers, official</t>
        </is>
      </c>
    </row>
    <row r="169">
      <c r="A169" t="inlineStr">
        <is>
          <t>Dominica_2018_August</t>
        </is>
      </c>
      <c r="C169" t="inlineStr">
        <is>
          <t>SM.18.139</t>
        </is>
      </c>
      <c r="D169" t="inlineStr">
        <is>
          <t>Dominica</t>
        </is>
      </c>
      <c r="E169" t="inlineStr">
        <is>
          <t>DMA</t>
        </is>
      </c>
      <c r="F169" s="11" t="n">
        <v>43255</v>
      </c>
      <c r="G169" t="inlineStr">
        <is>
          <t>2013gn</t>
        </is>
      </c>
      <c r="H169" t="n">
        <v>2017</v>
      </c>
      <c r="L169" t="inlineStr">
        <is>
          <t>US Dollars</t>
        </is>
      </c>
      <c r="M169" t="inlineStr">
        <is>
          <t>Billions</t>
        </is>
      </c>
      <c r="N169" t="inlineStr">
        <is>
          <t>Net foreign direct investment, excluding debt-creating liabilities</t>
        </is>
      </c>
    </row>
    <row r="170">
      <c r="A170" t="inlineStr">
        <is>
          <t>Dominica_2018_August</t>
        </is>
      </c>
      <c r="C170" t="inlineStr">
        <is>
          <t>SM.18.139</t>
        </is>
      </c>
      <c r="D170" t="inlineStr">
        <is>
          <t>Dominica</t>
        </is>
      </c>
      <c r="E170" t="inlineStr">
        <is>
          <t>DMA</t>
        </is>
      </c>
      <c r="F170" s="11" t="n">
        <v>43255</v>
      </c>
      <c r="G170" t="inlineStr">
        <is>
          <t>2013gn</t>
        </is>
      </c>
      <c r="H170" t="n">
        <v>2017</v>
      </c>
      <c r="L170" t="inlineStr">
        <is>
          <t>US Dollars</t>
        </is>
      </c>
      <c r="M170" t="inlineStr">
        <is>
          <t>Billions</t>
        </is>
      </c>
      <c r="N170" t="inlineStr">
        <is>
          <t>Exceptional financing</t>
        </is>
      </c>
    </row>
    <row r="171">
      <c r="A171" t="inlineStr">
        <is>
          <t>Dominica_2018_August</t>
        </is>
      </c>
      <c r="C171" t="inlineStr">
        <is>
          <t>SM.18.139</t>
        </is>
      </c>
      <c r="D171" t="inlineStr">
        <is>
          <t>Dominica</t>
        </is>
      </c>
      <c r="E171" t="inlineStr">
        <is>
          <t>DMA</t>
        </is>
      </c>
      <c r="F171" s="11" t="n">
        <v>43255</v>
      </c>
      <c r="G171" t="inlineStr">
        <is>
          <t>2013gn</t>
        </is>
      </c>
      <c r="H171" t="n">
        <v>2017</v>
      </c>
      <c r="N171" t="inlineStr">
        <is>
          <t>Gross Reserves (Flow, negative = increase)</t>
        </is>
      </c>
    </row>
    <row r="172">
      <c r="A172" t="inlineStr">
        <is>
          <t>Dominica_2018_August</t>
        </is>
      </c>
      <c r="C172" t="inlineStr">
        <is>
          <t>SM.18.139</t>
        </is>
      </c>
      <c r="D172" t="inlineStr">
        <is>
          <t>Dominica</t>
        </is>
      </c>
      <c r="E172" t="inlineStr">
        <is>
          <t>DMA</t>
        </is>
      </c>
      <c r="F172" s="11" t="n">
        <v>43255</v>
      </c>
      <c r="G172" t="inlineStr">
        <is>
          <t>2013gn</t>
        </is>
      </c>
      <c r="H172" t="n">
        <v>2017</v>
      </c>
      <c r="L172" t="inlineStr">
        <is>
          <t>National Currency</t>
        </is>
      </c>
      <c r="M172" t="inlineStr">
        <is>
          <t>Billions</t>
        </is>
      </c>
      <c r="N172" t="inlineStr">
        <is>
          <t>Public sector balance</t>
        </is>
      </c>
    </row>
    <row r="173">
      <c r="A173" t="inlineStr">
        <is>
          <t>Dominica_2018_August</t>
        </is>
      </c>
      <c r="C173" t="inlineStr">
        <is>
          <t>SM.18.139</t>
        </is>
      </c>
      <c r="D173" t="inlineStr">
        <is>
          <t>Dominica</t>
        </is>
      </c>
      <c r="E173" t="inlineStr">
        <is>
          <t>DMA</t>
        </is>
      </c>
      <c r="F173" s="11" t="n">
        <v>43255</v>
      </c>
      <c r="G173" t="inlineStr">
        <is>
          <t>2013gn</t>
        </is>
      </c>
      <c r="H173" t="n">
        <v>2017</v>
      </c>
      <c r="L173" t="inlineStr">
        <is>
          <t>National Currency</t>
        </is>
      </c>
      <c r="M173" t="inlineStr">
        <is>
          <t>Billions</t>
        </is>
      </c>
      <c r="N173" t="inlineStr">
        <is>
          <t>Public sector revenues (including grants)</t>
        </is>
      </c>
    </row>
    <row r="174">
      <c r="A174" t="inlineStr">
        <is>
          <t>Dominica_2018_August</t>
        </is>
      </c>
      <c r="C174" t="inlineStr">
        <is>
          <t>SM.18.139</t>
        </is>
      </c>
      <c r="D174" t="inlineStr">
        <is>
          <t>Dominica</t>
        </is>
      </c>
      <c r="E174" t="inlineStr">
        <is>
          <t>DMA</t>
        </is>
      </c>
      <c r="F174" s="11" t="n">
        <v>43255</v>
      </c>
      <c r="G174" t="inlineStr">
        <is>
          <t>2013gn</t>
        </is>
      </c>
      <c r="H174" t="n">
        <v>2017</v>
      </c>
      <c r="L174" t="inlineStr">
        <is>
          <t>National Currency</t>
        </is>
      </c>
      <c r="M174" t="inlineStr">
        <is>
          <t>Billions</t>
        </is>
      </c>
      <c r="N174" t="inlineStr">
        <is>
          <t>Public sector grants</t>
        </is>
      </c>
    </row>
    <row r="175">
      <c r="A175" t="inlineStr">
        <is>
          <t>Dominica_2018_August</t>
        </is>
      </c>
      <c r="C175" t="inlineStr">
        <is>
          <t>SM.18.139</t>
        </is>
      </c>
      <c r="D175" t="inlineStr">
        <is>
          <t>Dominica</t>
        </is>
      </c>
      <c r="E175" t="inlineStr">
        <is>
          <t>DMA</t>
        </is>
      </c>
      <c r="F175" s="11" t="n">
        <v>43255</v>
      </c>
      <c r="G175" t="inlineStr">
        <is>
          <t>2013gn</t>
        </is>
      </c>
      <c r="H175" t="n">
        <v>2017</v>
      </c>
      <c r="L175" t="inlineStr">
        <is>
          <t>National Currency</t>
        </is>
      </c>
      <c r="M175" t="inlineStr">
        <is>
          <t>Billions</t>
        </is>
      </c>
      <c r="N175" t="inlineStr">
        <is>
          <t>Privatization receipts</t>
        </is>
      </c>
    </row>
    <row r="176">
      <c r="A176" t="inlineStr">
        <is>
          <t>Dominica_2018_August</t>
        </is>
      </c>
      <c r="C176" t="inlineStr">
        <is>
          <t>SM.18.139</t>
        </is>
      </c>
      <c r="D176" t="inlineStr">
        <is>
          <t>Dominica</t>
        </is>
      </c>
      <c r="E176" t="inlineStr">
        <is>
          <t>DMA</t>
        </is>
      </c>
      <c r="F176" s="11" t="n">
        <v>43255</v>
      </c>
      <c r="G176" t="inlineStr">
        <is>
          <t>2013gn</t>
        </is>
      </c>
      <c r="H176" t="n">
        <v>2017</v>
      </c>
      <c r="L176" t="inlineStr">
        <is>
          <t>National Currency</t>
        </is>
      </c>
      <c r="M176" t="inlineStr">
        <is>
          <t>Billions</t>
        </is>
      </c>
      <c r="N176" t="inlineStr">
        <is>
          <t xml:space="preserve">Public sector expenditure </t>
        </is>
      </c>
    </row>
    <row r="177">
      <c r="A177" t="inlineStr">
        <is>
          <t>Dominica_2018_August</t>
        </is>
      </c>
      <c r="C177" t="inlineStr">
        <is>
          <t>SM.18.139</t>
        </is>
      </c>
      <c r="D177" t="inlineStr">
        <is>
          <t>Dominica</t>
        </is>
      </c>
      <c r="E177" t="inlineStr">
        <is>
          <t>DMA</t>
        </is>
      </c>
      <c r="F177" s="11" t="n">
        <v>43255</v>
      </c>
      <c r="G177" t="inlineStr">
        <is>
          <t>2013gn</t>
        </is>
      </c>
      <c r="H177" t="n">
        <v>2017</v>
      </c>
      <c r="L177" t="inlineStr">
        <is>
          <t>National Currency</t>
        </is>
      </c>
      <c r="M177" t="inlineStr">
        <is>
          <t>Billions</t>
        </is>
      </c>
      <c r="N177" t="inlineStr">
        <is>
          <t xml:space="preserve">Public sector interest expenditure </t>
        </is>
      </c>
    </row>
    <row r="178">
      <c r="A178" t="inlineStr">
        <is>
          <t>Dominica_2018_August</t>
        </is>
      </c>
      <c r="C178" t="inlineStr">
        <is>
          <t>SM.18.139</t>
        </is>
      </c>
      <c r="D178" t="inlineStr">
        <is>
          <t>Dominica</t>
        </is>
      </c>
      <c r="E178" t="inlineStr">
        <is>
          <t>DMA</t>
        </is>
      </c>
      <c r="F178" s="11" t="n">
        <v>43255</v>
      </c>
      <c r="G178" t="inlineStr">
        <is>
          <t>2013gn</t>
        </is>
      </c>
      <c r="H178" t="n">
        <v>2017</v>
      </c>
      <c r="L178" t="inlineStr">
        <is>
          <t>National Currency</t>
        </is>
      </c>
      <c r="M178" t="inlineStr">
        <is>
          <t>Billions</t>
        </is>
      </c>
      <c r="N178" t="inlineStr">
        <is>
          <t>Public Sector Assets (e.g. Deposits)</t>
        </is>
      </c>
    </row>
    <row r="179">
      <c r="A179" t="inlineStr">
        <is>
          <t>Dominica_2018_August</t>
        </is>
      </c>
      <c r="C179" t="inlineStr">
        <is>
          <t>SM.18.139</t>
        </is>
      </c>
      <c r="D179" t="inlineStr">
        <is>
          <t>Dominica</t>
        </is>
      </c>
      <c r="E179" t="inlineStr">
        <is>
          <t>DMA</t>
        </is>
      </c>
      <c r="F179" s="11" t="n">
        <v>43255</v>
      </c>
      <c r="G179" t="inlineStr">
        <is>
          <t>2013gn</t>
        </is>
      </c>
      <c r="H179" t="n">
        <v>2017</v>
      </c>
      <c r="L179" t="inlineStr">
        <is>
          <t>National Currency</t>
        </is>
      </c>
      <c r="M179" t="inlineStr">
        <is>
          <t>Billions</t>
        </is>
      </c>
      <c r="N179" t="inlineStr">
        <is>
          <t>Recognition of implicit or contingent liabilities</t>
        </is>
      </c>
    </row>
    <row r="180">
      <c r="A180" t="inlineStr">
        <is>
          <t>Dominica_2018_August</t>
        </is>
      </c>
      <c r="C180" t="inlineStr">
        <is>
          <t>SM.18.139</t>
        </is>
      </c>
      <c r="D180" t="inlineStr">
        <is>
          <t>Dominica</t>
        </is>
      </c>
      <c r="E180" t="inlineStr">
        <is>
          <t>DMA</t>
        </is>
      </c>
      <c r="F180" s="11" t="n">
        <v>43255</v>
      </c>
      <c r="G180" t="inlineStr">
        <is>
          <t>2013gn</t>
        </is>
      </c>
      <c r="H180" t="n">
        <v>2017</v>
      </c>
      <c r="L180" t="inlineStr">
        <is>
          <t>National Currency</t>
        </is>
      </c>
      <c r="M180" t="inlineStr">
        <is>
          <t>Billions</t>
        </is>
      </c>
      <c r="N180" t="inlineStr">
        <is>
          <t>Other debt creating or reducing flow (specify, e.g. bank recapitalization)</t>
        </is>
      </c>
    </row>
    <row r="181">
      <c r="A181" t="inlineStr">
        <is>
          <t>Dominica_2018_August</t>
        </is>
      </c>
      <c r="C181" t="inlineStr">
        <is>
          <t>SM.18.139</t>
        </is>
      </c>
      <c r="D181" t="inlineStr">
        <is>
          <t>Dominica</t>
        </is>
      </c>
      <c r="E181" t="inlineStr">
        <is>
          <t>DMA</t>
        </is>
      </c>
      <c r="F181" s="11" t="n">
        <v>43255</v>
      </c>
      <c r="G181" t="inlineStr">
        <is>
          <t>2013gn</t>
        </is>
      </c>
      <c r="H181" t="n">
        <v>2017</v>
      </c>
      <c r="L181" t="inlineStr">
        <is>
          <t>National Currency</t>
        </is>
      </c>
      <c r="M181" t="inlineStr">
        <is>
          <t>Billions</t>
        </is>
      </c>
      <c r="N181" t="inlineStr">
        <is>
          <t>Debt relief</t>
        </is>
      </c>
    </row>
    <row r="182">
      <c r="A182" t="inlineStr">
        <is>
          <t>Dominica_2018_August</t>
        </is>
      </c>
      <c r="C182" t="inlineStr">
        <is>
          <t>SM.18.139</t>
        </is>
      </c>
      <c r="D182" t="inlineStr">
        <is>
          <t>Dominica</t>
        </is>
      </c>
      <c r="E182" t="inlineStr">
        <is>
          <t>DMA</t>
        </is>
      </c>
      <c r="F182" s="11" t="n">
        <v>43255</v>
      </c>
      <c r="G182" t="inlineStr">
        <is>
          <t>2013gn</t>
        </is>
      </c>
      <c r="H182" t="n">
        <v>2017</v>
      </c>
      <c r="L182" t="inlineStr">
        <is>
          <t>US Dollars</t>
        </is>
      </c>
      <c r="M182" t="inlineStr">
        <is>
          <t>Billions</t>
        </is>
      </c>
      <c r="N182" t="inlineStr">
        <is>
          <t>Concessional loans</t>
        </is>
      </c>
    </row>
    <row r="183">
      <c r="A183" t="inlineStr">
        <is>
          <t>Dominica_2018_August</t>
        </is>
      </c>
      <c r="C183" t="inlineStr">
        <is>
          <t>SM.18.139</t>
        </is>
      </c>
      <c r="D183" t="inlineStr">
        <is>
          <t>Dominica</t>
        </is>
      </c>
      <c r="E183" t="inlineStr">
        <is>
          <t>DMA</t>
        </is>
      </c>
      <c r="F183" s="11" t="n">
        <v>43255</v>
      </c>
      <c r="G183" t="inlineStr">
        <is>
          <t>2013gn</t>
        </is>
      </c>
      <c r="H183" t="n">
        <v>2017</v>
      </c>
    </row>
    <row r="184">
      <c r="A184" t="inlineStr">
        <is>
          <t>Dominica_2018_August</t>
        </is>
      </c>
      <c r="C184" t="inlineStr">
        <is>
          <t>SM.18.139</t>
        </is>
      </c>
      <c r="D184" t="inlineStr">
        <is>
          <t>Dominica</t>
        </is>
      </c>
      <c r="E184" t="inlineStr">
        <is>
          <t>DMA</t>
        </is>
      </c>
      <c r="F184" s="11" t="n">
        <v>43255</v>
      </c>
      <c r="G184" t="inlineStr">
        <is>
          <t>2013gn</t>
        </is>
      </c>
      <c r="H184" t="n">
        <v>2017</v>
      </c>
      <c r="L184" t="inlineStr">
        <is>
          <t>US Dollars</t>
        </is>
      </c>
      <c r="M184" t="inlineStr">
        <is>
          <t>Billions</t>
        </is>
      </c>
      <c r="N184" t="inlineStr">
        <is>
          <t>Gross domestic product, current prices, U.S. dollars</t>
        </is>
      </c>
    </row>
    <row r="185">
      <c r="A185" t="inlineStr">
        <is>
          <t>Dominica_2018_August</t>
        </is>
      </c>
      <c r="C185" t="inlineStr">
        <is>
          <t>SM.18.139</t>
        </is>
      </c>
      <c r="D185" t="inlineStr">
        <is>
          <t>Dominica</t>
        </is>
      </c>
      <c r="E185" t="inlineStr">
        <is>
          <t>DMA</t>
        </is>
      </c>
      <c r="F185" s="11" t="n">
        <v>43255</v>
      </c>
      <c r="G185" t="inlineStr">
        <is>
          <t>2013gn</t>
        </is>
      </c>
      <c r="H185" t="n">
        <v>2017</v>
      </c>
      <c r="L185" t="inlineStr">
        <is>
          <t>National Currency</t>
        </is>
      </c>
      <c r="M185" t="inlineStr">
        <is>
          <t>Billions</t>
        </is>
      </c>
      <c r="N185" t="inlineStr">
        <is>
          <t>Gross domestic product, constant prices</t>
        </is>
      </c>
    </row>
    <row r="186">
      <c r="A186" t="inlineStr">
        <is>
          <t>Dominica_2018_August</t>
        </is>
      </c>
      <c r="C186" t="inlineStr">
        <is>
          <t>SM.18.139</t>
        </is>
      </c>
      <c r="D186" t="inlineStr">
        <is>
          <t>Dominica</t>
        </is>
      </c>
      <c r="E186" t="inlineStr">
        <is>
          <t>DMA</t>
        </is>
      </c>
      <c r="F186" s="11" t="n">
        <v>43255</v>
      </c>
      <c r="G186" t="inlineStr">
        <is>
          <t>2013gn</t>
        </is>
      </c>
      <c r="H186" t="n">
        <v>2017</v>
      </c>
      <c r="M186" t="inlineStr">
        <is>
          <t>None</t>
        </is>
      </c>
      <c r="N186" t="inlineStr">
        <is>
          <t>US Gross domestic product deflator</t>
        </is>
      </c>
    </row>
    <row r="187">
      <c r="A187" t="inlineStr">
        <is>
          <t>Dominica_2018_August</t>
        </is>
      </c>
      <c r="C187" t="inlineStr">
        <is>
          <t>SM.18.139</t>
        </is>
      </c>
      <c r="D187" t="inlineStr">
        <is>
          <t>Dominica</t>
        </is>
      </c>
      <c r="E187" t="inlineStr">
        <is>
          <t>DMA</t>
        </is>
      </c>
      <c r="F187" s="11" t="n">
        <v>43255</v>
      </c>
      <c r="G187" t="inlineStr">
        <is>
          <t>2013gn</t>
        </is>
      </c>
      <c r="H187" t="n">
        <v>2017</v>
      </c>
      <c r="L187" t="inlineStr">
        <is>
          <t>National Currency per US Dollar</t>
        </is>
      </c>
      <c r="M187" t="inlineStr">
        <is>
          <t>None</t>
        </is>
      </c>
      <c r="N187" t="inlineStr">
        <is>
          <t>Exchange rate, national currency per U.S. Dollar, end of period</t>
        </is>
      </c>
    </row>
    <row r="188">
      <c r="A188" t="inlineStr">
        <is>
          <t>Dominica_2018_August</t>
        </is>
      </c>
      <c r="C188" t="inlineStr">
        <is>
          <t>SM.18.139</t>
        </is>
      </c>
      <c r="D188" t="inlineStr">
        <is>
          <t>Dominica</t>
        </is>
      </c>
      <c r="E188" t="inlineStr">
        <is>
          <t>DMA</t>
        </is>
      </c>
      <c r="F188" s="11" t="n">
        <v>43255</v>
      </c>
      <c r="G188" t="inlineStr">
        <is>
          <t>2013gn</t>
        </is>
      </c>
      <c r="H188" t="n">
        <v>2017</v>
      </c>
      <c r="L188" t="inlineStr">
        <is>
          <t>National Currency per US Dollar</t>
        </is>
      </c>
      <c r="M188" t="inlineStr">
        <is>
          <t>None</t>
        </is>
      </c>
      <c r="N188" t="inlineStr">
        <is>
          <t>Exchange rate, national currency per U.S. Dollar, average</t>
        </is>
      </c>
    </row>
    <row r="189">
      <c r="A189" t="inlineStr">
        <is>
          <t>Dominica_2018_August</t>
        </is>
      </c>
      <c r="C189" t="inlineStr">
        <is>
          <t>SM.18.139</t>
        </is>
      </c>
      <c r="D189" t="inlineStr">
        <is>
          <t>Dominica</t>
        </is>
      </c>
      <c r="E189" t="inlineStr">
        <is>
          <t>DMA</t>
        </is>
      </c>
      <c r="F189" s="11" t="n">
        <v>43255</v>
      </c>
      <c r="G189" t="inlineStr">
        <is>
          <t>2013gn</t>
        </is>
      </c>
      <c r="H189" t="n">
        <v>2017</v>
      </c>
    </row>
    <row r="190">
      <c r="A190" t="inlineStr">
        <is>
          <t>Dominica_2018_August</t>
        </is>
      </c>
      <c r="C190" t="inlineStr">
        <is>
          <t>SM.18.139</t>
        </is>
      </c>
      <c r="D190" t="inlineStr">
        <is>
          <t>Dominica</t>
        </is>
      </c>
      <c r="E190" t="inlineStr">
        <is>
          <t>DMA</t>
        </is>
      </c>
      <c r="F190" s="11" t="n">
        <v>43255</v>
      </c>
      <c r="G190" t="inlineStr">
        <is>
          <t>2013gn</t>
        </is>
      </c>
      <c r="H190" t="n">
        <v>2017</v>
      </c>
      <c r="L190" t="inlineStr">
        <is>
          <t>Units</t>
        </is>
      </c>
      <c r="M190" t="inlineStr">
        <is>
          <t>Scale</t>
        </is>
      </c>
      <c r="N190" t="inlineStr">
        <is>
          <t>Calculated variables</t>
        </is>
      </c>
    </row>
    <row r="191">
      <c r="A191" t="inlineStr">
        <is>
          <t>Dominica_2018_August</t>
        </is>
      </c>
      <c r="C191" t="inlineStr">
        <is>
          <t>SM.18.139</t>
        </is>
      </c>
      <c r="D191" t="inlineStr">
        <is>
          <t>Dominica</t>
        </is>
      </c>
      <c r="E191" t="inlineStr">
        <is>
          <t>DMA</t>
        </is>
      </c>
      <c r="F191" s="11" t="n">
        <v>43255</v>
      </c>
      <c r="G191" t="inlineStr">
        <is>
          <t>2013gn</t>
        </is>
      </c>
      <c r="H191" t="n">
        <v>2017</v>
      </c>
    </row>
    <row r="192">
      <c r="A192" t="inlineStr">
        <is>
          <t>Dominica_2018_August</t>
        </is>
      </c>
      <c r="C192" t="inlineStr">
        <is>
          <t>SM.18.139</t>
        </is>
      </c>
      <c r="D192" t="inlineStr">
        <is>
          <t>Dominica</t>
        </is>
      </c>
      <c r="E192" t="inlineStr">
        <is>
          <t>DMA</t>
        </is>
      </c>
      <c r="F192" s="11" t="n">
        <v>43255</v>
      </c>
      <c r="G192" t="inlineStr">
        <is>
          <t>2013gn</t>
        </is>
      </c>
      <c r="H192" t="n">
        <v>2017</v>
      </c>
      <c r="N192" t="inlineStr">
        <is>
          <t>External Sector</t>
        </is>
      </c>
    </row>
    <row r="193">
      <c r="A193" t="inlineStr">
        <is>
          <t>Dominica_2018_August</t>
        </is>
      </c>
      <c r="C193" t="inlineStr">
        <is>
          <t>SM.18.139</t>
        </is>
      </c>
      <c r="D193" t="inlineStr">
        <is>
          <t>Dominica</t>
        </is>
      </c>
      <c r="E193" t="inlineStr">
        <is>
          <t>DMA</t>
        </is>
      </c>
      <c r="F193" s="11" t="n">
        <v>43255</v>
      </c>
      <c r="G193" t="inlineStr">
        <is>
          <t>2013gn</t>
        </is>
      </c>
      <c r="H193" t="n">
        <v>2017</v>
      </c>
      <c r="N193" t="inlineStr">
        <is>
          <t>External interest rate (paid)</t>
        </is>
      </c>
    </row>
    <row r="194">
      <c r="A194" t="inlineStr">
        <is>
          <t>Dominica_2018_August</t>
        </is>
      </c>
      <c r="C194" t="inlineStr">
        <is>
          <t>SM.18.139</t>
        </is>
      </c>
      <c r="D194" t="inlineStr">
        <is>
          <t>Dominica</t>
        </is>
      </c>
      <c r="E194" t="inlineStr">
        <is>
          <t>DMA</t>
        </is>
      </c>
      <c r="F194" s="11" t="n">
        <v>43255</v>
      </c>
      <c r="G194" t="inlineStr">
        <is>
          <t>2013gn</t>
        </is>
      </c>
      <c r="H194" t="n">
        <v>2017</v>
      </c>
      <c r="N194" t="inlineStr">
        <is>
          <t>Private debt in percent of GDP</t>
        </is>
      </c>
    </row>
    <row r="195">
      <c r="A195" t="inlineStr">
        <is>
          <t>Dominica_2018_August</t>
        </is>
      </c>
      <c r="C195" t="inlineStr">
        <is>
          <t>SM.18.139</t>
        </is>
      </c>
      <c r="D195" t="inlineStr">
        <is>
          <t>Dominica</t>
        </is>
      </c>
      <c r="E195" t="inlineStr">
        <is>
          <t>DMA</t>
        </is>
      </c>
      <c r="F195" s="11" t="n">
        <v>43255</v>
      </c>
      <c r="G195" t="inlineStr">
        <is>
          <t>2013gn</t>
        </is>
      </c>
      <c r="H195" t="n">
        <v>2017</v>
      </c>
      <c r="N195" t="inlineStr">
        <is>
          <t>Private debt service in percent of exports</t>
        </is>
      </c>
    </row>
    <row r="196">
      <c r="A196" t="inlineStr">
        <is>
          <t>Dominica_2018_August</t>
        </is>
      </c>
      <c r="C196" t="inlineStr">
        <is>
          <t>SM.18.139</t>
        </is>
      </c>
      <c r="D196" t="inlineStr">
        <is>
          <t>Dominica</t>
        </is>
      </c>
      <c r="E196" t="inlineStr">
        <is>
          <t>DMA</t>
        </is>
      </c>
      <c r="F196" s="11" t="n">
        <v>43255</v>
      </c>
      <c r="G196" t="inlineStr">
        <is>
          <t>2013gn</t>
        </is>
      </c>
      <c r="H196" t="n">
        <v>2017</v>
      </c>
      <c r="N196" t="inlineStr">
        <is>
          <t>Public Sector</t>
        </is>
      </c>
    </row>
    <row r="197">
      <c r="A197" t="inlineStr">
        <is>
          <t>Dominica_2018_August</t>
        </is>
      </c>
      <c r="C197" t="inlineStr">
        <is>
          <t>SM.18.139</t>
        </is>
      </c>
      <c r="D197" t="inlineStr">
        <is>
          <t>Dominica</t>
        </is>
      </c>
      <c r="E197" t="inlineStr">
        <is>
          <t>DMA</t>
        </is>
      </c>
      <c r="F197" s="11" t="n">
        <v>43255</v>
      </c>
      <c r="G197" t="inlineStr">
        <is>
          <t>2013gn</t>
        </is>
      </c>
      <c r="H197" t="n">
        <v>2017</v>
      </c>
      <c r="N197" t="inlineStr">
        <is>
          <t>Share of foreign-currency denominated Public debt in total Public debt (previous period)</t>
        </is>
      </c>
    </row>
    <row r="198">
      <c r="A198" t="inlineStr">
        <is>
          <t>Dominica_2018_August</t>
        </is>
      </c>
      <c r="C198" t="inlineStr">
        <is>
          <t>SM.18.139</t>
        </is>
      </c>
      <c r="D198" t="inlineStr">
        <is>
          <t>Dominica</t>
        </is>
      </c>
      <c r="E198" t="inlineStr">
        <is>
          <t>DMA</t>
        </is>
      </c>
      <c r="F198" s="11" t="n">
        <v>43255</v>
      </c>
      <c r="G198" t="inlineStr">
        <is>
          <t>2013gn</t>
        </is>
      </c>
      <c r="H198" t="n">
        <v>2017</v>
      </c>
      <c r="N198" t="inlineStr">
        <is>
          <t>Interest rate on forex debt</t>
        </is>
      </c>
    </row>
    <row r="199">
      <c r="A199" t="inlineStr">
        <is>
          <t>Dominica_2018_August</t>
        </is>
      </c>
      <c r="C199" t="inlineStr">
        <is>
          <t>SM.18.139</t>
        </is>
      </c>
      <c r="D199" t="inlineStr">
        <is>
          <t>Dominica</t>
        </is>
      </c>
      <c r="E199" t="inlineStr">
        <is>
          <t>DMA</t>
        </is>
      </c>
      <c r="F199" s="11" t="n">
        <v>43255</v>
      </c>
      <c r="G199" t="inlineStr">
        <is>
          <t>2013gn</t>
        </is>
      </c>
      <c r="H199" t="n">
        <v>2017</v>
      </c>
      <c r="N199" t="inlineStr">
        <is>
          <t>Interest rate on domestic debt</t>
        </is>
      </c>
    </row>
    <row r="200">
      <c r="A200" t="inlineStr">
        <is>
          <t>Dominica_2018_August</t>
        </is>
      </c>
      <c r="C200" t="inlineStr">
        <is>
          <t>SM.18.139</t>
        </is>
      </c>
      <c r="D200" t="inlineStr">
        <is>
          <t>Dominica</t>
        </is>
      </c>
      <c r="E200" t="inlineStr">
        <is>
          <t>DMA</t>
        </is>
      </c>
      <c r="F200" s="11" t="n">
        <v>43255</v>
      </c>
      <c r="G200" t="inlineStr">
        <is>
          <t>2013gn</t>
        </is>
      </c>
      <c r="H200" t="n">
        <v>2017</v>
      </c>
      <c r="N200" t="inlineStr">
        <is>
          <t>Average Maturity (MLT Debt/Amortization)</t>
        </is>
      </c>
    </row>
    <row r="201">
      <c r="A201" t="inlineStr">
        <is>
          <t>Dominica_2018_August</t>
        </is>
      </c>
      <c r="C201" t="inlineStr">
        <is>
          <t>SM.18.139</t>
        </is>
      </c>
      <c r="D201" t="inlineStr">
        <is>
          <t>Dominica</t>
        </is>
      </c>
      <c r="E201" t="inlineStr">
        <is>
          <t>DMA</t>
        </is>
      </c>
      <c r="F201" s="11" t="n">
        <v>43255</v>
      </c>
      <c r="G201" t="inlineStr">
        <is>
          <t>2013gn</t>
        </is>
      </c>
      <c r="H201" t="n">
        <v>2017</v>
      </c>
      <c r="N201" t="inlineStr">
        <is>
          <t>Short-term debt / total debt</t>
        </is>
      </c>
    </row>
    <row r="202">
      <c r="A202" t="inlineStr">
        <is>
          <t>Dominica_2018_August</t>
        </is>
      </c>
      <c r="C202" t="inlineStr">
        <is>
          <t>SM.18.139</t>
        </is>
      </c>
      <c r="D202" t="inlineStr">
        <is>
          <t>Dominica</t>
        </is>
      </c>
      <c r="E202" t="inlineStr">
        <is>
          <t>DMA</t>
        </is>
      </c>
      <c r="F202" s="11" t="n">
        <v>43255</v>
      </c>
      <c r="G202" t="inlineStr">
        <is>
          <t>2013gn</t>
        </is>
      </c>
      <c r="H202" t="n">
        <v>2017</v>
      </c>
      <c r="N202" t="inlineStr">
        <is>
          <t>PV of public sector external debt (from BOP; expressed in local currency; end of period)</t>
        </is>
      </c>
    </row>
    <row r="203">
      <c r="A203" t="inlineStr">
        <is>
          <t>Dominica_2018_August</t>
        </is>
      </c>
      <c r="C203" t="inlineStr">
        <is>
          <t>SM.18.139</t>
        </is>
      </c>
      <c r="D203" t="inlineStr">
        <is>
          <t>Dominica</t>
        </is>
      </c>
      <c r="E203" t="inlineStr">
        <is>
          <t>DMA</t>
        </is>
      </c>
      <c r="F203" s="11" t="n">
        <v>43255</v>
      </c>
      <c r="G203" t="inlineStr">
        <is>
          <t>2013gn</t>
        </is>
      </c>
      <c r="H203" t="n">
        <v>2017</v>
      </c>
      <c r="N203" t="inlineStr">
        <is>
          <t>Grant element of new public external borrowing (in percent; if available)</t>
        </is>
      </c>
    </row>
    <row r="204">
      <c r="A204" t="inlineStr">
        <is>
          <t>Dominica_2018_August</t>
        </is>
      </c>
      <c r="C204" t="inlineStr">
        <is>
          <t>SM.18.139</t>
        </is>
      </c>
      <c r="D204" t="inlineStr">
        <is>
          <t>Dominica</t>
        </is>
      </c>
      <c r="E204" t="inlineStr">
        <is>
          <t>DMA</t>
        </is>
      </c>
      <c r="F204" s="11" t="n">
        <v>43255</v>
      </c>
      <c r="G204" t="inlineStr">
        <is>
          <t>2013gn</t>
        </is>
      </c>
      <c r="H204" t="n">
        <v>2017</v>
      </c>
      <c r="N204" t="inlineStr">
        <is>
          <t>PV of contingent liabilities (if available)</t>
        </is>
      </c>
    </row>
    <row r="205">
      <c r="A205" t="inlineStr">
        <is>
          <t>Dominica_2018_August</t>
        </is>
      </c>
      <c r="C205" t="inlineStr">
        <is>
          <t>SM.18.139</t>
        </is>
      </c>
      <c r="D205" t="inlineStr">
        <is>
          <t>Dominica</t>
        </is>
      </c>
      <c r="E205" t="inlineStr">
        <is>
          <t>DMA</t>
        </is>
      </c>
      <c r="F205" s="11" t="n">
        <v>43255</v>
      </c>
      <c r="G205" t="inlineStr">
        <is>
          <t>2013gn</t>
        </is>
      </c>
      <c r="H205" t="n">
        <v>2017</v>
      </c>
      <c r="N205" t="inlineStr">
        <is>
          <t>PV of public sector foreign currency-denominated debt (end of period)</t>
        </is>
      </c>
    </row>
    <row r="206">
      <c r="A206" t="inlineStr">
        <is>
          <t>Dominica_2018_August</t>
        </is>
      </c>
      <c r="C206" t="inlineStr">
        <is>
          <t>SM.18.139</t>
        </is>
      </c>
      <c r="D206" t="inlineStr">
        <is>
          <t>Dominica</t>
        </is>
      </c>
      <c r="E206" t="inlineStr">
        <is>
          <t>DMA</t>
        </is>
      </c>
      <c r="F206" s="11" t="n">
        <v>43255</v>
      </c>
      <c r="G206" t="inlineStr">
        <is>
          <t>2013gn</t>
        </is>
      </c>
      <c r="H206" t="n">
        <v>2017</v>
      </c>
    </row>
    <row r="207">
      <c r="A207" t="inlineStr">
        <is>
          <t>Dominica_2018_August</t>
        </is>
      </c>
      <c r="C207" t="inlineStr">
        <is>
          <t>SM.18.139</t>
        </is>
      </c>
      <c r="D207" t="inlineStr">
        <is>
          <t>Dominica</t>
        </is>
      </c>
      <c r="E207" t="inlineStr">
        <is>
          <t>DMA</t>
        </is>
      </c>
      <c r="F207" s="11" t="n">
        <v>43255</v>
      </c>
      <c r="G207" t="inlineStr">
        <is>
          <t>2013gn</t>
        </is>
      </c>
      <c r="H207" t="n">
        <v>2017</v>
      </c>
      <c r="N207" t="inlineStr">
        <is>
          <t>Non-interest current account in percent of GDP</t>
        </is>
      </c>
    </row>
    <row r="208">
      <c r="A208" t="inlineStr">
        <is>
          <t>Dominica_2018_August</t>
        </is>
      </c>
      <c r="C208" t="inlineStr">
        <is>
          <t>SM.18.139</t>
        </is>
      </c>
      <c r="D208" t="inlineStr">
        <is>
          <t>Dominica</t>
        </is>
      </c>
      <c r="E208" t="inlineStr">
        <is>
          <t>DMA</t>
        </is>
      </c>
      <c r="F208" s="11" t="n">
        <v>43255</v>
      </c>
      <c r="G208" t="inlineStr">
        <is>
          <t>2013gn</t>
        </is>
      </c>
      <c r="H208" t="n">
        <v>2017</v>
      </c>
      <c r="N208" t="inlineStr">
        <is>
          <t>Current official transfers in percent of GDP</t>
        </is>
      </c>
    </row>
    <row r="209">
      <c r="A209" t="inlineStr">
        <is>
          <t>Dominica_2018_August</t>
        </is>
      </c>
      <c r="C209" t="inlineStr">
        <is>
          <t>SM.18.139</t>
        </is>
      </c>
      <c r="D209" t="inlineStr">
        <is>
          <t>Dominica</t>
        </is>
      </c>
      <c r="E209" t="inlineStr">
        <is>
          <t>DMA</t>
        </is>
      </c>
      <c r="F209" s="11" t="n">
        <v>43255</v>
      </c>
      <c r="G209" t="inlineStr">
        <is>
          <t>2013gn</t>
        </is>
      </c>
      <c r="H209" t="n">
        <v>2017</v>
      </c>
      <c r="N209" t="inlineStr">
        <is>
          <t>Total gross financing</t>
        </is>
      </c>
    </row>
    <row r="210">
      <c r="A210" t="inlineStr">
        <is>
          <t>Dominica_2018_August</t>
        </is>
      </c>
      <c r="C210" t="inlineStr">
        <is>
          <t>SM.18.139</t>
        </is>
      </c>
      <c r="D210" t="inlineStr">
        <is>
          <t>Dominica</t>
        </is>
      </c>
      <c r="E210" t="inlineStr">
        <is>
          <t>DMA</t>
        </is>
      </c>
      <c r="F210" s="11" t="n">
        <v>43255</v>
      </c>
      <c r="G210" t="inlineStr">
        <is>
          <t>2013gn</t>
        </is>
      </c>
      <c r="H210" t="n">
        <v>2017</v>
      </c>
      <c r="N210" t="inlineStr">
        <is>
          <t>o/w covered by private sector</t>
        </is>
      </c>
    </row>
    <row r="211">
      <c r="A211" t="inlineStr">
        <is>
          <t>Dominica_2018_August</t>
        </is>
      </c>
      <c r="C211" t="inlineStr">
        <is>
          <t>SM.18.139</t>
        </is>
      </c>
      <c r="D211" t="inlineStr">
        <is>
          <t>Dominica</t>
        </is>
      </c>
      <c r="E211" t="inlineStr">
        <is>
          <t>DMA</t>
        </is>
      </c>
      <c r="F211" s="11" t="n">
        <v>43255</v>
      </c>
      <c r="G211" t="inlineStr">
        <is>
          <t>2013gn</t>
        </is>
      </c>
      <c r="H211" t="n">
        <v>2017</v>
      </c>
      <c r="N211" t="inlineStr">
        <is>
          <t>o/w covered by public sector</t>
        </is>
      </c>
    </row>
    <row r="212">
      <c r="A212" t="inlineStr">
        <is>
          <t>Dominica_2018_August</t>
        </is>
      </c>
      <c r="C212" t="inlineStr">
        <is>
          <t>SM.18.139</t>
        </is>
      </c>
      <c r="D212" t="inlineStr">
        <is>
          <t>Dominica</t>
        </is>
      </c>
      <c r="E212" t="inlineStr">
        <is>
          <t>DMA</t>
        </is>
      </c>
      <c r="F212" s="11" t="n">
        <v>43255</v>
      </c>
      <c r="G212" t="inlineStr">
        <is>
          <t>2013gn</t>
        </is>
      </c>
      <c r="H212" t="n">
        <v>2017</v>
      </c>
      <c r="N212" t="inlineStr">
        <is>
          <t>Gross financing need</t>
        </is>
      </c>
    </row>
    <row r="213">
      <c r="A213" t="inlineStr">
        <is>
          <t>Dominica_2018_August</t>
        </is>
      </c>
      <c r="C213" t="inlineStr">
        <is>
          <t>SM.18.139</t>
        </is>
      </c>
      <c r="D213" t="inlineStr">
        <is>
          <t>Dominica</t>
        </is>
      </c>
      <c r="E213" t="inlineStr">
        <is>
          <t>DMA</t>
        </is>
      </c>
      <c r="F213" s="11" t="n">
        <v>43255</v>
      </c>
      <c r="G213" t="inlineStr">
        <is>
          <t>2013gn</t>
        </is>
      </c>
      <c r="H213" t="n">
        <v>2017</v>
      </c>
    </row>
    <row r="214">
      <c r="A214" t="inlineStr">
        <is>
          <t>Dominica_2018_August</t>
        </is>
      </c>
      <c r="C214" t="inlineStr">
        <is>
          <t>SM.18.139</t>
        </is>
      </c>
      <c r="D214" t="inlineStr">
        <is>
          <t>Dominica</t>
        </is>
      </c>
      <c r="E214" t="inlineStr">
        <is>
          <t>DMA</t>
        </is>
      </c>
      <c r="F214" s="11" t="n">
        <v>43255</v>
      </c>
      <c r="G214" t="inlineStr">
        <is>
          <t>2013gn</t>
        </is>
      </c>
      <c r="H214" t="n">
        <v>2017</v>
      </c>
      <c r="N214" t="inlineStr">
        <is>
          <t>Government revenues (excluding grants)</t>
        </is>
      </c>
    </row>
    <row r="215">
      <c r="A215" t="inlineStr">
        <is>
          <t>Dominica_2018_August</t>
        </is>
      </c>
      <c r="C215" t="inlineStr">
        <is>
          <t>SM.18.139</t>
        </is>
      </c>
      <c r="D215" t="inlineStr">
        <is>
          <t>Dominica</t>
        </is>
      </c>
      <c r="E215" t="inlineStr">
        <is>
          <t>DMA</t>
        </is>
      </c>
      <c r="F215" s="11" t="n">
        <v>43255</v>
      </c>
      <c r="G215" t="inlineStr">
        <is>
          <t>2013gn</t>
        </is>
      </c>
      <c r="H215" t="n">
        <v>2017</v>
      </c>
      <c r="N215" t="inlineStr">
        <is>
          <t>Real revenue and grants</t>
        </is>
      </c>
    </row>
    <row r="216">
      <c r="A216" t="inlineStr">
        <is>
          <t>Dominica_2018_August</t>
        </is>
      </c>
      <c r="C216" t="inlineStr">
        <is>
          <t>SM.18.139</t>
        </is>
      </c>
      <c r="D216" t="inlineStr">
        <is>
          <t>Dominica</t>
        </is>
      </c>
      <c r="E216" t="inlineStr">
        <is>
          <t>DMA</t>
        </is>
      </c>
      <c r="F216" s="11" t="n">
        <v>43255</v>
      </c>
      <c r="G216" t="inlineStr">
        <is>
          <t>2013gn</t>
        </is>
      </c>
      <c r="H216" t="n">
        <v>2017</v>
      </c>
      <c r="N216" t="inlineStr">
        <is>
          <t>Growth in real revenues and grants</t>
        </is>
      </c>
    </row>
    <row r="217">
      <c r="A217" t="inlineStr">
        <is>
          <t>Dominica_2018_August</t>
        </is>
      </c>
      <c r="C217" t="inlineStr">
        <is>
          <t>SM.18.139</t>
        </is>
      </c>
      <c r="D217" t="inlineStr">
        <is>
          <t>Dominica</t>
        </is>
      </c>
      <c r="E217" t="inlineStr">
        <is>
          <t>DMA</t>
        </is>
      </c>
      <c r="F217" s="11" t="n">
        <v>43255</v>
      </c>
      <c r="G217" t="inlineStr">
        <is>
          <t>2013gn</t>
        </is>
      </c>
      <c r="H217" t="n">
        <v>2017</v>
      </c>
      <c r="N217" t="inlineStr">
        <is>
          <t>Grants</t>
        </is>
      </c>
    </row>
    <row r="218">
      <c r="A218" t="inlineStr">
        <is>
          <t>Dominica_2018_August</t>
        </is>
      </c>
      <c r="C218" t="inlineStr">
        <is>
          <t>SM.18.139</t>
        </is>
      </c>
      <c r="D218" t="inlineStr">
        <is>
          <t>Dominica</t>
        </is>
      </c>
      <c r="E218" t="inlineStr">
        <is>
          <t>DMA</t>
        </is>
      </c>
      <c r="F218" s="11" t="n">
        <v>43255</v>
      </c>
      <c r="G218" t="inlineStr">
        <is>
          <t>2013gn</t>
        </is>
      </c>
      <c r="H218" t="n">
        <v>2017</v>
      </c>
      <c r="N218" t="inlineStr">
        <is>
          <t>Revenues in percent of GDP</t>
        </is>
      </c>
    </row>
    <row r="219">
      <c r="A219" t="inlineStr">
        <is>
          <t>Dominica_2018_August</t>
        </is>
      </c>
      <c r="C219" t="inlineStr">
        <is>
          <t>SM.18.139</t>
        </is>
      </c>
      <c r="D219" t="inlineStr">
        <is>
          <t>Dominica</t>
        </is>
      </c>
      <c r="E219" t="inlineStr">
        <is>
          <t>DMA</t>
        </is>
      </c>
      <c r="F219" s="11" t="n">
        <v>43255</v>
      </c>
      <c r="G219" t="inlineStr">
        <is>
          <t>2013gn</t>
        </is>
      </c>
      <c r="H219" t="n">
        <v>2017</v>
      </c>
      <c r="N219" t="inlineStr">
        <is>
          <t>Real non-interest expenditure</t>
        </is>
      </c>
    </row>
    <row r="220">
      <c r="A220" t="inlineStr">
        <is>
          <t>Dominica_2018_August</t>
        </is>
      </c>
      <c r="C220" t="inlineStr">
        <is>
          <t>SM.18.139</t>
        </is>
      </c>
      <c r="D220" t="inlineStr">
        <is>
          <t>Dominica</t>
        </is>
      </c>
      <c r="E220" t="inlineStr">
        <is>
          <t>DMA</t>
        </is>
      </c>
      <c r="F220" s="11" t="n">
        <v>43255</v>
      </c>
      <c r="G220" t="inlineStr">
        <is>
          <t>2013gn</t>
        </is>
      </c>
      <c r="H220" t="n">
        <v>2017</v>
      </c>
      <c r="N220" t="inlineStr">
        <is>
          <t>Growth of real non-interest expenditures</t>
        </is>
      </c>
    </row>
    <row r="221">
      <c r="A221" t="inlineStr">
        <is>
          <t>Dominica_2018_August</t>
        </is>
      </c>
      <c r="C221" t="inlineStr">
        <is>
          <t>SM.18.139</t>
        </is>
      </c>
      <c r="D221" t="inlineStr">
        <is>
          <t>Dominica</t>
        </is>
      </c>
      <c r="E221" t="inlineStr">
        <is>
          <t>DMA</t>
        </is>
      </c>
      <c r="F221" s="11" t="n">
        <v>43255</v>
      </c>
      <c r="G221" t="inlineStr">
        <is>
          <t>2013gn</t>
        </is>
      </c>
      <c r="H221" t="n">
        <v>2017</v>
      </c>
      <c r="N221" t="inlineStr">
        <is>
          <t>Checkline for new disbursement to public sector</t>
        </is>
      </c>
    </row>
    <row r="222">
      <c r="A222" t="inlineStr">
        <is>
          <t>Dominica_2018_August</t>
        </is>
      </c>
      <c r="C222" t="inlineStr">
        <is>
          <t>SM.18.139</t>
        </is>
      </c>
      <c r="D222" t="inlineStr">
        <is>
          <t>Dominica</t>
        </is>
      </c>
      <c r="E222" t="inlineStr">
        <is>
          <t>DMA</t>
        </is>
      </c>
      <c r="F222" s="11" t="n">
        <v>43255</v>
      </c>
      <c r="G222" t="inlineStr">
        <is>
          <t>2013gn</t>
        </is>
      </c>
      <c r="H222" t="n">
        <v>2017</v>
      </c>
      <c r="N222" t="inlineStr">
        <is>
          <t xml:space="preserve">Real Economy </t>
        </is>
      </c>
    </row>
    <row r="223">
      <c r="A223" t="inlineStr">
        <is>
          <t>Dominica_2018_August</t>
        </is>
      </c>
      <c r="C223" t="inlineStr">
        <is>
          <t>SM.18.139</t>
        </is>
      </c>
      <c r="D223" t="inlineStr">
        <is>
          <t>Dominica</t>
        </is>
      </c>
      <c r="E223" t="inlineStr">
        <is>
          <t>DMA</t>
        </is>
      </c>
      <c r="F223" s="11" t="n">
        <v>43255</v>
      </c>
      <c r="G223" t="inlineStr">
        <is>
          <t>2013gn</t>
        </is>
      </c>
      <c r="H223" t="n">
        <v>2017</v>
      </c>
      <c r="N223" t="inlineStr">
        <is>
          <t>Real GDP growth</t>
        </is>
      </c>
    </row>
    <row r="224">
      <c r="A224" t="inlineStr">
        <is>
          <t>Dominica_2018_August</t>
        </is>
      </c>
      <c r="C224" t="inlineStr">
        <is>
          <t>SM.18.139</t>
        </is>
      </c>
      <c r="D224" t="inlineStr">
        <is>
          <t>Dominica</t>
        </is>
      </c>
      <c r="E224" t="inlineStr">
        <is>
          <t>DMA</t>
        </is>
      </c>
      <c r="F224" s="11" t="n">
        <v>43255</v>
      </c>
      <c r="G224" t="inlineStr">
        <is>
          <t>2013gn</t>
        </is>
      </c>
      <c r="H224" t="n">
        <v>2017</v>
      </c>
      <c r="N224" t="inlineStr">
        <is>
          <t>GDP deflator index (national currency)</t>
        </is>
      </c>
    </row>
    <row r="225">
      <c r="A225" t="inlineStr">
        <is>
          <t>Dominica_2018_August</t>
        </is>
      </c>
      <c r="C225" t="inlineStr">
        <is>
          <t>SM.18.139</t>
        </is>
      </c>
      <c r="D225" t="inlineStr">
        <is>
          <t>Dominica</t>
        </is>
      </c>
      <c r="E225" t="inlineStr">
        <is>
          <t>DMA</t>
        </is>
      </c>
      <c r="F225" s="11" t="n">
        <v>43255</v>
      </c>
      <c r="G225" t="inlineStr">
        <is>
          <t>2013gn</t>
        </is>
      </c>
      <c r="H225" t="n">
        <v>2017</v>
      </c>
      <c r="N225" t="inlineStr">
        <is>
          <t>Change in GDP Deflator factor (percent)</t>
        </is>
      </c>
    </row>
    <row r="226">
      <c r="A226" t="inlineStr">
        <is>
          <t>Dominica_2018_August</t>
        </is>
      </c>
      <c r="C226" t="inlineStr">
        <is>
          <t>SM.18.139</t>
        </is>
      </c>
      <c r="D226" t="inlineStr">
        <is>
          <t>Dominica</t>
        </is>
      </c>
      <c r="E226" t="inlineStr">
        <is>
          <t>DMA</t>
        </is>
      </c>
      <c r="F226" s="11" t="n">
        <v>43255</v>
      </c>
      <c r="G226" t="inlineStr">
        <is>
          <t>2013gn</t>
        </is>
      </c>
      <c r="H226" t="n">
        <v>2017</v>
      </c>
      <c r="N226" t="inlineStr">
        <is>
          <t>GDP deflator index (dollars)</t>
        </is>
      </c>
    </row>
    <row r="227">
      <c r="A227" t="inlineStr">
        <is>
          <t>Dominica_2018_August</t>
        </is>
      </c>
      <c r="C227" t="inlineStr">
        <is>
          <t>SM.18.139</t>
        </is>
      </c>
      <c r="D227" t="inlineStr">
        <is>
          <t>Dominica</t>
        </is>
      </c>
      <c r="E227" t="inlineStr">
        <is>
          <t>DMA</t>
        </is>
      </c>
      <c r="F227" s="11" t="n">
        <v>43255</v>
      </c>
      <c r="G227" t="inlineStr">
        <is>
          <t>2013gn</t>
        </is>
      </c>
      <c r="H227" t="n">
        <v>2017</v>
      </c>
      <c r="N227" t="inlineStr">
        <is>
          <t>Change in GDP Deflator factor (percent)</t>
        </is>
      </c>
    </row>
    <row r="228">
      <c r="A228" t="inlineStr">
        <is>
          <t>Dominica_2018_August</t>
        </is>
      </c>
      <c r="C228" t="inlineStr">
        <is>
          <t>SM.18.139</t>
        </is>
      </c>
      <c r="D228" t="inlineStr">
        <is>
          <t>Dominica</t>
        </is>
      </c>
      <c r="E228" t="inlineStr">
        <is>
          <t>DMA</t>
        </is>
      </c>
      <c r="F228" s="11" t="n">
        <v>43255</v>
      </c>
      <c r="G228" t="inlineStr">
        <is>
          <t>2013gn</t>
        </is>
      </c>
      <c r="H228" t="n">
        <v>2017</v>
      </c>
      <c r="N228" t="inlineStr">
        <is>
          <t>US GDP Deflator (percent change)</t>
        </is>
      </c>
    </row>
    <row r="229">
      <c r="A229" t="inlineStr">
        <is>
          <t>Dominica_2018_August</t>
        </is>
      </c>
      <c r="C229" t="inlineStr">
        <is>
          <t>SM.18.139</t>
        </is>
      </c>
      <c r="D229" t="inlineStr">
        <is>
          <t>Dominica</t>
        </is>
      </c>
      <c r="E229" t="inlineStr">
        <is>
          <t>DMA</t>
        </is>
      </c>
      <c r="F229" s="11" t="n">
        <v>43255</v>
      </c>
      <c r="G229" t="inlineStr">
        <is>
          <t>2013gn</t>
        </is>
      </c>
      <c r="H229" t="n">
        <v>2017</v>
      </c>
      <c r="N229" t="inlineStr">
        <is>
          <t>Exchange rate dollar/NC</t>
        </is>
      </c>
    </row>
    <row r="230">
      <c r="A230" t="inlineStr">
        <is>
          <t>Dominica_2018_August</t>
        </is>
      </c>
      <c r="C230" t="inlineStr">
        <is>
          <t>SM.18.139</t>
        </is>
      </c>
      <c r="D230" t="inlineStr">
        <is>
          <t>Dominica</t>
        </is>
      </c>
      <c r="E230" t="inlineStr">
        <is>
          <t>DMA</t>
        </is>
      </c>
      <c r="F230" s="11" t="n">
        <v>43255</v>
      </c>
      <c r="G230" t="inlineStr">
        <is>
          <t>2013gn</t>
        </is>
      </c>
      <c r="H230" t="n">
        <v>2017</v>
      </c>
      <c r="N230" t="inlineStr">
        <is>
          <t>Depreciation of NC</t>
        </is>
      </c>
    </row>
    <row r="231">
      <c r="A231" t="inlineStr">
        <is>
          <t>Dominica_2018_August</t>
        </is>
      </c>
      <c r="C231" t="inlineStr">
        <is>
          <t>SM.18.139</t>
        </is>
      </c>
      <c r="D231" t="inlineStr">
        <is>
          <t>Dominica</t>
        </is>
      </c>
      <c r="E231" t="inlineStr">
        <is>
          <t>DMA</t>
        </is>
      </c>
      <c r="F231" s="11" t="n">
        <v>43255</v>
      </c>
      <c r="G231" t="inlineStr">
        <is>
          <t>2013gn</t>
        </is>
      </c>
      <c r="H231" t="n">
        <v>2017</v>
      </c>
    </row>
    <row r="232">
      <c r="A232" t="inlineStr">
        <is>
          <t>Dominica_2018_August</t>
        </is>
      </c>
      <c r="C232" t="inlineStr">
        <is>
          <t>SM.18.139</t>
        </is>
      </c>
      <c r="D232" t="inlineStr">
        <is>
          <t>Dominica</t>
        </is>
      </c>
      <c r="E232" t="inlineStr">
        <is>
          <t>DMA</t>
        </is>
      </c>
      <c r="F232" s="11" t="n">
        <v>43255</v>
      </c>
      <c r="G232" t="inlineStr">
        <is>
          <t>2013gn</t>
        </is>
      </c>
      <c r="H232" t="n">
        <v>2017</v>
      </c>
      <c r="N232" t="inlineStr">
        <is>
          <t xml:space="preserve">1/ Includes arrears </t>
        </is>
      </c>
    </row>
    <row r="233">
      <c r="A233" t="inlineStr">
        <is>
          <t>Dominica_2018_August</t>
        </is>
      </c>
      <c r="C233" t="inlineStr">
        <is>
          <t>SM.18.139</t>
        </is>
      </c>
      <c r="D233" t="inlineStr">
        <is>
          <t>Dominica</t>
        </is>
      </c>
      <c r="E233" t="inlineStr">
        <is>
          <t>DMA</t>
        </is>
      </c>
      <c r="F233" s="11" t="n">
        <v>43255</v>
      </c>
      <c r="G233" t="inlineStr">
        <is>
          <t>2013gn</t>
        </is>
      </c>
      <c r="H233" t="n">
        <v>2017</v>
      </c>
    </row>
    <row r="234">
      <c r="A234" t="inlineStr">
        <is>
          <t>Dominica_2018_August</t>
        </is>
      </c>
      <c r="C234" t="inlineStr">
        <is>
          <t>SM.18.139</t>
        </is>
      </c>
      <c r="D234" t="inlineStr">
        <is>
          <t>Dominica</t>
        </is>
      </c>
      <c r="E234" t="inlineStr">
        <is>
          <t>DMA</t>
        </is>
      </c>
      <c r="F234" s="11" t="n">
        <v>43255</v>
      </c>
      <c r="G234" t="inlineStr">
        <is>
          <t>2013gn</t>
        </is>
      </c>
      <c r="H234" t="n">
        <v>2017</v>
      </c>
    </row>
    <row r="235">
      <c r="A235" t="inlineStr">
        <is>
          <t>Dominica_2018_August</t>
        </is>
      </c>
      <c r="C235" t="inlineStr">
        <is>
          <t>SM.18.139</t>
        </is>
      </c>
      <c r="D235" t="inlineStr">
        <is>
          <t>Dominica</t>
        </is>
      </c>
      <c r="E235" t="inlineStr">
        <is>
          <t>DMA</t>
        </is>
      </c>
      <c r="F235" s="11" t="n">
        <v>43255</v>
      </c>
      <c r="G235" t="inlineStr">
        <is>
          <t>2013gn</t>
        </is>
      </c>
      <c r="H235" t="n">
        <v>2017</v>
      </c>
      <c r="J235" t="inlineStr">
        <is>
          <t>FRE</t>
        </is>
      </c>
      <c r="M235" t="inlineStr">
        <is>
          <t xml:space="preserve">Remplir les cellules jaunes </t>
        </is>
      </c>
      <c r="N235" t="inlineStr">
        <is>
          <t xml:space="preserve">Les cellules bleues sont remplies automatiquement </t>
        </is>
      </c>
    </row>
    <row r="236">
      <c r="A236" t="inlineStr">
        <is>
          <t>Dominica_2018_August</t>
        </is>
      </c>
      <c r="C236" t="inlineStr">
        <is>
          <t>SM.18.139</t>
        </is>
      </c>
      <c r="D236" t="inlineStr">
        <is>
          <t>Dominica</t>
        </is>
      </c>
      <c r="E236" t="inlineStr">
        <is>
          <t>DMA</t>
        </is>
      </c>
      <c r="F236" s="11" t="n">
        <v>43255</v>
      </c>
      <c r="G236" t="inlineStr">
        <is>
          <t>2013gn</t>
        </is>
      </c>
      <c r="H236" t="n">
        <v>2017</v>
      </c>
    </row>
    <row r="237">
      <c r="A237" t="inlineStr">
        <is>
          <t>Dominica_2018_August</t>
        </is>
      </c>
      <c r="C237" t="inlineStr">
        <is>
          <t>SM.18.139</t>
        </is>
      </c>
      <c r="D237" t="inlineStr">
        <is>
          <t>Dominica</t>
        </is>
      </c>
      <c r="E237" t="inlineStr">
        <is>
          <t>DMA</t>
        </is>
      </c>
      <c r="F237" s="11" t="n">
        <v>43255</v>
      </c>
      <c r="G237" t="inlineStr">
        <is>
          <t>2013gn</t>
        </is>
      </c>
      <c r="H237" t="n">
        <v>2017</v>
      </c>
    </row>
    <row r="238">
      <c r="A238" t="inlineStr">
        <is>
          <t>Dominica_2018_August</t>
        </is>
      </c>
      <c r="C238" t="inlineStr">
        <is>
          <t>SM.18.139</t>
        </is>
      </c>
      <c r="D238" t="inlineStr">
        <is>
          <t>Dominica</t>
        </is>
      </c>
      <c r="E238" t="inlineStr">
        <is>
          <t>DMA</t>
        </is>
      </c>
      <c r="F238" s="11" t="n">
        <v>43255</v>
      </c>
      <c r="G238" t="inlineStr">
        <is>
          <t>2013gn</t>
        </is>
      </c>
      <c r="H238" t="n">
        <v>2017</v>
      </c>
      <c r="M238" t="inlineStr">
        <is>
          <t xml:space="preserve">Note CPIA </t>
        </is>
      </c>
      <c r="N238" t="inlineStr">
        <is>
          <t xml:space="preserve">Performance de politique générale </t>
        </is>
      </c>
      <c r="O238" t="inlineStr">
        <is>
          <t>Pour inclure envois de fonds comme référence :</t>
        </is>
      </c>
    </row>
    <row r="239">
      <c r="A239" t="inlineStr">
        <is>
          <t>Dominica_2018_August</t>
        </is>
      </c>
      <c r="C239" t="inlineStr">
        <is>
          <t>SM.18.139</t>
        </is>
      </c>
      <c r="D239" t="inlineStr">
        <is>
          <t>Dominica</t>
        </is>
      </c>
      <c r="E239" t="inlineStr">
        <is>
          <t>DMA</t>
        </is>
      </c>
      <c r="F239" s="11" t="n">
        <v>43255</v>
      </c>
      <c r="G239" t="inlineStr">
        <is>
          <t>2013gn</t>
        </is>
      </c>
      <c r="H239" t="n">
        <v>2017</v>
      </c>
      <c r="M239" t="inlineStr">
        <is>
          <t xml:space="preserve">Seuils d'endettement EXTÉRIEUR </t>
        </is>
      </c>
      <c r="N239" t="inlineStr">
        <is>
          <t xml:space="preserve">Sans envois de fonds </t>
        </is>
      </c>
      <c r="O239" t="inlineStr">
        <is>
          <t>Avec envois de fonds</t>
        </is>
      </c>
    </row>
    <row r="240">
      <c r="A240" t="inlineStr">
        <is>
          <t>Dominica_2018_August</t>
        </is>
      </c>
      <c r="C240" t="inlineStr">
        <is>
          <t>SM.18.139</t>
        </is>
      </c>
      <c r="D240" t="inlineStr">
        <is>
          <t>Dominica</t>
        </is>
      </c>
      <c r="E240" t="inlineStr">
        <is>
          <t>DMA</t>
        </is>
      </c>
      <c r="F240" s="11" t="n">
        <v>43255</v>
      </c>
      <c r="G240" t="inlineStr">
        <is>
          <t>2013gn</t>
        </is>
      </c>
      <c r="H240" t="n">
        <v>2017</v>
      </c>
      <c r="M240" t="inlineStr">
        <is>
          <t>VA de la dette en % de</t>
        </is>
      </c>
    </row>
    <row r="241">
      <c r="A241" t="inlineStr">
        <is>
          <t>Dominica_2018_August</t>
        </is>
      </c>
      <c r="C241" t="inlineStr">
        <is>
          <t>SM.18.139</t>
        </is>
      </c>
      <c r="D241" t="inlineStr">
        <is>
          <t>Dominica</t>
        </is>
      </c>
      <c r="E241" t="inlineStr">
        <is>
          <t>DMA</t>
        </is>
      </c>
      <c r="F241" s="11" t="n">
        <v>43255</v>
      </c>
      <c r="G241" t="inlineStr">
        <is>
          <t>2013gn</t>
        </is>
      </c>
      <c r="H241" t="n">
        <v>2017</v>
      </c>
      <c r="M241" t="inlineStr">
        <is>
          <t>Exportations</t>
        </is>
      </c>
    </row>
    <row r="242">
      <c r="A242" t="inlineStr">
        <is>
          <t>Dominica_2018_August</t>
        </is>
      </c>
      <c r="C242" t="inlineStr">
        <is>
          <t>SM.18.139</t>
        </is>
      </c>
      <c r="D242" t="inlineStr">
        <is>
          <t>Dominica</t>
        </is>
      </c>
      <c r="E242" t="inlineStr">
        <is>
          <t>DMA</t>
        </is>
      </c>
      <c r="F242" s="11" t="n">
        <v>43255</v>
      </c>
      <c r="G242" t="inlineStr">
        <is>
          <t>2013gn</t>
        </is>
      </c>
      <c r="H242" t="n">
        <v>2017</v>
      </c>
      <c r="M242" t="inlineStr">
        <is>
          <t>PIB</t>
        </is>
      </c>
    </row>
    <row r="243">
      <c r="A243" t="inlineStr">
        <is>
          <t>Dominica_2018_August</t>
        </is>
      </c>
      <c r="C243" t="inlineStr">
        <is>
          <t>SM.18.139</t>
        </is>
      </c>
      <c r="D243" t="inlineStr">
        <is>
          <t>Dominica</t>
        </is>
      </c>
      <c r="E243" t="inlineStr">
        <is>
          <t>DMA</t>
        </is>
      </c>
      <c r="F243" s="11" t="n">
        <v>43255</v>
      </c>
      <c r="G243" t="inlineStr">
        <is>
          <t>2013gn</t>
        </is>
      </c>
      <c r="H243" t="n">
        <v>2017</v>
      </c>
      <c r="M243" t="inlineStr">
        <is>
          <t xml:space="preserve">Recettes </t>
        </is>
      </c>
    </row>
    <row r="244">
      <c r="A244" t="inlineStr">
        <is>
          <t>Dominica_2018_August</t>
        </is>
      </c>
      <c r="C244" t="inlineStr">
        <is>
          <t>SM.18.139</t>
        </is>
      </c>
      <c r="D244" t="inlineStr">
        <is>
          <t>Dominica</t>
        </is>
      </c>
      <c r="E244" t="inlineStr">
        <is>
          <t>DMA</t>
        </is>
      </c>
      <c r="F244" s="11" t="n">
        <v>43255</v>
      </c>
      <c r="G244" t="inlineStr">
        <is>
          <t>2013gn</t>
        </is>
      </c>
      <c r="H244" t="n">
        <v>2017</v>
      </c>
      <c r="M244" t="inlineStr">
        <is>
          <t>Service de la dette en % de</t>
        </is>
      </c>
    </row>
    <row r="245">
      <c r="A245" t="inlineStr">
        <is>
          <t>Dominica_2018_August</t>
        </is>
      </c>
      <c r="C245" t="inlineStr">
        <is>
          <t>SM.18.139</t>
        </is>
      </c>
      <c r="D245" t="inlineStr">
        <is>
          <t>Dominica</t>
        </is>
      </c>
      <c r="E245" t="inlineStr">
        <is>
          <t>DMA</t>
        </is>
      </c>
      <c r="F245" s="11" t="n">
        <v>43255</v>
      </c>
      <c r="G245" t="inlineStr">
        <is>
          <t>2013gn</t>
        </is>
      </c>
      <c r="H245" t="n">
        <v>2017</v>
      </c>
      <c r="M245" t="inlineStr">
        <is>
          <t>Exportations</t>
        </is>
      </c>
    </row>
    <row r="246">
      <c r="A246" t="inlineStr">
        <is>
          <t>Dominica_2018_August</t>
        </is>
      </c>
      <c r="C246" t="inlineStr">
        <is>
          <t>SM.18.139</t>
        </is>
      </c>
      <c r="D246" t="inlineStr">
        <is>
          <t>Dominica</t>
        </is>
      </c>
      <c r="E246" t="inlineStr">
        <is>
          <t>DMA</t>
        </is>
      </c>
      <c r="F246" s="11" t="n">
        <v>43255</v>
      </c>
      <c r="G246" t="inlineStr">
        <is>
          <t>2013gn</t>
        </is>
      </c>
      <c r="H246" t="n">
        <v>2017</v>
      </c>
      <c r="M246" t="inlineStr">
        <is>
          <t xml:space="preserve">Recettes </t>
        </is>
      </c>
    </row>
    <row r="247">
      <c r="A247" t="inlineStr">
        <is>
          <t>Dominica_2018_August</t>
        </is>
      </c>
      <c r="C247" t="inlineStr">
        <is>
          <t>SM.18.139</t>
        </is>
      </c>
      <c r="D247" t="inlineStr">
        <is>
          <t>Dominica</t>
        </is>
      </c>
      <c r="E247" t="inlineStr">
        <is>
          <t>DMA</t>
        </is>
      </c>
      <c r="F247" s="11" t="n">
        <v>43255</v>
      </c>
      <c r="G247" t="inlineStr">
        <is>
          <t>2013gn</t>
        </is>
      </c>
      <c r="H247" t="n">
        <v>2017</v>
      </c>
      <c r="M247" t="inlineStr">
        <is>
          <t>Repère dette publique TOTALE</t>
        </is>
      </c>
    </row>
    <row r="248">
      <c r="A248" t="inlineStr">
        <is>
          <t>Dominica_2018_August</t>
        </is>
      </c>
      <c r="C248" t="inlineStr">
        <is>
          <t>SM.18.139</t>
        </is>
      </c>
      <c r="D248" t="inlineStr">
        <is>
          <t>Dominica</t>
        </is>
      </c>
      <c r="E248" t="inlineStr">
        <is>
          <t>DMA</t>
        </is>
      </c>
      <c r="F248" s="11" t="n">
        <v>43255</v>
      </c>
      <c r="G248" t="inlineStr">
        <is>
          <t>2013gn</t>
        </is>
      </c>
      <c r="H248" t="n">
        <v>2017</v>
      </c>
      <c r="M248" t="inlineStr">
        <is>
          <t xml:space="preserve">VA du total de la dette publique en % du PIB </t>
        </is>
      </c>
      <c r="AA248" t="inlineStr">
        <is>
          <t>First estimate/projection year</t>
        </is>
      </c>
    </row>
    <row r="249">
      <c r="A249" t="inlineStr">
        <is>
          <t>Dominica_2018_August</t>
        </is>
      </c>
      <c r="C249" t="inlineStr">
        <is>
          <t>SM.18.139</t>
        </is>
      </c>
      <c r="D249" t="inlineStr">
        <is>
          <t>Dominica</t>
        </is>
      </c>
      <c r="E249" t="inlineStr">
        <is>
          <t>DMA</t>
        </is>
      </c>
      <c r="F249" s="11" t="n">
        <v>43255</v>
      </c>
      <c r="G249" t="inlineStr">
        <is>
          <t>2013gn</t>
        </is>
      </c>
      <c r="H249" t="n">
        <v>2017</v>
      </c>
      <c r="M249" t="inlineStr">
        <is>
          <t xml:space="preserve">Note de surendettement extérieur </t>
        </is>
      </c>
    </row>
    <row r="250">
      <c r="A250" t="inlineStr">
        <is>
          <t>Dominica_2018_August</t>
        </is>
      </c>
      <c r="C250" t="inlineStr">
        <is>
          <t>SM.18.139</t>
        </is>
      </c>
      <c r="D250" t="inlineStr">
        <is>
          <t>Dominica</t>
        </is>
      </c>
      <c r="E250" t="inlineStr">
        <is>
          <t>DMA</t>
        </is>
      </c>
      <c r="F250" s="11" t="n">
        <v>43255</v>
      </c>
      <c r="G250" t="inlineStr">
        <is>
          <t>2013gn</t>
        </is>
      </c>
      <c r="H250" t="n">
        <v>2017</v>
      </c>
      <c r="N250" t="inlineStr">
        <is>
          <t xml:space="preserve">Moyen et long terme (MLT) </t>
        </is>
      </c>
    </row>
    <row r="251">
      <c r="A251" t="inlineStr">
        <is>
          <t>Dominica_2018_August</t>
        </is>
      </c>
      <c r="C251" t="inlineStr">
        <is>
          <t>SM.18.139</t>
        </is>
      </c>
      <c r="D251" t="inlineStr">
        <is>
          <t>Dominica</t>
        </is>
      </c>
      <c r="E251" t="inlineStr">
        <is>
          <t>DMA</t>
        </is>
      </c>
      <c r="F251" s="11" t="n">
        <v>43255</v>
      </c>
      <c r="G251" t="inlineStr">
        <is>
          <t>2013gn</t>
        </is>
      </c>
      <c r="H251" t="n">
        <v>2017</v>
      </c>
      <c r="N251" t="inlineStr">
        <is>
          <t>Extérieure à moyen et long terme (MLT)</t>
        </is>
      </c>
    </row>
    <row r="252">
      <c r="A252" t="inlineStr">
        <is>
          <t>Dominica_2018_August</t>
        </is>
      </c>
      <c r="C252" t="inlineStr">
        <is>
          <t>SM.18.139</t>
        </is>
      </c>
      <c r="D252" t="inlineStr">
        <is>
          <t>Dominica</t>
        </is>
      </c>
      <c r="E252" t="inlineStr">
        <is>
          <t>DMA</t>
        </is>
      </c>
      <c r="F252" s="11" t="n">
        <v>43255</v>
      </c>
      <c r="G252" t="inlineStr">
        <is>
          <t>2013gn</t>
        </is>
      </c>
      <c r="H252" t="n">
        <v>2017</v>
      </c>
      <c r="N252" t="inlineStr">
        <is>
          <t xml:space="preserve">Court terme </t>
        </is>
      </c>
    </row>
    <row r="253">
      <c r="A253" t="inlineStr">
        <is>
          <t>Dominica_2018_August</t>
        </is>
      </c>
      <c r="C253" t="inlineStr">
        <is>
          <t>SM.18.139</t>
        </is>
      </c>
      <c r="D253" t="inlineStr">
        <is>
          <t>Dominica</t>
        </is>
      </c>
      <c r="E253" t="inlineStr">
        <is>
          <t>DMA</t>
        </is>
      </c>
      <c r="F253" s="11" t="n">
        <v>43255</v>
      </c>
      <c r="G253" t="inlineStr">
        <is>
          <t>2013gn</t>
        </is>
      </c>
      <c r="H253" t="n">
        <v>2017</v>
      </c>
      <c r="L253" t="inlineStr">
        <is>
          <t>Unités</t>
        </is>
      </c>
      <c r="M253" t="inlineStr">
        <is>
          <t xml:space="preserve">Échelle </t>
        </is>
      </c>
      <c r="N253" t="inlineStr">
        <is>
          <t xml:space="preserve">Intitulé </t>
        </is>
      </c>
    </row>
    <row r="254">
      <c r="A254" t="inlineStr">
        <is>
          <t>Dominica_2018_August</t>
        </is>
      </c>
      <c r="C254" t="inlineStr">
        <is>
          <t>SM.18.139</t>
        </is>
      </c>
      <c r="D254" t="inlineStr">
        <is>
          <t>Dominica</t>
        </is>
      </c>
      <c r="E254" t="inlineStr">
        <is>
          <t>DMA</t>
        </is>
      </c>
      <c r="F254" s="11" t="n">
        <v>43255</v>
      </c>
      <c r="G254" t="inlineStr">
        <is>
          <t>2013gn</t>
        </is>
      </c>
      <c r="H254" t="n">
        <v>2017</v>
      </c>
      <c r="L254" t="inlineStr">
        <is>
          <t>Dollars EU</t>
        </is>
      </c>
      <c r="M254" t="inlineStr">
        <is>
          <t>Milliards</t>
        </is>
      </c>
      <c r="N254" t="inlineStr">
        <is>
          <t>Encours de la dette totale MLT en fin d'exercice 1/</t>
        </is>
      </c>
    </row>
    <row r="255">
      <c r="A255" t="inlineStr">
        <is>
          <t>Dominica_2018_August</t>
        </is>
      </c>
      <c r="C255" t="inlineStr">
        <is>
          <t>SM.18.139</t>
        </is>
      </c>
      <c r="D255" t="inlineStr">
        <is>
          <t>Dominica</t>
        </is>
      </c>
      <c r="E255" t="inlineStr">
        <is>
          <t>DMA</t>
        </is>
      </c>
      <c r="F255" s="11" t="n">
        <v>43255</v>
      </c>
      <c r="G255" t="inlineStr">
        <is>
          <t>2013gn</t>
        </is>
      </c>
      <c r="H255" t="n">
        <v>2017</v>
      </c>
      <c r="L255" t="inlineStr">
        <is>
          <t>Dollars EU</t>
        </is>
      </c>
      <c r="M255" t="inlineStr">
        <is>
          <t>Milliards</t>
        </is>
      </c>
      <c r="N255" t="inlineStr">
        <is>
          <t xml:space="preserve">Dette extérieure du secteur privé </t>
        </is>
      </c>
    </row>
    <row r="256">
      <c r="A256" t="inlineStr">
        <is>
          <t>Dominica_2018_August</t>
        </is>
      </c>
      <c r="C256" t="inlineStr">
        <is>
          <t>SM.18.139</t>
        </is>
      </c>
      <c r="D256" t="inlineStr">
        <is>
          <t>Dominica</t>
        </is>
      </c>
      <c r="E256" t="inlineStr">
        <is>
          <t>DMA</t>
        </is>
      </c>
      <c r="F256" s="11" t="n">
        <v>43255</v>
      </c>
      <c r="G256" t="inlineStr">
        <is>
          <t>2013gn</t>
        </is>
      </c>
      <c r="H256" t="n">
        <v>2017</v>
      </c>
      <c r="L256" t="inlineStr">
        <is>
          <t>Dollars EU</t>
        </is>
      </c>
      <c r="M256" t="inlineStr">
        <is>
          <t>Milliards</t>
        </is>
      </c>
      <c r="N256" t="inlineStr">
        <is>
          <t xml:space="preserve">Dette extérieure contractée ou garantie par l'État </t>
        </is>
      </c>
    </row>
    <row r="257">
      <c r="A257" t="inlineStr">
        <is>
          <t>Dominica_2018_August</t>
        </is>
      </c>
      <c r="C257" t="inlineStr">
        <is>
          <t>SM.18.139</t>
        </is>
      </c>
      <c r="D257" t="inlineStr">
        <is>
          <t>Dominica</t>
        </is>
      </c>
      <c r="E257" t="inlineStr">
        <is>
          <t>DMA</t>
        </is>
      </c>
      <c r="F257" s="11" t="n">
        <v>43255</v>
      </c>
      <c r="G257" t="inlineStr">
        <is>
          <t>2013gn</t>
        </is>
      </c>
      <c r="H257" t="n">
        <v>2017</v>
      </c>
      <c r="L257" t="inlineStr">
        <is>
          <t xml:space="preserve">Monnaie nationale </t>
        </is>
      </c>
      <c r="M257" t="inlineStr">
        <is>
          <t>Milliards</t>
        </is>
      </c>
      <c r="N257" t="inlineStr">
        <is>
          <t xml:space="preserve">Total encours de la dette publique en fin d'exercice </t>
        </is>
      </c>
    </row>
    <row r="258">
      <c r="A258" t="inlineStr">
        <is>
          <t>Dominica_2018_August</t>
        </is>
      </c>
      <c r="C258" t="inlineStr">
        <is>
          <t>SM.18.139</t>
        </is>
      </c>
      <c r="D258" t="inlineStr">
        <is>
          <t>Dominica</t>
        </is>
      </c>
      <c r="E258" t="inlineStr">
        <is>
          <t>DMA</t>
        </is>
      </c>
      <c r="F258" s="11" t="n">
        <v>43255</v>
      </c>
      <c r="G258" t="inlineStr">
        <is>
          <t>2013gn</t>
        </is>
      </c>
      <c r="H258" t="n">
        <v>2017</v>
      </c>
      <c r="L258" t="inlineStr">
        <is>
          <t xml:space="preserve">Monnaie nationale </t>
        </is>
      </c>
      <c r="M258" t="inlineStr">
        <is>
          <t>Milliards</t>
        </is>
      </c>
      <c r="N258" t="inlineStr">
        <is>
          <t xml:space="preserve">Total dette publique intérieure </t>
        </is>
      </c>
    </row>
    <row r="259">
      <c r="A259" t="inlineStr">
        <is>
          <t>Dominica_2018_August</t>
        </is>
      </c>
      <c r="C259" t="inlineStr">
        <is>
          <t>SM.18.139</t>
        </is>
      </c>
      <c r="D259" t="inlineStr">
        <is>
          <t>Dominica</t>
        </is>
      </c>
      <c r="E259" t="inlineStr">
        <is>
          <t>DMA</t>
        </is>
      </c>
      <c r="F259" s="11" t="n">
        <v>43255</v>
      </c>
      <c r="G259" t="inlineStr">
        <is>
          <t>2013gn</t>
        </is>
      </c>
      <c r="H259" t="n">
        <v>2017</v>
      </c>
      <c r="L259" t="inlineStr">
        <is>
          <t xml:space="preserve">Monnaie nationale </t>
        </is>
      </c>
      <c r="M259" t="inlineStr">
        <is>
          <t>Milliards</t>
        </is>
      </c>
      <c r="N259" t="inlineStr">
        <is>
          <t xml:space="preserve">Dette intérieure libellée en devises </t>
        </is>
      </c>
    </row>
    <row r="260">
      <c r="A260" t="inlineStr">
        <is>
          <t>Dominica_2018_August</t>
        </is>
      </c>
      <c r="C260" t="inlineStr">
        <is>
          <t>SM.18.139</t>
        </is>
      </c>
      <c r="D260" t="inlineStr">
        <is>
          <t>Dominica</t>
        </is>
      </c>
      <c r="E260" t="inlineStr">
        <is>
          <t>DMA</t>
        </is>
      </c>
      <c r="F260" s="11" t="n">
        <v>43255</v>
      </c>
      <c r="G260" t="inlineStr">
        <is>
          <t>2013gn</t>
        </is>
      </c>
      <c r="H260" t="n">
        <v>2017</v>
      </c>
      <c r="L260" t="inlineStr">
        <is>
          <t xml:space="preserve">Monnaie nationale </t>
        </is>
      </c>
      <c r="M260" t="inlineStr">
        <is>
          <t>Milliards</t>
        </is>
      </c>
      <c r="N260" t="inlineStr">
        <is>
          <t xml:space="preserve">Total dette publique extérieure </t>
        </is>
      </c>
    </row>
    <row r="261">
      <c r="A261" t="inlineStr">
        <is>
          <t>Dominica_2018_August</t>
        </is>
      </c>
      <c r="C261" t="inlineStr">
        <is>
          <t>SM.18.139</t>
        </is>
      </c>
      <c r="D261" t="inlineStr">
        <is>
          <t>Dominica</t>
        </is>
      </c>
      <c r="E261" t="inlineStr">
        <is>
          <t>DMA</t>
        </is>
      </c>
      <c r="F261" s="11" t="n">
        <v>43255</v>
      </c>
      <c r="G261" t="inlineStr">
        <is>
          <t>2013gn</t>
        </is>
      </c>
      <c r="H261" t="n">
        <v>2017</v>
      </c>
      <c r="L261" t="inlineStr">
        <is>
          <t xml:space="preserve">Monnaie nationale </t>
        </is>
      </c>
      <c r="M261" t="inlineStr">
        <is>
          <t>Milliards</t>
        </is>
      </c>
      <c r="N261" t="inlineStr">
        <is>
          <t xml:space="preserve">Dette publique libellée en devises (fin de période) </t>
        </is>
      </c>
    </row>
    <row r="262">
      <c r="A262" t="inlineStr">
        <is>
          <t>Dominica_2018_August</t>
        </is>
      </c>
      <c r="C262" t="inlineStr">
        <is>
          <t>SM.18.139</t>
        </is>
      </c>
      <c r="D262" t="inlineStr">
        <is>
          <t>Dominica</t>
        </is>
      </c>
      <c r="E262" t="inlineStr">
        <is>
          <t>DMA</t>
        </is>
      </c>
      <c r="F262" s="11" t="n">
        <v>43255</v>
      </c>
      <c r="G262" t="inlineStr">
        <is>
          <t>2013gn</t>
        </is>
      </c>
      <c r="H262" t="n">
        <v>2017</v>
      </c>
      <c r="L262" t="inlineStr">
        <is>
          <t>Dollars EU</t>
        </is>
      </c>
      <c r="M262" t="inlineStr">
        <is>
          <t>Milliards</t>
        </is>
      </c>
      <c r="N262" t="inlineStr">
        <is>
          <t>Dette totale (publique + privée extérieure)</t>
        </is>
      </c>
    </row>
    <row r="263">
      <c r="A263" t="inlineStr">
        <is>
          <t>Dominica_2018_August</t>
        </is>
      </c>
      <c r="C263" t="inlineStr">
        <is>
          <t>SM.18.139</t>
        </is>
      </c>
      <c r="D263" t="inlineStr">
        <is>
          <t>Dominica</t>
        </is>
      </c>
      <c r="E263" t="inlineStr">
        <is>
          <t>DMA</t>
        </is>
      </c>
      <c r="F263" s="11" t="n">
        <v>43255</v>
      </c>
      <c r="G263" t="inlineStr">
        <is>
          <t>2013gn</t>
        </is>
      </c>
      <c r="H263" t="n">
        <v>2017</v>
      </c>
      <c r="L263" t="inlineStr">
        <is>
          <t>Dollars EU</t>
        </is>
      </c>
      <c r="M263" t="inlineStr">
        <is>
          <t>Milliards</t>
        </is>
      </c>
      <c r="N263" t="inlineStr">
        <is>
          <t>Total dette extérieure à court terme (publique + privée)</t>
        </is>
      </c>
    </row>
    <row r="264">
      <c r="A264" t="inlineStr">
        <is>
          <t>Dominica_2018_August</t>
        </is>
      </c>
      <c r="C264" t="inlineStr">
        <is>
          <t>SM.18.139</t>
        </is>
      </c>
      <c r="D264" t="inlineStr">
        <is>
          <t>Dominica</t>
        </is>
      </c>
      <c r="E264" t="inlineStr">
        <is>
          <t>DMA</t>
        </is>
      </c>
      <c r="F264" s="11" t="n">
        <v>43255</v>
      </c>
      <c r="G264" t="inlineStr">
        <is>
          <t>2013gn</t>
        </is>
      </c>
      <c r="H264" t="n">
        <v>2017</v>
      </c>
      <c r="L264" t="inlineStr">
        <is>
          <t>Dollars EU</t>
        </is>
      </c>
      <c r="M264" t="inlineStr">
        <is>
          <t>Milliards</t>
        </is>
      </c>
      <c r="N264" t="inlineStr">
        <is>
          <t xml:space="preserve">Dette extérieure contractée ou garantie par l'État </t>
        </is>
      </c>
    </row>
    <row r="265">
      <c r="A265" t="inlineStr">
        <is>
          <t>Dominica_2018_August</t>
        </is>
      </c>
      <c r="C265" t="inlineStr">
        <is>
          <t>SM.18.139</t>
        </is>
      </c>
      <c r="D265" t="inlineStr">
        <is>
          <t>Dominica</t>
        </is>
      </c>
      <c r="E265" t="inlineStr">
        <is>
          <t>DMA</t>
        </is>
      </c>
      <c r="F265" s="11" t="n">
        <v>43255</v>
      </c>
      <c r="G265" t="inlineStr">
        <is>
          <t>2013gn</t>
        </is>
      </c>
      <c r="H265" t="n">
        <v>2017</v>
      </c>
      <c r="L265" t="inlineStr">
        <is>
          <t>Dollars EU</t>
        </is>
      </c>
      <c r="M265" t="inlineStr">
        <is>
          <t>Milliards</t>
        </is>
      </c>
      <c r="N265" t="inlineStr">
        <is>
          <t xml:space="preserve">Dette intérieure contractée ou garantie par l'État </t>
        </is>
      </c>
    </row>
    <row r="266">
      <c r="A266" t="inlineStr">
        <is>
          <t>Dominica_2018_August</t>
        </is>
      </c>
      <c r="C266" t="inlineStr">
        <is>
          <t>SM.18.139</t>
        </is>
      </c>
      <c r="D266" t="inlineStr">
        <is>
          <t>Dominica</t>
        </is>
      </c>
      <c r="E266" t="inlineStr">
        <is>
          <t>DMA</t>
        </is>
      </c>
      <c r="F266" s="11" t="n">
        <v>43255</v>
      </c>
      <c r="G266" t="inlineStr">
        <is>
          <t>2013gn</t>
        </is>
      </c>
      <c r="H266" t="n">
        <v>2017</v>
      </c>
      <c r="L266" t="inlineStr">
        <is>
          <t>Dollars EU</t>
        </is>
      </c>
      <c r="M266" t="inlineStr">
        <is>
          <t>Milliards</t>
        </is>
      </c>
      <c r="N266" t="inlineStr">
        <is>
          <t xml:space="preserve">Dette privée extérieure </t>
        </is>
      </c>
    </row>
    <row r="267">
      <c r="A267" t="inlineStr">
        <is>
          <t>Dominica_2018_August</t>
        </is>
      </c>
      <c r="C267" t="inlineStr">
        <is>
          <t>SM.18.139</t>
        </is>
      </c>
      <c r="D267" t="inlineStr">
        <is>
          <t>Dominica</t>
        </is>
      </c>
      <c r="E267" t="inlineStr">
        <is>
          <t>DMA</t>
        </is>
      </c>
      <c r="F267" s="11" t="n">
        <v>43255</v>
      </c>
      <c r="G267" t="inlineStr">
        <is>
          <t>2013gn</t>
        </is>
      </c>
      <c r="H267" t="n">
        <v>2017</v>
      </c>
      <c r="L267" t="inlineStr">
        <is>
          <t>Dollars EU</t>
        </is>
      </c>
      <c r="M267" t="inlineStr">
        <is>
          <t>Milliards</t>
        </is>
      </c>
      <c r="N267" t="inlineStr">
        <is>
          <t xml:space="preserve">Total intérêts exigibles sur la dette </t>
        </is>
      </c>
    </row>
    <row r="268">
      <c r="A268" t="inlineStr">
        <is>
          <t>Dominica_2018_August</t>
        </is>
      </c>
      <c r="C268" t="inlineStr">
        <is>
          <t>SM.18.139</t>
        </is>
      </c>
      <c r="D268" t="inlineStr">
        <is>
          <t>Dominica</t>
        </is>
      </c>
      <c r="E268" t="inlineStr">
        <is>
          <t>DMA</t>
        </is>
      </c>
      <c r="F268" s="11" t="n">
        <v>43255</v>
      </c>
      <c r="G268" t="inlineStr">
        <is>
          <t>2013gn</t>
        </is>
      </c>
      <c r="H268" t="n">
        <v>2017</v>
      </c>
      <c r="L268" t="inlineStr">
        <is>
          <t>Dollars EU</t>
        </is>
      </c>
      <c r="M268" t="inlineStr">
        <is>
          <t>Milliards</t>
        </is>
      </c>
      <c r="N268" t="inlineStr">
        <is>
          <t>Total intérêts exigibles sur la dette extérieure (intérêts nouvelle dette compris)</t>
        </is>
      </c>
    </row>
    <row r="269">
      <c r="A269" t="inlineStr">
        <is>
          <t>Dominica_2018_August</t>
        </is>
      </c>
      <c r="C269" t="inlineStr">
        <is>
          <t>SM.18.139</t>
        </is>
      </c>
      <c r="D269" t="inlineStr">
        <is>
          <t>Dominica</t>
        </is>
      </c>
      <c r="E269" t="inlineStr">
        <is>
          <t>DMA</t>
        </is>
      </c>
      <c r="F269" s="11" t="n">
        <v>43255</v>
      </c>
      <c r="G269" t="inlineStr">
        <is>
          <t>2013gn</t>
        </is>
      </c>
      <c r="H269" t="n">
        <v>2017</v>
      </c>
      <c r="L269" t="inlineStr">
        <is>
          <t>Dollars EU</t>
        </is>
      </c>
      <c r="M269" t="inlineStr">
        <is>
          <t>Milliards</t>
        </is>
      </c>
      <c r="N269" t="inlineStr">
        <is>
          <t>Total intérêts exigibles sur la dette extérieure (intérêts nouvelle dette exclus)</t>
        </is>
      </c>
    </row>
    <row r="270">
      <c r="A270" t="inlineStr">
        <is>
          <t>Dominica_2018_August</t>
        </is>
      </c>
      <c r="C270" t="inlineStr">
        <is>
          <t>SM.18.139</t>
        </is>
      </c>
      <c r="D270" t="inlineStr">
        <is>
          <t>Dominica</t>
        </is>
      </c>
      <c r="E270" t="inlineStr">
        <is>
          <t>DMA</t>
        </is>
      </c>
      <c r="F270" s="11" t="n">
        <v>43255</v>
      </c>
      <c r="G270" t="inlineStr">
        <is>
          <t>2013gn</t>
        </is>
      </c>
      <c r="H270" t="n">
        <v>2017</v>
      </c>
      <c r="L270" t="inlineStr">
        <is>
          <t>Dollars EU</t>
        </is>
      </c>
      <c r="M270" t="inlineStr">
        <is>
          <t>Milliards</t>
        </is>
      </c>
      <c r="N270" t="inlineStr">
        <is>
          <t>Dette contractée ou garantie par l'État</t>
        </is>
      </c>
    </row>
    <row r="271">
      <c r="A271" t="inlineStr">
        <is>
          <t>Dominica_2018_August</t>
        </is>
      </c>
      <c r="C271" t="inlineStr">
        <is>
          <t>SM.18.139</t>
        </is>
      </c>
      <c r="D271" t="inlineStr">
        <is>
          <t>Dominica</t>
        </is>
      </c>
      <c r="E271" t="inlineStr">
        <is>
          <t>DMA</t>
        </is>
      </c>
      <c r="F271" s="11" t="n">
        <v>43255</v>
      </c>
      <c r="G271" t="inlineStr">
        <is>
          <t>2013gn</t>
        </is>
      </c>
      <c r="H271" t="n">
        <v>2017</v>
      </c>
      <c r="L271" t="inlineStr">
        <is>
          <t>Dollars EU</t>
        </is>
      </c>
      <c r="M271" t="inlineStr">
        <is>
          <t>Milliards</t>
        </is>
      </c>
      <c r="N271" t="inlineStr">
        <is>
          <t>Dette contractée ou garantie par l'État (ancienne dette)</t>
        </is>
      </c>
    </row>
    <row r="272">
      <c r="A272" t="inlineStr">
        <is>
          <t>Dominica_2018_August</t>
        </is>
      </c>
      <c r="C272" t="inlineStr">
        <is>
          <t>SM.18.139</t>
        </is>
      </c>
      <c r="D272" t="inlineStr">
        <is>
          <t>Dominica</t>
        </is>
      </c>
      <c r="E272" t="inlineStr">
        <is>
          <t>DMA</t>
        </is>
      </c>
      <c r="F272" s="11" t="n">
        <v>43255</v>
      </c>
      <c r="G272" t="inlineStr">
        <is>
          <t>2013gn</t>
        </is>
      </c>
      <c r="H272" t="n">
        <v>2017</v>
      </c>
      <c r="L272" t="inlineStr">
        <is>
          <t>Dollars EU</t>
        </is>
      </c>
      <c r="M272" t="inlineStr">
        <is>
          <t>Milliards</t>
        </is>
      </c>
      <c r="N272" t="inlineStr">
        <is>
          <t>Privée</t>
        </is>
      </c>
    </row>
    <row r="273">
      <c r="A273" t="inlineStr">
        <is>
          <t>Dominica_2018_August</t>
        </is>
      </c>
      <c r="C273" t="inlineStr">
        <is>
          <t>SM.18.139</t>
        </is>
      </c>
      <c r="D273" t="inlineStr">
        <is>
          <t>Dominica</t>
        </is>
      </c>
      <c r="E273" t="inlineStr">
        <is>
          <t>DMA</t>
        </is>
      </c>
      <c r="F273" s="11" t="n">
        <v>43255</v>
      </c>
      <c r="G273" t="inlineStr">
        <is>
          <t>2013gn</t>
        </is>
      </c>
      <c r="H273" t="n">
        <v>2017</v>
      </c>
      <c r="L273" t="inlineStr">
        <is>
          <t>Dollars EU</t>
        </is>
      </c>
      <c r="M273" t="inlineStr">
        <is>
          <t>Milliards</t>
        </is>
      </c>
      <c r="N273" t="inlineStr">
        <is>
          <t>Total intérêts exigibles sur la dette publique intérieure</t>
        </is>
      </c>
    </row>
    <row r="274">
      <c r="A274" t="inlineStr">
        <is>
          <t>Dominica_2018_August</t>
        </is>
      </c>
      <c r="C274" t="inlineStr">
        <is>
          <t>SM.18.139</t>
        </is>
      </c>
      <c r="D274" t="inlineStr">
        <is>
          <t>Dominica</t>
        </is>
      </c>
      <c r="E274" t="inlineStr">
        <is>
          <t>DMA</t>
        </is>
      </c>
      <c r="F274" s="11" t="n">
        <v>43255</v>
      </c>
      <c r="G274" t="inlineStr">
        <is>
          <t>2013gn</t>
        </is>
      </c>
      <c r="H274" t="n">
        <v>2017</v>
      </c>
      <c r="L274" t="inlineStr">
        <is>
          <t>Dollars EU</t>
        </is>
      </c>
      <c r="M274" t="inlineStr">
        <is>
          <t>Milliards</t>
        </is>
      </c>
      <c r="N274" t="inlineStr">
        <is>
          <t>... dette libellée en devises</t>
        </is>
      </c>
    </row>
    <row r="275">
      <c r="A275" t="inlineStr">
        <is>
          <t>Dominica_2018_August</t>
        </is>
      </c>
      <c r="C275" t="inlineStr">
        <is>
          <t>SM.18.139</t>
        </is>
      </c>
      <c r="D275" t="inlineStr">
        <is>
          <t>Dominica</t>
        </is>
      </c>
      <c r="E275" t="inlineStr">
        <is>
          <t>DMA</t>
        </is>
      </c>
      <c r="F275" s="11" t="n">
        <v>43255</v>
      </c>
      <c r="G275" t="inlineStr">
        <is>
          <t>2013gn</t>
        </is>
      </c>
      <c r="H275" t="n">
        <v>2017</v>
      </c>
      <c r="L275" t="inlineStr">
        <is>
          <t>Dollars EU</t>
        </is>
      </c>
      <c r="M275" t="inlineStr">
        <is>
          <t>Milliards</t>
        </is>
      </c>
      <c r="N275" t="inlineStr">
        <is>
          <t xml:space="preserve">Total amortissement de la dette exigible </t>
        </is>
      </c>
    </row>
    <row r="276">
      <c r="A276" t="inlineStr">
        <is>
          <t>Dominica_2018_August</t>
        </is>
      </c>
      <c r="C276" t="inlineStr">
        <is>
          <t>SM.18.139</t>
        </is>
      </c>
      <c r="D276" t="inlineStr">
        <is>
          <t>Dominica</t>
        </is>
      </c>
      <c r="E276" t="inlineStr">
        <is>
          <t>DMA</t>
        </is>
      </c>
      <c r="F276" s="11" t="n">
        <v>43255</v>
      </c>
      <c r="G276" t="inlineStr">
        <is>
          <t>2013gn</t>
        </is>
      </c>
      <c r="H276" t="n">
        <v>2017</v>
      </c>
      <c r="L276" t="inlineStr">
        <is>
          <t>Dollars EU</t>
        </is>
      </c>
      <c r="M276" t="inlineStr">
        <is>
          <t>Milliards</t>
        </is>
      </c>
      <c r="N276" t="inlineStr">
        <is>
          <t>Total amortissement de la dette extérieure exigible (amortissement nouvelle dette compris)</t>
        </is>
      </c>
    </row>
    <row r="277">
      <c r="A277" t="inlineStr">
        <is>
          <t>Dominica_2018_August</t>
        </is>
      </c>
      <c r="C277" t="inlineStr">
        <is>
          <t>SM.18.139</t>
        </is>
      </c>
      <c r="D277" t="inlineStr">
        <is>
          <t>Dominica</t>
        </is>
      </c>
      <c r="E277" t="inlineStr">
        <is>
          <t>DMA</t>
        </is>
      </c>
      <c r="F277" s="11" t="n">
        <v>43255</v>
      </c>
      <c r="G277" t="inlineStr">
        <is>
          <t>2013gn</t>
        </is>
      </c>
      <c r="H277" t="n">
        <v>2017</v>
      </c>
      <c r="N277" t="inlineStr">
        <is>
          <t>Total amortissement de la dette extérieure exigible (amortissement nouvelle dette exclu)</t>
        </is>
      </c>
    </row>
    <row r="278">
      <c r="A278" t="inlineStr">
        <is>
          <t>Dominica_2018_August</t>
        </is>
      </c>
      <c r="C278" t="inlineStr">
        <is>
          <t>SM.18.139</t>
        </is>
      </c>
      <c r="D278" t="inlineStr">
        <is>
          <t>Dominica</t>
        </is>
      </c>
      <c r="E278" t="inlineStr">
        <is>
          <t>DMA</t>
        </is>
      </c>
      <c r="F278" s="11" t="n">
        <v>43255</v>
      </c>
      <c r="G278" t="inlineStr">
        <is>
          <t>2013gn</t>
        </is>
      </c>
      <c r="H278" t="n">
        <v>2017</v>
      </c>
      <c r="L278" t="inlineStr">
        <is>
          <t>Dollars EU</t>
        </is>
      </c>
      <c r="M278" t="inlineStr">
        <is>
          <t>Milliards</t>
        </is>
      </c>
      <c r="N278" t="inlineStr">
        <is>
          <t>Dette contractée ou garantie par l'État</t>
        </is>
      </c>
    </row>
    <row r="279">
      <c r="A279" t="inlineStr">
        <is>
          <t>Dominica_2018_August</t>
        </is>
      </c>
      <c r="C279" t="inlineStr">
        <is>
          <t>SM.18.139</t>
        </is>
      </c>
      <c r="D279" t="inlineStr">
        <is>
          <t>Dominica</t>
        </is>
      </c>
      <c r="E279" t="inlineStr">
        <is>
          <t>DMA</t>
        </is>
      </c>
      <c r="F279" s="11" t="n">
        <v>43255</v>
      </c>
      <c r="G279" t="inlineStr">
        <is>
          <t>2013gn</t>
        </is>
      </c>
      <c r="H279" t="n">
        <v>2017</v>
      </c>
      <c r="N279" t="inlineStr">
        <is>
          <t>Dette contractée ou garantie par l'État (ancienne dette)</t>
        </is>
      </c>
    </row>
    <row r="280">
      <c r="A280" t="inlineStr">
        <is>
          <t>Dominica_2018_August</t>
        </is>
      </c>
      <c r="C280" t="inlineStr">
        <is>
          <t>SM.18.139</t>
        </is>
      </c>
      <c r="D280" t="inlineStr">
        <is>
          <t>Dominica</t>
        </is>
      </c>
      <c r="E280" t="inlineStr">
        <is>
          <t>DMA</t>
        </is>
      </c>
      <c r="F280" s="11" t="n">
        <v>43255</v>
      </c>
      <c r="G280" t="inlineStr">
        <is>
          <t>2013gn</t>
        </is>
      </c>
      <c r="H280" t="n">
        <v>2017</v>
      </c>
      <c r="L280" t="inlineStr">
        <is>
          <t>Dollars EU</t>
        </is>
      </c>
      <c r="M280" t="inlineStr">
        <is>
          <t>Milliards</t>
        </is>
      </c>
      <c r="N280" t="inlineStr">
        <is>
          <t xml:space="preserve">Dette extérieure privée à MLT </t>
        </is>
      </c>
    </row>
    <row r="281">
      <c r="A281" t="inlineStr">
        <is>
          <t>Dominica_2018_August</t>
        </is>
      </c>
      <c r="C281" t="inlineStr">
        <is>
          <t>SM.18.139</t>
        </is>
      </c>
      <c r="D281" t="inlineStr">
        <is>
          <t>Dominica</t>
        </is>
      </c>
      <c r="E281" t="inlineStr">
        <is>
          <t>DMA</t>
        </is>
      </c>
      <c r="F281" s="11" t="n">
        <v>43255</v>
      </c>
      <c r="G281" t="inlineStr">
        <is>
          <t>2013gn</t>
        </is>
      </c>
      <c r="H281" t="n">
        <v>2017</v>
      </c>
      <c r="L281" t="inlineStr">
        <is>
          <t>Dollars EU</t>
        </is>
      </c>
      <c r="M281" t="inlineStr">
        <is>
          <t>Milliards</t>
        </is>
      </c>
      <c r="N281" t="inlineStr">
        <is>
          <t xml:space="preserve">Total amortissement dette publique à MLT </t>
        </is>
      </c>
    </row>
    <row r="282">
      <c r="A282" t="inlineStr">
        <is>
          <t>Dominica_2018_August</t>
        </is>
      </c>
      <c r="C282" t="inlineStr">
        <is>
          <t>SM.18.139</t>
        </is>
      </c>
      <c r="D282" t="inlineStr">
        <is>
          <t>Dominica</t>
        </is>
      </c>
      <c r="E282" t="inlineStr">
        <is>
          <t>DMA</t>
        </is>
      </c>
      <c r="F282" s="11" t="n">
        <v>43255</v>
      </c>
      <c r="G282" t="inlineStr">
        <is>
          <t>2013gn</t>
        </is>
      </c>
      <c r="H282" t="n">
        <v>2017</v>
      </c>
    </row>
    <row r="283">
      <c r="A283" t="inlineStr">
        <is>
          <t>Dominica_2018_August</t>
        </is>
      </c>
      <c r="C283" t="inlineStr">
        <is>
          <t>SM.18.139</t>
        </is>
      </c>
      <c r="D283" t="inlineStr">
        <is>
          <t>Dominica</t>
        </is>
      </c>
      <c r="E283" t="inlineStr">
        <is>
          <t>DMA</t>
        </is>
      </c>
      <c r="F283" s="11" t="n">
        <v>43255</v>
      </c>
      <c r="G283" t="inlineStr">
        <is>
          <t>2013gn</t>
        </is>
      </c>
      <c r="H283" t="n">
        <v>2017</v>
      </c>
      <c r="L283" t="inlineStr">
        <is>
          <t>Dollars EU</t>
        </is>
      </c>
      <c r="M283" t="inlineStr">
        <is>
          <t>Milliards</t>
        </is>
      </c>
      <c r="N283" t="inlineStr">
        <is>
          <t xml:space="preserve">Solde des transactions courantes </t>
        </is>
      </c>
    </row>
    <row r="284">
      <c r="A284" t="inlineStr">
        <is>
          <t>Dominica_2018_August</t>
        </is>
      </c>
      <c r="C284" t="inlineStr">
        <is>
          <t>SM.18.139</t>
        </is>
      </c>
      <c r="D284" t="inlineStr">
        <is>
          <t>Dominica</t>
        </is>
      </c>
      <c r="E284" t="inlineStr">
        <is>
          <t>DMA</t>
        </is>
      </c>
      <c r="F284" s="11" t="n">
        <v>43255</v>
      </c>
      <c r="G284" t="inlineStr">
        <is>
          <t>2013gn</t>
        </is>
      </c>
      <c r="H284" t="n">
        <v>2017</v>
      </c>
      <c r="L284" t="inlineStr">
        <is>
          <t>Dollars EU</t>
        </is>
      </c>
      <c r="M284" t="inlineStr">
        <is>
          <t>Milliards</t>
        </is>
      </c>
      <c r="N284" t="inlineStr">
        <is>
          <t>Exportations de biens et services</t>
        </is>
      </c>
    </row>
    <row r="285">
      <c r="A285" t="inlineStr">
        <is>
          <t>Dominica_2018_August</t>
        </is>
      </c>
      <c r="C285" t="inlineStr">
        <is>
          <t>SM.18.139</t>
        </is>
      </c>
      <c r="D285" t="inlineStr">
        <is>
          <t>Dominica</t>
        </is>
      </c>
      <c r="E285" t="inlineStr">
        <is>
          <t>DMA</t>
        </is>
      </c>
      <c r="F285" s="11" t="n">
        <v>43255</v>
      </c>
      <c r="G285" t="inlineStr">
        <is>
          <t>2013gn</t>
        </is>
      </c>
      <c r="H285" t="n">
        <v>2017</v>
      </c>
      <c r="L285" t="inlineStr">
        <is>
          <t>Dollars EU</t>
        </is>
      </c>
      <c r="M285" t="inlineStr">
        <is>
          <t>Milliards</t>
        </is>
      </c>
      <c r="N285" t="inlineStr">
        <is>
          <t xml:space="preserve">Importations de biens et services (valeurs positives) </t>
        </is>
      </c>
    </row>
    <row r="286">
      <c r="A286" t="inlineStr">
        <is>
          <t>Dominica_2018_August</t>
        </is>
      </c>
      <c r="C286" t="inlineStr">
        <is>
          <t>SM.18.139</t>
        </is>
      </c>
      <c r="D286" t="inlineStr">
        <is>
          <t>Dominica</t>
        </is>
      </c>
      <c r="E286" t="inlineStr">
        <is>
          <t>DMA</t>
        </is>
      </c>
      <c r="F286" s="11" t="n">
        <v>43255</v>
      </c>
      <c r="G286" t="inlineStr">
        <is>
          <t>2013gn</t>
        </is>
      </c>
      <c r="H286" t="n">
        <v>2017</v>
      </c>
      <c r="L286" t="inlineStr">
        <is>
          <t>Dollars EU</t>
        </is>
      </c>
      <c r="M286" t="inlineStr">
        <is>
          <t>Milliards</t>
        </is>
      </c>
      <c r="N286" t="inlineStr">
        <is>
          <t xml:space="preserve">Transferts courants, total nets </t>
        </is>
      </c>
    </row>
    <row r="287">
      <c r="A287" t="inlineStr">
        <is>
          <t>Dominica_2018_August</t>
        </is>
      </c>
      <c r="C287" t="inlineStr">
        <is>
          <t>SM.18.139</t>
        </is>
      </c>
      <c r="D287" t="inlineStr">
        <is>
          <t>Dominica</t>
        </is>
      </c>
      <c r="E287" t="inlineStr">
        <is>
          <t>DMA</t>
        </is>
      </c>
      <c r="F287" s="11" t="n">
        <v>43255</v>
      </c>
      <c r="G287" t="inlineStr">
        <is>
          <t>2013gn</t>
        </is>
      </c>
      <c r="H287" t="n">
        <v>2017</v>
      </c>
      <c r="L287" t="inlineStr">
        <is>
          <t>Dollars EU</t>
        </is>
      </c>
      <c r="M287" t="inlineStr">
        <is>
          <t>Milliards</t>
        </is>
      </c>
      <c r="N287" t="inlineStr">
        <is>
          <t xml:space="preserve">Transferts courants, officiels </t>
        </is>
      </c>
    </row>
    <row r="288">
      <c r="A288" t="inlineStr">
        <is>
          <t>Dominica_2018_August</t>
        </is>
      </c>
      <c r="C288" t="inlineStr">
        <is>
          <t>SM.18.139</t>
        </is>
      </c>
      <c r="D288" t="inlineStr">
        <is>
          <t>Dominica</t>
        </is>
      </c>
      <c r="E288" t="inlineStr">
        <is>
          <t>DMA</t>
        </is>
      </c>
      <c r="F288" s="11" t="n">
        <v>43255</v>
      </c>
      <c r="G288" t="inlineStr">
        <is>
          <t>2013gn</t>
        </is>
      </c>
      <c r="H288" t="n">
        <v>2017</v>
      </c>
      <c r="L288" t="inlineStr">
        <is>
          <t>Dollars EU</t>
        </is>
      </c>
      <c r="M288" t="inlineStr">
        <is>
          <t>Milliards</t>
        </is>
      </c>
      <c r="N288" t="inlineStr">
        <is>
          <t xml:space="preserve">Investissement direct étranger net, hors engagements générateurs de dette </t>
        </is>
      </c>
    </row>
    <row r="289">
      <c r="A289" t="inlineStr">
        <is>
          <t>Dominica_2018_August</t>
        </is>
      </c>
      <c r="C289" t="inlineStr">
        <is>
          <t>SM.18.139</t>
        </is>
      </c>
      <c r="D289" t="inlineStr">
        <is>
          <t>Dominica</t>
        </is>
      </c>
      <c r="E289" t="inlineStr">
        <is>
          <t>DMA</t>
        </is>
      </c>
      <c r="F289" s="11" t="n">
        <v>43255</v>
      </c>
      <c r="G289" t="inlineStr">
        <is>
          <t>2013gn</t>
        </is>
      </c>
      <c r="H289" t="n">
        <v>2017</v>
      </c>
      <c r="L289" t="inlineStr">
        <is>
          <t>Dollars EU</t>
        </is>
      </c>
      <c r="M289" t="inlineStr">
        <is>
          <t>Milliards</t>
        </is>
      </c>
      <c r="N289" t="inlineStr">
        <is>
          <t>Financement exceptionnel</t>
        </is>
      </c>
    </row>
    <row r="290">
      <c r="A290" t="inlineStr">
        <is>
          <t>Dominica_2018_August</t>
        </is>
      </c>
      <c r="C290" t="inlineStr">
        <is>
          <t>SM.18.139</t>
        </is>
      </c>
      <c r="D290" t="inlineStr">
        <is>
          <t>Dominica</t>
        </is>
      </c>
      <c r="E290" t="inlineStr">
        <is>
          <t>DMA</t>
        </is>
      </c>
      <c r="F290" s="11" t="n">
        <v>43255</v>
      </c>
      <c r="G290" t="inlineStr">
        <is>
          <t>2013gn</t>
        </is>
      </c>
      <c r="H290" t="n">
        <v>2017</v>
      </c>
      <c r="N290" t="inlineStr">
        <is>
          <t>Réserves brutes (flux)</t>
        </is>
      </c>
    </row>
    <row r="291">
      <c r="A291" t="inlineStr">
        <is>
          <t>Dominica_2018_August</t>
        </is>
      </c>
      <c r="C291" t="inlineStr">
        <is>
          <t>SM.18.139</t>
        </is>
      </c>
      <c r="D291" t="inlineStr">
        <is>
          <t>Dominica</t>
        </is>
      </c>
      <c r="E291" t="inlineStr">
        <is>
          <t>DMA</t>
        </is>
      </c>
      <c r="F291" s="11" t="n">
        <v>43255</v>
      </c>
      <c r="G291" t="inlineStr">
        <is>
          <t>2013gn</t>
        </is>
      </c>
      <c r="H291" t="n">
        <v>2017</v>
      </c>
      <c r="L291" t="inlineStr">
        <is>
          <t xml:space="preserve">Monnaie nationale </t>
        </is>
      </c>
      <c r="M291" t="inlineStr">
        <is>
          <t>Milliards</t>
        </is>
      </c>
      <c r="N291" t="inlineStr">
        <is>
          <t xml:space="preserve">Balance du secteur public </t>
        </is>
      </c>
    </row>
    <row r="292">
      <c r="A292" t="inlineStr">
        <is>
          <t>Dominica_2018_August</t>
        </is>
      </c>
      <c r="C292" t="inlineStr">
        <is>
          <t>SM.18.139</t>
        </is>
      </c>
      <c r="D292" t="inlineStr">
        <is>
          <t>Dominica</t>
        </is>
      </c>
      <c r="E292" t="inlineStr">
        <is>
          <t>DMA</t>
        </is>
      </c>
      <c r="F292" s="11" t="n">
        <v>43255</v>
      </c>
      <c r="G292" t="inlineStr">
        <is>
          <t>2013gn</t>
        </is>
      </c>
      <c r="H292" t="n">
        <v>2017</v>
      </c>
      <c r="L292" t="inlineStr">
        <is>
          <t xml:space="preserve">Monnaie nationale </t>
        </is>
      </c>
      <c r="M292" t="inlineStr">
        <is>
          <t>Milliards</t>
        </is>
      </c>
      <c r="N292" t="inlineStr">
        <is>
          <t xml:space="preserve">Recettes du secteur public (dons compris) </t>
        </is>
      </c>
    </row>
    <row r="293">
      <c r="A293" t="inlineStr">
        <is>
          <t>Dominica_2018_August</t>
        </is>
      </c>
      <c r="C293" t="inlineStr">
        <is>
          <t>SM.18.139</t>
        </is>
      </c>
      <c r="D293" t="inlineStr">
        <is>
          <t>Dominica</t>
        </is>
      </c>
      <c r="E293" t="inlineStr">
        <is>
          <t>DMA</t>
        </is>
      </c>
      <c r="F293" s="11" t="n">
        <v>43255</v>
      </c>
      <c r="G293" t="inlineStr">
        <is>
          <t>2013gn</t>
        </is>
      </c>
      <c r="H293" t="n">
        <v>2017</v>
      </c>
      <c r="L293" t="inlineStr">
        <is>
          <t xml:space="preserve">Monnaie nationale </t>
        </is>
      </c>
      <c r="M293" t="inlineStr">
        <is>
          <t>Milliards</t>
        </is>
      </c>
      <c r="N293" t="inlineStr">
        <is>
          <t xml:space="preserve">Dons secteur public </t>
        </is>
      </c>
    </row>
    <row r="294">
      <c r="A294" t="inlineStr">
        <is>
          <t>Dominica_2018_August</t>
        </is>
      </c>
      <c r="C294" t="inlineStr">
        <is>
          <t>SM.18.139</t>
        </is>
      </c>
      <c r="D294" t="inlineStr">
        <is>
          <t>Dominica</t>
        </is>
      </c>
      <c r="E294" t="inlineStr">
        <is>
          <t>DMA</t>
        </is>
      </c>
      <c r="F294" s="11" t="n">
        <v>43255</v>
      </c>
      <c r="G294" t="inlineStr">
        <is>
          <t>2013gn</t>
        </is>
      </c>
      <c r="H294" t="n">
        <v>2017</v>
      </c>
      <c r="L294" t="inlineStr">
        <is>
          <t xml:space="preserve">Monnaie nationale </t>
        </is>
      </c>
      <c r="M294" t="inlineStr">
        <is>
          <t>Milliards</t>
        </is>
      </c>
      <c r="N294" t="inlineStr">
        <is>
          <t xml:space="preserve">Produit des privatisations </t>
        </is>
      </c>
    </row>
    <row r="295">
      <c r="A295" t="inlineStr">
        <is>
          <t>Dominica_2018_August</t>
        </is>
      </c>
      <c r="C295" t="inlineStr">
        <is>
          <t>SM.18.139</t>
        </is>
      </c>
      <c r="D295" t="inlineStr">
        <is>
          <t>Dominica</t>
        </is>
      </c>
      <c r="E295" t="inlineStr">
        <is>
          <t>DMA</t>
        </is>
      </c>
      <c r="F295" s="11" t="n">
        <v>43255</v>
      </c>
      <c r="G295" t="inlineStr">
        <is>
          <t>2013gn</t>
        </is>
      </c>
      <c r="H295" t="n">
        <v>2017</v>
      </c>
      <c r="L295" t="inlineStr">
        <is>
          <t xml:space="preserve">Monnaie nationale </t>
        </is>
      </c>
      <c r="M295" t="inlineStr">
        <is>
          <t>Milliards</t>
        </is>
      </c>
      <c r="N295" t="inlineStr">
        <is>
          <t xml:space="preserve">Dépenses du secteur public </t>
        </is>
      </c>
    </row>
    <row r="296">
      <c r="A296" t="inlineStr">
        <is>
          <t>Dominica_2018_August</t>
        </is>
      </c>
      <c r="C296" t="inlineStr">
        <is>
          <t>SM.18.139</t>
        </is>
      </c>
      <c r="D296" t="inlineStr">
        <is>
          <t>Dominica</t>
        </is>
      </c>
      <c r="E296" t="inlineStr">
        <is>
          <t>DMA</t>
        </is>
      </c>
      <c r="F296" s="11" t="n">
        <v>43255</v>
      </c>
      <c r="G296" t="inlineStr">
        <is>
          <t>2013gn</t>
        </is>
      </c>
      <c r="H296" t="n">
        <v>2017</v>
      </c>
      <c r="L296" t="inlineStr">
        <is>
          <t xml:space="preserve">Monnaie nationale </t>
        </is>
      </c>
      <c r="M296" t="inlineStr">
        <is>
          <t>Milliards</t>
        </is>
      </c>
      <c r="N296" t="inlineStr">
        <is>
          <t xml:space="preserve">Charges d'intérêt du secteur public </t>
        </is>
      </c>
    </row>
    <row r="297">
      <c r="A297" t="inlineStr">
        <is>
          <t>Dominica_2018_August</t>
        </is>
      </c>
      <c r="C297" t="inlineStr">
        <is>
          <t>SM.18.139</t>
        </is>
      </c>
      <c r="D297" t="inlineStr">
        <is>
          <t>Dominica</t>
        </is>
      </c>
      <c r="E297" t="inlineStr">
        <is>
          <t>DMA</t>
        </is>
      </c>
      <c r="F297" s="11" t="n">
        <v>43255</v>
      </c>
      <c r="G297" t="inlineStr">
        <is>
          <t>2013gn</t>
        </is>
      </c>
      <c r="H297" t="n">
        <v>2017</v>
      </c>
      <c r="L297" t="inlineStr">
        <is>
          <t xml:space="preserve">Monnaie nationale </t>
        </is>
      </c>
      <c r="M297" t="inlineStr">
        <is>
          <t>Milliards</t>
        </is>
      </c>
      <c r="N297" t="inlineStr">
        <is>
          <t xml:space="preserve">Avoirs du secteur public  (par ex. dépôts) </t>
        </is>
      </c>
    </row>
    <row r="298">
      <c r="A298" t="inlineStr">
        <is>
          <t>Dominica_2018_August</t>
        </is>
      </c>
      <c r="C298" t="inlineStr">
        <is>
          <t>SM.18.139</t>
        </is>
      </c>
      <c r="D298" t="inlineStr">
        <is>
          <t>Dominica</t>
        </is>
      </c>
      <c r="E298" t="inlineStr">
        <is>
          <t>DMA</t>
        </is>
      </c>
      <c r="F298" s="11" t="n">
        <v>43255</v>
      </c>
      <c r="G298" t="inlineStr">
        <is>
          <t>2013gn</t>
        </is>
      </c>
      <c r="H298" t="n">
        <v>2017</v>
      </c>
      <c r="L298" t="inlineStr">
        <is>
          <t xml:space="preserve">Monnaie nationale </t>
        </is>
      </c>
      <c r="M298" t="inlineStr">
        <is>
          <t>Milliards</t>
        </is>
      </c>
      <c r="N298" t="inlineStr">
        <is>
          <t xml:space="preserve">Comptabilisation des engagements implicites ou conditionnels </t>
        </is>
      </c>
    </row>
    <row r="299">
      <c r="A299" t="inlineStr">
        <is>
          <t>Dominica_2018_August</t>
        </is>
      </c>
      <c r="C299" t="inlineStr">
        <is>
          <t>SM.18.139</t>
        </is>
      </c>
      <c r="D299" t="inlineStr">
        <is>
          <t>Dominica</t>
        </is>
      </c>
      <c r="E299" t="inlineStr">
        <is>
          <t>DMA</t>
        </is>
      </c>
      <c r="F299" s="11" t="n">
        <v>43255</v>
      </c>
      <c r="G299" t="inlineStr">
        <is>
          <t>2013gn</t>
        </is>
      </c>
      <c r="H299" t="n">
        <v>2017</v>
      </c>
      <c r="L299" t="inlineStr">
        <is>
          <t xml:space="preserve">Monnaie nationale </t>
        </is>
      </c>
      <c r="M299" t="inlineStr">
        <is>
          <t>Milliards</t>
        </is>
      </c>
      <c r="N299" t="inlineStr">
        <is>
          <t xml:space="preserve">Autres flux générateurs ou réducteurs de dette (préciser, par ex. recapitalisation bancaire) </t>
        </is>
      </c>
    </row>
    <row r="300">
      <c r="A300" t="inlineStr">
        <is>
          <t>Dominica_2018_August</t>
        </is>
      </c>
      <c r="C300" t="inlineStr">
        <is>
          <t>SM.18.139</t>
        </is>
      </c>
      <c r="D300" t="inlineStr">
        <is>
          <t>Dominica</t>
        </is>
      </c>
      <c r="E300" t="inlineStr">
        <is>
          <t>DMA</t>
        </is>
      </c>
      <c r="F300" s="11" t="n">
        <v>43255</v>
      </c>
      <c r="G300" t="inlineStr">
        <is>
          <t>2013gn</t>
        </is>
      </c>
      <c r="H300" t="n">
        <v>2017</v>
      </c>
      <c r="L300" t="inlineStr">
        <is>
          <t xml:space="preserve">Monnaie nationale </t>
        </is>
      </c>
      <c r="M300" t="inlineStr">
        <is>
          <t>Milliards</t>
        </is>
      </c>
      <c r="N300" t="inlineStr">
        <is>
          <t xml:space="preserve">Allégement de la dette </t>
        </is>
      </c>
    </row>
    <row r="301">
      <c r="A301" t="inlineStr">
        <is>
          <t>Dominica_2018_August</t>
        </is>
      </c>
      <c r="C301" t="inlineStr">
        <is>
          <t>SM.18.139</t>
        </is>
      </c>
      <c r="D301" t="inlineStr">
        <is>
          <t>Dominica</t>
        </is>
      </c>
      <c r="E301" t="inlineStr">
        <is>
          <t>DMA</t>
        </is>
      </c>
      <c r="F301" s="11" t="n">
        <v>43255</v>
      </c>
      <c r="G301" t="inlineStr">
        <is>
          <t>2013gn</t>
        </is>
      </c>
      <c r="H301" t="n">
        <v>2017</v>
      </c>
      <c r="L301" t="inlineStr">
        <is>
          <t>Dollars EU</t>
        </is>
      </c>
      <c r="M301" t="inlineStr">
        <is>
          <t>Milliards</t>
        </is>
      </c>
      <c r="N301" t="inlineStr">
        <is>
          <t xml:space="preserve">Prêts concessionnels </t>
        </is>
      </c>
    </row>
    <row r="302">
      <c r="A302" t="inlineStr">
        <is>
          <t>Dominica_2018_August</t>
        </is>
      </c>
      <c r="C302" t="inlineStr">
        <is>
          <t>SM.18.139</t>
        </is>
      </c>
      <c r="D302" t="inlineStr">
        <is>
          <t>Dominica</t>
        </is>
      </c>
      <c r="E302" t="inlineStr">
        <is>
          <t>DMA</t>
        </is>
      </c>
      <c r="F302" s="11" t="n">
        <v>43255</v>
      </c>
      <c r="G302" t="inlineStr">
        <is>
          <t>2013gn</t>
        </is>
      </c>
      <c r="H302" t="n">
        <v>2017</v>
      </c>
    </row>
    <row r="303">
      <c r="A303" t="inlineStr">
        <is>
          <t>Dominica_2018_August</t>
        </is>
      </c>
      <c r="C303" t="inlineStr">
        <is>
          <t>SM.18.139</t>
        </is>
      </c>
      <c r="D303" t="inlineStr">
        <is>
          <t>Dominica</t>
        </is>
      </c>
      <c r="E303" t="inlineStr">
        <is>
          <t>DMA</t>
        </is>
      </c>
      <c r="F303" s="11" t="n">
        <v>43255</v>
      </c>
      <c r="G303" t="inlineStr">
        <is>
          <t>2013gn</t>
        </is>
      </c>
      <c r="H303" t="n">
        <v>2017</v>
      </c>
      <c r="L303" t="inlineStr">
        <is>
          <t>Dollars EU</t>
        </is>
      </c>
      <c r="M303" t="inlineStr">
        <is>
          <t>Milliards</t>
        </is>
      </c>
      <c r="N303" t="inlineStr">
        <is>
          <t>Produit intérieur brut, prix courants, dollars EU</t>
        </is>
      </c>
    </row>
    <row r="304">
      <c r="A304" t="inlineStr">
        <is>
          <t>Dominica_2018_August</t>
        </is>
      </c>
      <c r="C304" t="inlineStr">
        <is>
          <t>SM.18.139</t>
        </is>
      </c>
      <c r="D304" t="inlineStr">
        <is>
          <t>Dominica</t>
        </is>
      </c>
      <c r="E304" t="inlineStr">
        <is>
          <t>DMA</t>
        </is>
      </c>
      <c r="F304" s="11" t="n">
        <v>43255</v>
      </c>
      <c r="G304" t="inlineStr">
        <is>
          <t>2013gn</t>
        </is>
      </c>
      <c r="H304" t="n">
        <v>2017</v>
      </c>
      <c r="L304" t="inlineStr">
        <is>
          <t xml:space="preserve">Monnaie nationale </t>
        </is>
      </c>
      <c r="M304" t="inlineStr">
        <is>
          <t>Milliards</t>
        </is>
      </c>
      <c r="N304" t="inlineStr">
        <is>
          <t>Produit intérieur brut, prix constants</t>
        </is>
      </c>
    </row>
    <row r="305">
      <c r="A305" t="inlineStr">
        <is>
          <t>Dominica_2018_August</t>
        </is>
      </c>
      <c r="C305" t="inlineStr">
        <is>
          <t>SM.18.139</t>
        </is>
      </c>
      <c r="D305" t="inlineStr">
        <is>
          <t>Dominica</t>
        </is>
      </c>
      <c r="E305" t="inlineStr">
        <is>
          <t>DMA</t>
        </is>
      </c>
      <c r="F305" s="11" t="n">
        <v>43255</v>
      </c>
      <c r="G305" t="inlineStr">
        <is>
          <t>2013gn</t>
        </is>
      </c>
      <c r="H305" t="n">
        <v>2017</v>
      </c>
      <c r="M305" t="inlineStr">
        <is>
          <t>None</t>
        </is>
      </c>
      <c r="N305" t="inlineStr">
        <is>
          <t>Déflateur produit intérieur brut EU</t>
        </is>
      </c>
    </row>
    <row r="306">
      <c r="A306" t="inlineStr">
        <is>
          <t>Dominica_2018_August</t>
        </is>
      </c>
      <c r="C306" t="inlineStr">
        <is>
          <t>SM.18.139</t>
        </is>
      </c>
      <c r="D306" t="inlineStr">
        <is>
          <t>Dominica</t>
        </is>
      </c>
      <c r="E306" t="inlineStr">
        <is>
          <t>DMA</t>
        </is>
      </c>
      <c r="F306" s="11" t="n">
        <v>43255</v>
      </c>
      <c r="G306" t="inlineStr">
        <is>
          <t>2013gn</t>
        </is>
      </c>
      <c r="H306" t="n">
        <v>2017</v>
      </c>
      <c r="L306" t="inlineStr">
        <is>
          <t xml:space="preserve">Monnaie nationale </t>
        </is>
      </c>
      <c r="M306" t="inlineStr">
        <is>
          <t>None</t>
        </is>
      </c>
      <c r="N306" t="inlineStr">
        <is>
          <t xml:space="preserve">Taux de change, monnaie nationale pour 1 dollar EU, fin de période </t>
        </is>
      </c>
    </row>
    <row r="307">
      <c r="A307" t="inlineStr">
        <is>
          <t>Dominica_2018_August</t>
        </is>
      </c>
      <c r="C307" t="inlineStr">
        <is>
          <t>SM.18.139</t>
        </is>
      </c>
      <c r="D307" t="inlineStr">
        <is>
          <t>Dominica</t>
        </is>
      </c>
      <c r="E307" t="inlineStr">
        <is>
          <t>DMA</t>
        </is>
      </c>
      <c r="F307" s="11" t="n">
        <v>43255</v>
      </c>
      <c r="G307" t="inlineStr">
        <is>
          <t>2013gn</t>
        </is>
      </c>
      <c r="H307" t="n">
        <v>2017</v>
      </c>
      <c r="L307" t="inlineStr">
        <is>
          <t xml:space="preserve">Monnaie nationale </t>
        </is>
      </c>
      <c r="M307" t="inlineStr">
        <is>
          <t>None</t>
        </is>
      </c>
      <c r="N307" t="inlineStr">
        <is>
          <t xml:space="preserve">Taux de change, monnaie nationale pour 1 dollar EU, moyenne </t>
        </is>
      </c>
    </row>
    <row r="308">
      <c r="A308" t="inlineStr">
        <is>
          <t>Dominica_2018_August</t>
        </is>
      </c>
      <c r="C308" t="inlineStr">
        <is>
          <t>SM.18.139</t>
        </is>
      </c>
      <c r="D308" t="inlineStr">
        <is>
          <t>Dominica</t>
        </is>
      </c>
      <c r="E308" t="inlineStr">
        <is>
          <t>DMA</t>
        </is>
      </c>
      <c r="F308" s="11" t="n">
        <v>43255</v>
      </c>
      <c r="G308" t="inlineStr">
        <is>
          <t>2013gn</t>
        </is>
      </c>
      <c r="H308" t="n">
        <v>2017</v>
      </c>
    </row>
    <row r="309">
      <c r="A309" t="inlineStr">
        <is>
          <t>Dominica_2018_August</t>
        </is>
      </c>
      <c r="C309" t="inlineStr">
        <is>
          <t>SM.18.139</t>
        </is>
      </c>
      <c r="D309" t="inlineStr">
        <is>
          <t>Dominica</t>
        </is>
      </c>
      <c r="E309" t="inlineStr">
        <is>
          <t>DMA</t>
        </is>
      </c>
      <c r="F309" s="11" t="n">
        <v>43255</v>
      </c>
      <c r="G309" t="inlineStr">
        <is>
          <t>2013gn</t>
        </is>
      </c>
      <c r="H309" t="n">
        <v>2017</v>
      </c>
      <c r="L309" t="inlineStr">
        <is>
          <t>Unités</t>
        </is>
      </c>
      <c r="M309" t="inlineStr">
        <is>
          <t xml:space="preserve">Échelle </t>
        </is>
      </c>
      <c r="N309" t="inlineStr">
        <is>
          <t xml:space="preserve">Variables calculées </t>
        </is>
      </c>
    </row>
    <row r="310">
      <c r="A310" t="inlineStr">
        <is>
          <t>Dominica_2018_August</t>
        </is>
      </c>
      <c r="C310" t="inlineStr">
        <is>
          <t>SM.18.139</t>
        </is>
      </c>
      <c r="D310" t="inlineStr">
        <is>
          <t>Dominica</t>
        </is>
      </c>
      <c r="E310" t="inlineStr">
        <is>
          <t>DMA</t>
        </is>
      </c>
      <c r="F310" s="11" t="n">
        <v>43255</v>
      </c>
      <c r="G310" t="inlineStr">
        <is>
          <t>2013gn</t>
        </is>
      </c>
      <c r="H310" t="n">
        <v>2017</v>
      </c>
    </row>
    <row r="311">
      <c r="A311" t="inlineStr">
        <is>
          <t>Dominica_2018_August</t>
        </is>
      </c>
      <c r="C311" t="inlineStr">
        <is>
          <t>SM.18.139</t>
        </is>
      </c>
      <c r="D311" t="inlineStr">
        <is>
          <t>Dominica</t>
        </is>
      </c>
      <c r="E311" t="inlineStr">
        <is>
          <t>DMA</t>
        </is>
      </c>
      <c r="F311" s="11" t="n">
        <v>43255</v>
      </c>
      <c r="G311" t="inlineStr">
        <is>
          <t>2013gn</t>
        </is>
      </c>
      <c r="H311" t="n">
        <v>2017</v>
      </c>
      <c r="N311" t="inlineStr">
        <is>
          <t xml:space="preserve">Secteur extérieur </t>
        </is>
      </c>
    </row>
    <row r="312">
      <c r="A312" t="inlineStr">
        <is>
          <t>Dominica_2018_August</t>
        </is>
      </c>
      <c r="C312" t="inlineStr">
        <is>
          <t>SM.18.139</t>
        </is>
      </c>
      <c r="D312" t="inlineStr">
        <is>
          <t>Dominica</t>
        </is>
      </c>
      <c r="E312" t="inlineStr">
        <is>
          <t>DMA</t>
        </is>
      </c>
      <c r="F312" s="11" t="n">
        <v>43255</v>
      </c>
      <c r="G312" t="inlineStr">
        <is>
          <t>2013gn</t>
        </is>
      </c>
      <c r="H312" t="n">
        <v>2017</v>
      </c>
      <c r="N312" t="inlineStr">
        <is>
          <t>Taux d'intérêt extérieurs (payé)</t>
        </is>
      </c>
    </row>
    <row r="313">
      <c r="A313" t="inlineStr">
        <is>
          <t>Dominica_2018_August</t>
        </is>
      </c>
      <c r="C313" t="inlineStr">
        <is>
          <t>SM.18.139</t>
        </is>
      </c>
      <c r="D313" t="inlineStr">
        <is>
          <t>Dominica</t>
        </is>
      </c>
      <c r="E313" t="inlineStr">
        <is>
          <t>DMA</t>
        </is>
      </c>
      <c r="F313" s="11" t="n">
        <v>43255</v>
      </c>
      <c r="G313" t="inlineStr">
        <is>
          <t>2013gn</t>
        </is>
      </c>
      <c r="H313" t="n">
        <v>2017</v>
      </c>
      <c r="N313" t="inlineStr">
        <is>
          <t xml:space="preserve">Dette privée en pourcentage du PIB </t>
        </is>
      </c>
    </row>
    <row r="314">
      <c r="A314" t="inlineStr">
        <is>
          <t>Dominica_2018_August</t>
        </is>
      </c>
      <c r="C314" t="inlineStr">
        <is>
          <t>SM.18.139</t>
        </is>
      </c>
      <c r="D314" t="inlineStr">
        <is>
          <t>Dominica</t>
        </is>
      </c>
      <c r="E314" t="inlineStr">
        <is>
          <t>DMA</t>
        </is>
      </c>
      <c r="F314" s="11" t="n">
        <v>43255</v>
      </c>
      <c r="G314" t="inlineStr">
        <is>
          <t>2013gn</t>
        </is>
      </c>
      <c r="H314" t="n">
        <v>2017</v>
      </c>
      <c r="N314" t="inlineStr">
        <is>
          <t>Dette privée en pourcentage des exportations</t>
        </is>
      </c>
    </row>
    <row r="315">
      <c r="A315" t="inlineStr">
        <is>
          <t>Dominica_2018_August</t>
        </is>
      </c>
      <c r="C315" t="inlineStr">
        <is>
          <t>SM.18.139</t>
        </is>
      </c>
      <c r="D315" t="inlineStr">
        <is>
          <t>Dominica</t>
        </is>
      </c>
      <c r="E315" t="inlineStr">
        <is>
          <t>DMA</t>
        </is>
      </c>
      <c r="F315" s="11" t="n">
        <v>43255</v>
      </c>
      <c r="G315" t="inlineStr">
        <is>
          <t>2013gn</t>
        </is>
      </c>
      <c r="H315" t="n">
        <v>2017</v>
      </c>
      <c r="N315" t="inlineStr">
        <is>
          <t xml:space="preserve">Secteur public </t>
        </is>
      </c>
    </row>
    <row r="316">
      <c r="A316" t="inlineStr">
        <is>
          <t>Dominica_2018_August</t>
        </is>
      </c>
      <c r="C316" t="inlineStr">
        <is>
          <t>SM.18.139</t>
        </is>
      </c>
      <c r="D316" t="inlineStr">
        <is>
          <t>Dominica</t>
        </is>
      </c>
      <c r="E316" t="inlineStr">
        <is>
          <t>DMA</t>
        </is>
      </c>
      <c r="F316" s="11" t="n">
        <v>43255</v>
      </c>
      <c r="G316" t="inlineStr">
        <is>
          <t>2013gn</t>
        </is>
      </c>
      <c r="H316" t="n">
        <v>2017</v>
      </c>
      <c r="N316" t="inlineStr">
        <is>
          <t>Part de la dette publique libellée en devises dans la dette publique totale (période précédente)</t>
        </is>
      </c>
    </row>
    <row r="317">
      <c r="A317" t="inlineStr">
        <is>
          <t>Dominica_2018_August</t>
        </is>
      </c>
      <c r="C317" t="inlineStr">
        <is>
          <t>SM.18.139</t>
        </is>
      </c>
      <c r="D317" t="inlineStr">
        <is>
          <t>Dominica</t>
        </is>
      </c>
      <c r="E317" t="inlineStr">
        <is>
          <t>DMA</t>
        </is>
      </c>
      <c r="F317" s="11" t="n">
        <v>43255</v>
      </c>
      <c r="G317" t="inlineStr">
        <is>
          <t>2013gn</t>
        </is>
      </c>
      <c r="H317" t="n">
        <v>2017</v>
      </c>
      <c r="N317" t="inlineStr">
        <is>
          <t xml:space="preserve">Taux d'intérêt sur la dette en devises </t>
        </is>
      </c>
    </row>
    <row r="318">
      <c r="A318" t="inlineStr">
        <is>
          <t>Dominica_2018_August</t>
        </is>
      </c>
      <c r="C318" t="inlineStr">
        <is>
          <t>SM.18.139</t>
        </is>
      </c>
      <c r="D318" t="inlineStr">
        <is>
          <t>Dominica</t>
        </is>
      </c>
      <c r="E318" t="inlineStr">
        <is>
          <t>DMA</t>
        </is>
      </c>
      <c r="F318" s="11" t="n">
        <v>43255</v>
      </c>
      <c r="G318" t="inlineStr">
        <is>
          <t>2013gn</t>
        </is>
      </c>
      <c r="H318" t="n">
        <v>2017</v>
      </c>
      <c r="N318" t="inlineStr">
        <is>
          <t xml:space="preserve">Taux d'intérêt sur la dette intérieure </t>
        </is>
      </c>
    </row>
    <row r="319">
      <c r="A319" t="inlineStr">
        <is>
          <t>Dominica_2018_August</t>
        </is>
      </c>
      <c r="C319" t="inlineStr">
        <is>
          <t>SM.18.139</t>
        </is>
      </c>
      <c r="D319" t="inlineStr">
        <is>
          <t>Dominica</t>
        </is>
      </c>
      <c r="E319" t="inlineStr">
        <is>
          <t>DMA</t>
        </is>
      </c>
      <c r="F319" s="11" t="n">
        <v>43255</v>
      </c>
      <c r="G319" t="inlineStr">
        <is>
          <t>2013gn</t>
        </is>
      </c>
      <c r="H319" t="n">
        <v>2017</v>
      </c>
      <c r="N319" t="inlineStr">
        <is>
          <t>Échéance moyenne (dette MLT/amortissement)</t>
        </is>
      </c>
    </row>
    <row r="320">
      <c r="A320" t="inlineStr">
        <is>
          <t>Dominica_2018_August</t>
        </is>
      </c>
      <c r="C320" t="inlineStr">
        <is>
          <t>SM.18.139</t>
        </is>
      </c>
      <c r="D320" t="inlineStr">
        <is>
          <t>Dominica</t>
        </is>
      </c>
      <c r="E320" t="inlineStr">
        <is>
          <t>DMA</t>
        </is>
      </c>
      <c r="F320" s="11" t="n">
        <v>43255</v>
      </c>
      <c r="G320" t="inlineStr">
        <is>
          <t>2013gn</t>
        </is>
      </c>
      <c r="H320" t="n">
        <v>2017</v>
      </c>
      <c r="N320" t="inlineStr">
        <is>
          <t xml:space="preserve">Dette à court terme/dette totale </t>
        </is>
      </c>
    </row>
    <row r="321">
      <c r="A321" t="inlineStr">
        <is>
          <t>Dominica_2018_August</t>
        </is>
      </c>
      <c r="C321" t="inlineStr">
        <is>
          <t>SM.18.139</t>
        </is>
      </c>
      <c r="D321" t="inlineStr">
        <is>
          <t>Dominica</t>
        </is>
      </c>
      <c r="E321" t="inlineStr">
        <is>
          <t>DMA</t>
        </is>
      </c>
      <c r="F321" s="11" t="n">
        <v>43255</v>
      </c>
      <c r="G321" t="inlineStr">
        <is>
          <t>2013gn</t>
        </is>
      </c>
      <c r="H321" t="n">
        <v>2017</v>
      </c>
      <c r="N321" t="inlineStr">
        <is>
          <t>VA de la dette extérieure du secteur public (tirée de la BdP; en monnaie locale; fin de période)</t>
        </is>
      </c>
    </row>
    <row r="322">
      <c r="A322" t="inlineStr">
        <is>
          <t>Dominica_2018_August</t>
        </is>
      </c>
      <c r="C322" t="inlineStr">
        <is>
          <t>SM.18.139</t>
        </is>
      </c>
      <c r="D322" t="inlineStr">
        <is>
          <t>Dominica</t>
        </is>
      </c>
      <c r="E322" t="inlineStr">
        <is>
          <t>DMA</t>
        </is>
      </c>
      <c r="F322" s="11" t="n">
        <v>43255</v>
      </c>
      <c r="G322" t="inlineStr">
        <is>
          <t>2013gn</t>
        </is>
      </c>
      <c r="H322" t="n">
        <v>2017</v>
      </c>
      <c r="N322" t="inlineStr">
        <is>
          <t xml:space="preserve">Élément don des nouveaux emprunts publics extérieurs (en pourcentage, si disponible) </t>
        </is>
      </c>
    </row>
    <row r="323">
      <c r="A323" t="inlineStr">
        <is>
          <t>Dominica_2018_August</t>
        </is>
      </c>
      <c r="C323" t="inlineStr">
        <is>
          <t>SM.18.139</t>
        </is>
      </c>
      <c r="D323" t="inlineStr">
        <is>
          <t>Dominica</t>
        </is>
      </c>
      <c r="E323" t="inlineStr">
        <is>
          <t>DMA</t>
        </is>
      </c>
      <c r="F323" s="11" t="n">
        <v>43255</v>
      </c>
      <c r="G323" t="inlineStr">
        <is>
          <t>2013gn</t>
        </is>
      </c>
      <c r="H323" t="n">
        <v>2017</v>
      </c>
      <c r="N323" t="inlineStr">
        <is>
          <t xml:space="preserve">VA des engagements conditionnels (si disponible) </t>
        </is>
      </c>
    </row>
    <row r="324">
      <c r="A324" t="inlineStr">
        <is>
          <t>Dominica_2018_August</t>
        </is>
      </c>
      <c r="C324" t="inlineStr">
        <is>
          <t>SM.18.139</t>
        </is>
      </c>
      <c r="D324" t="inlineStr">
        <is>
          <t>Dominica</t>
        </is>
      </c>
      <c r="E324" t="inlineStr">
        <is>
          <t>DMA</t>
        </is>
      </c>
      <c r="F324" s="11" t="n">
        <v>43255</v>
      </c>
      <c r="G324" t="inlineStr">
        <is>
          <t>2013gn</t>
        </is>
      </c>
      <c r="H324" t="n">
        <v>2017</v>
      </c>
      <c r="N324" t="inlineStr">
        <is>
          <t xml:space="preserve">VA de la dette du secteur public libellée en devises (fin de période) </t>
        </is>
      </c>
    </row>
    <row r="325">
      <c r="A325" t="inlineStr">
        <is>
          <t>Dominica_2018_August</t>
        </is>
      </c>
      <c r="C325" t="inlineStr">
        <is>
          <t>SM.18.139</t>
        </is>
      </c>
      <c r="D325" t="inlineStr">
        <is>
          <t>Dominica</t>
        </is>
      </c>
      <c r="E325" t="inlineStr">
        <is>
          <t>DMA</t>
        </is>
      </c>
      <c r="F325" s="11" t="n">
        <v>43255</v>
      </c>
      <c r="G325" t="inlineStr">
        <is>
          <t>2013gn</t>
        </is>
      </c>
      <c r="H325" t="n">
        <v>2017</v>
      </c>
    </row>
    <row r="326">
      <c r="A326" t="inlineStr">
        <is>
          <t>Dominica_2018_August</t>
        </is>
      </c>
      <c r="C326" t="inlineStr">
        <is>
          <t>SM.18.139</t>
        </is>
      </c>
      <c r="D326" t="inlineStr">
        <is>
          <t>Dominica</t>
        </is>
      </c>
      <c r="E326" t="inlineStr">
        <is>
          <t>DMA</t>
        </is>
      </c>
      <c r="F326" s="11" t="n">
        <v>43255</v>
      </c>
      <c r="G326" t="inlineStr">
        <is>
          <t>2013gn</t>
        </is>
      </c>
      <c r="H326" t="n">
        <v>2017</v>
      </c>
      <c r="N326" t="inlineStr">
        <is>
          <t xml:space="preserve">Compte courant hors intérêts en pourcentage du PIB </t>
        </is>
      </c>
    </row>
    <row r="327">
      <c r="A327" t="inlineStr">
        <is>
          <t>Dominica_2018_August</t>
        </is>
      </c>
      <c r="C327" t="inlineStr">
        <is>
          <t>SM.18.139</t>
        </is>
      </c>
      <c r="D327" t="inlineStr">
        <is>
          <t>Dominica</t>
        </is>
      </c>
      <c r="E327" t="inlineStr">
        <is>
          <t>DMA</t>
        </is>
      </c>
      <c r="F327" s="11" t="n">
        <v>43255</v>
      </c>
      <c r="G327" t="inlineStr">
        <is>
          <t>2013gn</t>
        </is>
      </c>
      <c r="H327" t="n">
        <v>2017</v>
      </c>
      <c r="N327" t="inlineStr">
        <is>
          <t xml:space="preserve">Transferts officiels courants en pourcentage du PIB </t>
        </is>
      </c>
    </row>
    <row r="328">
      <c r="A328" t="inlineStr">
        <is>
          <t>Dominica_2018_August</t>
        </is>
      </c>
      <c r="C328" t="inlineStr">
        <is>
          <t>SM.18.139</t>
        </is>
      </c>
      <c r="D328" t="inlineStr">
        <is>
          <t>Dominica</t>
        </is>
      </c>
      <c r="E328" t="inlineStr">
        <is>
          <t>DMA</t>
        </is>
      </c>
      <c r="F328" s="11" t="n">
        <v>43255</v>
      </c>
      <c r="G328" t="inlineStr">
        <is>
          <t>2013gn</t>
        </is>
      </c>
      <c r="H328" t="n">
        <v>2017</v>
      </c>
      <c r="N328" t="inlineStr">
        <is>
          <t xml:space="preserve">Total financement brut </t>
        </is>
      </c>
    </row>
    <row r="329">
      <c r="A329" t="inlineStr">
        <is>
          <t>Dominica_2018_August</t>
        </is>
      </c>
      <c r="C329" t="inlineStr">
        <is>
          <t>SM.18.139</t>
        </is>
      </c>
      <c r="D329" t="inlineStr">
        <is>
          <t>Dominica</t>
        </is>
      </c>
      <c r="E329" t="inlineStr">
        <is>
          <t>DMA</t>
        </is>
      </c>
      <c r="F329" s="11" t="n">
        <v>43255</v>
      </c>
      <c r="G329" t="inlineStr">
        <is>
          <t>2013gn</t>
        </is>
      </c>
      <c r="H329" t="n">
        <v>2017</v>
      </c>
      <c r="N329" t="inlineStr">
        <is>
          <t xml:space="preserve">dont couvert par le secteur privé </t>
        </is>
      </c>
    </row>
    <row r="330">
      <c r="A330" t="inlineStr">
        <is>
          <t>Dominica_2018_August</t>
        </is>
      </c>
      <c r="C330" t="inlineStr">
        <is>
          <t>SM.18.139</t>
        </is>
      </c>
      <c r="D330" t="inlineStr">
        <is>
          <t>Dominica</t>
        </is>
      </c>
      <c r="E330" t="inlineStr">
        <is>
          <t>DMA</t>
        </is>
      </c>
      <c r="F330" s="11" t="n">
        <v>43255</v>
      </c>
      <c r="G330" t="inlineStr">
        <is>
          <t>2013gn</t>
        </is>
      </c>
      <c r="H330" t="n">
        <v>2017</v>
      </c>
      <c r="N330" t="inlineStr">
        <is>
          <t xml:space="preserve">dont couvert par le secteur public </t>
        </is>
      </c>
    </row>
    <row r="331">
      <c r="A331" t="inlineStr">
        <is>
          <t>Dominica_2018_August</t>
        </is>
      </c>
      <c r="C331" t="inlineStr">
        <is>
          <t>SM.18.139</t>
        </is>
      </c>
      <c r="D331" t="inlineStr">
        <is>
          <t>Dominica</t>
        </is>
      </c>
      <c r="E331" t="inlineStr">
        <is>
          <t>DMA</t>
        </is>
      </c>
      <c r="F331" s="11" t="n">
        <v>43255</v>
      </c>
      <c r="G331" t="inlineStr">
        <is>
          <t>2013gn</t>
        </is>
      </c>
      <c r="H331" t="n">
        <v>2017</v>
      </c>
      <c r="N331" t="inlineStr">
        <is>
          <t xml:space="preserve">Besoin brut de financement </t>
        </is>
      </c>
    </row>
    <row r="332">
      <c r="A332" t="inlineStr">
        <is>
          <t>Dominica_2018_August</t>
        </is>
      </c>
      <c r="C332" t="inlineStr">
        <is>
          <t>SM.18.139</t>
        </is>
      </c>
      <c r="D332" t="inlineStr">
        <is>
          <t>Dominica</t>
        </is>
      </c>
      <c r="E332" t="inlineStr">
        <is>
          <t>DMA</t>
        </is>
      </c>
      <c r="F332" s="11" t="n">
        <v>43255</v>
      </c>
      <c r="G332" t="inlineStr">
        <is>
          <t>2013gn</t>
        </is>
      </c>
      <c r="H332" t="n">
        <v>2017</v>
      </c>
    </row>
    <row r="333">
      <c r="A333" t="inlineStr">
        <is>
          <t>Dominica_2018_August</t>
        </is>
      </c>
      <c r="C333" t="inlineStr">
        <is>
          <t>SM.18.139</t>
        </is>
      </c>
      <c r="D333" t="inlineStr">
        <is>
          <t>Dominica</t>
        </is>
      </c>
      <c r="E333" t="inlineStr">
        <is>
          <t>DMA</t>
        </is>
      </c>
      <c r="F333" s="11" t="n">
        <v>43255</v>
      </c>
      <c r="G333" t="inlineStr">
        <is>
          <t>2013gn</t>
        </is>
      </c>
      <c r="H333" t="n">
        <v>2017</v>
      </c>
      <c r="N333" t="inlineStr">
        <is>
          <t xml:space="preserve">Recettes publiques (hors dons) </t>
        </is>
      </c>
    </row>
    <row r="334">
      <c r="A334" t="inlineStr">
        <is>
          <t>Dominica_2018_August</t>
        </is>
      </c>
      <c r="C334" t="inlineStr">
        <is>
          <t>SM.18.139</t>
        </is>
      </c>
      <c r="D334" t="inlineStr">
        <is>
          <t>Dominica</t>
        </is>
      </c>
      <c r="E334" t="inlineStr">
        <is>
          <t>DMA</t>
        </is>
      </c>
      <c r="F334" s="11" t="n">
        <v>43255</v>
      </c>
      <c r="G334" t="inlineStr">
        <is>
          <t>2013gn</t>
        </is>
      </c>
      <c r="H334" t="n">
        <v>2017</v>
      </c>
      <c r="N334" t="inlineStr">
        <is>
          <t xml:space="preserve">Recettes réelles et dons </t>
        </is>
      </c>
    </row>
    <row r="335">
      <c r="A335" t="inlineStr">
        <is>
          <t>Dominica_2018_August</t>
        </is>
      </c>
      <c r="C335" t="inlineStr">
        <is>
          <t>SM.18.139</t>
        </is>
      </c>
      <c r="D335" t="inlineStr">
        <is>
          <t>Dominica</t>
        </is>
      </c>
      <c r="E335" t="inlineStr">
        <is>
          <t>DMA</t>
        </is>
      </c>
      <c r="F335" s="11" t="n">
        <v>43255</v>
      </c>
      <c r="G335" t="inlineStr">
        <is>
          <t>2013gn</t>
        </is>
      </c>
      <c r="H335" t="n">
        <v>2017</v>
      </c>
      <c r="N335" t="inlineStr">
        <is>
          <t xml:space="preserve">Croissance des recettes réelles et dons </t>
        </is>
      </c>
    </row>
    <row r="336">
      <c r="A336" t="inlineStr">
        <is>
          <t>Dominica_2018_August</t>
        </is>
      </c>
      <c r="C336" t="inlineStr">
        <is>
          <t>SM.18.139</t>
        </is>
      </c>
      <c r="D336" t="inlineStr">
        <is>
          <t>Dominica</t>
        </is>
      </c>
      <c r="E336" t="inlineStr">
        <is>
          <t>DMA</t>
        </is>
      </c>
      <c r="F336" s="11" t="n">
        <v>43255</v>
      </c>
      <c r="G336" t="inlineStr">
        <is>
          <t>2013gn</t>
        </is>
      </c>
      <c r="H336" t="n">
        <v>2017</v>
      </c>
      <c r="N336" t="inlineStr">
        <is>
          <t>Dons</t>
        </is>
      </c>
    </row>
    <row r="337">
      <c r="A337" t="inlineStr">
        <is>
          <t>Dominica_2018_August</t>
        </is>
      </c>
      <c r="C337" t="inlineStr">
        <is>
          <t>SM.18.139</t>
        </is>
      </c>
      <c r="D337" t="inlineStr">
        <is>
          <t>Dominica</t>
        </is>
      </c>
      <c r="E337" t="inlineStr">
        <is>
          <t>DMA</t>
        </is>
      </c>
      <c r="F337" s="11" t="n">
        <v>43255</v>
      </c>
      <c r="G337" t="inlineStr">
        <is>
          <t>2013gn</t>
        </is>
      </c>
      <c r="H337" t="n">
        <v>2017</v>
      </c>
      <c r="N337" t="inlineStr">
        <is>
          <t xml:space="preserve">Recettes en pourcentage du PIB </t>
        </is>
      </c>
    </row>
    <row r="338">
      <c r="A338" t="inlineStr">
        <is>
          <t>Dominica_2018_August</t>
        </is>
      </c>
      <c r="C338" t="inlineStr">
        <is>
          <t>SM.18.139</t>
        </is>
      </c>
      <c r="D338" t="inlineStr">
        <is>
          <t>Dominica</t>
        </is>
      </c>
      <c r="E338" t="inlineStr">
        <is>
          <t>DMA</t>
        </is>
      </c>
      <c r="F338" s="11" t="n">
        <v>43255</v>
      </c>
      <c r="G338" t="inlineStr">
        <is>
          <t>2013gn</t>
        </is>
      </c>
      <c r="H338" t="n">
        <v>2017</v>
      </c>
      <c r="N338" t="inlineStr">
        <is>
          <t xml:space="preserve">Dépenses réelles hors intérêts </t>
        </is>
      </c>
    </row>
    <row r="339">
      <c r="A339" t="inlineStr">
        <is>
          <t>Dominica_2018_August</t>
        </is>
      </c>
      <c r="C339" t="inlineStr">
        <is>
          <t>SM.18.139</t>
        </is>
      </c>
      <c r="D339" t="inlineStr">
        <is>
          <t>Dominica</t>
        </is>
      </c>
      <c r="E339" t="inlineStr">
        <is>
          <t>DMA</t>
        </is>
      </c>
      <c r="F339" s="11" t="n">
        <v>43255</v>
      </c>
      <c r="G339" t="inlineStr">
        <is>
          <t>2013gn</t>
        </is>
      </c>
      <c r="H339" t="n">
        <v>2017</v>
      </c>
      <c r="N339" t="inlineStr">
        <is>
          <t xml:space="preserve">Croissance des dépenses réelles hors intérêts </t>
        </is>
      </c>
    </row>
    <row r="340">
      <c r="A340" t="inlineStr">
        <is>
          <t>Dominica_2018_August</t>
        </is>
      </c>
      <c r="C340" t="inlineStr">
        <is>
          <t>SM.18.139</t>
        </is>
      </c>
      <c r="D340" t="inlineStr">
        <is>
          <t>Dominica</t>
        </is>
      </c>
      <c r="E340" t="inlineStr">
        <is>
          <t>DMA</t>
        </is>
      </c>
      <c r="F340" s="11" t="n">
        <v>43255</v>
      </c>
      <c r="G340" t="inlineStr">
        <is>
          <t>2013gn</t>
        </is>
      </c>
      <c r="H340" t="n">
        <v>2017</v>
      </c>
      <c r="N340" t="inlineStr">
        <is>
          <t xml:space="preserve">Rangée vérification nouveau décaissement au secteur public </t>
        </is>
      </c>
    </row>
    <row r="341">
      <c r="A341" t="inlineStr">
        <is>
          <t>Dominica_2018_August</t>
        </is>
      </c>
      <c r="C341" t="inlineStr">
        <is>
          <t>SM.18.139</t>
        </is>
      </c>
      <c r="D341" t="inlineStr">
        <is>
          <t>Dominica</t>
        </is>
      </c>
      <c r="E341" t="inlineStr">
        <is>
          <t>DMA</t>
        </is>
      </c>
      <c r="F341" s="11" t="n">
        <v>43255</v>
      </c>
      <c r="G341" t="inlineStr">
        <is>
          <t>2013gn</t>
        </is>
      </c>
      <c r="H341" t="n">
        <v>2017</v>
      </c>
      <c r="N341" t="inlineStr">
        <is>
          <t xml:space="preserve">Économie réelle </t>
        </is>
      </c>
    </row>
    <row r="342">
      <c r="A342" t="inlineStr">
        <is>
          <t>Dominica_2018_August</t>
        </is>
      </c>
      <c r="C342" t="inlineStr">
        <is>
          <t>SM.18.139</t>
        </is>
      </c>
      <c r="D342" t="inlineStr">
        <is>
          <t>Dominica</t>
        </is>
      </c>
      <c r="E342" t="inlineStr">
        <is>
          <t>DMA</t>
        </is>
      </c>
      <c r="F342" s="11" t="n">
        <v>43255</v>
      </c>
      <c r="G342" t="inlineStr">
        <is>
          <t>2013gn</t>
        </is>
      </c>
      <c r="H342" t="n">
        <v>2017</v>
      </c>
      <c r="N342" t="inlineStr">
        <is>
          <t xml:space="preserve">Croissance du PIB réel </t>
        </is>
      </c>
    </row>
    <row r="343">
      <c r="A343" t="inlineStr">
        <is>
          <t>Dominica_2018_August</t>
        </is>
      </c>
      <c r="C343" t="inlineStr">
        <is>
          <t>SM.18.139</t>
        </is>
      </c>
      <c r="D343" t="inlineStr">
        <is>
          <t>Dominica</t>
        </is>
      </c>
      <c r="E343" t="inlineStr">
        <is>
          <t>DMA</t>
        </is>
      </c>
      <c r="F343" s="11" t="n">
        <v>43255</v>
      </c>
      <c r="G343" t="inlineStr">
        <is>
          <t>2013gn</t>
        </is>
      </c>
      <c r="H343" t="n">
        <v>2017</v>
      </c>
      <c r="N343" t="inlineStr">
        <is>
          <t xml:space="preserve">Indice déflateur du PIB (monnaie nationale) </t>
        </is>
      </c>
    </row>
    <row r="344">
      <c r="A344" t="inlineStr">
        <is>
          <t>Dominica_2018_August</t>
        </is>
      </c>
      <c r="C344" t="inlineStr">
        <is>
          <t>SM.18.139</t>
        </is>
      </c>
      <c r="D344" t="inlineStr">
        <is>
          <t>Dominica</t>
        </is>
      </c>
      <c r="E344" t="inlineStr">
        <is>
          <t>DMA</t>
        </is>
      </c>
      <c r="F344" s="11" t="n">
        <v>43255</v>
      </c>
      <c r="G344" t="inlineStr">
        <is>
          <t>2013gn</t>
        </is>
      </c>
      <c r="H344" t="n">
        <v>2017</v>
      </c>
      <c r="N344" t="inlineStr">
        <is>
          <t xml:space="preserve">Variation facteur déflateur du PIB (pourcentage) </t>
        </is>
      </c>
    </row>
    <row r="345">
      <c r="A345" t="inlineStr">
        <is>
          <t>Dominica_2018_August</t>
        </is>
      </c>
      <c r="C345" t="inlineStr">
        <is>
          <t>SM.18.139</t>
        </is>
      </c>
      <c r="D345" t="inlineStr">
        <is>
          <t>Dominica</t>
        </is>
      </c>
      <c r="E345" t="inlineStr">
        <is>
          <t>DMA</t>
        </is>
      </c>
      <c r="F345" s="11" t="n">
        <v>43255</v>
      </c>
      <c r="G345" t="inlineStr">
        <is>
          <t>2013gn</t>
        </is>
      </c>
      <c r="H345" t="n">
        <v>2017</v>
      </c>
      <c r="N345" t="inlineStr">
        <is>
          <t xml:space="preserve">Indice déflateur du PIB (monnaie nationale) </t>
        </is>
      </c>
    </row>
    <row r="346">
      <c r="A346" t="inlineStr">
        <is>
          <t>Dominica_2018_August</t>
        </is>
      </c>
      <c r="C346" t="inlineStr">
        <is>
          <t>SM.18.139</t>
        </is>
      </c>
      <c r="D346" t="inlineStr">
        <is>
          <t>Dominica</t>
        </is>
      </c>
      <c r="E346" t="inlineStr">
        <is>
          <t>DMA</t>
        </is>
      </c>
      <c r="F346" s="11" t="n">
        <v>43255</v>
      </c>
      <c r="G346" t="inlineStr">
        <is>
          <t>2013gn</t>
        </is>
      </c>
      <c r="H346" t="n">
        <v>2017</v>
      </c>
      <c r="N346" t="inlineStr">
        <is>
          <t xml:space="preserve">Variation facteur déflateur du PIB (pourcentage) </t>
        </is>
      </c>
    </row>
    <row r="347">
      <c r="A347" t="inlineStr">
        <is>
          <t>Dominica_2018_August</t>
        </is>
      </c>
      <c r="C347" t="inlineStr">
        <is>
          <t>SM.18.139</t>
        </is>
      </c>
      <c r="D347" t="inlineStr">
        <is>
          <t>Dominica</t>
        </is>
      </c>
      <c r="E347" t="inlineStr">
        <is>
          <t>DMA</t>
        </is>
      </c>
      <c r="F347" s="11" t="n">
        <v>43255</v>
      </c>
      <c r="G347" t="inlineStr">
        <is>
          <t>2013gn</t>
        </is>
      </c>
      <c r="H347" t="n">
        <v>2017</v>
      </c>
      <c r="N347" t="inlineStr">
        <is>
          <t xml:space="preserve">Déflateur du PIB EU (pourcentage de variation) </t>
        </is>
      </c>
    </row>
    <row r="348">
      <c r="A348" t="inlineStr">
        <is>
          <t>Dominica_2018_August</t>
        </is>
      </c>
      <c r="C348" t="inlineStr">
        <is>
          <t>SM.18.139</t>
        </is>
      </c>
      <c r="D348" t="inlineStr">
        <is>
          <t>Dominica</t>
        </is>
      </c>
      <c r="E348" t="inlineStr">
        <is>
          <t>DMA</t>
        </is>
      </c>
      <c r="F348" s="11" t="n">
        <v>43255</v>
      </c>
      <c r="G348" t="inlineStr">
        <is>
          <t>2013gn</t>
        </is>
      </c>
      <c r="H348" t="n">
        <v>2017</v>
      </c>
      <c r="N348" t="inlineStr">
        <is>
          <t xml:space="preserve">Taux de change dollar/monnaie nationale </t>
        </is>
      </c>
    </row>
    <row r="349">
      <c r="A349" t="inlineStr">
        <is>
          <t>Dominica_2018_August</t>
        </is>
      </c>
      <c r="C349" t="inlineStr">
        <is>
          <t>SM.18.139</t>
        </is>
      </c>
      <c r="D349" t="inlineStr">
        <is>
          <t>Dominica</t>
        </is>
      </c>
      <c r="E349" t="inlineStr">
        <is>
          <t>DMA</t>
        </is>
      </c>
      <c r="F349" s="11" t="n">
        <v>43255</v>
      </c>
      <c r="G349" t="inlineStr">
        <is>
          <t>2013gn</t>
        </is>
      </c>
      <c r="H349" t="n">
        <v>2017</v>
      </c>
      <c r="N349" t="inlineStr">
        <is>
          <t xml:space="preserve">Dépréciation monnaie nationale </t>
        </is>
      </c>
    </row>
    <row r="350">
      <c r="A350" t="inlineStr">
        <is>
          <t>Dominica_2018_August</t>
        </is>
      </c>
      <c r="C350" t="inlineStr">
        <is>
          <t>SM.18.139</t>
        </is>
      </c>
      <c r="D350" t="inlineStr">
        <is>
          <t>Dominica</t>
        </is>
      </c>
      <c r="E350" t="inlineStr">
        <is>
          <t>DMA</t>
        </is>
      </c>
      <c r="F350" s="11" t="n">
        <v>43255</v>
      </c>
      <c r="G350" t="inlineStr">
        <is>
          <t>2013gn</t>
        </is>
      </c>
      <c r="H350" t="n">
        <v>2017</v>
      </c>
    </row>
    <row r="351">
      <c r="A351" t="inlineStr">
        <is>
          <t>Dominica_2018_August</t>
        </is>
      </c>
      <c r="C351" t="inlineStr">
        <is>
          <t>SM.18.139</t>
        </is>
      </c>
      <c r="D351" t="inlineStr">
        <is>
          <t>Dominica</t>
        </is>
      </c>
      <c r="E351" t="inlineStr">
        <is>
          <t>DMA</t>
        </is>
      </c>
      <c r="F351" s="11" t="n">
        <v>43255</v>
      </c>
      <c r="G351" t="inlineStr">
        <is>
          <t>2013gn</t>
        </is>
      </c>
      <c r="H351" t="n">
        <v>2017</v>
      </c>
      <c r="N351" t="inlineStr">
        <is>
          <t>1/ Arriérés compris</t>
        </is>
      </c>
    </row>
    <row r="352">
      <c r="A352" t="inlineStr">
        <is>
          <t>Dominica_2018_August</t>
        </is>
      </c>
      <c r="C352" t="inlineStr">
        <is>
          <t>SM.18.139</t>
        </is>
      </c>
      <c r="D352" t="inlineStr">
        <is>
          <t>Dominica</t>
        </is>
      </c>
      <c r="E352" t="inlineStr">
        <is>
          <t>DMA</t>
        </is>
      </c>
      <c r="F352" s="11" t="n">
        <v>43255</v>
      </c>
      <c r="G352" t="inlineStr">
        <is>
          <t>2013gn</t>
        </is>
      </c>
      <c r="H352" t="n">
        <v>2017</v>
      </c>
    </row>
    <row r="353">
      <c r="A353" t="inlineStr">
        <is>
          <t>Dominica_2018_August</t>
        </is>
      </c>
      <c r="C353" t="inlineStr">
        <is>
          <t>SM.18.139</t>
        </is>
      </c>
      <c r="D353" t="inlineStr">
        <is>
          <t>Dominica</t>
        </is>
      </c>
      <c r="E353" t="inlineStr">
        <is>
          <t>DMA</t>
        </is>
      </c>
      <c r="F353" s="11" t="n">
        <v>43255</v>
      </c>
      <c r="G353" t="inlineStr">
        <is>
          <t>2013gn</t>
        </is>
      </c>
      <c r="H353" t="n">
        <v>2017</v>
      </c>
    </row>
    <row r="354">
      <c r="A354" t="inlineStr">
        <is>
          <t>Dominica_2018_August</t>
        </is>
      </c>
      <c r="C354" t="inlineStr">
        <is>
          <t>SM.18.139</t>
        </is>
      </c>
      <c r="D354" t="inlineStr">
        <is>
          <t>Dominica</t>
        </is>
      </c>
      <c r="E354" t="inlineStr">
        <is>
          <t>DMA</t>
        </is>
      </c>
      <c r="F354" s="11" t="n">
        <v>43255</v>
      </c>
      <c r="G354" t="inlineStr">
        <is>
          <t>2013gn</t>
        </is>
      </c>
      <c r="H354" t="n">
        <v>2017</v>
      </c>
    </row>
    <row r="355">
      <c r="A355" t="inlineStr">
        <is>
          <t>Dominica_2018_August</t>
        </is>
      </c>
      <c r="C355" t="inlineStr">
        <is>
          <t>SM.18.139</t>
        </is>
      </c>
      <c r="D355" t="inlineStr">
        <is>
          <t>Dominica</t>
        </is>
      </c>
      <c r="E355" t="inlineStr">
        <is>
          <t>DMA</t>
        </is>
      </c>
      <c r="F355" s="11" t="n">
        <v>43255</v>
      </c>
      <c r="G355" t="inlineStr">
        <is>
          <t>2013gn</t>
        </is>
      </c>
      <c r="H355" t="n">
        <v>2017</v>
      </c>
    </row>
    <row r="356">
      <c r="A356" t="inlineStr">
        <is>
          <t>Dominica_2018_August</t>
        </is>
      </c>
      <c r="C356" t="inlineStr">
        <is>
          <t>SM.18.139</t>
        </is>
      </c>
      <c r="D356" t="inlineStr">
        <is>
          <t>Dominica</t>
        </is>
      </c>
      <c r="E356" t="inlineStr">
        <is>
          <t>DMA</t>
        </is>
      </c>
      <c r="F356" s="11" t="n">
        <v>43255</v>
      </c>
      <c r="G356" t="inlineStr">
        <is>
          <t>2013gn</t>
        </is>
      </c>
      <c r="H356" t="n">
        <v>2017</v>
      </c>
    </row>
    <row r="357">
      <c r="A357" t="inlineStr">
        <is>
          <t>Dominica_2018_August</t>
        </is>
      </c>
      <c r="C357" t="inlineStr">
        <is>
          <t>SM.18.139</t>
        </is>
      </c>
      <c r="D357" t="inlineStr">
        <is>
          <t>Dominica</t>
        </is>
      </c>
      <c r="E357" t="inlineStr">
        <is>
          <t>DMA</t>
        </is>
      </c>
      <c r="F357" s="11" t="n">
        <v>43255</v>
      </c>
      <c r="G357" t="inlineStr">
        <is>
          <t>2013gn</t>
        </is>
      </c>
      <c r="H357" t="n">
        <v>2017</v>
      </c>
    </row>
    <row r="358">
      <c r="A358" t="inlineStr">
        <is>
          <t>Dominica_2018_August</t>
        </is>
      </c>
      <c r="C358" t="inlineStr">
        <is>
          <t>SM.18.139</t>
        </is>
      </c>
      <c r="D358" t="inlineStr">
        <is>
          <t>Dominica</t>
        </is>
      </c>
      <c r="E358" t="inlineStr">
        <is>
          <t>DMA</t>
        </is>
      </c>
      <c r="F358" s="11" t="n">
        <v>43255</v>
      </c>
      <c r="G358" t="inlineStr">
        <is>
          <t>2013gn</t>
        </is>
      </c>
      <c r="H358" t="n">
        <v>2017</v>
      </c>
      <c r="J358" t="inlineStr">
        <is>
          <t>POR</t>
        </is>
      </c>
      <c r="M358" t="inlineStr">
        <is>
          <t>Queira preencher as células amarelas</t>
        </is>
      </c>
      <c r="N358" t="inlineStr">
        <is>
          <t>As células azuis são preenchidas automaticamente</t>
        </is>
      </c>
    </row>
    <row r="359">
      <c r="A359" t="inlineStr">
        <is>
          <t>Dominica_2018_August</t>
        </is>
      </c>
      <c r="C359" t="inlineStr">
        <is>
          <t>SM.18.139</t>
        </is>
      </c>
      <c r="D359" t="inlineStr">
        <is>
          <t>Dominica</t>
        </is>
      </c>
      <c r="E359" t="inlineStr">
        <is>
          <t>DMA</t>
        </is>
      </c>
      <c r="F359" s="11" t="n">
        <v>43255</v>
      </c>
      <c r="G359" t="inlineStr">
        <is>
          <t>2013gn</t>
        </is>
      </c>
      <c r="H359" t="n">
        <v>2017</v>
      </c>
    </row>
    <row r="360">
      <c r="A360" t="inlineStr">
        <is>
          <t>Dominica_2018_August</t>
        </is>
      </c>
      <c r="C360" t="inlineStr">
        <is>
          <t>SM.18.139</t>
        </is>
      </c>
      <c r="D360" t="inlineStr">
        <is>
          <t>Dominica</t>
        </is>
      </c>
      <c r="E360" t="inlineStr">
        <is>
          <t>DMA</t>
        </is>
      </c>
      <c r="F360" s="11" t="n">
        <v>43255</v>
      </c>
      <c r="G360" t="inlineStr">
        <is>
          <t>2013gn</t>
        </is>
      </c>
      <c r="H360" t="n">
        <v>2017</v>
      </c>
    </row>
    <row r="361">
      <c r="A361" t="inlineStr">
        <is>
          <t>Dominica_2018_August</t>
        </is>
      </c>
      <c r="C361" t="inlineStr">
        <is>
          <t>SM.18.139</t>
        </is>
      </c>
      <c r="D361" t="inlineStr">
        <is>
          <t>Dominica</t>
        </is>
      </c>
      <c r="E361" t="inlineStr">
        <is>
          <t>DMA</t>
        </is>
      </c>
      <c r="F361" s="11" t="n">
        <v>43255</v>
      </c>
      <c r="G361" t="inlineStr">
        <is>
          <t>2013gn</t>
        </is>
      </c>
      <c r="H361" t="n">
        <v>2017</v>
      </c>
      <c r="M361" t="inlineStr">
        <is>
          <t>Notação CPIA</t>
        </is>
      </c>
      <c r="N361" t="inlineStr">
        <is>
          <t>Desempenho das políticas</t>
        </is>
      </c>
      <c r="O361" t="inlineStr">
        <is>
          <t>Incluindo remessas no cenário de base:</t>
        </is>
      </c>
    </row>
    <row r="362">
      <c r="A362" t="inlineStr">
        <is>
          <t>Dominica_2018_August</t>
        </is>
      </c>
      <c r="C362" t="inlineStr">
        <is>
          <t>SM.18.139</t>
        </is>
      </c>
      <c r="D362" t="inlineStr">
        <is>
          <t>Dominica</t>
        </is>
      </c>
      <c r="E362" t="inlineStr">
        <is>
          <t>DMA</t>
        </is>
      </c>
      <c r="F362" s="11" t="n">
        <v>43255</v>
      </c>
      <c r="G362" t="inlineStr">
        <is>
          <t>2013gn</t>
        </is>
      </c>
      <c r="H362" t="n">
        <v>2017</v>
      </c>
      <c r="M362" t="inlineStr">
        <is>
          <t>Limiares da carga da dívida EXTERNA</t>
        </is>
      </c>
      <c r="N362" t="inlineStr">
        <is>
          <t>Sem remessas</t>
        </is>
      </c>
      <c r="O362" t="inlineStr">
        <is>
          <t>Com remessas</t>
        </is>
      </c>
    </row>
    <row r="363">
      <c r="A363" t="inlineStr">
        <is>
          <t>Dominica_2018_August</t>
        </is>
      </c>
      <c r="C363" t="inlineStr">
        <is>
          <t>SM.18.139</t>
        </is>
      </c>
      <c r="D363" t="inlineStr">
        <is>
          <t>Dominica</t>
        </is>
      </c>
      <c r="E363" t="inlineStr">
        <is>
          <t>DMA</t>
        </is>
      </c>
      <c r="F363" s="11" t="n">
        <v>43255</v>
      </c>
      <c r="G363" t="inlineStr">
        <is>
          <t>2013gn</t>
        </is>
      </c>
      <c r="H363" t="n">
        <v>2017</v>
      </c>
      <c r="M363" t="inlineStr">
        <is>
          <t>VA da dívida em % do/das</t>
        </is>
      </c>
    </row>
    <row r="364">
      <c r="A364" t="inlineStr">
        <is>
          <t>Dominica_2018_August</t>
        </is>
      </c>
      <c r="C364" t="inlineStr">
        <is>
          <t>SM.18.139</t>
        </is>
      </c>
      <c r="D364" t="inlineStr">
        <is>
          <t>Dominica</t>
        </is>
      </c>
      <c r="E364" t="inlineStr">
        <is>
          <t>DMA</t>
        </is>
      </c>
      <c r="F364" s="11" t="n">
        <v>43255</v>
      </c>
      <c r="G364" t="inlineStr">
        <is>
          <t>2013gn</t>
        </is>
      </c>
      <c r="H364" t="n">
        <v>2017</v>
      </c>
      <c r="M364" t="inlineStr">
        <is>
          <t>Exportações</t>
        </is>
      </c>
    </row>
    <row r="365">
      <c r="A365" t="inlineStr">
        <is>
          <t>Dominica_2018_August</t>
        </is>
      </c>
      <c r="C365" t="inlineStr">
        <is>
          <t>SM.18.139</t>
        </is>
      </c>
      <c r="D365" t="inlineStr">
        <is>
          <t>Dominica</t>
        </is>
      </c>
      <c r="E365" t="inlineStr">
        <is>
          <t>DMA</t>
        </is>
      </c>
      <c r="F365" s="11" t="n">
        <v>43255</v>
      </c>
      <c r="G365" t="inlineStr">
        <is>
          <t>2013gn</t>
        </is>
      </c>
      <c r="H365" t="n">
        <v>2017</v>
      </c>
      <c r="M365" t="inlineStr">
        <is>
          <t>PIB</t>
        </is>
      </c>
    </row>
    <row r="366">
      <c r="A366" t="inlineStr">
        <is>
          <t>Dominica_2018_August</t>
        </is>
      </c>
      <c r="C366" t="inlineStr">
        <is>
          <t>SM.18.139</t>
        </is>
      </c>
      <c r="D366" t="inlineStr">
        <is>
          <t>Dominica</t>
        </is>
      </c>
      <c r="E366" t="inlineStr">
        <is>
          <t>DMA</t>
        </is>
      </c>
      <c r="F366" s="11" t="n">
        <v>43255</v>
      </c>
      <c r="G366" t="inlineStr">
        <is>
          <t>2013gn</t>
        </is>
      </c>
      <c r="H366" t="n">
        <v>2017</v>
      </c>
      <c r="M366" t="inlineStr">
        <is>
          <t>Receitas</t>
        </is>
      </c>
    </row>
    <row r="367">
      <c r="A367" t="inlineStr">
        <is>
          <t>Dominica_2018_August</t>
        </is>
      </c>
      <c r="C367" t="inlineStr">
        <is>
          <t>SM.18.139</t>
        </is>
      </c>
      <c r="D367" t="inlineStr">
        <is>
          <t>Dominica</t>
        </is>
      </c>
      <c r="E367" t="inlineStr">
        <is>
          <t>DMA</t>
        </is>
      </c>
      <c r="F367" s="11" t="n">
        <v>43255</v>
      </c>
      <c r="G367" t="inlineStr">
        <is>
          <t>2013gn</t>
        </is>
      </c>
      <c r="H367" t="n">
        <v>2017</v>
      </c>
      <c r="M367" t="inlineStr">
        <is>
          <t>Serviço da dívida em % das</t>
        </is>
      </c>
    </row>
    <row r="368">
      <c r="A368" t="inlineStr">
        <is>
          <t>Dominica_2018_August</t>
        </is>
      </c>
      <c r="C368" t="inlineStr">
        <is>
          <t>SM.18.139</t>
        </is>
      </c>
      <c r="D368" t="inlineStr">
        <is>
          <t>Dominica</t>
        </is>
      </c>
      <c r="E368" t="inlineStr">
        <is>
          <t>DMA</t>
        </is>
      </c>
      <c r="F368" s="11" t="n">
        <v>43255</v>
      </c>
      <c r="G368" t="inlineStr">
        <is>
          <t>2013gn</t>
        </is>
      </c>
      <c r="H368" t="n">
        <v>2017</v>
      </c>
      <c r="M368" t="inlineStr">
        <is>
          <t>Exportações</t>
        </is>
      </c>
    </row>
    <row r="369">
      <c r="A369" t="inlineStr">
        <is>
          <t>Dominica_2018_August</t>
        </is>
      </c>
      <c r="C369" t="inlineStr">
        <is>
          <t>SM.18.139</t>
        </is>
      </c>
      <c r="D369" t="inlineStr">
        <is>
          <t>Dominica</t>
        </is>
      </c>
      <c r="E369" t="inlineStr">
        <is>
          <t>DMA</t>
        </is>
      </c>
      <c r="F369" s="11" t="n">
        <v>43255</v>
      </c>
      <c r="G369" t="inlineStr">
        <is>
          <t>2013gn</t>
        </is>
      </c>
      <c r="H369" t="n">
        <v>2017</v>
      </c>
      <c r="M369" t="inlineStr">
        <is>
          <t>Receitas</t>
        </is>
      </c>
    </row>
    <row r="370">
      <c r="A370" t="inlineStr">
        <is>
          <t>Dominica_2018_August</t>
        </is>
      </c>
      <c r="C370" t="inlineStr">
        <is>
          <t>SM.18.139</t>
        </is>
      </c>
      <c r="D370" t="inlineStr">
        <is>
          <t>Dominica</t>
        </is>
      </c>
      <c r="E370" t="inlineStr">
        <is>
          <t>DMA</t>
        </is>
      </c>
      <c r="F370" s="11" t="n">
        <v>43255</v>
      </c>
      <c r="G370" t="inlineStr">
        <is>
          <t>2013gn</t>
        </is>
      </c>
      <c r="H370" t="n">
        <v>2017</v>
      </c>
      <c r="M370" t="inlineStr">
        <is>
          <t>Nível indicativo da dívida pública TOTAL</t>
        </is>
      </c>
    </row>
    <row r="371">
      <c r="A371" t="inlineStr">
        <is>
          <t>Dominica_2018_August</t>
        </is>
      </c>
      <c r="C371" t="inlineStr">
        <is>
          <t>SM.18.139</t>
        </is>
      </c>
      <c r="D371" t="inlineStr">
        <is>
          <t>Dominica</t>
        </is>
      </c>
      <c r="E371" t="inlineStr">
        <is>
          <t>DMA</t>
        </is>
      </c>
      <c r="F371" s="11" t="n">
        <v>43255</v>
      </c>
      <c r="G371" t="inlineStr">
        <is>
          <t>2013gn</t>
        </is>
      </c>
      <c r="H371" t="n">
        <v>2017</v>
      </c>
      <c r="M371" t="inlineStr">
        <is>
          <t>VA da dívida pública total em % do PIB</t>
        </is>
      </c>
    </row>
    <row r="372">
      <c r="A372" t="inlineStr">
        <is>
          <t>Dominica_2018_August</t>
        </is>
      </c>
      <c r="C372" t="inlineStr">
        <is>
          <t>SM.18.139</t>
        </is>
      </c>
      <c r="D372" t="inlineStr">
        <is>
          <t>Dominica</t>
        </is>
      </c>
      <c r="E372" t="inlineStr">
        <is>
          <t>DMA</t>
        </is>
      </c>
      <c r="F372" s="11" t="n">
        <v>43255</v>
      </c>
      <c r="G372" t="inlineStr">
        <is>
          <t>2013gn</t>
        </is>
      </c>
      <c r="H372" t="n">
        <v>2017</v>
      </c>
      <c r="M372" t="inlineStr">
        <is>
          <t>Notação de sobreendividamento externo</t>
        </is>
      </c>
      <c r="AA372" t="inlineStr">
        <is>
          <t>Primero ano das projeções</t>
        </is>
      </c>
    </row>
    <row r="373">
      <c r="A373" t="inlineStr">
        <is>
          <t>Dominica_2018_August</t>
        </is>
      </c>
      <c r="C373" t="inlineStr">
        <is>
          <t>SM.18.139</t>
        </is>
      </c>
      <c r="D373" t="inlineStr">
        <is>
          <t>Dominica</t>
        </is>
      </c>
      <c r="E373" t="inlineStr">
        <is>
          <t>DMA</t>
        </is>
      </c>
      <c r="F373" s="11" t="n">
        <v>43255</v>
      </c>
      <c r="G373" t="inlineStr">
        <is>
          <t>2013gn</t>
        </is>
      </c>
      <c r="H373" t="n">
        <v>2017</v>
      </c>
      <c r="N373" t="inlineStr">
        <is>
          <t xml:space="preserve">Médio e Longo Prazo (MLP) </t>
        </is>
      </c>
    </row>
    <row r="374">
      <c r="A374" t="inlineStr">
        <is>
          <t>Dominica_2018_August</t>
        </is>
      </c>
      <c r="C374" t="inlineStr">
        <is>
          <t>SM.18.139</t>
        </is>
      </c>
      <c r="D374" t="inlineStr">
        <is>
          <t>Dominica</t>
        </is>
      </c>
      <c r="E374" t="inlineStr">
        <is>
          <t>DMA</t>
        </is>
      </c>
      <c r="F374" s="11" t="n">
        <v>43255</v>
      </c>
      <c r="G374" t="inlineStr">
        <is>
          <t>2013gn</t>
        </is>
      </c>
      <c r="H374" t="n">
        <v>2017</v>
      </c>
      <c r="N374" t="inlineStr">
        <is>
          <t>Externa de Médio e Longo Prazo (MLP)</t>
        </is>
      </c>
    </row>
    <row r="375">
      <c r="A375" t="inlineStr">
        <is>
          <t>Dominica_2018_August</t>
        </is>
      </c>
      <c r="C375" t="inlineStr">
        <is>
          <t>SM.18.139</t>
        </is>
      </c>
      <c r="D375" t="inlineStr">
        <is>
          <t>Dominica</t>
        </is>
      </c>
      <c r="E375" t="inlineStr">
        <is>
          <t>DMA</t>
        </is>
      </c>
      <c r="F375" s="11" t="n">
        <v>43255</v>
      </c>
      <c r="G375" t="inlineStr">
        <is>
          <t>2013gn</t>
        </is>
      </c>
      <c r="H375" t="n">
        <v>2017</v>
      </c>
      <c r="N375" t="inlineStr">
        <is>
          <t>Curto Prazo (CP)</t>
        </is>
      </c>
    </row>
    <row r="376">
      <c r="A376" t="inlineStr">
        <is>
          <t>Dominica_2018_August</t>
        </is>
      </c>
      <c r="C376" t="inlineStr">
        <is>
          <t>SM.18.139</t>
        </is>
      </c>
      <c r="D376" t="inlineStr">
        <is>
          <t>Dominica</t>
        </is>
      </c>
      <c r="E376" t="inlineStr">
        <is>
          <t>DMA</t>
        </is>
      </c>
      <c r="F376" s="11" t="n">
        <v>43255</v>
      </c>
      <c r="G376" t="inlineStr">
        <is>
          <t>2013gn</t>
        </is>
      </c>
      <c r="H376" t="n">
        <v>2017</v>
      </c>
      <c r="L376" t="inlineStr">
        <is>
          <t>Unidades</t>
        </is>
      </c>
      <c r="M376" t="inlineStr">
        <is>
          <t>Escala</t>
        </is>
      </c>
      <c r="N376" t="inlineStr">
        <is>
          <t>Descritor</t>
        </is>
      </c>
    </row>
    <row r="377">
      <c r="A377" t="inlineStr">
        <is>
          <t>Dominica_2018_August</t>
        </is>
      </c>
      <c r="C377" t="inlineStr">
        <is>
          <t>SM.18.139</t>
        </is>
      </c>
      <c r="D377" t="inlineStr">
        <is>
          <t>Dominica</t>
        </is>
      </c>
      <c r="E377" t="inlineStr">
        <is>
          <t>DMA</t>
        </is>
      </c>
      <c r="F377" s="11" t="n">
        <v>43255</v>
      </c>
      <c r="G377" t="inlineStr">
        <is>
          <t>2013gn</t>
        </is>
      </c>
      <c r="H377" t="n">
        <v>2017</v>
      </c>
      <c r="L377" t="inlineStr">
        <is>
          <t>USD</t>
        </is>
      </c>
      <c r="M377" t="inlineStr">
        <is>
          <t>Mil milhões</t>
        </is>
      </c>
      <c r="N377" t="inlineStr">
        <is>
          <t>Total da dívida MLP em aberto no final do ano 1/</t>
        </is>
      </c>
    </row>
    <row r="378">
      <c r="A378" t="inlineStr">
        <is>
          <t>Dominica_2018_August</t>
        </is>
      </c>
      <c r="C378" t="inlineStr">
        <is>
          <t>SM.18.139</t>
        </is>
      </c>
      <c r="D378" t="inlineStr">
        <is>
          <t>Dominica</t>
        </is>
      </c>
      <c r="E378" t="inlineStr">
        <is>
          <t>DMA</t>
        </is>
      </c>
      <c r="F378" s="11" t="n">
        <v>43255</v>
      </c>
      <c r="G378" t="inlineStr">
        <is>
          <t>2013gn</t>
        </is>
      </c>
      <c r="H378" t="n">
        <v>2017</v>
      </c>
      <c r="L378" t="inlineStr">
        <is>
          <t>USD</t>
        </is>
      </c>
      <c r="M378" t="inlineStr">
        <is>
          <t>Mil milhões</t>
        </is>
      </c>
      <c r="N378" t="inlineStr">
        <is>
          <t>Dívida externa do sector privado</t>
        </is>
      </c>
    </row>
    <row r="379">
      <c r="A379" t="inlineStr">
        <is>
          <t>Dominica_2018_August</t>
        </is>
      </c>
      <c r="C379" t="inlineStr">
        <is>
          <t>SM.18.139</t>
        </is>
      </c>
      <c r="D379" t="inlineStr">
        <is>
          <t>Dominica</t>
        </is>
      </c>
      <c r="E379" t="inlineStr">
        <is>
          <t>DMA</t>
        </is>
      </c>
      <c r="F379" s="11" t="n">
        <v>43255</v>
      </c>
      <c r="G379" t="inlineStr">
        <is>
          <t>2013gn</t>
        </is>
      </c>
      <c r="H379" t="n">
        <v>2017</v>
      </c>
      <c r="L379" t="inlineStr">
        <is>
          <t>USD</t>
        </is>
      </c>
      <c r="M379" t="inlineStr">
        <is>
          <t>Mil milhões</t>
        </is>
      </c>
      <c r="N379" t="inlineStr">
        <is>
          <t>Dívida externa pública e com garantia pública</t>
        </is>
      </c>
    </row>
    <row r="380">
      <c r="A380" t="inlineStr">
        <is>
          <t>Dominica_2018_August</t>
        </is>
      </c>
      <c r="C380" t="inlineStr">
        <is>
          <t>SM.18.139</t>
        </is>
      </c>
      <c r="D380" t="inlineStr">
        <is>
          <t>Dominica</t>
        </is>
      </c>
      <c r="E380" t="inlineStr">
        <is>
          <t>DMA</t>
        </is>
      </c>
      <c r="F380" s="11" t="n">
        <v>43255</v>
      </c>
      <c r="G380" t="inlineStr">
        <is>
          <t>2013gn</t>
        </is>
      </c>
      <c r="H380" t="n">
        <v>2017</v>
      </c>
      <c r="L380" t="inlineStr">
        <is>
          <t>Moeda nacional</t>
        </is>
      </c>
      <c r="M380" t="inlineStr">
        <is>
          <t>Mil milhões</t>
        </is>
      </c>
      <c r="N380" t="inlineStr">
        <is>
          <t>Total da dívida pública em aberto no final do ano</t>
        </is>
      </c>
    </row>
    <row r="381">
      <c r="A381" t="inlineStr">
        <is>
          <t>Dominica_2018_August</t>
        </is>
      </c>
      <c r="C381" t="inlineStr">
        <is>
          <t>SM.18.139</t>
        </is>
      </c>
      <c r="D381" t="inlineStr">
        <is>
          <t>Dominica</t>
        </is>
      </c>
      <c r="E381" t="inlineStr">
        <is>
          <t>DMA</t>
        </is>
      </c>
      <c r="F381" s="11" t="n">
        <v>43255</v>
      </c>
      <c r="G381" t="inlineStr">
        <is>
          <t>2013gn</t>
        </is>
      </c>
      <c r="H381" t="n">
        <v>2017</v>
      </c>
      <c r="L381" t="inlineStr">
        <is>
          <t>Moeda nacional</t>
        </is>
      </c>
      <c r="M381" t="inlineStr">
        <is>
          <t>Mil milhões</t>
        </is>
      </c>
      <c r="N381" t="inlineStr">
        <is>
          <t>Total da dívida interna pública</t>
        </is>
      </c>
    </row>
    <row r="382">
      <c r="A382" t="inlineStr">
        <is>
          <t>Dominica_2018_August</t>
        </is>
      </c>
      <c r="C382" t="inlineStr">
        <is>
          <t>SM.18.139</t>
        </is>
      </c>
      <c r="D382" t="inlineStr">
        <is>
          <t>Dominica</t>
        </is>
      </c>
      <c r="E382" t="inlineStr">
        <is>
          <t>DMA</t>
        </is>
      </c>
      <c r="F382" s="11" t="n">
        <v>43255</v>
      </c>
      <c r="G382" t="inlineStr">
        <is>
          <t>2013gn</t>
        </is>
      </c>
      <c r="H382" t="n">
        <v>2017</v>
      </c>
      <c r="L382" t="inlineStr">
        <is>
          <t>Moeda nacional</t>
        </is>
      </c>
      <c r="M382" t="inlineStr">
        <is>
          <t>Mil milhões</t>
        </is>
      </c>
      <c r="N382" t="inlineStr">
        <is>
          <t>Dívida interna expressa em moeda estrangeira</t>
        </is>
      </c>
    </row>
    <row r="383">
      <c r="A383" t="inlineStr">
        <is>
          <t>Dominica_2018_August</t>
        </is>
      </c>
      <c r="C383" t="inlineStr">
        <is>
          <t>SM.18.139</t>
        </is>
      </c>
      <c r="D383" t="inlineStr">
        <is>
          <t>Dominica</t>
        </is>
      </c>
      <c r="E383" t="inlineStr">
        <is>
          <t>DMA</t>
        </is>
      </c>
      <c r="F383" s="11" t="n">
        <v>43255</v>
      </c>
      <c r="G383" t="inlineStr">
        <is>
          <t>2013gn</t>
        </is>
      </c>
      <c r="H383" t="n">
        <v>2017</v>
      </c>
      <c r="L383" t="inlineStr">
        <is>
          <t>Moeda nacional</t>
        </is>
      </c>
      <c r="M383" t="inlineStr">
        <is>
          <t>Mil milhões</t>
        </is>
      </c>
      <c r="N383" t="inlineStr">
        <is>
          <t>Total da dívida externa pública</t>
        </is>
      </c>
    </row>
    <row r="384">
      <c r="A384" t="inlineStr">
        <is>
          <t>Dominica_2018_August</t>
        </is>
      </c>
      <c r="C384" t="inlineStr">
        <is>
          <t>SM.18.139</t>
        </is>
      </c>
      <c r="D384" t="inlineStr">
        <is>
          <t>Dominica</t>
        </is>
      </c>
      <c r="E384" t="inlineStr">
        <is>
          <t>DMA</t>
        </is>
      </c>
      <c r="F384" s="11" t="n">
        <v>43255</v>
      </c>
      <c r="G384" t="inlineStr">
        <is>
          <t>2013gn</t>
        </is>
      </c>
      <c r="H384" t="n">
        <v>2017</v>
      </c>
      <c r="L384" t="inlineStr">
        <is>
          <t>Moeda nacional</t>
        </is>
      </c>
      <c r="M384" t="inlineStr">
        <is>
          <t>Mil milhões</t>
        </is>
      </c>
      <c r="N384" t="inlineStr">
        <is>
          <t>Dívida pública expressa em moeda estrangeira (fim de período)</t>
        </is>
      </c>
    </row>
    <row r="385">
      <c r="A385" t="inlineStr">
        <is>
          <t>Dominica_2018_August</t>
        </is>
      </c>
      <c r="C385" t="inlineStr">
        <is>
          <t>SM.18.139</t>
        </is>
      </c>
      <c r="D385" t="inlineStr">
        <is>
          <t>Dominica</t>
        </is>
      </c>
      <c r="E385" t="inlineStr">
        <is>
          <t>DMA</t>
        </is>
      </c>
      <c r="F385" s="11" t="n">
        <v>43255</v>
      </c>
      <c r="G385" t="inlineStr">
        <is>
          <t>2013gn</t>
        </is>
      </c>
      <c r="H385" t="n">
        <v>2017</v>
      </c>
      <c r="L385" t="inlineStr">
        <is>
          <t>USD</t>
        </is>
      </c>
      <c r="M385" t="inlineStr">
        <is>
          <t>Mil milhões</t>
        </is>
      </c>
      <c r="N385" t="inlineStr">
        <is>
          <t>Total da dívida (pública + privada externa)</t>
        </is>
      </c>
    </row>
    <row r="386">
      <c r="A386" t="inlineStr">
        <is>
          <t>Dominica_2018_August</t>
        </is>
      </c>
      <c r="C386" t="inlineStr">
        <is>
          <t>SM.18.139</t>
        </is>
      </c>
      <c r="D386" t="inlineStr">
        <is>
          <t>Dominica</t>
        </is>
      </c>
      <c r="E386" t="inlineStr">
        <is>
          <t>DMA</t>
        </is>
      </c>
      <c r="F386" s="11" t="n">
        <v>43255</v>
      </c>
      <c r="G386" t="inlineStr">
        <is>
          <t>2013gn</t>
        </is>
      </c>
      <c r="H386" t="n">
        <v>2017</v>
      </c>
      <c r="L386" t="inlineStr">
        <is>
          <t>USD</t>
        </is>
      </c>
      <c r="M386" t="inlineStr">
        <is>
          <t>Mil milhões</t>
        </is>
      </c>
      <c r="N386" t="inlineStr">
        <is>
          <t>Total da dívida externa de curto prazo (pública + privada)</t>
        </is>
      </c>
    </row>
    <row r="387">
      <c r="A387" t="inlineStr">
        <is>
          <t>Dominica_2018_August</t>
        </is>
      </c>
      <c r="C387" t="inlineStr">
        <is>
          <t>SM.18.139</t>
        </is>
      </c>
      <c r="D387" t="inlineStr">
        <is>
          <t>Dominica</t>
        </is>
      </c>
      <c r="E387" t="inlineStr">
        <is>
          <t>DMA</t>
        </is>
      </c>
      <c r="F387" s="11" t="n">
        <v>43255</v>
      </c>
      <c r="G387" t="inlineStr">
        <is>
          <t>2013gn</t>
        </is>
      </c>
      <c r="H387" t="n">
        <v>2017</v>
      </c>
      <c r="L387" t="inlineStr">
        <is>
          <t>USD</t>
        </is>
      </c>
      <c r="M387" t="inlineStr">
        <is>
          <t>Mil milhões</t>
        </is>
      </c>
      <c r="N387" t="inlineStr">
        <is>
          <t>Dívida externa pública e com garantia pública</t>
        </is>
      </c>
    </row>
    <row r="388">
      <c r="A388" t="inlineStr">
        <is>
          <t>Dominica_2018_August</t>
        </is>
      </c>
      <c r="C388" t="inlineStr">
        <is>
          <t>SM.18.139</t>
        </is>
      </c>
      <c r="D388" t="inlineStr">
        <is>
          <t>Dominica</t>
        </is>
      </c>
      <c r="E388" t="inlineStr">
        <is>
          <t>DMA</t>
        </is>
      </c>
      <c r="F388" s="11" t="n">
        <v>43255</v>
      </c>
      <c r="G388" t="inlineStr">
        <is>
          <t>2013gn</t>
        </is>
      </c>
      <c r="H388" t="n">
        <v>2017</v>
      </c>
      <c r="L388" t="inlineStr">
        <is>
          <t>USD</t>
        </is>
      </c>
      <c r="M388" t="inlineStr">
        <is>
          <t>Mil milhões</t>
        </is>
      </c>
      <c r="N388" t="inlineStr">
        <is>
          <t>Dívida interna púublica e com garantia pública</t>
        </is>
      </c>
    </row>
    <row r="389">
      <c r="A389" t="inlineStr">
        <is>
          <t>Dominica_2018_August</t>
        </is>
      </c>
      <c r="C389" t="inlineStr">
        <is>
          <t>SM.18.139</t>
        </is>
      </c>
      <c r="D389" t="inlineStr">
        <is>
          <t>Dominica</t>
        </is>
      </c>
      <c r="E389" t="inlineStr">
        <is>
          <t>DMA</t>
        </is>
      </c>
      <c r="F389" s="11" t="n">
        <v>43255</v>
      </c>
      <c r="G389" t="inlineStr">
        <is>
          <t>2013gn</t>
        </is>
      </c>
      <c r="H389" t="n">
        <v>2017</v>
      </c>
      <c r="L389" t="inlineStr">
        <is>
          <t>USD</t>
        </is>
      </c>
      <c r="M389" t="inlineStr">
        <is>
          <t>Mil milhões</t>
        </is>
      </c>
      <c r="N389" t="inlineStr">
        <is>
          <t>Dívida externa privada</t>
        </is>
      </c>
    </row>
    <row r="390">
      <c r="A390" t="inlineStr">
        <is>
          <t>Dominica_2018_August</t>
        </is>
      </c>
      <c r="C390" t="inlineStr">
        <is>
          <t>SM.18.139</t>
        </is>
      </c>
      <c r="D390" t="inlineStr">
        <is>
          <t>Dominica</t>
        </is>
      </c>
      <c r="E390" t="inlineStr">
        <is>
          <t>DMA</t>
        </is>
      </c>
      <c r="F390" s="11" t="n">
        <v>43255</v>
      </c>
      <c r="G390" t="inlineStr">
        <is>
          <t>2013gn</t>
        </is>
      </c>
      <c r="H390" t="n">
        <v>2017</v>
      </c>
      <c r="L390" t="inlineStr">
        <is>
          <t>USD</t>
        </is>
      </c>
      <c r="M390" t="inlineStr">
        <is>
          <t>Mil milhões</t>
        </is>
      </c>
      <c r="N390" t="inlineStr">
        <is>
          <t>Total dos juros devidos</t>
        </is>
      </c>
    </row>
    <row r="391">
      <c r="A391" t="inlineStr">
        <is>
          <t>Dominica_2018_August</t>
        </is>
      </c>
      <c r="C391" t="inlineStr">
        <is>
          <t>SM.18.139</t>
        </is>
      </c>
      <c r="D391" t="inlineStr">
        <is>
          <t>Dominica</t>
        </is>
      </c>
      <c r="E391" t="inlineStr">
        <is>
          <t>DMA</t>
        </is>
      </c>
      <c r="F391" s="11" t="n">
        <v>43255</v>
      </c>
      <c r="G391" t="inlineStr">
        <is>
          <t>2013gn</t>
        </is>
      </c>
      <c r="H391" t="n">
        <v>2017</v>
      </c>
      <c r="L391" t="inlineStr">
        <is>
          <t>USD</t>
        </is>
      </c>
      <c r="M391" t="inlineStr">
        <is>
          <t>Mil milhões</t>
        </is>
      </c>
      <c r="N391" t="inlineStr">
        <is>
          <t>Total dos juros devidos sobre a dívida externa (incl. juros sobre a nova dívida)</t>
        </is>
      </c>
    </row>
    <row r="392">
      <c r="A392" t="inlineStr">
        <is>
          <t>Dominica_2018_August</t>
        </is>
      </c>
      <c r="C392" t="inlineStr">
        <is>
          <t>SM.18.139</t>
        </is>
      </c>
      <c r="D392" t="inlineStr">
        <is>
          <t>Dominica</t>
        </is>
      </c>
      <c r="E392" t="inlineStr">
        <is>
          <t>DMA</t>
        </is>
      </c>
      <c r="F392" s="11" t="n">
        <v>43255</v>
      </c>
      <c r="G392" t="inlineStr">
        <is>
          <t>2013gn</t>
        </is>
      </c>
      <c r="H392" t="n">
        <v>2017</v>
      </c>
      <c r="L392" t="inlineStr">
        <is>
          <t>USD</t>
        </is>
      </c>
      <c r="M392" t="inlineStr">
        <is>
          <t>Mil milhões</t>
        </is>
      </c>
      <c r="N392" t="inlineStr">
        <is>
          <t>Total dos juros devidos sobre a dívida externa (excl. juros sobre a nova dívida)</t>
        </is>
      </c>
    </row>
    <row r="393">
      <c r="A393" t="inlineStr">
        <is>
          <t>Dominica_2018_August</t>
        </is>
      </c>
      <c r="C393" t="inlineStr">
        <is>
          <t>SM.18.139</t>
        </is>
      </c>
      <c r="D393" t="inlineStr">
        <is>
          <t>Dominica</t>
        </is>
      </c>
      <c r="E393" t="inlineStr">
        <is>
          <t>DMA</t>
        </is>
      </c>
      <c r="F393" s="11" t="n">
        <v>43255</v>
      </c>
      <c r="G393" t="inlineStr">
        <is>
          <t>2013gn</t>
        </is>
      </c>
      <c r="H393" t="n">
        <v>2017</v>
      </c>
      <c r="L393" t="inlineStr">
        <is>
          <t>USD</t>
        </is>
      </c>
      <c r="M393" t="inlineStr">
        <is>
          <t>Mil milhões</t>
        </is>
      </c>
      <c r="N393" t="inlineStr">
        <is>
          <t>Pública e com garantia pública</t>
        </is>
      </c>
    </row>
    <row r="394">
      <c r="A394" t="inlineStr">
        <is>
          <t>Dominica_2018_August</t>
        </is>
      </c>
      <c r="C394" t="inlineStr">
        <is>
          <t>SM.18.139</t>
        </is>
      </c>
      <c r="D394" t="inlineStr">
        <is>
          <t>Dominica</t>
        </is>
      </c>
      <c r="E394" t="inlineStr">
        <is>
          <t>DMA</t>
        </is>
      </c>
      <c r="F394" s="11" t="n">
        <v>43255</v>
      </c>
      <c r="G394" t="inlineStr">
        <is>
          <t>2013gn</t>
        </is>
      </c>
      <c r="H394" t="n">
        <v>2017</v>
      </c>
      <c r="L394" t="inlineStr">
        <is>
          <t>USD</t>
        </is>
      </c>
      <c r="M394" t="inlineStr">
        <is>
          <t>Mil milhões</t>
        </is>
      </c>
      <c r="N394" t="inlineStr">
        <is>
          <t>Pública e com garantia pública (dívida antiga)</t>
        </is>
      </c>
    </row>
    <row r="395">
      <c r="A395" t="inlineStr">
        <is>
          <t>Dominica_2018_August</t>
        </is>
      </c>
      <c r="C395" t="inlineStr">
        <is>
          <t>SM.18.139</t>
        </is>
      </c>
      <c r="D395" t="inlineStr">
        <is>
          <t>Dominica</t>
        </is>
      </c>
      <c r="E395" t="inlineStr">
        <is>
          <t>DMA</t>
        </is>
      </c>
      <c r="F395" s="11" t="n">
        <v>43255</v>
      </c>
      <c r="G395" t="inlineStr">
        <is>
          <t>2013gn</t>
        </is>
      </c>
      <c r="H395" t="n">
        <v>2017</v>
      </c>
      <c r="L395" t="inlineStr">
        <is>
          <t>USD</t>
        </is>
      </c>
      <c r="M395" t="inlineStr">
        <is>
          <t>Mil milhões</t>
        </is>
      </c>
      <c r="N395" t="inlineStr">
        <is>
          <t>Privada</t>
        </is>
      </c>
    </row>
    <row r="396">
      <c r="A396" t="inlineStr">
        <is>
          <t>Dominica_2018_August</t>
        </is>
      </c>
      <c r="C396" t="inlineStr">
        <is>
          <t>SM.18.139</t>
        </is>
      </c>
      <c r="D396" t="inlineStr">
        <is>
          <t>Dominica</t>
        </is>
      </c>
      <c r="E396" t="inlineStr">
        <is>
          <t>DMA</t>
        </is>
      </c>
      <c r="F396" s="11" t="n">
        <v>43255</v>
      </c>
      <c r="G396" t="inlineStr">
        <is>
          <t>2013gn</t>
        </is>
      </c>
      <c r="H396" t="n">
        <v>2017</v>
      </c>
      <c r="L396" t="inlineStr">
        <is>
          <t>USD</t>
        </is>
      </c>
      <c r="M396" t="inlineStr">
        <is>
          <t>Mil milhões</t>
        </is>
      </c>
      <c r="N396" t="inlineStr">
        <is>
          <t>Total dos juros devidos sobre a dúvida interna pública</t>
        </is>
      </c>
    </row>
    <row r="397">
      <c r="A397" t="inlineStr">
        <is>
          <t>Dominica_2018_August</t>
        </is>
      </c>
      <c r="C397" t="inlineStr">
        <is>
          <t>SM.18.139</t>
        </is>
      </c>
      <c r="D397" t="inlineStr">
        <is>
          <t>Dominica</t>
        </is>
      </c>
      <c r="E397" t="inlineStr">
        <is>
          <t>DMA</t>
        </is>
      </c>
      <c r="F397" s="11" t="n">
        <v>43255</v>
      </c>
      <c r="G397" t="inlineStr">
        <is>
          <t>2013gn</t>
        </is>
      </c>
      <c r="H397" t="n">
        <v>2017</v>
      </c>
      <c r="L397" t="inlineStr">
        <is>
          <t>USD</t>
        </is>
      </c>
      <c r="M397" t="inlineStr">
        <is>
          <t>Mil milhões</t>
        </is>
      </c>
      <c r="N397" t="inlineStr">
        <is>
          <t>... sobre a dívida expressa em moeda estrangeira</t>
        </is>
      </c>
    </row>
    <row r="398">
      <c r="A398" t="inlineStr">
        <is>
          <t>Dominica_2018_August</t>
        </is>
      </c>
      <c r="C398" t="inlineStr">
        <is>
          <t>SM.18.139</t>
        </is>
      </c>
      <c r="D398" t="inlineStr">
        <is>
          <t>Dominica</t>
        </is>
      </c>
      <c r="E398" t="inlineStr">
        <is>
          <t>DMA</t>
        </is>
      </c>
      <c r="F398" s="11" t="n">
        <v>43255</v>
      </c>
      <c r="G398" t="inlineStr">
        <is>
          <t>2013gn</t>
        </is>
      </c>
      <c r="H398" t="n">
        <v>2017</v>
      </c>
      <c r="L398" t="inlineStr">
        <is>
          <t>USD</t>
        </is>
      </c>
      <c r="M398" t="inlineStr">
        <is>
          <t>Mil milhões</t>
        </is>
      </c>
      <c r="N398" t="inlineStr">
        <is>
          <t>Total da amortização da dívida devida</t>
        </is>
      </c>
    </row>
    <row r="399">
      <c r="A399" t="inlineStr">
        <is>
          <t>Dominica_2018_August</t>
        </is>
      </c>
      <c r="C399" t="inlineStr">
        <is>
          <t>SM.18.139</t>
        </is>
      </c>
      <c r="D399" t="inlineStr">
        <is>
          <t>Dominica</t>
        </is>
      </c>
      <c r="E399" t="inlineStr">
        <is>
          <t>DMA</t>
        </is>
      </c>
      <c r="F399" s="11" t="n">
        <v>43255</v>
      </c>
      <c r="G399" t="inlineStr">
        <is>
          <t>2013gn</t>
        </is>
      </c>
      <c r="H399" t="n">
        <v>2017</v>
      </c>
      <c r="L399" t="inlineStr">
        <is>
          <t>USD</t>
        </is>
      </c>
      <c r="M399" t="inlineStr">
        <is>
          <t>Mil milhões</t>
        </is>
      </c>
      <c r="N399" t="inlineStr">
        <is>
          <t>Total da amortização da dívida externa devida (incl. amortização da nova dívida)</t>
        </is>
      </c>
    </row>
    <row r="400">
      <c r="A400" t="inlineStr">
        <is>
          <t>Dominica_2018_August</t>
        </is>
      </c>
      <c r="C400" t="inlineStr">
        <is>
          <t>SM.18.139</t>
        </is>
      </c>
      <c r="D400" t="inlineStr">
        <is>
          <t>Dominica</t>
        </is>
      </c>
      <c r="E400" t="inlineStr">
        <is>
          <t>DMA</t>
        </is>
      </c>
      <c r="F400" s="11" t="n">
        <v>43255</v>
      </c>
      <c r="G400" t="inlineStr">
        <is>
          <t>2013gn</t>
        </is>
      </c>
      <c r="H400" t="n">
        <v>2017</v>
      </c>
      <c r="N400" t="inlineStr">
        <is>
          <t>Total da amortização da dívida externa (excl. amortização da nova dívida)</t>
        </is>
      </c>
    </row>
    <row r="401">
      <c r="A401" t="inlineStr">
        <is>
          <t>Dominica_2018_August</t>
        </is>
      </c>
      <c r="C401" t="inlineStr">
        <is>
          <t>SM.18.139</t>
        </is>
      </c>
      <c r="D401" t="inlineStr">
        <is>
          <t>Dominica</t>
        </is>
      </c>
      <c r="E401" t="inlineStr">
        <is>
          <t>DMA</t>
        </is>
      </c>
      <c r="F401" s="11" t="n">
        <v>43255</v>
      </c>
      <c r="G401" t="inlineStr">
        <is>
          <t>2013gn</t>
        </is>
      </c>
      <c r="H401" t="n">
        <v>2017</v>
      </c>
      <c r="L401" t="inlineStr">
        <is>
          <t>USD</t>
        </is>
      </c>
      <c r="M401" t="inlineStr">
        <is>
          <t>Mil milhões</t>
        </is>
      </c>
      <c r="N401" t="inlineStr">
        <is>
          <t>Pública e com garantia pública</t>
        </is>
      </c>
    </row>
    <row r="402">
      <c r="A402" t="inlineStr">
        <is>
          <t>Dominica_2018_August</t>
        </is>
      </c>
      <c r="C402" t="inlineStr">
        <is>
          <t>SM.18.139</t>
        </is>
      </c>
      <c r="D402" t="inlineStr">
        <is>
          <t>Dominica</t>
        </is>
      </c>
      <c r="E402" t="inlineStr">
        <is>
          <t>DMA</t>
        </is>
      </c>
      <c r="F402" s="11" t="n">
        <v>43255</v>
      </c>
      <c r="G402" t="inlineStr">
        <is>
          <t>2013gn</t>
        </is>
      </c>
      <c r="H402" t="n">
        <v>2017</v>
      </c>
      <c r="N402" t="inlineStr">
        <is>
          <t>Pública e com garantia pública (dívida antiga)</t>
        </is>
      </c>
    </row>
    <row r="403">
      <c r="A403" t="inlineStr">
        <is>
          <t>Dominica_2018_August</t>
        </is>
      </c>
      <c r="C403" t="inlineStr">
        <is>
          <t>SM.18.139</t>
        </is>
      </c>
      <c r="D403" t="inlineStr">
        <is>
          <t>Dominica</t>
        </is>
      </c>
      <c r="E403" t="inlineStr">
        <is>
          <t>DMA</t>
        </is>
      </c>
      <c r="F403" s="11" t="n">
        <v>43255</v>
      </c>
      <c r="G403" t="inlineStr">
        <is>
          <t>2013gn</t>
        </is>
      </c>
      <c r="H403" t="n">
        <v>2017</v>
      </c>
      <c r="L403" t="inlineStr">
        <is>
          <t>USD</t>
        </is>
      </c>
      <c r="M403" t="inlineStr">
        <is>
          <t>Mil milhões</t>
        </is>
      </c>
      <c r="N403" t="inlineStr">
        <is>
          <t xml:space="preserve">Dívida externa privada de MLP </t>
        </is>
      </c>
    </row>
    <row r="404">
      <c r="A404" t="inlineStr">
        <is>
          <t>Dominica_2018_August</t>
        </is>
      </c>
      <c r="C404" t="inlineStr">
        <is>
          <t>SM.18.139</t>
        </is>
      </c>
      <c r="D404" t="inlineStr">
        <is>
          <t>Dominica</t>
        </is>
      </c>
      <c r="E404" t="inlineStr">
        <is>
          <t>DMA</t>
        </is>
      </c>
      <c r="F404" s="11" t="n">
        <v>43255</v>
      </c>
      <c r="G404" t="inlineStr">
        <is>
          <t>2013gn</t>
        </is>
      </c>
      <c r="H404" t="n">
        <v>2017</v>
      </c>
      <c r="L404" t="inlineStr">
        <is>
          <t>USD</t>
        </is>
      </c>
      <c r="M404" t="inlineStr">
        <is>
          <t>Mil milhões</t>
        </is>
      </c>
      <c r="N404" t="inlineStr">
        <is>
          <t>Total da amortização da dívida interna pública de MLP devida</t>
        </is>
      </c>
    </row>
    <row r="405">
      <c r="A405" t="inlineStr">
        <is>
          <t>Dominica_2018_August</t>
        </is>
      </c>
      <c r="C405" t="inlineStr">
        <is>
          <t>SM.18.139</t>
        </is>
      </c>
      <c r="D405" t="inlineStr">
        <is>
          <t>Dominica</t>
        </is>
      </c>
      <c r="E405" t="inlineStr">
        <is>
          <t>DMA</t>
        </is>
      </c>
      <c r="F405" s="11" t="n">
        <v>43255</v>
      </c>
      <c r="G405" t="inlineStr">
        <is>
          <t>2013gn</t>
        </is>
      </c>
      <c r="H405" t="n">
        <v>2017</v>
      </c>
    </row>
    <row r="406">
      <c r="A406" t="inlineStr">
        <is>
          <t>Dominica_2018_August</t>
        </is>
      </c>
      <c r="C406" t="inlineStr">
        <is>
          <t>SM.18.139</t>
        </is>
      </c>
      <c r="D406" t="inlineStr">
        <is>
          <t>Dominica</t>
        </is>
      </c>
      <c r="E406" t="inlineStr">
        <is>
          <t>DMA</t>
        </is>
      </c>
      <c r="F406" s="11" t="n">
        <v>43255</v>
      </c>
      <c r="G406" t="inlineStr">
        <is>
          <t>2013gn</t>
        </is>
      </c>
      <c r="H406" t="n">
        <v>2017</v>
      </c>
      <c r="L406" t="inlineStr">
        <is>
          <t>USD</t>
        </is>
      </c>
      <c r="M406" t="inlineStr">
        <is>
          <t>Mil milhões</t>
        </is>
      </c>
      <c r="N406" t="inlineStr">
        <is>
          <t>Saldo da conta corrente</t>
        </is>
      </c>
    </row>
    <row r="407">
      <c r="A407" t="inlineStr">
        <is>
          <t>Dominica_2018_August</t>
        </is>
      </c>
      <c r="C407" t="inlineStr">
        <is>
          <t>SM.18.139</t>
        </is>
      </c>
      <c r="D407" t="inlineStr">
        <is>
          <t>Dominica</t>
        </is>
      </c>
      <c r="E407" t="inlineStr">
        <is>
          <t>DMA</t>
        </is>
      </c>
      <c r="F407" s="11" t="n">
        <v>43255</v>
      </c>
      <c r="G407" t="inlineStr">
        <is>
          <t>2013gn</t>
        </is>
      </c>
      <c r="H407" t="n">
        <v>2017</v>
      </c>
      <c r="L407" t="inlineStr">
        <is>
          <t>USD</t>
        </is>
      </c>
      <c r="M407" t="inlineStr">
        <is>
          <t>Mil milhões</t>
        </is>
      </c>
      <c r="N407" t="inlineStr">
        <is>
          <t>Exportações de bens e serviços</t>
        </is>
      </c>
    </row>
    <row r="408">
      <c r="A408" t="inlineStr">
        <is>
          <t>Dominica_2018_August</t>
        </is>
      </c>
      <c r="C408" t="inlineStr">
        <is>
          <t>SM.18.139</t>
        </is>
      </c>
      <c r="D408" t="inlineStr">
        <is>
          <t>Dominica</t>
        </is>
      </c>
      <c r="E408" t="inlineStr">
        <is>
          <t>DMA</t>
        </is>
      </c>
      <c r="F408" s="11" t="n">
        <v>43255</v>
      </c>
      <c r="G408" t="inlineStr">
        <is>
          <t>2013gn</t>
        </is>
      </c>
      <c r="H408" t="n">
        <v>2017</v>
      </c>
      <c r="L408" t="inlineStr">
        <is>
          <t>USD</t>
        </is>
      </c>
      <c r="M408" t="inlineStr">
        <is>
          <t>Mil milhões</t>
        </is>
      </c>
      <c r="N408" t="inlineStr">
        <is>
          <t>Importações de bens e serviços (utilize valores positivos)</t>
        </is>
      </c>
    </row>
    <row r="409">
      <c r="A409" t="inlineStr">
        <is>
          <t>Dominica_2018_August</t>
        </is>
      </c>
      <c r="C409" t="inlineStr">
        <is>
          <t>SM.18.139</t>
        </is>
      </c>
      <c r="D409" t="inlineStr">
        <is>
          <t>Dominica</t>
        </is>
      </c>
      <c r="E409" t="inlineStr">
        <is>
          <t>DMA</t>
        </is>
      </c>
      <c r="F409" s="11" t="n">
        <v>43255</v>
      </c>
      <c r="G409" t="inlineStr">
        <is>
          <t>2013gn</t>
        </is>
      </c>
      <c r="H409" t="n">
        <v>2017</v>
      </c>
      <c r="L409" t="inlineStr">
        <is>
          <t>USD</t>
        </is>
      </c>
      <c r="M409" t="inlineStr">
        <is>
          <t>Mil milhões</t>
        </is>
      </c>
      <c r="N409" t="inlineStr">
        <is>
          <t>Transferências correntes, total líquido</t>
        </is>
      </c>
    </row>
    <row r="410">
      <c r="A410" t="inlineStr">
        <is>
          <t>Dominica_2018_August</t>
        </is>
      </c>
      <c r="C410" t="inlineStr">
        <is>
          <t>SM.18.139</t>
        </is>
      </c>
      <c r="D410" t="inlineStr">
        <is>
          <t>Dominica</t>
        </is>
      </c>
      <c r="E410" t="inlineStr">
        <is>
          <t>DMA</t>
        </is>
      </c>
      <c r="F410" s="11" t="n">
        <v>43255</v>
      </c>
      <c r="G410" t="inlineStr">
        <is>
          <t>2013gn</t>
        </is>
      </c>
      <c r="H410" t="n">
        <v>2017</v>
      </c>
      <c r="L410" t="inlineStr">
        <is>
          <t>USD</t>
        </is>
      </c>
      <c r="M410" t="inlineStr">
        <is>
          <t>Mil milhões</t>
        </is>
      </c>
      <c r="N410" t="inlineStr">
        <is>
          <t>Transferências correntes, oficiais</t>
        </is>
      </c>
    </row>
    <row r="411">
      <c r="A411" t="inlineStr">
        <is>
          <t>Dominica_2018_August</t>
        </is>
      </c>
      <c r="C411" t="inlineStr">
        <is>
          <t>SM.18.139</t>
        </is>
      </c>
      <c r="D411" t="inlineStr">
        <is>
          <t>Dominica</t>
        </is>
      </c>
      <c r="E411" t="inlineStr">
        <is>
          <t>DMA</t>
        </is>
      </c>
      <c r="F411" s="11" t="n">
        <v>43255</v>
      </c>
      <c r="G411" t="inlineStr">
        <is>
          <t>2013gn</t>
        </is>
      </c>
      <c r="H411" t="n">
        <v>2017</v>
      </c>
      <c r="L411" t="inlineStr">
        <is>
          <t>USD</t>
        </is>
      </c>
      <c r="M411" t="inlineStr">
        <is>
          <t>Mil milhões</t>
        </is>
      </c>
      <c r="N411" t="inlineStr">
        <is>
          <t>Investimento directo estrangeiro líquido, excl. passivos geradores de dívida</t>
        </is>
      </c>
    </row>
    <row r="412">
      <c r="A412" t="inlineStr">
        <is>
          <t>Dominica_2018_August</t>
        </is>
      </c>
      <c r="C412" t="inlineStr">
        <is>
          <t>SM.18.139</t>
        </is>
      </c>
      <c r="D412" t="inlineStr">
        <is>
          <t>Dominica</t>
        </is>
      </c>
      <c r="E412" t="inlineStr">
        <is>
          <t>DMA</t>
        </is>
      </c>
      <c r="F412" s="11" t="n">
        <v>43255</v>
      </c>
      <c r="G412" t="inlineStr">
        <is>
          <t>2013gn</t>
        </is>
      </c>
      <c r="H412" t="n">
        <v>2017</v>
      </c>
      <c r="L412" t="inlineStr">
        <is>
          <t>USD</t>
        </is>
      </c>
      <c r="M412" t="inlineStr">
        <is>
          <t>Mil milhões</t>
        </is>
      </c>
      <c r="N412" t="inlineStr">
        <is>
          <t>Financiamento excepcional</t>
        </is>
      </c>
    </row>
    <row r="413">
      <c r="A413" t="inlineStr">
        <is>
          <t>Dominica_2018_August</t>
        </is>
      </c>
      <c r="C413" t="inlineStr">
        <is>
          <t>SM.18.139</t>
        </is>
      </c>
      <c r="D413" t="inlineStr">
        <is>
          <t>Dominica</t>
        </is>
      </c>
      <c r="E413" t="inlineStr">
        <is>
          <t>DMA</t>
        </is>
      </c>
      <c r="F413" s="11" t="n">
        <v>43255</v>
      </c>
      <c r="G413" t="inlineStr">
        <is>
          <t>2013gn</t>
        </is>
      </c>
      <c r="H413" t="n">
        <v>2017</v>
      </c>
      <c r="N413" t="inlineStr">
        <is>
          <t>Reservas brutas (fluxo)</t>
        </is>
      </c>
    </row>
    <row r="414">
      <c r="A414" t="inlineStr">
        <is>
          <t>Dominica_2018_August</t>
        </is>
      </c>
      <c r="C414" t="inlineStr">
        <is>
          <t>SM.18.139</t>
        </is>
      </c>
      <c r="D414" t="inlineStr">
        <is>
          <t>Dominica</t>
        </is>
      </c>
      <c r="E414" t="inlineStr">
        <is>
          <t>DMA</t>
        </is>
      </c>
      <c r="F414" s="11" t="n">
        <v>43255</v>
      </c>
      <c r="G414" t="inlineStr">
        <is>
          <t>2013gn</t>
        </is>
      </c>
      <c r="H414" t="n">
        <v>2017</v>
      </c>
      <c r="L414" t="inlineStr">
        <is>
          <t>Moeda nacional</t>
        </is>
      </c>
      <c r="M414" t="inlineStr">
        <is>
          <t>Mil milhões</t>
        </is>
      </c>
      <c r="N414" t="inlineStr">
        <is>
          <t>Saldo do sector público</t>
        </is>
      </c>
    </row>
    <row r="415">
      <c r="A415" t="inlineStr">
        <is>
          <t>Dominica_2018_August</t>
        </is>
      </c>
      <c r="C415" t="inlineStr">
        <is>
          <t>SM.18.139</t>
        </is>
      </c>
      <c r="D415" t="inlineStr">
        <is>
          <t>Dominica</t>
        </is>
      </c>
      <c r="E415" t="inlineStr">
        <is>
          <t>DMA</t>
        </is>
      </c>
      <c r="F415" s="11" t="n">
        <v>43255</v>
      </c>
      <c r="G415" t="inlineStr">
        <is>
          <t>2013gn</t>
        </is>
      </c>
      <c r="H415" t="n">
        <v>2017</v>
      </c>
      <c r="L415" t="inlineStr">
        <is>
          <t>Moeda nacional</t>
        </is>
      </c>
      <c r="M415" t="inlineStr">
        <is>
          <t>Mil milhões</t>
        </is>
      </c>
      <c r="N415" t="inlineStr">
        <is>
          <t>Receitas do sector público (incl. donativos)</t>
        </is>
      </c>
    </row>
    <row r="416">
      <c r="A416" t="inlineStr">
        <is>
          <t>Dominica_2018_August</t>
        </is>
      </c>
      <c r="C416" t="inlineStr">
        <is>
          <t>SM.18.139</t>
        </is>
      </c>
      <c r="D416" t="inlineStr">
        <is>
          <t>Dominica</t>
        </is>
      </c>
      <c r="E416" t="inlineStr">
        <is>
          <t>DMA</t>
        </is>
      </c>
      <c r="F416" s="11" t="n">
        <v>43255</v>
      </c>
      <c r="G416" t="inlineStr">
        <is>
          <t>2013gn</t>
        </is>
      </c>
      <c r="H416" t="n">
        <v>2017</v>
      </c>
      <c r="L416" t="inlineStr">
        <is>
          <t>Moeda nacional</t>
        </is>
      </c>
      <c r="M416" t="inlineStr">
        <is>
          <t>Mil milhões</t>
        </is>
      </c>
      <c r="N416" t="inlineStr">
        <is>
          <t>Donativos do sector público</t>
        </is>
      </c>
    </row>
    <row r="417">
      <c r="A417" t="inlineStr">
        <is>
          <t>Dominica_2018_August</t>
        </is>
      </c>
      <c r="C417" t="inlineStr">
        <is>
          <t>SM.18.139</t>
        </is>
      </c>
      <c r="D417" t="inlineStr">
        <is>
          <t>Dominica</t>
        </is>
      </c>
      <c r="E417" t="inlineStr">
        <is>
          <t>DMA</t>
        </is>
      </c>
      <c r="F417" s="11" t="n">
        <v>43255</v>
      </c>
      <c r="G417" t="inlineStr">
        <is>
          <t>2013gn</t>
        </is>
      </c>
      <c r="H417" t="n">
        <v>2017</v>
      </c>
      <c r="L417" t="inlineStr">
        <is>
          <t>Moeda nacional</t>
        </is>
      </c>
      <c r="M417" t="inlineStr">
        <is>
          <t>Mil milhões</t>
        </is>
      </c>
      <c r="N417" t="inlineStr">
        <is>
          <t>Receitas de privatizações</t>
        </is>
      </c>
    </row>
    <row r="418">
      <c r="A418" t="inlineStr">
        <is>
          <t>Dominica_2018_August</t>
        </is>
      </c>
      <c r="C418" t="inlineStr">
        <is>
          <t>SM.18.139</t>
        </is>
      </c>
      <c r="D418" t="inlineStr">
        <is>
          <t>Dominica</t>
        </is>
      </c>
      <c r="E418" t="inlineStr">
        <is>
          <t>DMA</t>
        </is>
      </c>
      <c r="F418" s="11" t="n">
        <v>43255</v>
      </c>
      <c r="G418" t="inlineStr">
        <is>
          <t>2013gn</t>
        </is>
      </c>
      <c r="H418" t="n">
        <v>2017</v>
      </c>
      <c r="L418" t="inlineStr">
        <is>
          <t>Moeda nacional</t>
        </is>
      </c>
      <c r="M418" t="inlineStr">
        <is>
          <t>Mil milhões</t>
        </is>
      </c>
      <c r="N418" t="inlineStr">
        <is>
          <t xml:space="preserve">Despesas do sector público </t>
        </is>
      </c>
    </row>
    <row r="419">
      <c r="A419" t="inlineStr">
        <is>
          <t>Dominica_2018_August</t>
        </is>
      </c>
      <c r="C419" t="inlineStr">
        <is>
          <t>SM.18.139</t>
        </is>
      </c>
      <c r="D419" t="inlineStr">
        <is>
          <t>Dominica</t>
        </is>
      </c>
      <c r="E419" t="inlineStr">
        <is>
          <t>DMA</t>
        </is>
      </c>
      <c r="F419" s="11" t="n">
        <v>43255</v>
      </c>
      <c r="G419" t="inlineStr">
        <is>
          <t>2013gn</t>
        </is>
      </c>
      <c r="H419" t="n">
        <v>2017</v>
      </c>
      <c r="L419" t="inlineStr">
        <is>
          <t>Moeda nacional</t>
        </is>
      </c>
      <c r="M419" t="inlineStr">
        <is>
          <t>Mil milhões</t>
        </is>
      </c>
      <c r="N419" t="inlineStr">
        <is>
          <t>Despesas com juros do sector público</t>
        </is>
      </c>
    </row>
    <row r="420">
      <c r="A420" t="inlineStr">
        <is>
          <t>Dominica_2018_August</t>
        </is>
      </c>
      <c r="C420" t="inlineStr">
        <is>
          <t>SM.18.139</t>
        </is>
      </c>
      <c r="D420" t="inlineStr">
        <is>
          <t>Dominica</t>
        </is>
      </c>
      <c r="E420" t="inlineStr">
        <is>
          <t>DMA</t>
        </is>
      </c>
      <c r="F420" s="11" t="n">
        <v>43255</v>
      </c>
      <c r="G420" t="inlineStr">
        <is>
          <t>2013gn</t>
        </is>
      </c>
      <c r="H420" t="n">
        <v>2017</v>
      </c>
      <c r="L420" t="inlineStr">
        <is>
          <t>Moeda nacional</t>
        </is>
      </c>
      <c r="M420" t="inlineStr">
        <is>
          <t>Mil milhões</t>
        </is>
      </c>
      <c r="N420" t="inlineStr">
        <is>
          <t>Activos do sector público (ex. Depósitos)</t>
        </is>
      </c>
    </row>
    <row r="421">
      <c r="A421" t="inlineStr">
        <is>
          <t>Dominica_2018_August</t>
        </is>
      </c>
      <c r="C421" t="inlineStr">
        <is>
          <t>SM.18.139</t>
        </is>
      </c>
      <c r="D421" t="inlineStr">
        <is>
          <t>Dominica</t>
        </is>
      </c>
      <c r="E421" t="inlineStr">
        <is>
          <t>DMA</t>
        </is>
      </c>
      <c r="F421" s="11" t="n">
        <v>43255</v>
      </c>
      <c r="G421" t="inlineStr">
        <is>
          <t>2013gn</t>
        </is>
      </c>
      <c r="H421" t="n">
        <v>2017</v>
      </c>
      <c r="L421" t="inlineStr">
        <is>
          <t>Moeda nacional</t>
        </is>
      </c>
      <c r="M421" t="inlineStr">
        <is>
          <t>Mil milhões</t>
        </is>
      </c>
      <c r="N421" t="inlineStr">
        <is>
          <t>Reconhecimento de passivos implícitos ou contingentes</t>
        </is>
      </c>
    </row>
    <row r="422">
      <c r="A422" t="inlineStr">
        <is>
          <t>Dominica_2018_August</t>
        </is>
      </c>
      <c r="C422" t="inlineStr">
        <is>
          <t>SM.18.139</t>
        </is>
      </c>
      <c r="D422" t="inlineStr">
        <is>
          <t>Dominica</t>
        </is>
      </c>
      <c r="E422" t="inlineStr">
        <is>
          <t>DMA</t>
        </is>
      </c>
      <c r="F422" s="11" t="n">
        <v>43255</v>
      </c>
      <c r="G422" t="inlineStr">
        <is>
          <t>2013gn</t>
        </is>
      </c>
      <c r="H422" t="n">
        <v>2017</v>
      </c>
      <c r="L422" t="inlineStr">
        <is>
          <t>Moeda nacional</t>
        </is>
      </c>
      <c r="M422" t="inlineStr">
        <is>
          <t>Mil milhões</t>
        </is>
      </c>
      <c r="N422" t="inlineStr">
        <is>
          <t>Outros fluxos criadores ou redutores de dívida (especificar, ex. recapitalização bancária)</t>
        </is>
      </c>
    </row>
    <row r="423">
      <c r="A423" t="inlineStr">
        <is>
          <t>Dominica_2018_August</t>
        </is>
      </c>
      <c r="C423" t="inlineStr">
        <is>
          <t>SM.18.139</t>
        </is>
      </c>
      <c r="D423" t="inlineStr">
        <is>
          <t>Dominica</t>
        </is>
      </c>
      <c r="E423" t="inlineStr">
        <is>
          <t>DMA</t>
        </is>
      </c>
      <c r="F423" s="11" t="n">
        <v>43255</v>
      </c>
      <c r="G423" t="inlineStr">
        <is>
          <t>2013gn</t>
        </is>
      </c>
      <c r="H423" t="n">
        <v>2017</v>
      </c>
      <c r="L423" t="inlineStr">
        <is>
          <t>Moeda nacional</t>
        </is>
      </c>
      <c r="M423" t="inlineStr">
        <is>
          <t>Mil milhões</t>
        </is>
      </c>
      <c r="N423" t="inlineStr">
        <is>
          <t>Alívio da dívida</t>
        </is>
      </c>
    </row>
    <row r="424">
      <c r="A424" t="inlineStr">
        <is>
          <t>Dominica_2018_August</t>
        </is>
      </c>
      <c r="C424" t="inlineStr">
        <is>
          <t>SM.18.139</t>
        </is>
      </c>
      <c r="D424" t="inlineStr">
        <is>
          <t>Dominica</t>
        </is>
      </c>
      <c r="E424" t="inlineStr">
        <is>
          <t>DMA</t>
        </is>
      </c>
      <c r="F424" s="11" t="n">
        <v>43255</v>
      </c>
      <c r="G424" t="inlineStr">
        <is>
          <t>2013gn</t>
        </is>
      </c>
      <c r="H424" t="n">
        <v>2017</v>
      </c>
      <c r="L424" t="inlineStr">
        <is>
          <t>USD</t>
        </is>
      </c>
      <c r="M424" t="inlineStr">
        <is>
          <t>Mil milhões</t>
        </is>
      </c>
      <c r="N424" t="inlineStr">
        <is>
          <t>Empréstimos concessionais</t>
        </is>
      </c>
    </row>
    <row r="425">
      <c r="A425" t="inlineStr">
        <is>
          <t>Dominica_2018_August</t>
        </is>
      </c>
    </row>
    <row r="426">
      <c r="A426" t="inlineStr">
        <is>
          <t>Dominica_2018_August</t>
        </is>
      </c>
      <c r="L426" t="inlineStr">
        <is>
          <t>USD</t>
        </is>
      </c>
      <c r="M426" t="inlineStr">
        <is>
          <t>Mil milhões</t>
        </is>
      </c>
      <c r="N426" t="inlineStr">
        <is>
          <t>Produto interno bruto, preços correntes, USD</t>
        </is>
      </c>
    </row>
    <row r="427">
      <c r="A427" t="inlineStr">
        <is>
          <t>Dominica_2018_August</t>
        </is>
      </c>
      <c r="L427" t="inlineStr">
        <is>
          <t>Moeda nacional</t>
        </is>
      </c>
      <c r="M427" t="inlineStr">
        <is>
          <t>Mil milhões</t>
        </is>
      </c>
      <c r="N427" t="inlineStr">
        <is>
          <t>Produto interno bruto, preços constantes</t>
        </is>
      </c>
    </row>
    <row r="428">
      <c r="A428" t="inlineStr">
        <is>
          <t>Dominica_2018_August</t>
        </is>
      </c>
      <c r="M428" t="inlineStr">
        <is>
          <t>None</t>
        </is>
      </c>
      <c r="N428" t="inlineStr">
        <is>
          <t>Deflator do produto interno bruto em USS</t>
        </is>
      </c>
    </row>
    <row r="429">
      <c r="A429" t="inlineStr">
        <is>
          <t>Dominica_2018_August</t>
        </is>
      </c>
      <c r="L429" t="inlineStr">
        <is>
          <t>Moeda nacional</t>
        </is>
      </c>
      <c r="M429" t="inlineStr">
        <is>
          <t>None</t>
        </is>
      </c>
      <c r="N429" t="inlineStr">
        <is>
          <t>Taxa de câmbio, moeda nacional por USD, fim de período</t>
        </is>
      </c>
    </row>
    <row r="430">
      <c r="A430" t="inlineStr">
        <is>
          <t>Dominica_2018_August</t>
        </is>
      </c>
      <c r="L430" t="inlineStr">
        <is>
          <t>Moeda nacional</t>
        </is>
      </c>
      <c r="M430" t="inlineStr">
        <is>
          <t>None</t>
        </is>
      </c>
      <c r="N430" t="inlineStr">
        <is>
          <t>Taxa de câmbio, moeda nacional por USD, média</t>
        </is>
      </c>
    </row>
    <row r="431">
      <c r="A431" t="inlineStr">
        <is>
          <t>Dominica_2018_August</t>
        </is>
      </c>
    </row>
    <row r="432">
      <c r="A432" t="inlineStr">
        <is>
          <t>Dominica_2018_August</t>
        </is>
      </c>
      <c r="L432" t="inlineStr">
        <is>
          <t>Unidades</t>
        </is>
      </c>
      <c r="M432" t="inlineStr">
        <is>
          <t>Escala</t>
        </is>
      </c>
      <c r="N432" t="inlineStr">
        <is>
          <t>Variáveis calculadas</t>
        </is>
      </c>
    </row>
    <row r="433">
      <c r="A433" t="inlineStr">
        <is>
          <t>Dominica_2018_August</t>
        </is>
      </c>
    </row>
    <row r="434">
      <c r="A434" t="inlineStr">
        <is>
          <t>Dominica_2018_August</t>
        </is>
      </c>
      <c r="N434" t="inlineStr">
        <is>
          <t>Sector externo</t>
        </is>
      </c>
    </row>
    <row r="435">
      <c r="A435" t="inlineStr">
        <is>
          <t>Dominica_2018_August</t>
        </is>
      </c>
      <c r="N435" t="inlineStr">
        <is>
          <t>Taxa de juro externa (paga)</t>
        </is>
      </c>
    </row>
    <row r="436">
      <c r="A436" t="inlineStr">
        <is>
          <t>Dominica_2018_August</t>
        </is>
      </c>
      <c r="N436" t="inlineStr">
        <is>
          <t>Dívida privada em % do PIB</t>
        </is>
      </c>
    </row>
    <row r="437">
      <c r="A437" t="inlineStr">
        <is>
          <t>Dominica_2018_August</t>
        </is>
      </c>
      <c r="N437" t="inlineStr">
        <is>
          <t>Serviço da dívida privada em % das exportações</t>
        </is>
      </c>
    </row>
    <row r="438">
      <c r="A438" t="inlineStr">
        <is>
          <t>Dominica_2018_August</t>
        </is>
      </c>
      <c r="N438" t="inlineStr">
        <is>
          <t>Sector público</t>
        </is>
      </c>
    </row>
    <row r="439">
      <c r="A439" t="inlineStr">
        <is>
          <t>Dominica_2018_August</t>
        </is>
      </c>
      <c r="N439" t="inlineStr">
        <is>
          <t>Parcela da dívida pública expressa em moeda estrangeira no total da dívida pública (período anterior)</t>
        </is>
      </c>
    </row>
    <row r="440">
      <c r="A440" t="inlineStr">
        <is>
          <t>Dominica_2018_August</t>
        </is>
      </c>
      <c r="N440" t="inlineStr">
        <is>
          <t>Taxa de juro sobre a dívida em ME</t>
        </is>
      </c>
    </row>
    <row r="441">
      <c r="A441" t="inlineStr">
        <is>
          <t>Dominica_2018_August</t>
        </is>
      </c>
      <c r="N441" t="inlineStr">
        <is>
          <t>Taxa de juro sobre a dívida interna</t>
        </is>
      </c>
    </row>
    <row r="442">
      <c r="A442" t="inlineStr">
        <is>
          <t>Dominica_2018_August</t>
        </is>
      </c>
      <c r="N442" t="inlineStr">
        <is>
          <t>Prazo médio de vencimento (Dívida/amortização de MLP)</t>
        </is>
      </c>
    </row>
    <row r="443">
      <c r="A443" t="inlineStr">
        <is>
          <t>Dominica_2018_August</t>
        </is>
      </c>
      <c r="N443" t="inlineStr">
        <is>
          <t>Dívida de curto prazo / total da dívida</t>
        </is>
      </c>
    </row>
    <row r="444">
      <c r="A444" t="inlineStr">
        <is>
          <t>Dominica_2018_August</t>
        </is>
      </c>
      <c r="N444" t="inlineStr">
        <is>
          <t>VA da dívida externa do sector público (da BdP; expresso em MN; fim de período)</t>
        </is>
      </c>
    </row>
    <row r="445">
      <c r="A445" t="inlineStr">
        <is>
          <t>Dominica_2018_August</t>
        </is>
      </c>
      <c r="N445" t="inlineStr">
        <is>
          <t>Elemento de donativo da nova dívida externa pública (em %; se disponível)</t>
        </is>
      </c>
    </row>
    <row r="446">
      <c r="A446" t="inlineStr">
        <is>
          <t>Dominica_2018_August</t>
        </is>
      </c>
      <c r="N446" t="inlineStr">
        <is>
          <t>VA dos passivos contingentes (se disponível)</t>
        </is>
      </c>
    </row>
    <row r="447">
      <c r="A447" t="inlineStr">
        <is>
          <t>Dominica_2018_August</t>
        </is>
      </c>
      <c r="N447" t="inlineStr">
        <is>
          <t>VA da dívida do sector público expressa em ME (fim de período)</t>
        </is>
      </c>
    </row>
    <row r="448">
      <c r="A448" t="inlineStr">
        <is>
          <t>Dominica_2018_August</t>
        </is>
      </c>
    </row>
    <row r="449">
      <c r="A449" t="inlineStr">
        <is>
          <t>Dominica_2018_August</t>
        </is>
      </c>
      <c r="N449" t="inlineStr">
        <is>
          <t>Conta corrente excl. juros em % do PIB</t>
        </is>
      </c>
    </row>
    <row r="450">
      <c r="A450" t="inlineStr">
        <is>
          <t>Dominica_2018_August</t>
        </is>
      </c>
      <c r="N450" t="inlineStr">
        <is>
          <t>Transferências correntes oficiais em % do PIB</t>
        </is>
      </c>
    </row>
    <row r="451">
      <c r="A451" t="inlineStr">
        <is>
          <t>Dominica_2018_August</t>
        </is>
      </c>
      <c r="N451" t="inlineStr">
        <is>
          <t>Total do financiamento bruto</t>
        </is>
      </c>
    </row>
    <row r="452">
      <c r="A452" t="inlineStr">
        <is>
          <t>Dominica_2018_August</t>
        </is>
      </c>
      <c r="N452" t="inlineStr">
        <is>
          <t>d/q: coberto pelo sector privado</t>
        </is>
      </c>
    </row>
    <row r="453">
      <c r="A453" t="inlineStr">
        <is>
          <t>Dominica_2018_August</t>
        </is>
      </c>
      <c r="N453" t="inlineStr">
        <is>
          <t>d/q: coberto pelo sector público</t>
        </is>
      </c>
    </row>
    <row r="454">
      <c r="A454" t="inlineStr">
        <is>
          <t>Dominica_2018_August</t>
        </is>
      </c>
      <c r="N454" t="inlineStr">
        <is>
          <t>Necessidade bruta de financiamento</t>
        </is>
      </c>
    </row>
    <row r="455">
      <c r="A455" t="inlineStr">
        <is>
          <t>Dominica_2018_August</t>
        </is>
      </c>
    </row>
    <row r="456">
      <c r="A456" t="inlineStr">
        <is>
          <t>Dominica_2018_August</t>
        </is>
      </c>
      <c r="N456" t="inlineStr">
        <is>
          <t>Receitas públicas (excl. donativos)</t>
        </is>
      </c>
    </row>
    <row r="457">
      <c r="A457" t="inlineStr">
        <is>
          <t>Dominica_2018_August</t>
        </is>
      </c>
      <c r="N457" t="inlineStr">
        <is>
          <t>Receitas reais e donativos</t>
        </is>
      </c>
    </row>
    <row r="458">
      <c r="A458" t="inlineStr">
        <is>
          <t>Dominica_2018_August</t>
        </is>
      </c>
      <c r="N458" t="inlineStr">
        <is>
          <t>Crescimento das receitas reais e donativos</t>
        </is>
      </c>
    </row>
    <row r="459">
      <c r="A459" t="inlineStr">
        <is>
          <t>Dominica_2018_August</t>
        </is>
      </c>
      <c r="N459" t="inlineStr">
        <is>
          <t>Donativos</t>
        </is>
      </c>
    </row>
    <row r="460">
      <c r="A460" t="inlineStr">
        <is>
          <t>Dominica_2018_August</t>
        </is>
      </c>
      <c r="N460" t="inlineStr">
        <is>
          <t>Receitas em % do PIB</t>
        </is>
      </c>
    </row>
    <row r="461">
      <c r="A461" t="inlineStr">
        <is>
          <t>Dominica_2018_August</t>
        </is>
      </c>
      <c r="N461" t="inlineStr">
        <is>
          <t>Despesas reais excl. juros</t>
        </is>
      </c>
    </row>
    <row r="462">
      <c r="A462" t="inlineStr">
        <is>
          <t>Dominica_2018_August</t>
        </is>
      </c>
      <c r="N462" t="inlineStr">
        <is>
          <t>Crescimento das despesas reais excl. juros</t>
        </is>
      </c>
    </row>
    <row r="463">
      <c r="A463" t="inlineStr">
        <is>
          <t>Dominica_2018_August</t>
        </is>
      </c>
      <c r="N463" t="inlineStr">
        <is>
          <t>Linha de verificação de novos desembolsos ao sector público</t>
        </is>
      </c>
    </row>
    <row r="464">
      <c r="A464" t="inlineStr">
        <is>
          <t>Dominica_2018_August</t>
        </is>
      </c>
      <c r="N464" t="inlineStr">
        <is>
          <t>Economia real</t>
        </is>
      </c>
    </row>
    <row r="465">
      <c r="A465" t="inlineStr">
        <is>
          <t>Dominica_2018_August</t>
        </is>
      </c>
      <c r="N465" t="inlineStr">
        <is>
          <t>Crescimento do PIB real</t>
        </is>
      </c>
    </row>
    <row r="466">
      <c r="A466" t="inlineStr">
        <is>
          <t>Dominica_2018_August</t>
        </is>
      </c>
      <c r="N466" t="inlineStr">
        <is>
          <t>Índice do deflator do PIB (moeda nacional)</t>
        </is>
      </c>
    </row>
    <row r="467">
      <c r="A467" t="inlineStr">
        <is>
          <t>Dominica_2018_August</t>
        </is>
      </c>
      <c r="N467" t="inlineStr">
        <is>
          <t>Variação no factor do deflator do PIB (%)</t>
        </is>
      </c>
    </row>
    <row r="468">
      <c r="A468" t="inlineStr">
        <is>
          <t>Dominica_2018_August</t>
        </is>
      </c>
      <c r="N468" t="inlineStr">
        <is>
          <t>Índice do deflator do PIB (USD)</t>
        </is>
      </c>
    </row>
    <row r="469">
      <c r="A469" t="inlineStr">
        <is>
          <t>Dominica_2018_August</t>
        </is>
      </c>
      <c r="N469" t="inlineStr">
        <is>
          <t>Variação no factor do deflator do PIB (%)</t>
        </is>
      </c>
    </row>
    <row r="470">
      <c r="A470" t="inlineStr">
        <is>
          <t>Dominica_2018_August</t>
        </is>
      </c>
      <c r="N470" t="inlineStr">
        <is>
          <t>Deflator do PIB em USD (variação percentual)</t>
        </is>
      </c>
    </row>
    <row r="471">
      <c r="A471" t="inlineStr">
        <is>
          <t>Dominica_2018_August</t>
        </is>
      </c>
      <c r="N471" t="inlineStr">
        <is>
          <t>Taxa de câmbio USD/MN</t>
        </is>
      </c>
    </row>
    <row r="472">
      <c r="A472" t="inlineStr">
        <is>
          <t>Dominica_2018_August</t>
        </is>
      </c>
      <c r="N472" t="inlineStr">
        <is>
          <t>Depreciação da MN</t>
        </is>
      </c>
    </row>
    <row r="473">
      <c r="A473" t="inlineStr">
        <is>
          <t>Dominica_2018_August</t>
        </is>
      </c>
    </row>
    <row r="474">
      <c r="A474" t="inlineStr">
        <is>
          <t>Dominica_2018_August</t>
        </is>
      </c>
      <c r="N474" t="inlineStr">
        <is>
          <t xml:space="preserve">1/ Inclui os atrasados </t>
        </is>
      </c>
    </row>
    <row r="475">
      <c r="A475" t="inlineStr">
        <is>
          <t>Dominica_2018_August</t>
        </is>
      </c>
    </row>
    <row r="476">
      <c r="A476" t="inlineStr">
        <is>
          <t>Dominica_2018_August</t>
        </is>
      </c>
    </row>
    <row r="477">
      <c r="A477" t="inlineStr">
        <is>
          <t>Dominica_2018_August</t>
        </is>
      </c>
      <c r="J477" t="inlineStr">
        <is>
          <t>SPA</t>
        </is>
      </c>
      <c r="M477" t="inlineStr">
        <is>
          <t>Sírvase llenar las celdas de color amarillo</t>
        </is>
      </c>
      <c r="N477" t="inlineStr">
        <is>
          <t>Las celdas de color azul se llenan automáticamente</t>
        </is>
      </c>
    </row>
    <row r="478">
      <c r="A478" t="inlineStr">
        <is>
          <t>Dominica_2018_August</t>
        </is>
      </c>
    </row>
    <row r="479">
      <c r="A479" t="inlineStr">
        <is>
          <t>Dominica_2018_August</t>
        </is>
      </c>
    </row>
    <row r="480">
      <c r="A480" t="inlineStr">
        <is>
          <t>Dominica_2018_August</t>
        </is>
      </c>
      <c r="M480" t="inlineStr">
        <is>
          <t>Calificación EPIN</t>
        </is>
      </c>
      <c r="N480" t="inlineStr">
        <is>
          <t>Desempeño de las políticas</t>
        </is>
      </c>
      <c r="O480" t="inlineStr">
        <is>
          <t>Para incluir remesas en el escenario base:</t>
        </is>
      </c>
    </row>
    <row r="481">
      <c r="A481" t="inlineStr">
        <is>
          <t>Dominica_2018_August</t>
        </is>
      </c>
      <c r="M481" t="inlineStr">
        <is>
          <t>Umbrales de carga de deuda EXTERNA</t>
        </is>
      </c>
      <c r="N481" t="inlineStr">
        <is>
          <t>Sin remesas</t>
        </is>
      </c>
      <c r="O481" t="inlineStr">
        <is>
          <t>Con remesas</t>
        </is>
      </c>
    </row>
    <row r="482">
      <c r="A482" t="inlineStr">
        <is>
          <t>Dominica_2018_August</t>
        </is>
      </c>
      <c r="M482" t="inlineStr">
        <is>
          <t>VA de la deuda en % de</t>
        </is>
      </c>
    </row>
    <row r="483">
      <c r="A483" t="inlineStr">
        <is>
          <t>Dominica_2018_August</t>
        </is>
      </c>
      <c r="M483" t="inlineStr">
        <is>
          <t>Exportaciones</t>
        </is>
      </c>
    </row>
    <row r="484">
      <c r="A484" t="inlineStr">
        <is>
          <t>Dominica_2018_August</t>
        </is>
      </c>
      <c r="M484" t="inlineStr">
        <is>
          <t>PIB</t>
        </is>
      </c>
    </row>
    <row r="485">
      <c r="A485" t="inlineStr">
        <is>
          <t>Dominica_2018_August</t>
        </is>
      </c>
      <c r="M485" t="inlineStr">
        <is>
          <t>Ingresos</t>
        </is>
      </c>
    </row>
    <row r="486">
      <c r="A486" t="inlineStr">
        <is>
          <t>Dominica_2018_August</t>
        </is>
      </c>
      <c r="M486" t="inlineStr">
        <is>
          <t>Servicio de la deuda en % de</t>
        </is>
      </c>
    </row>
    <row r="487">
      <c r="A487" t="inlineStr">
        <is>
          <t>Dominica_2018_August</t>
        </is>
      </c>
      <c r="M487" t="inlineStr">
        <is>
          <t>Exportaciones</t>
        </is>
      </c>
    </row>
    <row r="488">
      <c r="A488" t="inlineStr">
        <is>
          <t>Dominica_2018_August</t>
        </is>
      </c>
      <c r="M488" t="inlineStr">
        <is>
          <t>Ingresos</t>
        </is>
      </c>
    </row>
    <row r="489">
      <c r="A489" t="inlineStr">
        <is>
          <t>Dominica_2018_August</t>
        </is>
      </c>
      <c r="M489" t="inlineStr">
        <is>
          <t>Referencia de deuda pública TOTAL</t>
        </is>
      </c>
    </row>
    <row r="490">
      <c r="A490" t="inlineStr">
        <is>
          <t>Dominica_2018_August</t>
        </is>
      </c>
      <c r="M490" t="inlineStr">
        <is>
          <t>VA de la deuda pública total en porcentaje del PIB</t>
        </is>
      </c>
    </row>
    <row r="491">
      <c r="A491" t="inlineStr">
        <is>
          <t>Dominica_2018_August</t>
        </is>
      </c>
      <c r="M491" t="inlineStr">
        <is>
          <t>Calificación de problemas de endeudamiento externo</t>
        </is>
      </c>
      <c r="AA491" t="inlineStr">
        <is>
          <t>Primer año de las proyecciones</t>
        </is>
      </c>
    </row>
    <row r="492">
      <c r="A492" t="inlineStr">
        <is>
          <t>Dominica_2018_August</t>
        </is>
      </c>
      <c r="N492" t="inlineStr">
        <is>
          <t xml:space="preserve">Mediano y largo plazo (MLP) </t>
        </is>
      </c>
    </row>
    <row r="493">
      <c r="A493" t="inlineStr">
        <is>
          <t>Dominica_2018_August</t>
        </is>
      </c>
      <c r="N493" t="inlineStr">
        <is>
          <t>Mediano y largo plazo (MLP) externo</t>
        </is>
      </c>
    </row>
    <row r="494">
      <c r="A494" t="inlineStr">
        <is>
          <t>Dominica_2018_August</t>
        </is>
      </c>
      <c r="N494" t="inlineStr">
        <is>
          <t>Corto plazo</t>
        </is>
      </c>
    </row>
    <row r="495">
      <c r="A495" t="inlineStr">
        <is>
          <t>Dominica_2018_August</t>
        </is>
      </c>
      <c r="L495" t="inlineStr">
        <is>
          <t>Unidades</t>
        </is>
      </c>
      <c r="M495" t="inlineStr">
        <is>
          <t>Escala</t>
        </is>
      </c>
      <c r="N495" t="inlineStr">
        <is>
          <t>Descriptor</t>
        </is>
      </c>
    </row>
    <row r="496">
      <c r="A496" t="inlineStr">
        <is>
          <t>Dominica_2018_August</t>
        </is>
      </c>
      <c r="L496" t="inlineStr">
        <is>
          <t>Dólares de EE.UU.</t>
        </is>
      </c>
      <c r="M496" t="inlineStr">
        <is>
          <t>Miles de millones</t>
        </is>
      </c>
      <c r="N496" t="inlineStr">
        <is>
          <t>Deuda MLP total pendiente de pago al cierre del ejercicio 1/</t>
        </is>
      </c>
    </row>
    <row r="497">
      <c r="A497" t="inlineStr">
        <is>
          <t>Dominica_2018_August</t>
        </is>
      </c>
      <c r="L497" t="inlineStr">
        <is>
          <t>Dólares de EE.UU.</t>
        </is>
      </c>
      <c r="M497" t="inlineStr">
        <is>
          <t>Miles de millones</t>
        </is>
      </c>
      <c r="N497" t="inlineStr">
        <is>
          <t>Deuda externa del sector privado</t>
        </is>
      </c>
    </row>
    <row r="498">
      <c r="A498" t="inlineStr">
        <is>
          <t>Dominica_2018_August</t>
        </is>
      </c>
      <c r="L498" t="inlineStr">
        <is>
          <t>Dólares de EE.UU.</t>
        </is>
      </c>
      <c r="M498" t="inlineStr">
        <is>
          <t>Miles de millones</t>
        </is>
      </c>
      <c r="N498" t="inlineStr">
        <is>
          <t>Deuda externa pública y con garantía pública</t>
        </is>
      </c>
    </row>
    <row r="499">
      <c r="A499" t="inlineStr">
        <is>
          <t>Dominica_2018_August</t>
        </is>
      </c>
      <c r="L499" t="inlineStr">
        <is>
          <t>Moneda nacional</t>
        </is>
      </c>
      <c r="M499" t="inlineStr">
        <is>
          <t>Miles de millones</t>
        </is>
      </c>
      <c r="N499" t="inlineStr">
        <is>
          <t>Total deuda pública pendiente de pago al cierre del ejercicio</t>
        </is>
      </c>
    </row>
    <row r="500">
      <c r="A500" t="inlineStr">
        <is>
          <t>Dominica_2018_August</t>
        </is>
      </c>
      <c r="L500" t="inlineStr">
        <is>
          <t>Moneda nacional</t>
        </is>
      </c>
      <c r="M500" t="inlineStr">
        <is>
          <t>Miles de millones</t>
        </is>
      </c>
      <c r="N500" t="inlineStr">
        <is>
          <t>Total deuda pública interna</t>
        </is>
      </c>
    </row>
    <row r="501">
      <c r="A501" t="inlineStr">
        <is>
          <t>Dominica_2018_August</t>
        </is>
      </c>
      <c r="L501" t="inlineStr">
        <is>
          <t>Moneda nacional</t>
        </is>
      </c>
      <c r="M501" t="inlineStr">
        <is>
          <t>Miles de millones</t>
        </is>
      </c>
      <c r="N501" t="inlineStr">
        <is>
          <t>Deuda interna denominada en moneda extranjera</t>
        </is>
      </c>
    </row>
    <row r="502">
      <c r="A502" t="inlineStr">
        <is>
          <t>Dominica_2018_August</t>
        </is>
      </c>
      <c r="L502" t="inlineStr">
        <is>
          <t>Moneda nacional</t>
        </is>
      </c>
      <c r="M502" t="inlineStr">
        <is>
          <t>Miles de millones</t>
        </is>
      </c>
      <c r="N502" t="inlineStr">
        <is>
          <t>Total deuda pública externa</t>
        </is>
      </c>
    </row>
    <row r="503">
      <c r="A503" t="inlineStr">
        <is>
          <t>Dominica_2018_August</t>
        </is>
      </c>
      <c r="L503" t="inlineStr">
        <is>
          <t>Moneda nacional</t>
        </is>
      </c>
      <c r="M503" t="inlineStr">
        <is>
          <t>Miles de millones</t>
        </is>
      </c>
      <c r="N503" t="inlineStr">
        <is>
          <t>Deuda pública denominada en moneda extranjera (fin del período)</t>
        </is>
      </c>
    </row>
    <row r="504">
      <c r="A504" t="inlineStr">
        <is>
          <t>Dominica_2018_August</t>
        </is>
      </c>
      <c r="L504" t="inlineStr">
        <is>
          <t>Dólares de EE.UU.</t>
        </is>
      </c>
      <c r="M504" t="inlineStr">
        <is>
          <t>Miles de millones</t>
        </is>
      </c>
      <c r="N504" t="inlineStr">
        <is>
          <t>Deuda total (pública + privada externa)</t>
        </is>
      </c>
    </row>
    <row r="505">
      <c r="A505" t="inlineStr">
        <is>
          <t>Dominica_2018_August</t>
        </is>
      </c>
      <c r="L505" t="inlineStr">
        <is>
          <t>Dólares de EE.UU.</t>
        </is>
      </c>
      <c r="M505" t="inlineStr">
        <is>
          <t>Miles de millones</t>
        </is>
      </c>
      <c r="N505" t="inlineStr">
        <is>
          <t>Total deuda externa a cortoplazo (pública + privada)</t>
        </is>
      </c>
    </row>
    <row r="506">
      <c r="A506" t="inlineStr">
        <is>
          <t>Dominica_2018_August</t>
        </is>
      </c>
      <c r="L506" t="inlineStr">
        <is>
          <t>Dólares de EE.UU.</t>
        </is>
      </c>
      <c r="M506" t="inlineStr">
        <is>
          <t>Miles de millones</t>
        </is>
      </c>
      <c r="N506" t="inlineStr">
        <is>
          <t>Deuda externa pública y con garantía pública</t>
        </is>
      </c>
    </row>
    <row r="507">
      <c r="A507" t="inlineStr">
        <is>
          <t>Dominica_2018_August</t>
        </is>
      </c>
      <c r="L507" t="inlineStr">
        <is>
          <t>Dólares de EE.UU.</t>
        </is>
      </c>
      <c r="M507" t="inlineStr">
        <is>
          <t>Miles de millones</t>
        </is>
      </c>
      <c r="N507" t="inlineStr">
        <is>
          <t>Deuda interna pública y con garantía pública</t>
        </is>
      </c>
    </row>
    <row r="508">
      <c r="A508" t="inlineStr">
        <is>
          <t>Dominica_2018_August</t>
        </is>
      </c>
      <c r="L508" t="inlineStr">
        <is>
          <t>Dólares de EE.UU.</t>
        </is>
      </c>
      <c r="M508" t="inlineStr">
        <is>
          <t>Miles de millones</t>
        </is>
      </c>
      <c r="N508" t="inlineStr">
        <is>
          <t>Externa privada</t>
        </is>
      </c>
    </row>
    <row r="509">
      <c r="A509" t="inlineStr">
        <is>
          <t>Dominica_2018_August</t>
        </is>
      </c>
      <c r="L509" t="inlineStr">
        <is>
          <t>Dólares de EE.UU.</t>
        </is>
      </c>
      <c r="M509" t="inlineStr">
        <is>
          <t>Miles de millones</t>
        </is>
      </c>
      <c r="N509" t="inlineStr">
        <is>
          <t>Total intereses vencidos</t>
        </is>
      </c>
    </row>
    <row r="510">
      <c r="A510" t="inlineStr">
        <is>
          <t>Dominica_2018_August</t>
        </is>
      </c>
      <c r="L510" t="inlineStr">
        <is>
          <t>Dólares de EE.UU.</t>
        </is>
      </c>
      <c r="M510" t="inlineStr">
        <is>
          <t>Miles de millones</t>
        </is>
      </c>
      <c r="N510" t="inlineStr">
        <is>
          <t>Total intereses vencidos de deuda externa (incluidos intereses de deuda nueva)</t>
        </is>
      </c>
    </row>
    <row r="511">
      <c r="A511" t="inlineStr">
        <is>
          <t>Dominica_2018_August</t>
        </is>
      </c>
      <c r="L511" t="inlineStr">
        <is>
          <t>Dólares de EE.UU.</t>
        </is>
      </c>
      <c r="M511" t="inlineStr">
        <is>
          <t>Miles de millones</t>
        </is>
      </c>
      <c r="N511" t="inlineStr">
        <is>
          <t>Total intereses vencidos de deuda externa (excluidos intereses de deuda nueva)</t>
        </is>
      </c>
    </row>
    <row r="512">
      <c r="A512" t="inlineStr">
        <is>
          <t>Dominica_2018_August</t>
        </is>
      </c>
      <c r="L512" t="inlineStr">
        <is>
          <t>Dólares de EE.UU.</t>
        </is>
      </c>
      <c r="M512" t="inlineStr">
        <is>
          <t>Miles de millones</t>
        </is>
      </c>
      <c r="N512" t="inlineStr">
        <is>
          <t>Pública y con garantía pública</t>
        </is>
      </c>
    </row>
    <row r="513">
      <c r="A513" t="inlineStr">
        <is>
          <t>Dominica_2018_August</t>
        </is>
      </c>
      <c r="L513" t="inlineStr">
        <is>
          <t>Dólares de EE.UU.</t>
        </is>
      </c>
      <c r="M513" t="inlineStr">
        <is>
          <t>Miles de millones</t>
        </is>
      </c>
      <c r="N513" t="inlineStr">
        <is>
          <t>Pública y con garantía pública (deuda vieja)</t>
        </is>
      </c>
    </row>
    <row r="514">
      <c r="A514" t="inlineStr">
        <is>
          <t>Dominica_2018_August</t>
        </is>
      </c>
      <c r="L514" t="inlineStr">
        <is>
          <t>Dólares de EE.UU.</t>
        </is>
      </c>
      <c r="M514" t="inlineStr">
        <is>
          <t>Miles de millones</t>
        </is>
      </c>
      <c r="N514" t="inlineStr">
        <is>
          <t>Privada</t>
        </is>
      </c>
    </row>
    <row r="515">
      <c r="A515" t="inlineStr">
        <is>
          <t>Dominica_2018_August</t>
        </is>
      </c>
      <c r="L515" t="inlineStr">
        <is>
          <t>Dólares de EE.UU.</t>
        </is>
      </c>
      <c r="M515" t="inlineStr">
        <is>
          <t>Miles de millones</t>
        </is>
      </c>
      <c r="N515" t="inlineStr">
        <is>
          <t>Total intereses vencidos de deuda pública interna</t>
        </is>
      </c>
    </row>
    <row r="516">
      <c r="A516" t="inlineStr">
        <is>
          <t>Dominica_2018_August</t>
        </is>
      </c>
      <c r="L516" t="inlineStr">
        <is>
          <t>Dólares de EE.UU.</t>
        </is>
      </c>
      <c r="M516" t="inlineStr">
        <is>
          <t>Miles de millones</t>
        </is>
      </c>
      <c r="N516" t="inlineStr">
        <is>
          <t>... de deuda denominada en moneda extranjera</t>
        </is>
      </c>
    </row>
    <row r="517">
      <c r="A517" t="inlineStr">
        <is>
          <t>Dominica_2018_August</t>
        </is>
      </c>
      <c r="L517" t="inlineStr">
        <is>
          <t>Dólares de EE.UU.</t>
        </is>
      </c>
      <c r="M517" t="inlineStr">
        <is>
          <t>Miles de millones</t>
        </is>
      </c>
      <c r="N517" t="inlineStr">
        <is>
          <t>Total amortización vencida</t>
        </is>
      </c>
    </row>
    <row r="518">
      <c r="A518" t="inlineStr">
        <is>
          <t>Dominica_2018_August</t>
        </is>
      </c>
      <c r="L518" t="inlineStr">
        <is>
          <t>Dólares de EE.UU.</t>
        </is>
      </c>
      <c r="M518" t="inlineStr">
        <is>
          <t>Miles de millones</t>
        </is>
      </c>
      <c r="N518" t="inlineStr">
        <is>
          <t>Total amortización externa vencida (incluida amortización de deuda nueva)</t>
        </is>
      </c>
    </row>
    <row r="519">
      <c r="A519" t="inlineStr">
        <is>
          <t>Dominica_2018_August</t>
        </is>
      </c>
      <c r="N519" t="inlineStr">
        <is>
          <t>Total amortización externa vencida  (excluida amortización de deuda nueva)</t>
        </is>
      </c>
    </row>
    <row r="520">
      <c r="A520" t="inlineStr">
        <is>
          <t>Dominica_2018_August</t>
        </is>
      </c>
      <c r="L520" t="inlineStr">
        <is>
          <t>Dólares de EE.UU.</t>
        </is>
      </c>
      <c r="M520" t="inlineStr">
        <is>
          <t>Miles de millones</t>
        </is>
      </c>
      <c r="N520" t="inlineStr">
        <is>
          <t>Pública y con garantía pública</t>
        </is>
      </c>
    </row>
    <row r="521">
      <c r="A521" t="inlineStr">
        <is>
          <t>Dominica_2018_August</t>
        </is>
      </c>
      <c r="N521" t="inlineStr">
        <is>
          <t>Pública y con garantía pública (deuda vieja)</t>
        </is>
      </c>
    </row>
    <row r="522">
      <c r="A522" t="inlineStr">
        <is>
          <t>Dominica_2018_August</t>
        </is>
      </c>
      <c r="L522" t="inlineStr">
        <is>
          <t>Dólares de EE.UU.</t>
        </is>
      </c>
      <c r="M522" t="inlineStr">
        <is>
          <t>Miles de millones</t>
        </is>
      </c>
      <c r="N522" t="inlineStr">
        <is>
          <t>Deuda externa privada a MLP</t>
        </is>
      </c>
    </row>
    <row r="523">
      <c r="A523" t="inlineStr">
        <is>
          <t>Dominica_2018_August</t>
        </is>
      </c>
      <c r="L523" t="inlineStr">
        <is>
          <t>Dólares de EE.UU.</t>
        </is>
      </c>
      <c r="M523" t="inlineStr">
        <is>
          <t>Miles de millones</t>
        </is>
      </c>
      <c r="N523" t="inlineStr">
        <is>
          <t>Total amortización de deuda pública interna a MLP</t>
        </is>
      </c>
    </row>
    <row r="524">
      <c r="A524" t="inlineStr">
        <is>
          <t>Dominica_2018_August</t>
        </is>
      </c>
    </row>
    <row r="525">
      <c r="A525" t="inlineStr">
        <is>
          <t>Dominica_2018_August</t>
        </is>
      </c>
      <c r="L525" t="inlineStr">
        <is>
          <t>Dólares de EE.UU.</t>
        </is>
      </c>
      <c r="M525" t="inlineStr">
        <is>
          <t>Miles de millones</t>
        </is>
      </c>
      <c r="N525" t="inlineStr">
        <is>
          <t>Saldo en cuenta corriente</t>
        </is>
      </c>
    </row>
    <row r="526">
      <c r="A526" t="inlineStr">
        <is>
          <t>Dominica_2018_August</t>
        </is>
      </c>
      <c r="L526" t="inlineStr">
        <is>
          <t>Dólares de EE.UU.</t>
        </is>
      </c>
      <c r="M526" t="inlineStr">
        <is>
          <t>Miles de millones</t>
        </is>
      </c>
      <c r="N526" t="inlineStr">
        <is>
          <t>Exportaciones de bienes y servicios</t>
        </is>
      </c>
    </row>
    <row r="527">
      <c r="A527" t="inlineStr">
        <is>
          <t>Dominica_2018_August</t>
        </is>
      </c>
      <c r="L527" t="inlineStr">
        <is>
          <t>Dólares de EE.UU.</t>
        </is>
      </c>
      <c r="M527" t="inlineStr">
        <is>
          <t>Miles de millones</t>
        </is>
      </c>
      <c r="N527" t="inlineStr">
        <is>
          <t>Importaciones de bienes y servicios (usar valores positivos)</t>
        </is>
      </c>
    </row>
    <row r="528">
      <c r="A528" t="inlineStr">
        <is>
          <t>Dominica_2018_August</t>
        </is>
      </c>
      <c r="L528" t="inlineStr">
        <is>
          <t>Dólares de EE.UU.</t>
        </is>
      </c>
      <c r="M528" t="inlineStr">
        <is>
          <t>Miles de millones</t>
        </is>
      </c>
      <c r="N528" t="inlineStr">
        <is>
          <t>Transferencias totales, total neto</t>
        </is>
      </c>
    </row>
    <row r="529">
      <c r="A529" t="inlineStr">
        <is>
          <t>Dominica_2018_August</t>
        </is>
      </c>
      <c r="L529" t="inlineStr">
        <is>
          <t>Dólares de EE.UU.</t>
        </is>
      </c>
      <c r="M529" t="inlineStr">
        <is>
          <t>Miles de millones</t>
        </is>
      </c>
      <c r="N529" t="inlineStr">
        <is>
          <t>Transferencias totales, oficiales</t>
        </is>
      </c>
    </row>
    <row r="530">
      <c r="A530" t="inlineStr">
        <is>
          <t>Dominica_2018_August</t>
        </is>
      </c>
      <c r="L530" t="inlineStr">
        <is>
          <t>Dólares de EE.UU.</t>
        </is>
      </c>
      <c r="M530" t="inlineStr">
        <is>
          <t>Miles de millones</t>
        </is>
      </c>
      <c r="N530" t="inlineStr">
        <is>
          <t>Inversión extranjera directa neta, excluidos pasivos generadores de deuda</t>
        </is>
      </c>
    </row>
    <row r="531">
      <c r="A531" t="inlineStr">
        <is>
          <t>Dominica_2018_August</t>
        </is>
      </c>
      <c r="L531" t="inlineStr">
        <is>
          <t>Dólares de EE.UU.</t>
        </is>
      </c>
      <c r="M531" t="inlineStr">
        <is>
          <t>Miles de millones</t>
        </is>
      </c>
      <c r="N531" t="inlineStr">
        <is>
          <t>Financiamiento excepcional</t>
        </is>
      </c>
    </row>
    <row r="532">
      <c r="A532" t="inlineStr">
        <is>
          <t>Dominica_2018_August</t>
        </is>
      </c>
      <c r="N532" t="inlineStr">
        <is>
          <t>Reservas brutas (flujo)</t>
        </is>
      </c>
    </row>
    <row r="533">
      <c r="A533" t="inlineStr">
        <is>
          <t>Dominica_2018_August</t>
        </is>
      </c>
      <c r="L533" t="inlineStr">
        <is>
          <t>Moneda nacional</t>
        </is>
      </c>
      <c r="M533" t="inlineStr">
        <is>
          <t>Miles de millones</t>
        </is>
      </c>
      <c r="N533" t="inlineStr">
        <is>
          <t>Saldo del sector público</t>
        </is>
      </c>
    </row>
    <row r="534">
      <c r="A534" t="inlineStr">
        <is>
          <t>Dominica_2018_August</t>
        </is>
      </c>
      <c r="L534" t="inlineStr">
        <is>
          <t>Moneda nacional</t>
        </is>
      </c>
      <c r="M534" t="inlineStr">
        <is>
          <t>Miles de millones</t>
        </is>
      </c>
      <c r="N534" t="inlineStr">
        <is>
          <t>Ingresos del sector público (incluidas donaciones)</t>
        </is>
      </c>
    </row>
    <row r="535">
      <c r="A535" t="inlineStr">
        <is>
          <t>Dominica_2018_August</t>
        </is>
      </c>
      <c r="L535" t="inlineStr">
        <is>
          <t>Moneda nacional</t>
        </is>
      </c>
      <c r="M535" t="inlineStr">
        <is>
          <t>Miles de millones</t>
        </is>
      </c>
      <c r="N535" t="inlineStr">
        <is>
          <t>Donaciones del sector público</t>
        </is>
      </c>
    </row>
    <row r="536">
      <c r="A536" t="inlineStr">
        <is>
          <t>Dominica_2018_August</t>
        </is>
      </c>
      <c r="L536" t="inlineStr">
        <is>
          <t>Moneda nacional</t>
        </is>
      </c>
      <c r="M536" t="inlineStr">
        <is>
          <t>Miles de millones</t>
        </is>
      </c>
      <c r="N536" t="inlineStr">
        <is>
          <t>Ingresos por privatizaciones</t>
        </is>
      </c>
    </row>
    <row r="537">
      <c r="A537" t="inlineStr">
        <is>
          <t>Dominica_2018_August</t>
        </is>
      </c>
      <c r="L537" t="inlineStr">
        <is>
          <t>Moneda nacional</t>
        </is>
      </c>
      <c r="M537" t="inlineStr">
        <is>
          <t>Miles de millones</t>
        </is>
      </c>
      <c r="N537" t="inlineStr">
        <is>
          <t>Gastos del sector público</t>
        </is>
      </c>
    </row>
    <row r="538">
      <c r="A538" t="inlineStr">
        <is>
          <t>Dominica_2018_August</t>
        </is>
      </c>
      <c r="L538" t="inlineStr">
        <is>
          <t>Moneda nacional</t>
        </is>
      </c>
      <c r="M538" t="inlineStr">
        <is>
          <t>Miles de millones</t>
        </is>
      </c>
      <c r="N538" t="inlineStr">
        <is>
          <t xml:space="preserve">Gastos en intereses del sector públicoPublic sector interest expenditure </t>
        </is>
      </c>
    </row>
    <row r="539">
      <c r="A539" t="inlineStr">
        <is>
          <t>Dominica_2018_August</t>
        </is>
      </c>
      <c r="L539" t="inlineStr">
        <is>
          <t>Moneda nacional</t>
        </is>
      </c>
      <c r="M539" t="inlineStr">
        <is>
          <t>Miles de millones</t>
        </is>
      </c>
      <c r="N539" t="inlineStr">
        <is>
          <t>Activos del sector público (p. ej.: depósitos)</t>
        </is>
      </c>
    </row>
    <row r="540">
      <c r="A540" t="inlineStr">
        <is>
          <t>Dominica_2018_August</t>
        </is>
      </c>
      <c r="L540" t="inlineStr">
        <is>
          <t>Moneda nacional</t>
        </is>
      </c>
      <c r="M540" t="inlineStr">
        <is>
          <t>Miles de millones</t>
        </is>
      </c>
      <c r="N540" t="inlineStr">
        <is>
          <t>Reconocimiento de pasivos implícitos o contingentes</t>
        </is>
      </c>
    </row>
    <row r="541">
      <c r="A541" t="inlineStr">
        <is>
          <t>Dominica_2018_August</t>
        </is>
      </c>
      <c r="L541" t="inlineStr">
        <is>
          <t>Moneda nacional</t>
        </is>
      </c>
      <c r="M541" t="inlineStr">
        <is>
          <t>Miles de millones</t>
        </is>
      </c>
      <c r="N541" t="inlineStr">
        <is>
          <t>Otra deuda que genera o reduce flujos (especificar, p. ej. recapitalización de bancos)</t>
        </is>
      </c>
    </row>
    <row r="542">
      <c r="A542" t="inlineStr">
        <is>
          <t>Dominica_2018_August</t>
        </is>
      </c>
      <c r="L542" t="inlineStr">
        <is>
          <t>Moneda nacional</t>
        </is>
      </c>
      <c r="M542" t="inlineStr">
        <is>
          <t>Miles de millones</t>
        </is>
      </c>
      <c r="N542" t="inlineStr">
        <is>
          <t>Alivio de la deuda</t>
        </is>
      </c>
    </row>
    <row r="543">
      <c r="A543" t="inlineStr">
        <is>
          <t>Dominica_2018_August</t>
        </is>
      </c>
      <c r="L543" t="inlineStr">
        <is>
          <t>Dólares de EE.UU.</t>
        </is>
      </c>
      <c r="M543" t="inlineStr">
        <is>
          <t>Miles de millones</t>
        </is>
      </c>
      <c r="N543" t="inlineStr">
        <is>
          <t>Préstamos concesionarios</t>
        </is>
      </c>
    </row>
    <row r="544">
      <c r="A544" t="inlineStr">
        <is>
          <t>Dominica_2018_August</t>
        </is>
      </c>
    </row>
    <row r="545">
      <c r="A545" t="inlineStr">
        <is>
          <t>Dominica_2018_August</t>
        </is>
      </c>
      <c r="L545" t="inlineStr">
        <is>
          <t>Dólares de EE.UU.</t>
        </is>
      </c>
      <c r="M545" t="inlineStr">
        <is>
          <t>Miles de millones</t>
        </is>
      </c>
      <c r="N545" t="inlineStr">
        <is>
          <t>Producto interno bruto, precios corrientes, dólares de EE.UU.</t>
        </is>
      </c>
    </row>
    <row r="546">
      <c r="A546" t="inlineStr">
        <is>
          <t>Dominica_2018_August</t>
        </is>
      </c>
      <c r="L546" t="inlineStr">
        <is>
          <t>Moneda nacional</t>
        </is>
      </c>
      <c r="M546" t="inlineStr">
        <is>
          <t>Miles de millones</t>
        </is>
      </c>
      <c r="N546" t="inlineStr">
        <is>
          <t>Producto interno bruto, precios constantes</t>
        </is>
      </c>
    </row>
    <row r="547">
      <c r="A547" t="inlineStr">
        <is>
          <t>Dominica_2018_August</t>
        </is>
      </c>
      <c r="M547" t="inlineStr">
        <is>
          <t>None</t>
        </is>
      </c>
      <c r="N547" t="inlineStr">
        <is>
          <t>Deflactor del producto interno bruto de EE.UU.</t>
        </is>
      </c>
    </row>
    <row r="548">
      <c r="A548" t="inlineStr">
        <is>
          <t>Dominica_2018_August</t>
        </is>
      </c>
      <c r="L548" t="inlineStr">
        <is>
          <t>Moneda nacional</t>
        </is>
      </c>
      <c r="M548" t="inlineStr">
        <is>
          <t>None</t>
        </is>
      </c>
      <c r="N548" t="inlineStr">
        <is>
          <t>Tipo de cambio, moneda nacional por dólar de EE.UU., fin del período</t>
        </is>
      </c>
    </row>
    <row r="549">
      <c r="A549" t="inlineStr">
        <is>
          <t>Dominica_2018_August</t>
        </is>
      </c>
      <c r="L549" t="inlineStr">
        <is>
          <t>Moneda nacional</t>
        </is>
      </c>
      <c r="M549" t="inlineStr">
        <is>
          <t>None</t>
        </is>
      </c>
      <c r="N549" t="inlineStr">
        <is>
          <t>Tipo de cambio, moneda nacional por dólar de EE.UU., promedio</t>
        </is>
      </c>
    </row>
    <row r="550">
      <c r="A550" t="inlineStr">
        <is>
          <t>Dominica_2018_August</t>
        </is>
      </c>
    </row>
    <row r="551">
      <c r="A551" t="inlineStr">
        <is>
          <t>Dominica_2018_August</t>
        </is>
      </c>
      <c r="L551" t="inlineStr">
        <is>
          <t>Unidades</t>
        </is>
      </c>
      <c r="M551" t="inlineStr">
        <is>
          <t>Escala</t>
        </is>
      </c>
      <c r="N551" t="inlineStr">
        <is>
          <t>Variables calculadas</t>
        </is>
      </c>
    </row>
    <row r="552">
      <c r="A552" t="inlineStr">
        <is>
          <t>Dominica_2018_August</t>
        </is>
      </c>
    </row>
    <row r="553">
      <c r="A553" t="inlineStr">
        <is>
          <t>Dominica_2018_August</t>
        </is>
      </c>
      <c r="N553" t="inlineStr">
        <is>
          <t>Sector externo</t>
        </is>
      </c>
    </row>
    <row r="554">
      <c r="A554" t="inlineStr">
        <is>
          <t>Dominica_2018_August</t>
        </is>
      </c>
      <c r="N554" t="inlineStr">
        <is>
          <t>Tasa de interés externa (pagada)</t>
        </is>
      </c>
    </row>
    <row r="555">
      <c r="A555" t="inlineStr">
        <is>
          <t>Dominica_2018_August</t>
        </is>
      </c>
      <c r="N555" t="inlineStr">
        <is>
          <t>Deuda privada en porcentaje del PIB</t>
        </is>
      </c>
    </row>
    <row r="556">
      <c r="A556" t="inlineStr">
        <is>
          <t>Dominica_2018_August</t>
        </is>
      </c>
      <c r="N556" t="inlineStr">
        <is>
          <t>Servicio de la deuda privada en porcentaje de las exportaciones</t>
        </is>
      </c>
    </row>
    <row r="557">
      <c r="A557" t="inlineStr">
        <is>
          <t>Dominica_2018_August</t>
        </is>
      </c>
      <c r="N557" t="inlineStr">
        <is>
          <t>Sector público</t>
        </is>
      </c>
    </row>
    <row r="558">
      <c r="A558" t="inlineStr">
        <is>
          <t>Dominica_2018_August</t>
        </is>
      </c>
      <c r="N558" t="inlineStr">
        <is>
          <t>Deuda pública denominada en moneda extranjera como proporción de la deuda pública total (período previo)</t>
        </is>
      </c>
    </row>
    <row r="559">
      <c r="A559" t="inlineStr">
        <is>
          <t>Dominica_2018_August</t>
        </is>
      </c>
      <c r="N559" t="inlineStr">
        <is>
          <t>Tasa de interés sobre deuda en moneda extranjera</t>
        </is>
      </c>
    </row>
    <row r="560">
      <c r="A560" t="inlineStr">
        <is>
          <t>Dominica_2018_August</t>
        </is>
      </c>
      <c r="N560" t="inlineStr">
        <is>
          <t>Tasa de interés sobre deuda interna</t>
        </is>
      </c>
    </row>
    <row r="561">
      <c r="A561" t="inlineStr">
        <is>
          <t>Dominica_2018_August</t>
        </is>
      </c>
      <c r="N561" t="inlineStr">
        <is>
          <t>Vencimiento medio (deuda MLP/amortización)</t>
        </is>
      </c>
    </row>
    <row r="562">
      <c r="A562" t="inlineStr">
        <is>
          <t>Dominica_2018_August</t>
        </is>
      </c>
      <c r="N562" t="inlineStr">
        <is>
          <t>Deuda a corto plazo / deuda total</t>
        </is>
      </c>
    </row>
    <row r="563">
      <c r="A563" t="inlineStr">
        <is>
          <t>Dominica_2018_August</t>
        </is>
      </c>
      <c r="N563" t="inlineStr">
        <is>
          <t>VA de la deuda externa del sector público (de la balanza de pagos; expresada en moneda local; fin del período)</t>
        </is>
      </c>
    </row>
    <row r="564">
      <c r="A564" t="inlineStr">
        <is>
          <t>Dominica_2018_August</t>
        </is>
      </c>
      <c r="N564" t="inlineStr">
        <is>
          <t>Componente de donaciones del nuevo endeudamiento externo público (porcentaje; si está disponible)</t>
        </is>
      </c>
    </row>
    <row r="565">
      <c r="A565" t="inlineStr">
        <is>
          <t>Dominica_2018_August</t>
        </is>
      </c>
      <c r="N565" t="inlineStr">
        <is>
          <t>VA de pasivos contingentes (si está disponible)</t>
        </is>
      </c>
    </row>
    <row r="566">
      <c r="A566" t="inlineStr">
        <is>
          <t>Dominica_2018_August</t>
        </is>
      </c>
      <c r="N566" t="inlineStr">
        <is>
          <t>VA de la deuda externa del sector público denominada en moneda extranjera (fin del período)</t>
        </is>
      </c>
    </row>
    <row r="567">
      <c r="A567" t="inlineStr">
        <is>
          <t>Dominica_2018_August</t>
        </is>
      </c>
    </row>
    <row r="568">
      <c r="A568" t="inlineStr">
        <is>
          <t>Dominica_2018_August</t>
        </is>
      </c>
      <c r="N568" t="inlineStr">
        <is>
          <t>Cuenta corriente sin intereses en porcentaje del PIB</t>
        </is>
      </c>
    </row>
    <row r="569">
      <c r="A569" t="inlineStr">
        <is>
          <t>Dominica_2018_August</t>
        </is>
      </c>
      <c r="N569" t="inlineStr">
        <is>
          <t>Transferencias oficiales corrientes en porcentaje del PIB</t>
        </is>
      </c>
    </row>
    <row r="570">
      <c r="A570" t="inlineStr">
        <is>
          <t>Dominica_2018_August</t>
        </is>
      </c>
      <c r="N570" t="inlineStr">
        <is>
          <t>Total financiamiento bruto</t>
        </is>
      </c>
    </row>
    <row r="571">
      <c r="A571" t="inlineStr">
        <is>
          <t>Dominica_2018_August</t>
        </is>
      </c>
      <c r="N571" t="inlineStr">
        <is>
          <t>d/c cubierto por el sector privado</t>
        </is>
      </c>
    </row>
    <row r="572">
      <c r="A572" t="inlineStr">
        <is>
          <t>Dominica_2018_August</t>
        </is>
      </c>
      <c r="N572" t="inlineStr">
        <is>
          <t>d/c cubierto por el sector público</t>
        </is>
      </c>
    </row>
    <row r="573">
      <c r="A573" t="inlineStr">
        <is>
          <t>Dominica_2018_August</t>
        </is>
      </c>
      <c r="N573" t="inlineStr">
        <is>
          <t xml:space="preserve">Necesidades brutas de financiamiento </t>
        </is>
      </c>
    </row>
    <row r="574">
      <c r="A574" t="inlineStr">
        <is>
          <t>Dominica_2018_August</t>
        </is>
      </c>
    </row>
    <row r="575">
      <c r="A575" t="inlineStr">
        <is>
          <t>Dominica_2018_August</t>
        </is>
      </c>
      <c r="N575" t="inlineStr">
        <is>
          <t>Ingresos públicos (excluidas donaciones)</t>
        </is>
      </c>
    </row>
    <row r="576">
      <c r="A576" t="inlineStr">
        <is>
          <t>Dominica_2018_August</t>
        </is>
      </c>
      <c r="N576" t="inlineStr">
        <is>
          <t>Ingresos reales y donaciones</t>
        </is>
      </c>
    </row>
    <row r="577">
      <c r="A577" t="inlineStr">
        <is>
          <t>Dominica_2018_August</t>
        </is>
      </c>
      <c r="N577" t="inlineStr">
        <is>
          <t>Crecimiento de ingreso reales y donaciones</t>
        </is>
      </c>
    </row>
    <row r="578">
      <c r="A578" t="inlineStr">
        <is>
          <t>Dominica_2018_August</t>
        </is>
      </c>
      <c r="N578" t="inlineStr">
        <is>
          <t>Donaciones</t>
        </is>
      </c>
    </row>
    <row r="579">
      <c r="A579" t="inlineStr">
        <is>
          <t>Dominica_2018_August</t>
        </is>
      </c>
      <c r="N579" t="inlineStr">
        <is>
          <t>Ingresos en porcentaje del PIB</t>
        </is>
      </c>
    </row>
    <row r="580">
      <c r="A580" t="inlineStr">
        <is>
          <t>Dominica_2018_August</t>
        </is>
      </c>
      <c r="N580" t="inlineStr">
        <is>
          <t>Gasto real distinto de intereses</t>
        </is>
      </c>
    </row>
    <row r="581">
      <c r="A581" t="inlineStr">
        <is>
          <t>Dominica_2018_August</t>
        </is>
      </c>
      <c r="N581" t="inlineStr">
        <is>
          <t>Crecimiento del gasto real distinto de intereses</t>
        </is>
      </c>
    </row>
    <row r="582">
      <c r="A582" t="inlineStr">
        <is>
          <t>Dominica_2018_August</t>
        </is>
      </c>
      <c r="N582" t="inlineStr">
        <is>
          <t>Línea de verificación para nuevos desembolsos al sector público</t>
        </is>
      </c>
    </row>
    <row r="583">
      <c r="A583" t="inlineStr">
        <is>
          <t>Dominica_2018_August</t>
        </is>
      </c>
      <c r="N583" t="inlineStr">
        <is>
          <t>Economía real</t>
        </is>
      </c>
    </row>
    <row r="584">
      <c r="A584" t="inlineStr">
        <is>
          <t>Dominica_2018_August</t>
        </is>
      </c>
      <c r="N584" t="inlineStr">
        <is>
          <t>Crecimiento del PIB real</t>
        </is>
      </c>
    </row>
    <row r="585">
      <c r="A585" t="inlineStr">
        <is>
          <t>Dominica_2018_August</t>
        </is>
      </c>
      <c r="N585" t="inlineStr">
        <is>
          <t>Índice del deflactor del PIB (moneda nacional)</t>
        </is>
      </c>
    </row>
    <row r="586">
      <c r="A586" t="inlineStr">
        <is>
          <t>Dominica_2018_August</t>
        </is>
      </c>
      <c r="N586" t="inlineStr">
        <is>
          <t>Variación del factor del deflactor del PIB (porcentaje)</t>
        </is>
      </c>
    </row>
    <row r="587">
      <c r="A587" t="inlineStr">
        <is>
          <t>Dominica_2018_August</t>
        </is>
      </c>
      <c r="N587" t="inlineStr">
        <is>
          <t>Índice del deflactor del PIB (dólares)</t>
        </is>
      </c>
    </row>
    <row r="588">
      <c r="A588" t="inlineStr">
        <is>
          <t>Dominica_2018_August</t>
        </is>
      </c>
      <c r="N588" t="inlineStr">
        <is>
          <t>Variación del factor del deflactor del PIB (porcentaje)</t>
        </is>
      </c>
    </row>
    <row r="589">
      <c r="A589" t="inlineStr">
        <is>
          <t>Dominica_2018_August</t>
        </is>
      </c>
      <c r="N589" t="inlineStr">
        <is>
          <t>Deflactor del PIB de Estados Unidos (variación porcentual)</t>
        </is>
      </c>
    </row>
    <row r="590">
      <c r="A590" t="inlineStr">
        <is>
          <t>Dominica_2018_August</t>
        </is>
      </c>
      <c r="N590" t="inlineStr">
        <is>
          <t>Tipo de cambio dólares/MN</t>
        </is>
      </c>
    </row>
    <row r="591">
      <c r="A591" t="inlineStr">
        <is>
          <t>Dominica_2018_August</t>
        </is>
      </c>
      <c r="N591" t="inlineStr">
        <is>
          <t>Depreciación de la MN</t>
        </is>
      </c>
    </row>
    <row r="592">
      <c r="A592" t="inlineStr">
        <is>
          <t>Dominica_2018_August</t>
        </is>
      </c>
    </row>
    <row r="593">
      <c r="A593" t="inlineStr">
        <is>
          <t>Dominica_2018_August</t>
        </is>
      </c>
      <c r="N593" t="inlineStr">
        <is>
          <t>1/ Incluye atrasos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s="1" t="inlineStr">
        <is>
          <t>link.staff.report</t>
        </is>
      </c>
      <c r="C1" s="1" t="inlineStr">
        <is>
          <t>dsa.vintage</t>
        </is>
      </c>
      <c r="D1" s="1" t="inlineStr">
        <is>
          <t>country.name</t>
        </is>
      </c>
      <c r="E1" s="1" t="inlineStr">
        <is>
          <t>country.code</t>
        </is>
      </c>
      <c r="F1" s="1" t="inlineStr">
        <is>
          <t>issue.date</t>
        </is>
      </c>
      <c r="G1" s="1" t="inlineStr">
        <is>
          <t>methodo.gn</t>
        </is>
      </c>
      <c r="H1" s="1" t="inlineStr">
        <is>
          <t>first.year.proj</t>
        </is>
      </c>
      <c r="I1" s="1" t="inlineStr">
        <is>
          <t>indicator</t>
        </is>
      </c>
      <c r="J1" s="1" t="inlineStr">
        <is>
          <t>description</t>
        </is>
      </c>
      <c r="K1" s="1" t="inlineStr">
        <is>
          <t>trs1</t>
        </is>
      </c>
      <c r="L1" s="1" t="inlineStr">
        <is>
          <t>trs2</t>
        </is>
      </c>
      <c r="M1" s="1" t="inlineStr">
        <is>
          <t>trs3</t>
        </is>
      </c>
      <c r="O1" t="n">
        <v>2017</v>
      </c>
      <c r="P1" t="n">
        <v>2018</v>
      </c>
      <c r="Q1" t="n">
        <v>2019</v>
      </c>
      <c r="R1" t="n">
        <v>2020</v>
      </c>
      <c r="S1" t="n">
        <v>2021</v>
      </c>
      <c r="T1" t="n">
        <v>2022</v>
      </c>
      <c r="U1" t="n">
        <v>2023</v>
      </c>
      <c r="V1" t="n">
        <v>2024</v>
      </c>
      <c r="W1" t="n">
        <v>2025</v>
      </c>
      <c r="X1" t="n">
        <v>2026</v>
      </c>
      <c r="Y1" t="n">
        <v>2027</v>
      </c>
      <c r="Z1" t="n">
        <v>2028</v>
      </c>
      <c r="AA1" t="n">
        <v>2029</v>
      </c>
      <c r="AB1" t="n">
        <v>2030</v>
      </c>
      <c r="AC1" t="n">
        <v>2031</v>
      </c>
      <c r="AD1" t="n">
        <v>2032</v>
      </c>
      <c r="AE1" t="n">
        <v>2033</v>
      </c>
      <c r="AF1" t="n">
        <v>2034</v>
      </c>
      <c r="AG1" t="n">
        <v>2035</v>
      </c>
      <c r="AH1" t="n">
        <v>2036</v>
      </c>
      <c r="AI1" t="n">
        <v>2037</v>
      </c>
      <c r="AJ1" t="n">
        <v>2038</v>
      </c>
      <c r="AK1" t="n">
        <v>2039</v>
      </c>
      <c r="AL1" t="n">
        <v>2040</v>
      </c>
      <c r="AM1" t="n">
        <v>2041</v>
      </c>
      <c r="AN1" t="n">
        <v>2042</v>
      </c>
      <c r="AO1" t="n">
        <v>2043</v>
      </c>
      <c r="AP1" t="n">
        <v>2044</v>
      </c>
      <c r="AQ1" t="n">
        <v>2045</v>
      </c>
      <c r="AR1" t="n">
        <v>2046</v>
      </c>
      <c r="AS1" t="n">
        <v>2047</v>
      </c>
      <c r="AT1" t="n">
        <v>2048</v>
      </c>
      <c r="AU1" t="n">
        <v>2049</v>
      </c>
      <c r="AV1" t="n">
        <v>2050</v>
      </c>
      <c r="AW1" t="n">
        <v>2051</v>
      </c>
      <c r="AX1" t="n">
        <v>2052</v>
      </c>
      <c r="AY1" t="n">
        <v>2053</v>
      </c>
      <c r="AZ1" t="n">
        <v>2054</v>
      </c>
      <c r="BA1" t="n">
        <v>2055</v>
      </c>
      <c r="BB1" t="n">
        <v>2056</v>
      </c>
      <c r="BC1" t="n">
        <v>2057</v>
      </c>
      <c r="BD1" t="n">
        <v>2058</v>
      </c>
      <c r="BE1" t="n">
        <v>2059</v>
      </c>
      <c r="BF1" t="n">
        <v>2060</v>
      </c>
      <c r="BG1" t="n">
        <v>2061</v>
      </c>
    </row>
    <row r="2">
      <c r="A2" t="inlineStr">
        <is>
          <t>Dominica_2018_August</t>
        </is>
      </c>
      <c r="B2" s="2" t="n"/>
      <c r="C2" s="3" t="inlineStr">
        <is>
          <t>SM.18.139</t>
        </is>
      </c>
      <c r="D2" s="4" t="inlineStr">
        <is>
          <t>Dominica</t>
        </is>
      </c>
      <c r="E2" s="4" t="inlineStr">
        <is>
          <t>DMA</t>
        </is>
      </c>
      <c r="F2" s="10" t="n">
        <v>43255</v>
      </c>
      <c r="G2" s="4" t="inlineStr">
        <is>
          <t>2013gn</t>
        </is>
      </c>
      <c r="H2" s="4" t="n">
        <v>2017</v>
      </c>
      <c r="I2" s="5" t="n"/>
      <c r="J2" t="inlineStr">
        <is>
          <t>THIS SHEET CALCULATES THE PV OF PUBLIC (PPG) EXTERNAL DEBT</t>
        </is>
      </c>
      <c r="K2" t="n">
        <v>0</v>
      </c>
    </row>
    <row r="3">
      <c r="A3" t="inlineStr">
        <is>
          <t>Dominica_2018_August</t>
        </is>
      </c>
      <c r="B3" s="2" t="n"/>
      <c r="C3" s="3" t="inlineStr">
        <is>
          <t>SM.18.139</t>
        </is>
      </c>
      <c r="D3" s="4" t="inlineStr">
        <is>
          <t>Dominica</t>
        </is>
      </c>
      <c r="E3" s="4" t="inlineStr">
        <is>
          <t>DMA</t>
        </is>
      </c>
      <c r="F3" s="10" t="n">
        <v>43255</v>
      </c>
      <c r="G3" s="4" t="inlineStr">
        <is>
          <t>2013gn</t>
        </is>
      </c>
      <c r="H3" s="4" t="n">
        <v>2017</v>
      </c>
      <c r="I3" s="5" t="n"/>
      <c r="K3" t="n">
        <v>0</v>
      </c>
    </row>
    <row r="4">
      <c r="A4" t="inlineStr">
        <is>
          <t>Dominica_2018_August</t>
        </is>
      </c>
      <c r="B4" s="2" t="n"/>
      <c r="C4" s="3" t="inlineStr">
        <is>
          <t>SM.18.139</t>
        </is>
      </c>
      <c r="D4" s="4" t="inlineStr">
        <is>
          <t>Dominica</t>
        </is>
      </c>
      <c r="E4" s="4" t="inlineStr">
        <is>
          <t>DMA</t>
        </is>
      </c>
      <c r="F4" s="10" t="n">
        <v>43255</v>
      </c>
      <c r="G4" s="4" t="inlineStr">
        <is>
          <t>2013gn</t>
        </is>
      </c>
      <c r="H4" s="4" t="n">
        <v>2017</v>
      </c>
      <c r="I4" s="5" t="n"/>
      <c r="J4" t="inlineStr">
        <is>
          <t>Enter information for PPG debt in yellow sells in same unit as data_input (e.g., billion US)</t>
        </is>
      </c>
      <c r="K4" t="n">
        <v>0</v>
      </c>
      <c r="T4" t="inlineStr">
        <is>
          <t>Blue cells are populated automatically</t>
        </is>
      </c>
    </row>
    <row r="5">
      <c r="A5" t="inlineStr">
        <is>
          <t>Dominica_2018_August</t>
        </is>
      </c>
      <c r="B5" s="2" t="n"/>
      <c r="C5" s="3" t="inlineStr">
        <is>
          <t>SM.18.139</t>
        </is>
      </c>
      <c r="D5" s="4" t="inlineStr">
        <is>
          <t>Dominica</t>
        </is>
      </c>
      <c r="E5" s="4" t="inlineStr">
        <is>
          <t>DMA</t>
        </is>
      </c>
      <c r="F5" s="10" t="n">
        <v>43255</v>
      </c>
      <c r="G5" s="4" t="inlineStr">
        <is>
          <t>2013gn</t>
        </is>
      </c>
      <c r="H5" s="4" t="n">
        <v>2017</v>
      </c>
      <c r="I5" s="5" t="n"/>
      <c r="K5" t="n">
        <v>0</v>
      </c>
    </row>
    <row r="6">
      <c r="A6" t="inlineStr">
        <is>
          <t>Dominica_2018_August</t>
        </is>
      </c>
      <c r="B6" s="2" t="n"/>
      <c r="C6" s="3" t="inlineStr">
        <is>
          <t>SM.18.139</t>
        </is>
      </c>
      <c r="D6" s="4" t="inlineStr">
        <is>
          <t>Dominica</t>
        </is>
      </c>
      <c r="E6" s="4" t="inlineStr">
        <is>
          <t>DMA</t>
        </is>
      </c>
      <c r="F6" s="10" t="n">
        <v>43255</v>
      </c>
      <c r="G6" s="4" t="inlineStr">
        <is>
          <t>2013gn</t>
        </is>
      </c>
      <c r="H6" s="4" t="n">
        <v>2017</v>
      </c>
      <c r="I6" s="5" t="n"/>
      <c r="J6" t="inlineStr">
        <is>
          <t>A. INPUT</t>
        </is>
      </c>
      <c r="K6" t="n">
        <v>0</v>
      </c>
    </row>
    <row r="7">
      <c r="A7" t="inlineStr">
        <is>
          <t>Dominica_2018_August</t>
        </is>
      </c>
      <c r="B7" s="2" t="n"/>
      <c r="C7" s="3" t="inlineStr">
        <is>
          <t>SM.18.139</t>
        </is>
      </c>
      <c r="D7" s="4" t="inlineStr">
        <is>
          <t>Dominica</t>
        </is>
      </c>
      <c r="E7" s="4" t="inlineStr">
        <is>
          <t>DMA</t>
        </is>
      </c>
      <c r="F7" s="10" t="n">
        <v>43255</v>
      </c>
      <c r="G7" s="4" t="inlineStr">
        <is>
          <t>2013gn</t>
        </is>
      </c>
      <c r="H7" s="4" t="n">
        <v>2017</v>
      </c>
      <c r="I7" s="5" t="n"/>
      <c r="K7" t="n">
        <v>0</v>
      </c>
    </row>
    <row r="8">
      <c r="A8" t="inlineStr">
        <is>
          <t>Dominica_2018_August</t>
        </is>
      </c>
      <c r="B8" s="2" t="n"/>
      <c r="C8" s="3" t="inlineStr">
        <is>
          <t>SM.18.139</t>
        </is>
      </c>
      <c r="D8" s="4" t="inlineStr">
        <is>
          <t>Dominica</t>
        </is>
      </c>
      <c r="E8" s="4" t="inlineStr">
        <is>
          <t>DMA</t>
        </is>
      </c>
      <c r="F8" s="10" t="n">
        <v>43255</v>
      </c>
      <c r="G8" s="4" t="inlineStr">
        <is>
          <t>2013gn</t>
        </is>
      </c>
      <c r="H8" s="4" t="n">
        <v>2017</v>
      </c>
      <c r="I8" s="5" t="n"/>
      <c r="J8" t="inlineStr">
        <is>
          <t>Assumptions on new external debt</t>
        </is>
      </c>
      <c r="K8" t="n">
        <v>0</v>
      </c>
      <c r="S8" t="inlineStr">
        <is>
          <t>Assumptions on the terms on additional financing resulting from the stress tests</t>
        </is>
      </c>
    </row>
    <row r="9">
      <c r="A9" t="inlineStr">
        <is>
          <t>Dominica_2018_August</t>
        </is>
      </c>
      <c r="B9" s="2" t="n"/>
      <c r="C9" s="3" t="inlineStr">
        <is>
          <t>SM.18.139</t>
        </is>
      </c>
      <c r="D9" s="4" t="inlineStr">
        <is>
          <t>Dominica</t>
        </is>
      </c>
      <c r="E9" s="4" t="inlineStr">
        <is>
          <t>DMA</t>
        </is>
      </c>
      <c r="F9" s="10" t="n">
        <v>43255</v>
      </c>
      <c r="G9" s="4" t="inlineStr">
        <is>
          <t>2013gn</t>
        </is>
      </c>
      <c r="H9" s="4" t="n">
        <v>2017</v>
      </c>
      <c r="I9" s="5" t="n"/>
      <c r="K9" t="n">
        <v>0</v>
      </c>
    </row>
    <row r="10">
      <c r="A10" t="inlineStr">
        <is>
          <t>Dominica_2018_August</t>
        </is>
      </c>
      <c r="B10" s="2" t="n"/>
      <c r="C10" s="3" t="inlineStr">
        <is>
          <t>SM.18.139</t>
        </is>
      </c>
      <c r="D10" s="4" t="inlineStr">
        <is>
          <t>Dominica</t>
        </is>
      </c>
      <c r="E10" s="4" t="inlineStr">
        <is>
          <t>DMA</t>
        </is>
      </c>
      <c r="F10" s="10" t="n">
        <v>43255</v>
      </c>
      <c r="G10" s="4" t="inlineStr">
        <is>
          <t>2013gn</t>
        </is>
      </c>
      <c r="H10" s="4" t="n">
        <v>2017</v>
      </c>
      <c r="I10" s="5" t="n"/>
      <c r="M10" t="inlineStr">
        <is>
          <t>Discount</t>
        </is>
      </c>
      <c r="N10" t="inlineStr">
        <is>
          <t>Interest</t>
        </is>
      </c>
      <c r="O10" t="inlineStr">
        <is>
          <t>Grace</t>
        </is>
      </c>
      <c r="P10" t="inlineStr">
        <is>
          <t>Loan</t>
        </is>
      </c>
      <c r="Q10" t="inlineStr">
        <is>
          <t xml:space="preserve">Grant </t>
        </is>
      </c>
      <c r="S10" t="inlineStr">
        <is>
          <t>Shares of marginal debt*</t>
        </is>
      </c>
    </row>
    <row r="11">
      <c r="A11" t="inlineStr">
        <is>
          <t>Dominica_2018_August</t>
        </is>
      </c>
      <c r="B11" s="2" t="n"/>
      <c r="C11" s="3" t="inlineStr">
        <is>
          <t>SM.18.139</t>
        </is>
      </c>
      <c r="D11" s="4" t="inlineStr">
        <is>
          <t>Dominica</t>
        </is>
      </c>
      <c r="E11" s="4" t="inlineStr">
        <is>
          <t>DMA</t>
        </is>
      </c>
      <c r="F11" s="10" t="n">
        <v>43255</v>
      </c>
      <c r="G11" s="4" t="inlineStr">
        <is>
          <t>2013gn</t>
        </is>
      </c>
      <c r="H11" s="4" t="n">
        <v>2017</v>
      </c>
      <c r="I11" s="4" t="inlineStr">
        <is>
          <t>old.tds.mlt</t>
        </is>
      </c>
      <c r="M11" t="inlineStr">
        <is>
          <t>rate</t>
        </is>
      </c>
      <c r="N11" t="inlineStr">
        <is>
          <t>rate</t>
        </is>
      </c>
      <c r="O11" t="inlineStr">
        <is>
          <t>period</t>
        </is>
      </c>
      <c r="P11" t="inlineStr">
        <is>
          <t>Maturity</t>
        </is>
      </c>
      <c r="Q11" t="inlineStr">
        <is>
          <t>Element, %</t>
        </is>
      </c>
      <c r="S11" t="inlineStr">
        <is>
          <t>Forex</t>
        </is>
      </c>
      <c r="Y11" t="n">
        <v>0</v>
      </c>
      <c r="Z11" t="n">
        <v>0.8</v>
      </c>
      <c r="AA11">
        <f>external</f>
        <v/>
      </c>
    </row>
    <row r="12">
      <c r="A12" t="inlineStr">
        <is>
          <t>Dominica_2018_August</t>
        </is>
      </c>
      <c r="B12" s="2" t="n"/>
      <c r="C12" s="3" t="inlineStr">
        <is>
          <t>SM.18.139</t>
        </is>
      </c>
      <c r="D12" s="4" t="inlineStr">
        <is>
          <t>Dominica</t>
        </is>
      </c>
      <c r="E12" s="4" t="inlineStr">
        <is>
          <t>DMA</t>
        </is>
      </c>
      <c r="F12" s="10" t="n">
        <v>43255</v>
      </c>
      <c r="G12" s="4" t="inlineStr">
        <is>
          <t>2013gn</t>
        </is>
      </c>
      <c r="H12" s="4" t="n">
        <v>2017</v>
      </c>
      <c r="I12" s="4" t="inlineStr">
        <is>
          <t>old.tds.mlt.imf</t>
        </is>
      </c>
      <c r="J12" t="inlineStr">
        <is>
          <t>Multilaterals</t>
        </is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S12" t="inlineStr">
        <is>
          <t>Domestic medium and long-term</t>
        </is>
      </c>
      <c r="Y12" t="n">
        <v>0</v>
      </c>
      <c r="Z12" t="n">
        <v>0.2</v>
      </c>
      <c r="AA12">
        <f>domestic</f>
        <v/>
      </c>
      <c r="AC12" t="inlineStr">
        <is>
          <t>WB: some given on IDA and some on IBRD terms</t>
        </is>
      </c>
    </row>
    <row r="13">
      <c r="A13" t="inlineStr">
        <is>
          <t>Dominica_2018_August</t>
        </is>
      </c>
      <c r="B13" s="2" t="n"/>
      <c r="C13" s="3" t="inlineStr">
        <is>
          <t>SM.18.139</t>
        </is>
      </c>
      <c r="D13" s="4" t="inlineStr">
        <is>
          <t>Dominica</t>
        </is>
      </c>
      <c r="E13" s="4" t="inlineStr">
        <is>
          <t>DMA</t>
        </is>
      </c>
      <c r="F13" s="10" t="n">
        <v>43255</v>
      </c>
      <c r="G13" s="4" t="inlineStr">
        <is>
          <t>2013gn</t>
        </is>
      </c>
      <c r="H13" s="4" t="n">
        <v>2017</v>
      </c>
      <c r="I13" s="4" t="inlineStr">
        <is>
          <t>old.tds.mlt.ida.reg</t>
        </is>
      </c>
      <c r="J13" t="inlineStr">
        <is>
          <t xml:space="preserve">   IMF</t>
        </is>
      </c>
      <c r="K13" t="inlineStr">
        <is>
          <t>SDR</t>
        </is>
      </c>
      <c r="M13" t="n">
        <v>0.05</v>
      </c>
      <c r="N13" t="n">
        <v>0.0025</v>
      </c>
      <c r="O13" t="n">
        <v>5</v>
      </c>
      <c r="P13" t="n">
        <v>10</v>
      </c>
      <c r="Q13" t="n">
        <v>30.86999478203323</v>
      </c>
      <c r="S13" t="inlineStr">
        <is>
          <t>Domestic short-term</t>
        </is>
      </c>
      <c r="Y13" t="n">
        <v>0</v>
      </c>
      <c r="Z13" t="n">
        <v>0</v>
      </c>
      <c r="AC13" t="inlineStr">
        <is>
          <t>CBD: some on IDA on IBRD (more expensive) -- different windows b/c not LIC</t>
        </is>
      </c>
    </row>
    <row r="14">
      <c r="A14" t="inlineStr">
        <is>
          <t>Dominica_2018_August</t>
        </is>
      </c>
      <c r="B14" s="2" t="n"/>
      <c r="C14" s="3" t="inlineStr">
        <is>
          <t>SM.18.139</t>
        </is>
      </c>
      <c r="D14" s="4" t="inlineStr">
        <is>
          <t>Dominica</t>
        </is>
      </c>
      <c r="E14" s="4" t="inlineStr">
        <is>
          <t>DMA</t>
        </is>
      </c>
      <c r="F14" s="10" t="n">
        <v>43255</v>
      </c>
      <c r="G14" s="4" t="inlineStr">
        <is>
          <t>2013gn</t>
        </is>
      </c>
      <c r="H14" s="4" t="n">
        <v>2017</v>
      </c>
      <c r="I14" s="4" t="inlineStr">
        <is>
          <t>old.tds.mlt.ida.bld</t>
        </is>
      </c>
      <c r="J14" t="inlineStr">
        <is>
          <t xml:space="preserve">   IDA - Small Island Country</t>
        </is>
      </c>
      <c r="K14" t="inlineStr">
        <is>
          <t>SDR</t>
        </is>
      </c>
      <c r="M14" t="n">
        <v>0.05</v>
      </c>
      <c r="N14" t="n">
        <v>0.0075</v>
      </c>
      <c r="O14" t="n">
        <v>10</v>
      </c>
      <c r="P14" t="n">
        <v>40</v>
      </c>
      <c r="Q14" t="n">
        <v>61.07782006412307</v>
      </c>
      <c r="S14" t="inlineStr">
        <is>
          <t>Terms of marginal debt</t>
        </is>
      </c>
      <c r="AC14" t="inlineStr">
        <is>
          <t>Need to get this split. So far lumped b/c after the hurricane most on IDA terms</t>
        </is>
      </c>
    </row>
    <row r="15">
      <c r="A15" t="inlineStr">
        <is>
          <t>Dominica_2018_August</t>
        </is>
      </c>
      <c r="B15" s="2" t="n"/>
      <c r="C15" s="3" t="inlineStr">
        <is>
          <t>SM.18.139</t>
        </is>
      </c>
      <c r="D15" s="4" t="inlineStr">
        <is>
          <t>Dominica</t>
        </is>
      </c>
      <c r="E15" s="4" t="inlineStr">
        <is>
          <t>DMA</t>
        </is>
      </c>
      <c r="F15" s="10" t="n">
        <v>43255</v>
      </c>
      <c r="G15" s="4" t="inlineStr">
        <is>
          <t>2013gn</t>
        </is>
      </c>
      <c r="H15" s="4" t="n">
        <v>2017</v>
      </c>
      <c r="I15" s="4" t="inlineStr">
        <is>
          <t>old.tds.mlt2</t>
        </is>
      </c>
      <c r="J15" t="inlineStr">
        <is>
          <t>IDA - Regular</t>
        </is>
      </c>
      <c r="K15" t="n">
        <v>0</v>
      </c>
      <c r="M15" t="n">
        <v>0.05</v>
      </c>
      <c r="N15" t="n">
        <v>0.0075</v>
      </c>
      <c r="O15" t="n">
        <v>6</v>
      </c>
      <c r="P15" t="n">
        <v>38</v>
      </c>
      <c r="Q15" t="n">
        <v>53.81515690650887</v>
      </c>
      <c r="S15" t="inlineStr">
        <is>
          <t>Forex debt</t>
        </is>
      </c>
      <c r="Y15" t="n">
        <v>0</v>
      </c>
    </row>
    <row r="16">
      <c r="A16" t="inlineStr">
        <is>
          <t>Dominica_2018_August</t>
        </is>
      </c>
      <c r="B16" s="2" t="n"/>
      <c r="C16" s="3" t="inlineStr">
        <is>
          <t>SM.18.139</t>
        </is>
      </c>
      <c r="D16" s="4" t="inlineStr">
        <is>
          <t>Dominica</t>
        </is>
      </c>
      <c r="E16" s="4" t="inlineStr">
        <is>
          <t>DMA</t>
        </is>
      </c>
      <c r="F16" s="10" t="n">
        <v>43255</v>
      </c>
      <c r="G16" s="4" t="inlineStr">
        <is>
          <t>2013gn</t>
        </is>
      </c>
      <c r="H16" s="4" t="n">
        <v>2017</v>
      </c>
      <c r="I16" s="4" t="inlineStr">
        <is>
          <t>old.tds.mlt.afdb</t>
        </is>
      </c>
      <c r="J16" t="inlineStr">
        <is>
          <t>IBRD</t>
        </is>
      </c>
      <c r="K16" t="n">
        <v>0</v>
      </c>
      <c r="M16" t="n">
        <v>0.05</v>
      </c>
      <c r="N16" t="n">
        <v>0.025</v>
      </c>
      <c r="O16" t="n">
        <v>10</v>
      </c>
      <c r="P16" t="n">
        <v>30</v>
      </c>
      <c r="Q16" t="n">
        <v>31.35137951186112</v>
      </c>
      <c r="S16" t="inlineStr">
        <is>
          <t>Avg. nominal interest rate on new borrowing in USD</t>
        </is>
      </c>
      <c r="Y16" t="n">
        <v>0</v>
      </c>
      <c r="Z16" t="n">
        <v>3.651433850553459</v>
      </c>
    </row>
    <row r="17">
      <c r="A17" t="inlineStr">
        <is>
          <t>Dominica_2018_August</t>
        </is>
      </c>
      <c r="B17" s="2" t="n"/>
      <c r="C17" s="3" t="inlineStr">
        <is>
          <t>SM.18.139</t>
        </is>
      </c>
      <c r="D17" s="4" t="inlineStr">
        <is>
          <t>Dominica</t>
        </is>
      </c>
      <c r="E17" s="4" t="inlineStr">
        <is>
          <t>DMA</t>
        </is>
      </c>
      <c r="F17" s="10" t="n">
        <v>43255</v>
      </c>
      <c r="G17" s="4" t="inlineStr">
        <is>
          <t>2013gn</t>
        </is>
      </c>
      <c r="H17" s="4" t="n">
        <v>2017</v>
      </c>
      <c r="I17" s="4" t="inlineStr">
        <is>
          <t>old.tds.mlt3</t>
        </is>
      </c>
      <c r="J17" t="inlineStr">
        <is>
          <t xml:space="preserve">   Others Multilateral</t>
        </is>
      </c>
      <c r="K17" t="inlineStr">
        <is>
          <t>Euro</t>
        </is>
      </c>
      <c r="L17" t="inlineStr">
        <is>
          <t>CDB</t>
        </is>
      </c>
      <c r="M17" t="n">
        <v>0.05</v>
      </c>
      <c r="N17" t="n">
        <v>0.035</v>
      </c>
      <c r="O17" t="n">
        <v>10</v>
      </c>
      <c r="P17" t="n">
        <v>20</v>
      </c>
      <c r="Q17" t="n">
        <v>16.60815695727167</v>
      </c>
      <c r="S17" t="inlineStr">
        <is>
          <t>USD Discount rate</t>
        </is>
      </c>
      <c r="Y17" t="n">
        <v>0</v>
      </c>
      <c r="Z17" t="n">
        <v>0.05</v>
      </c>
    </row>
    <row r="18">
      <c r="A18" t="inlineStr">
        <is>
          <t>Dominica_2018_August</t>
        </is>
      </c>
      <c r="B18" s="2" t="n"/>
      <c r="C18" s="3" t="inlineStr">
        <is>
          <t>SM.18.139</t>
        </is>
      </c>
      <c r="D18" s="4" t="inlineStr">
        <is>
          <t>Dominica</t>
        </is>
      </c>
      <c r="E18" s="4" t="inlineStr">
        <is>
          <t>DMA</t>
        </is>
      </c>
      <c r="F18" s="10" t="n">
        <v>43255</v>
      </c>
      <c r="G18" s="4" t="inlineStr">
        <is>
          <t>2013gn</t>
        </is>
      </c>
      <c r="H18" s="4" t="n">
        <v>2017</v>
      </c>
      <c r="I18" s="4" t="inlineStr">
        <is>
          <t>old.tds.mlt.oth</t>
        </is>
      </c>
      <c r="J18" t="inlineStr">
        <is>
          <t>Official Bilaterals</t>
        </is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S18" t="inlineStr">
        <is>
          <t>Avg. maturity (incl. grace period)</t>
        </is>
      </c>
      <c r="Y18" t="n">
        <v>0</v>
      </c>
      <c r="Z18" t="n">
        <v>18</v>
      </c>
    </row>
    <row r="19">
      <c r="A19" t="inlineStr">
        <is>
          <t>Dominica_2018_August</t>
        </is>
      </c>
      <c r="B19" s="2" t="n"/>
      <c r="C19" s="3" t="inlineStr">
        <is>
          <t>SM.18.139</t>
        </is>
      </c>
      <c r="D19" s="4" t="inlineStr">
        <is>
          <t>Dominica</t>
        </is>
      </c>
      <c r="E19" s="4" t="inlineStr">
        <is>
          <t>DMA</t>
        </is>
      </c>
      <c r="F19" s="10" t="n">
        <v>43255</v>
      </c>
      <c r="G19" s="4" t="inlineStr">
        <is>
          <t>2013gn</t>
        </is>
      </c>
      <c r="H19" s="4" t="n">
        <v>2017</v>
      </c>
      <c r="I19" s="4" t="inlineStr">
        <is>
          <t>old.tds.mlt.oth1</t>
        </is>
      </c>
      <c r="J19" t="inlineStr">
        <is>
          <t xml:space="preserve">   Paris Club</t>
        </is>
      </c>
      <c r="K19" t="inlineStr">
        <is>
          <t>Euro</t>
        </is>
      </c>
      <c r="S19" t="inlineStr">
        <is>
          <t>Avg. grace period (minimum 1)</t>
        </is>
      </c>
      <c r="Y19" t="n">
        <v>0</v>
      </c>
      <c r="Z19" t="n">
        <v>7</v>
      </c>
    </row>
    <row r="20">
      <c r="A20" t="inlineStr">
        <is>
          <t>Dominica_2018_August</t>
        </is>
      </c>
      <c r="B20" s="2" t="n"/>
      <c r="C20" s="3" t="inlineStr">
        <is>
          <t>SM.18.139</t>
        </is>
      </c>
      <c r="D20" s="4" t="inlineStr">
        <is>
          <t>Dominica</t>
        </is>
      </c>
      <c r="E20" s="4" t="inlineStr">
        <is>
          <t>DMA</t>
        </is>
      </c>
      <c r="F20" s="10" t="n">
        <v>43255</v>
      </c>
      <c r="G20" s="4" t="inlineStr">
        <is>
          <t>2013gn</t>
        </is>
      </c>
      <c r="H20" s="4" t="n">
        <v>2017</v>
      </c>
      <c r="I20" s="4" t="inlineStr">
        <is>
          <t>old.tds.mlt.oth2</t>
        </is>
      </c>
      <c r="J20" t="inlineStr">
        <is>
          <t>Descriptor</t>
        </is>
      </c>
      <c r="K20" t="n">
        <v>0</v>
      </c>
      <c r="M20" t="n">
        <v>0.05</v>
      </c>
      <c r="N20" t="n">
        <v>0.03</v>
      </c>
      <c r="O20" t="n">
        <v>7</v>
      </c>
      <c r="P20" t="n">
        <v>20</v>
      </c>
      <c r="Q20" t="n">
        <v>20.22925212400136</v>
      </c>
      <c r="S20" t="inlineStr">
        <is>
          <t>Domestic MLT debt</t>
        </is>
      </c>
      <c r="Y20" t="n">
        <v>0</v>
      </c>
    </row>
    <row r="21">
      <c r="A21" t="inlineStr">
        <is>
          <t>Dominica_2018_August</t>
        </is>
      </c>
      <c r="B21" s="2" t="n"/>
      <c r="C21" s="3" t="inlineStr">
        <is>
          <t>SM.18.139</t>
        </is>
      </c>
      <c r="D21" s="4" t="inlineStr">
        <is>
          <t>Dominica</t>
        </is>
      </c>
      <c r="E21" s="4" t="inlineStr">
        <is>
          <t>DMA</t>
        </is>
      </c>
      <c r="F21" s="10" t="n">
        <v>43255</v>
      </c>
      <c r="G21" s="4" t="inlineStr">
        <is>
          <t>2013gn</t>
        </is>
      </c>
      <c r="H21" s="4" t="n">
        <v>2017</v>
      </c>
      <c r="I21" s="4" t="inlineStr">
        <is>
          <t>old.tds.mlt.oth3</t>
        </is>
      </c>
      <c r="J21" t="inlineStr">
        <is>
          <t>Descriptor</t>
        </is>
      </c>
      <c r="K21" t="n">
        <v>0</v>
      </c>
      <c r="M21" t="n">
        <v>0.05</v>
      </c>
      <c r="N21" t="n">
        <v>0.03</v>
      </c>
      <c r="O21" t="n">
        <v>7</v>
      </c>
      <c r="P21" t="n">
        <v>20</v>
      </c>
      <c r="Q21" t="n">
        <v>20.22925212400136</v>
      </c>
      <c r="S21" t="inlineStr">
        <is>
          <t>Avg. real interest rate on new borrowing</t>
        </is>
      </c>
      <c r="Z21" t="n">
        <v>5</v>
      </c>
    </row>
    <row r="22">
      <c r="A22" t="inlineStr">
        <is>
          <t>Dominica_2018_August</t>
        </is>
      </c>
      <c r="B22" s="2" t="n"/>
      <c r="C22" s="3" t="inlineStr">
        <is>
          <t>SM.18.139</t>
        </is>
      </c>
      <c r="D22" s="4" t="inlineStr">
        <is>
          <t>Dominica</t>
        </is>
      </c>
      <c r="E22" s="4" t="inlineStr">
        <is>
          <t>DMA</t>
        </is>
      </c>
      <c r="F22" s="10" t="n">
        <v>43255</v>
      </c>
      <c r="G22" s="4" t="inlineStr">
        <is>
          <t>2013gn</t>
        </is>
      </c>
      <c r="H22" s="4" t="n">
        <v>2017</v>
      </c>
      <c r="I22" s="4" t="inlineStr">
        <is>
          <t>old.tds.blt</t>
        </is>
      </c>
      <c r="J22" t="inlineStr">
        <is>
          <t xml:space="preserve">   Others Paris Club</t>
        </is>
      </c>
      <c r="K22" t="n">
        <v>0</v>
      </c>
      <c r="M22" t="n">
        <v>0.05</v>
      </c>
      <c r="N22" t="n">
        <v>0.03</v>
      </c>
      <c r="O22" t="n">
        <v>7</v>
      </c>
      <c r="P22" t="n">
        <v>20</v>
      </c>
      <c r="Q22" t="n">
        <v>20.22925212400136</v>
      </c>
      <c r="S22" t="inlineStr">
        <is>
          <t>Avg. maturity (incl. grace period)</t>
        </is>
      </c>
      <c r="Y22" t="n">
        <v>0</v>
      </c>
      <c r="Z22" t="n">
        <v>2.5</v>
      </c>
    </row>
    <row r="23">
      <c r="A23" t="inlineStr">
        <is>
          <t>Dominica_2018_August</t>
        </is>
      </c>
      <c r="B23" s="2" t="n"/>
      <c r="C23" s="3" t="inlineStr">
        <is>
          <t>SM.18.139</t>
        </is>
      </c>
      <c r="D23" s="4" t="inlineStr">
        <is>
          <t>Dominica</t>
        </is>
      </c>
      <c r="E23" s="4" t="inlineStr">
        <is>
          <t>DMA</t>
        </is>
      </c>
      <c r="F23" s="10" t="n">
        <v>43255</v>
      </c>
      <c r="G23" s="4" t="inlineStr">
        <is>
          <t>2013gn</t>
        </is>
      </c>
      <c r="H23" s="4" t="n">
        <v>2017</v>
      </c>
      <c r="I23" s="4" t="inlineStr">
        <is>
          <t>old.tds.pc</t>
        </is>
      </c>
      <c r="J23" t="inlineStr">
        <is>
          <t xml:space="preserve">   Non-Paris Club</t>
        </is>
      </c>
      <c r="K23" t="inlineStr">
        <is>
          <t>USD</t>
        </is>
      </c>
      <c r="S23" t="inlineStr">
        <is>
          <t>Avg. grace period (minimum 1)</t>
        </is>
      </c>
      <c r="Y23" t="n">
        <v>0</v>
      </c>
      <c r="Z23" t="n">
        <v>1</v>
      </c>
    </row>
    <row r="24">
      <c r="A24" t="inlineStr">
        <is>
          <t>Dominica_2018_August</t>
        </is>
      </c>
      <c r="B24" s="2" t="n"/>
      <c r="C24" s="3" t="inlineStr">
        <is>
          <t>SM.18.139</t>
        </is>
      </c>
      <c r="D24" s="4" t="inlineStr">
        <is>
          <t>Dominica</t>
        </is>
      </c>
      <c r="E24" s="4" t="inlineStr">
        <is>
          <t>DMA</t>
        </is>
      </c>
      <c r="F24" s="10" t="n">
        <v>43255</v>
      </c>
      <c r="G24" s="4" t="inlineStr">
        <is>
          <t>2013gn</t>
        </is>
      </c>
      <c r="H24" s="4" t="n">
        <v>2017</v>
      </c>
      <c r="I24" s="4" t="inlineStr">
        <is>
          <t>old.tds.pc1</t>
        </is>
      </c>
      <c r="J24" t="inlineStr">
        <is>
          <t>Descriptor</t>
        </is>
      </c>
      <c r="K24" t="n">
        <v>0</v>
      </c>
      <c r="M24" t="n">
        <v>0.05</v>
      </c>
      <c r="N24" t="n">
        <v>0.04</v>
      </c>
      <c r="O24" t="n">
        <v>5</v>
      </c>
      <c r="P24" t="n">
        <v>15</v>
      </c>
      <c r="Q24" t="n">
        <v>9.109673538410446</v>
      </c>
      <c r="S24" t="inlineStr">
        <is>
          <t>Domestic short-term debt</t>
        </is>
      </c>
      <c r="Y24" t="n">
        <v>0</v>
      </c>
    </row>
    <row r="25">
      <c r="A25" t="inlineStr">
        <is>
          <t>Dominica_2018_August</t>
        </is>
      </c>
      <c r="B25" s="2" t="n"/>
      <c r="C25" s="3" t="inlineStr">
        <is>
          <t>SM.18.139</t>
        </is>
      </c>
      <c r="D25" s="4" t="inlineStr">
        <is>
          <t>Dominica</t>
        </is>
      </c>
      <c r="E25" s="4" t="inlineStr">
        <is>
          <t>DMA</t>
        </is>
      </c>
      <c r="F25" s="10" t="n">
        <v>43255</v>
      </c>
      <c r="G25" s="4" t="inlineStr">
        <is>
          <t>2013gn</t>
        </is>
      </c>
      <c r="H25" s="4" t="n">
        <v>2017</v>
      </c>
      <c r="I25" s="4" t="inlineStr">
        <is>
          <t>old.tds.pc2</t>
        </is>
      </c>
      <c r="J25" t="inlineStr">
        <is>
          <t>Descriptor</t>
        </is>
      </c>
      <c r="K25" t="n">
        <v>0</v>
      </c>
      <c r="M25" t="n">
        <v>0.05</v>
      </c>
      <c r="N25" t="n">
        <v>0.04</v>
      </c>
      <c r="O25" t="n">
        <v>5</v>
      </c>
      <c r="P25" t="n">
        <v>15</v>
      </c>
      <c r="Q25" t="n">
        <v>9.109673538410446</v>
      </c>
      <c r="S25" t="inlineStr">
        <is>
          <t>Avg. real interest rate</t>
        </is>
      </c>
      <c r="Y25" t="n">
        <v>0</v>
      </c>
      <c r="Z25" t="n">
        <v>3</v>
      </c>
    </row>
    <row r="26">
      <c r="A26" t="inlineStr">
        <is>
          <t>Dominica_2018_August</t>
        </is>
      </c>
      <c r="B26" s="2" t="n"/>
      <c r="C26" s="3" t="inlineStr">
        <is>
          <t>SM.18.139</t>
        </is>
      </c>
      <c r="D26" s="4" t="inlineStr">
        <is>
          <t>Dominica</t>
        </is>
      </c>
      <c r="E26" s="4" t="inlineStr">
        <is>
          <t>DMA</t>
        </is>
      </c>
      <c r="F26" s="10" t="n">
        <v>43255</v>
      </c>
      <c r="G26" s="4" t="inlineStr">
        <is>
          <t>2013gn</t>
        </is>
      </c>
      <c r="H26" s="4" t="n">
        <v>2017</v>
      </c>
      <c r="I26" s="4" t="inlineStr">
        <is>
          <t>old.tds.pc3</t>
        </is>
      </c>
      <c r="J26" t="inlineStr">
        <is>
          <t xml:space="preserve">   Others Non Paris Club</t>
        </is>
      </c>
      <c r="K26" t="n">
        <v>0</v>
      </c>
      <c r="M26" t="n">
        <v>0.05</v>
      </c>
      <c r="N26" t="n">
        <v>0.04</v>
      </c>
      <c r="O26" t="n">
        <v>5</v>
      </c>
      <c r="P26" t="n">
        <v>15</v>
      </c>
      <c r="Q26" t="n">
        <v>9.109673538410446</v>
      </c>
    </row>
    <row r="27">
      <c r="A27" t="inlineStr">
        <is>
          <t>Dominica_2018_August</t>
        </is>
      </c>
      <c r="B27" s="2" t="n"/>
      <c r="C27" s="3" t="inlineStr">
        <is>
          <t>SM.18.139</t>
        </is>
      </c>
      <c r="D27" s="4" t="inlineStr">
        <is>
          <t>Dominica</t>
        </is>
      </c>
      <c r="E27" s="4" t="inlineStr">
        <is>
          <t>DMA</t>
        </is>
      </c>
      <c r="F27" s="10" t="n">
        <v>43255</v>
      </c>
      <c r="G27" s="4" t="inlineStr">
        <is>
          <t>2013gn</t>
        </is>
      </c>
      <c r="H27" s="4" t="n">
        <v>2017</v>
      </c>
      <c r="I27" s="4" t="inlineStr">
        <is>
          <t>old.tds.pc4</t>
        </is>
      </c>
      <c r="J27" t="inlineStr">
        <is>
          <t>Commercial</t>
        </is>
      </c>
      <c r="S27" t="inlineStr">
        <is>
          <t>* Note: This model is not designed for the assumption of zero domestic debt accumulation to cover the additional financing generated by the shocks under the stress tests</t>
        </is>
      </c>
    </row>
    <row r="28">
      <c r="A28" t="inlineStr">
        <is>
          <t>Dominica_2018_August</t>
        </is>
      </c>
      <c r="B28" s="2" t="n"/>
      <c r="C28" s="3" t="inlineStr">
        <is>
          <t>SM.18.139</t>
        </is>
      </c>
      <c r="D28" s="4" t="inlineStr">
        <is>
          <t>Dominica</t>
        </is>
      </c>
      <c r="E28" s="4" t="inlineStr">
        <is>
          <t>DMA</t>
        </is>
      </c>
      <c r="F28" s="10" t="n">
        <v>43255</v>
      </c>
      <c r="G28" s="4" t="inlineStr">
        <is>
          <t>2013gn</t>
        </is>
      </c>
      <c r="H28" s="4" t="n">
        <v>2017</v>
      </c>
      <c r="I28" s="4" t="inlineStr">
        <is>
          <t>old.tds.pc5</t>
        </is>
      </c>
      <c r="J28" t="inlineStr">
        <is>
          <t>Descriptor</t>
        </is>
      </c>
      <c r="K28" t="n">
        <v>0</v>
      </c>
      <c r="M28" t="n">
        <v>0.05</v>
      </c>
      <c r="N28" t="n">
        <v>0.035</v>
      </c>
      <c r="O28" t="n">
        <v>1</v>
      </c>
      <c r="P28" t="n">
        <v>10</v>
      </c>
      <c r="Q28" t="n">
        <v>8.751750017254578</v>
      </c>
    </row>
    <row r="29">
      <c r="A29" t="inlineStr">
        <is>
          <t>Dominica_2018_August</t>
        </is>
      </c>
      <c r="B29" s="2" t="n"/>
      <c r="C29" s="3" t="inlineStr">
        <is>
          <t>SM.18.139</t>
        </is>
      </c>
      <c r="D29" s="4" t="inlineStr">
        <is>
          <t>Dominica</t>
        </is>
      </c>
      <c r="E29" s="4" t="inlineStr">
        <is>
          <t>DMA</t>
        </is>
      </c>
      <c r="F29" s="10" t="n">
        <v>43255</v>
      </c>
      <c r="G29" s="4" t="inlineStr">
        <is>
          <t>2013gn</t>
        </is>
      </c>
      <c r="H29" s="4" t="n">
        <v>2017</v>
      </c>
      <c r="I29" s="4" t="inlineStr">
        <is>
          <t>old.tds.npc</t>
        </is>
      </c>
      <c r="J29" t="inlineStr">
        <is>
          <t>Descriptor</t>
        </is>
      </c>
      <c r="K29" t="n">
        <v>0</v>
      </c>
      <c r="M29" t="n">
        <v>0.05</v>
      </c>
      <c r="N29" t="n">
        <v>0.08</v>
      </c>
      <c r="O29" t="n">
        <v>1</v>
      </c>
      <c r="P29" t="n">
        <v>6</v>
      </c>
      <c r="Q29" t="n">
        <v>-7.221617729452845</v>
      </c>
    </row>
    <row r="30">
      <c r="A30" t="inlineStr">
        <is>
          <t>Dominica_2018_August</t>
        </is>
      </c>
      <c r="B30" s="2" t="n"/>
      <c r="C30" s="3" t="inlineStr">
        <is>
          <t>SM.18.139</t>
        </is>
      </c>
      <c r="D30" s="4" t="inlineStr">
        <is>
          <t>Dominica</t>
        </is>
      </c>
      <c r="E30" s="4" t="inlineStr">
        <is>
          <t>DMA</t>
        </is>
      </c>
      <c r="F30" s="10" t="n">
        <v>43255</v>
      </c>
      <c r="G30" s="4" t="inlineStr">
        <is>
          <t>2013gn</t>
        </is>
      </c>
      <c r="H30" s="4" t="n">
        <v>2017</v>
      </c>
      <c r="I30" s="6" t="inlineStr">
        <is>
          <t>old.tds.npc.eximbk</t>
        </is>
      </c>
      <c r="J30" t="inlineStr">
        <is>
          <t xml:space="preserve">   Others Commercial</t>
        </is>
      </c>
      <c r="K30" t="n">
        <v>0</v>
      </c>
      <c r="M30" t="n">
        <v>0.05</v>
      </c>
      <c r="N30" t="n">
        <v>0.06</v>
      </c>
      <c r="O30" t="n">
        <v>1</v>
      </c>
      <c r="P30" t="n">
        <v>6</v>
      </c>
      <c r="Q30" t="n">
        <v>-1.032768871522105</v>
      </c>
    </row>
    <row r="31">
      <c r="A31" t="inlineStr">
        <is>
          <t>Dominica_2018_August</t>
        </is>
      </c>
      <c r="B31" s="2" t="n"/>
      <c r="C31" s="3" t="inlineStr">
        <is>
          <t>SM.18.139</t>
        </is>
      </c>
      <c r="D31" s="4" t="inlineStr">
        <is>
          <t>Dominica</t>
        </is>
      </c>
      <c r="E31" s="4" t="inlineStr">
        <is>
          <t>DMA</t>
        </is>
      </c>
      <c r="F31" s="10" t="n">
        <v>43255</v>
      </c>
      <c r="G31" s="4" t="inlineStr">
        <is>
          <t>2013gn</t>
        </is>
      </c>
      <c r="H31" s="4" t="n">
        <v>2017</v>
      </c>
      <c r="I31" s="4" t="inlineStr">
        <is>
          <t>old.tds.npc2</t>
        </is>
      </c>
      <c r="N31" t="inlineStr">
        <is>
          <t>minimum 1</t>
        </is>
      </c>
    </row>
    <row r="32">
      <c r="A32" t="inlineStr">
        <is>
          <t>Dominica_2018_August</t>
        </is>
      </c>
      <c r="B32" s="2" t="n"/>
      <c r="C32" s="3" t="inlineStr">
        <is>
          <t>SM.18.139</t>
        </is>
      </c>
      <c r="D32" s="4" t="inlineStr">
        <is>
          <t>Dominica</t>
        </is>
      </c>
      <c r="E32" s="4" t="inlineStr">
        <is>
          <t>DMA</t>
        </is>
      </c>
      <c r="F32" s="10" t="n">
        <v>43255</v>
      </c>
      <c r="G32" s="4" t="inlineStr">
        <is>
          <t>2013gn</t>
        </is>
      </c>
      <c r="H32" s="4" t="n">
        <v>2017</v>
      </c>
      <c r="I32" s="4" t="inlineStr">
        <is>
          <t>old.tds.npc3</t>
        </is>
      </c>
      <c r="J32" t="inlineStr">
        <is>
          <t>1. Old MLT debt (excluding arrears): debt service due 1/</t>
        </is>
      </c>
    </row>
    <row r="33">
      <c r="A33" t="inlineStr">
        <is>
          <t>Dominica_2018_August</t>
        </is>
      </c>
      <c r="B33" s="2" t="n"/>
      <c r="C33" s="3" t="inlineStr">
        <is>
          <t>SM.18.139</t>
        </is>
      </c>
      <c r="D33" s="4" t="inlineStr">
        <is>
          <t>Dominica</t>
        </is>
      </c>
      <c r="E33" s="4" t="inlineStr">
        <is>
          <t>DMA</t>
        </is>
      </c>
      <c r="F33" s="10" t="n">
        <v>43255</v>
      </c>
      <c r="G33" s="4" t="inlineStr">
        <is>
          <t>2013gn</t>
        </is>
      </c>
      <c r="H33" s="4" t="n">
        <v>2017</v>
      </c>
      <c r="I33" s="4" t="inlineStr">
        <is>
          <t>old.tds.npc4</t>
        </is>
      </c>
      <c r="J33" t="n">
        <v>0</v>
      </c>
      <c r="M33" t="n">
        <v>2015</v>
      </c>
      <c r="N33" t="n">
        <v>2016</v>
      </c>
      <c r="O33" t="n">
        <v>2017</v>
      </c>
      <c r="P33" t="n">
        <v>2018</v>
      </c>
      <c r="Q33" t="n">
        <v>2019</v>
      </c>
      <c r="R33" t="n">
        <v>2020</v>
      </c>
      <c r="S33" t="n">
        <v>2021</v>
      </c>
      <c r="T33" t="n">
        <v>2022</v>
      </c>
      <c r="U33" t="n">
        <v>2023</v>
      </c>
      <c r="V33" t="n">
        <v>2024</v>
      </c>
      <c r="W33" t="n">
        <v>2025</v>
      </c>
      <c r="X33" t="n">
        <v>2026</v>
      </c>
      <c r="Y33" t="n">
        <v>2027</v>
      </c>
      <c r="Z33" t="n">
        <v>2028</v>
      </c>
      <c r="AA33" t="n">
        <v>2029</v>
      </c>
      <c r="AB33" t="n">
        <v>2030</v>
      </c>
      <c r="AC33" t="n">
        <v>2031</v>
      </c>
      <c r="AD33" t="n">
        <v>2032</v>
      </c>
      <c r="AE33" t="n">
        <v>2033</v>
      </c>
      <c r="AF33" t="n">
        <v>2034</v>
      </c>
      <c r="AG33" t="n">
        <v>2035</v>
      </c>
      <c r="AH33" t="n">
        <v>2036</v>
      </c>
      <c r="AI33" t="n">
        <v>2037</v>
      </c>
      <c r="AJ33" t="n">
        <v>2038</v>
      </c>
      <c r="AK33" t="n">
        <v>2039</v>
      </c>
      <c r="AL33" t="n">
        <v>2040</v>
      </c>
      <c r="AM33" t="n">
        <v>2041</v>
      </c>
      <c r="AN33" t="n">
        <v>2042</v>
      </c>
      <c r="AO33" t="n">
        <v>2043</v>
      </c>
      <c r="AP33" t="n">
        <v>2044</v>
      </c>
      <c r="AQ33" t="n">
        <v>2045</v>
      </c>
      <c r="AR33" t="n">
        <v>2046</v>
      </c>
      <c r="AS33" t="n">
        <v>2047</v>
      </c>
      <c r="AT33" t="n">
        <v>2048</v>
      </c>
      <c r="AU33" t="n">
        <v>2049</v>
      </c>
      <c r="AV33" t="n">
        <v>2050</v>
      </c>
      <c r="AW33" t="n">
        <v>2051</v>
      </c>
      <c r="AX33" t="n">
        <v>2052</v>
      </c>
      <c r="AY33" t="n">
        <v>2053</v>
      </c>
      <c r="AZ33" t="n">
        <v>2054</v>
      </c>
      <c r="BA33" t="n">
        <v>2055</v>
      </c>
      <c r="BB33" t="n">
        <v>2056</v>
      </c>
      <c r="BC33" t="n">
        <v>2057</v>
      </c>
      <c r="BD33" t="n">
        <v>2058</v>
      </c>
      <c r="BE33" t="n">
        <v>2059</v>
      </c>
      <c r="BF33" t="n">
        <v>2060</v>
      </c>
      <c r="BG33" t="n">
        <v>2061</v>
      </c>
    </row>
    <row r="34">
      <c r="A34" t="inlineStr">
        <is>
          <t>Dominica_2018_August</t>
        </is>
      </c>
      <c r="B34" s="2" t="n"/>
      <c r="C34" s="3" t="inlineStr">
        <is>
          <t>SM.18.139</t>
        </is>
      </c>
      <c r="D34" s="4" t="inlineStr">
        <is>
          <t>Dominica</t>
        </is>
      </c>
      <c r="E34" s="4" t="inlineStr">
        <is>
          <t>DMA</t>
        </is>
      </c>
      <c r="F34" s="10" t="n">
        <v>43255</v>
      </c>
      <c r="G34" s="4" t="inlineStr">
        <is>
          <t>2013gn</t>
        </is>
      </c>
      <c r="H34" s="4" t="n">
        <v>2017</v>
      </c>
      <c r="I34" s="4" t="inlineStr">
        <is>
          <t>old.tds.npc5</t>
        </is>
      </c>
      <c r="J34" t="inlineStr">
        <is>
          <t>Multilaterals</t>
        </is>
      </c>
      <c r="N34" t="n">
        <v>0.01334645051851852</v>
      </c>
      <c r="O34" t="n">
        <v>0.007323976333333326</v>
      </c>
      <c r="P34" t="n">
        <v>0.01380687948148148</v>
      </c>
      <c r="Q34" t="n">
        <v>0.01342009855555555</v>
      </c>
      <c r="R34" t="n">
        <v>0.01292969240740739</v>
      </c>
      <c r="S34" t="n">
        <v>0.01294215544444445</v>
      </c>
      <c r="T34" t="n">
        <v>0.01205778759259259</v>
      </c>
      <c r="U34" t="n">
        <v>0.01184228570370371</v>
      </c>
      <c r="V34" t="n">
        <v>0.010911039591773</v>
      </c>
      <c r="W34" t="n">
        <v>0.01047869924580705</v>
      </c>
      <c r="X34" t="n">
        <v>0.01006464295727433</v>
      </c>
      <c r="Y34" t="n">
        <v>0.009573490879926705</v>
      </c>
      <c r="Z34" t="n">
        <v>0.006492497394033502</v>
      </c>
      <c r="AA34" t="n">
        <v>0.005863694161203625</v>
      </c>
      <c r="AB34" t="n">
        <v>0.005565469335618431</v>
      </c>
      <c r="AC34" t="n">
        <v>0.005254905491704339</v>
      </c>
      <c r="AD34" t="n">
        <v>0.004945526014427689</v>
      </c>
      <c r="AE34" t="n">
        <v>0.004655434245589849</v>
      </c>
      <c r="AF34" t="n">
        <v>0.004378927180136719</v>
      </c>
      <c r="AG34" t="n">
        <v>0.004123547259393204</v>
      </c>
      <c r="AH34" t="n">
        <v>0.003875536662282476</v>
      </c>
      <c r="AI34" t="n">
        <v>0.003638285223621915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</row>
    <row r="35">
      <c r="A35" t="inlineStr">
        <is>
          <t>Dominica_2018_August</t>
        </is>
      </c>
      <c r="B35" s="2" t="n"/>
      <c r="C35" s="3" t="inlineStr">
        <is>
          <t>SM.18.139</t>
        </is>
      </c>
      <c r="D35" s="4" t="inlineStr">
        <is>
          <t>Dominica</t>
        </is>
      </c>
      <c r="E35" s="4" t="inlineStr">
        <is>
          <t>DMA</t>
        </is>
      </c>
      <c r="F35" s="10" t="n">
        <v>43255</v>
      </c>
      <c r="G35" s="4" t="inlineStr">
        <is>
          <t>2013gn</t>
        </is>
      </c>
      <c r="H35" s="4" t="n">
        <v>2017</v>
      </c>
      <c r="I35" s="4" t="inlineStr">
        <is>
          <t>old.tds.prvt</t>
        </is>
      </c>
      <c r="J35" t="inlineStr">
        <is>
          <t xml:space="preserve">   IMF</t>
        </is>
      </c>
      <c r="N35" t="n">
        <v>0.0012182372962963</v>
      </c>
      <c r="O35" t="n">
        <v>0.000753336851851852</v>
      </c>
      <c r="P35" t="n">
        <v>0.00150667374074074</v>
      </c>
      <c r="Q35" t="n">
        <v>0.00104308181481481</v>
      </c>
      <c r="R35" t="n">
        <v>0.00101410733333333</v>
      </c>
      <c r="S35" t="n">
        <v>0.00144872474074074</v>
      </c>
      <c r="T35" t="n">
        <v>0.0008692348518518521</v>
      </c>
      <c r="U35" t="n">
        <v>0.0008692348518518521</v>
      </c>
      <c r="V35" t="n">
        <v>0.0007533368712757199</v>
      </c>
      <c r="W35" t="n">
        <v>0.000652891954820302</v>
      </c>
      <c r="X35" t="n">
        <v>0.000565839693930316</v>
      </c>
      <c r="Y35" t="n">
        <v>0.000490394401191965</v>
      </c>
      <c r="Z35" t="n">
        <v>0.000425008480847302</v>
      </c>
      <c r="AA35" t="n">
        <v>0.000368340683240025</v>
      </c>
      <c r="AB35" t="n">
        <v>0.000319228592001848</v>
      </c>
      <c r="AC35" t="n">
        <v>0.000276664779614029</v>
      </c>
      <c r="AD35" t="n">
        <v>0.000239776142227373</v>
      </c>
      <c r="AE35" t="n">
        <v>0.000207805989839576</v>
      </c>
      <c r="AF35" t="n">
        <v>0.000180098524448927</v>
      </c>
      <c r="AG35" t="n">
        <v>0.000156085387787525</v>
      </c>
      <c r="AH35" t="n">
        <v>0.000135274002690072</v>
      </c>
      <c r="AI35" t="n">
        <v>0.000117237468946828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</row>
    <row r="36">
      <c r="A36" t="inlineStr">
        <is>
          <t>Dominica_2018_August</t>
        </is>
      </c>
      <c r="B36" s="2" t="n"/>
      <c r="C36" s="3" t="inlineStr">
        <is>
          <t>SM.18.139</t>
        </is>
      </c>
      <c r="D36" s="4" t="inlineStr">
        <is>
          <t>Dominica</t>
        </is>
      </c>
      <c r="E36" s="4" t="inlineStr">
        <is>
          <t>DMA</t>
        </is>
      </c>
      <c r="F36" s="10" t="n">
        <v>43255</v>
      </c>
      <c r="G36" s="4" t="inlineStr">
        <is>
          <t>2013gn</t>
        </is>
      </c>
      <c r="H36" s="4" t="n">
        <v>2017</v>
      </c>
      <c r="I36" s="4" t="inlineStr">
        <is>
          <t>old.tds.prvt.bnd</t>
        </is>
      </c>
      <c r="J36" t="inlineStr">
        <is>
          <t xml:space="preserve">   IDA - Small Island Country</t>
        </is>
      </c>
    </row>
    <row r="37">
      <c r="A37" t="inlineStr">
        <is>
          <t>Dominica_2018_August</t>
        </is>
      </c>
      <c r="B37" s="2" t="n"/>
      <c r="C37" s="3" t="inlineStr">
        <is>
          <t>SM.18.139</t>
        </is>
      </c>
      <c r="D37" s="4" t="inlineStr">
        <is>
          <t>Dominica</t>
        </is>
      </c>
      <c r="E37" s="4" t="inlineStr">
        <is>
          <t>DMA</t>
        </is>
      </c>
      <c r="F37" s="10" t="n">
        <v>43255</v>
      </c>
      <c r="G37" s="4" t="inlineStr">
        <is>
          <t>2013gn</t>
        </is>
      </c>
      <c r="H37" s="4" t="n">
        <v>2017</v>
      </c>
      <c r="I37" s="4" t="inlineStr">
        <is>
          <t>old.tds.prvt.cmbk</t>
        </is>
      </c>
      <c r="J37" t="inlineStr">
        <is>
          <t>IDA - Regular</t>
        </is>
      </c>
      <c r="N37" t="n">
        <v>0.000970286925925926</v>
      </c>
      <c r="O37" t="n">
        <v>0.000551121074074074</v>
      </c>
      <c r="P37" t="n">
        <v>0.00120761766666667</v>
      </c>
      <c r="Q37" t="n">
        <v>0.00122100118518519</v>
      </c>
      <c r="R37" t="n">
        <v>0.00121360507407407</v>
      </c>
      <c r="S37" t="n">
        <v>0.00123964425925926</v>
      </c>
      <c r="T37" t="n">
        <v>0.00126530725925926</v>
      </c>
      <c r="U37" t="n">
        <v>0.00129479303703704</v>
      </c>
      <c r="V37" t="n">
        <v>0.00124548972708401</v>
      </c>
      <c r="W37" t="n">
        <v>0.00119806379544766</v>
      </c>
      <c r="X37" t="n">
        <v>0.00115244375505447</v>
      </c>
      <c r="Y37" t="n">
        <v>0.00110856084092565</v>
      </c>
      <c r="Z37" t="n">
        <v>0.00106634890652491</v>
      </c>
      <c r="AA37" t="n">
        <v>0.00102574432405296</v>
      </c>
      <c r="AB37" t="n">
        <v>0.0009866858885387631</v>
      </c>
      <c r="AC37" t="n">
        <v>0.0009491147255826911</v>
      </c>
      <c r="AD37" t="n">
        <v>0.0009129742026127261</v>
      </c>
      <c r="AE37" t="n">
        <v>0.000878209843519832</v>
      </c>
      <c r="AF37" t="n">
        <v>0.0008447692465438521</v>
      </c>
      <c r="AG37" t="n">
        <v>0.000812602005286169</v>
      </c>
      <c r="AH37" t="n">
        <v>0.000781659632730044</v>
      </c>
      <c r="AI37" t="n">
        <v>0.0007518954881541271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</row>
    <row r="38">
      <c r="A38" t="inlineStr">
        <is>
          <t>Dominica_2018_August</t>
        </is>
      </c>
      <c r="B38" s="2" t="n"/>
      <c r="C38" s="3" t="inlineStr">
        <is>
          <t>SM.18.139</t>
        </is>
      </c>
      <c r="D38" s="4" t="inlineStr">
        <is>
          <t>Dominica</t>
        </is>
      </c>
      <c r="E38" s="4" t="inlineStr">
        <is>
          <t>DMA</t>
        </is>
      </c>
      <c r="F38" s="10" t="n">
        <v>43255</v>
      </c>
      <c r="G38" s="4" t="inlineStr">
        <is>
          <t>2013gn</t>
        </is>
      </c>
      <c r="H38" s="4" t="n">
        <v>2017</v>
      </c>
      <c r="I38" s="4" t="inlineStr">
        <is>
          <t>old.tds.prvt.com3</t>
        </is>
      </c>
      <c r="J38" t="inlineStr">
        <is>
          <t>IBRD</t>
        </is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</row>
    <row r="39">
      <c r="A39" t="inlineStr">
        <is>
          <t>Dominica_2018_August</t>
        </is>
      </c>
      <c r="B39" s="2" t="n"/>
      <c r="C39" s="3" t="inlineStr">
        <is>
          <t>SM.18.139</t>
        </is>
      </c>
      <c r="D39" s="4" t="inlineStr">
        <is>
          <t>Dominica</t>
        </is>
      </c>
      <c r="E39" s="4" t="inlineStr">
        <is>
          <t>DMA</t>
        </is>
      </c>
      <c r="F39" s="10" t="n">
        <v>43255</v>
      </c>
      <c r="G39" s="4" t="inlineStr">
        <is>
          <t>2013gn</t>
        </is>
      </c>
      <c r="H39" s="4" t="n">
        <v>2017</v>
      </c>
      <c r="I39" s="4" t="inlineStr">
        <is>
          <t>old.tds.prvt.com4</t>
        </is>
      </c>
      <c r="J39" t="inlineStr">
        <is>
          <t>CDB</t>
        </is>
      </c>
      <c r="N39" t="n">
        <v>0.008912884740740741</v>
      </c>
      <c r="O39" t="n">
        <v>0.00413294218518518</v>
      </c>
      <c r="P39" t="n">
        <v>0.00762240607407407</v>
      </c>
      <c r="Q39" t="n">
        <v>0.00758779822222222</v>
      </c>
      <c r="R39" t="n">
        <v>0.00755003933333333</v>
      </c>
      <c r="S39" t="n">
        <v>0.00718788925925926</v>
      </c>
      <c r="T39" t="n">
        <v>0.00696364788888889</v>
      </c>
      <c r="U39" t="n">
        <v>0.00683042792592593</v>
      </c>
      <c r="V39" t="n">
        <v>0.00607899907472759</v>
      </c>
      <c r="W39" t="n">
        <v>0.00541519133899538</v>
      </c>
      <c r="X39" t="n">
        <v>0.00482817036292868</v>
      </c>
      <c r="Y39" t="n">
        <v>0.00430851402034045</v>
      </c>
      <c r="Z39" t="n">
        <v>0.00384802026301771</v>
      </c>
      <c r="AA39" t="n">
        <v>0.00343954199210537</v>
      </c>
      <c r="AB39" t="n">
        <v>0.00307684503398346</v>
      </c>
      <c r="AC39" t="n">
        <v>0.00275448591140373</v>
      </c>
      <c r="AD39" t="n">
        <v>0.0024677065821217</v>
      </c>
      <c r="AE39" t="n">
        <v>0.00221234372796269</v>
      </c>
      <c r="AF39" t="n">
        <v>0.00198475052766524</v>
      </c>
      <c r="AG39" t="n">
        <v>0.00178172914586541</v>
      </c>
      <c r="AH39" t="n">
        <v>0.00160047242581213</v>
      </c>
      <c r="AI39" t="n">
        <v>0.00143851349130038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G39" t="n">
        <v>0</v>
      </c>
    </row>
    <row r="40">
      <c r="A40" t="inlineStr">
        <is>
          <t>Dominica_2018_August</t>
        </is>
      </c>
      <c r="B40" s="2" t="n"/>
      <c r="C40" s="3" t="inlineStr">
        <is>
          <t>SM.18.139</t>
        </is>
      </c>
      <c r="D40" s="4" t="inlineStr">
        <is>
          <t>Dominica</t>
        </is>
      </c>
      <c r="E40" s="4" t="inlineStr">
        <is>
          <t>DMA</t>
        </is>
      </c>
      <c r="F40" s="10" t="n">
        <v>43255</v>
      </c>
      <c r="G40" s="4" t="inlineStr">
        <is>
          <t>2013gn</t>
        </is>
      </c>
      <c r="H40" s="4" t="n">
        <v>2017</v>
      </c>
      <c r="I40" s="4" t="inlineStr">
        <is>
          <t>old.tds.prvt.com5</t>
        </is>
      </c>
      <c r="J40" t="inlineStr">
        <is>
          <t>Other Multilateral</t>
        </is>
      </c>
      <c r="N40" t="n">
        <v>0.00224504155555555</v>
      </c>
      <c r="O40" t="n">
        <v>0.00188657622222222</v>
      </c>
      <c r="P40" t="n">
        <v>0.003470182</v>
      </c>
      <c r="Q40" t="n">
        <v>0.00356821733333333</v>
      </c>
      <c r="R40" t="n">
        <v>0.00315194066666666</v>
      </c>
      <c r="S40" t="n">
        <v>0.00306589718518519</v>
      </c>
      <c r="T40" t="n">
        <v>0.00295959759259259</v>
      </c>
      <c r="U40" t="n">
        <v>0.00284782988888889</v>
      </c>
      <c r="V40" t="n">
        <v>0.00283321391868568</v>
      </c>
      <c r="W40" t="n">
        <v>0.00321255215654371</v>
      </c>
      <c r="X40" t="n">
        <v>0.00351818914536087</v>
      </c>
      <c r="Y40" t="n">
        <v>0.00366602161746864</v>
      </c>
      <c r="Z40" t="n">
        <v>0.00115311974364358</v>
      </c>
      <c r="AA40" t="n">
        <v>0.00103006716180527</v>
      </c>
      <c r="AB40" t="n">
        <v>0.00118270982109436</v>
      </c>
      <c r="AC40" t="n">
        <v>0.00127464007510389</v>
      </c>
      <c r="AD40" t="n">
        <v>0.00132506908746589</v>
      </c>
      <c r="AE40" t="n">
        <v>0.00135707468426775</v>
      </c>
      <c r="AF40" t="n">
        <v>0.0013693088814787</v>
      </c>
      <c r="AG40" t="n">
        <v>0.0013731307204541</v>
      </c>
      <c r="AH40" t="n">
        <v>0.00135813060105023</v>
      </c>
      <c r="AI40" t="n">
        <v>0.00133063877522058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</row>
    <row r="41">
      <c r="A41" t="inlineStr">
        <is>
          <t>Dominica_2018_August</t>
        </is>
      </c>
      <c r="B41" s="2" t="n"/>
      <c r="C41" s="3" t="inlineStr">
        <is>
          <t>SM.18.139</t>
        </is>
      </c>
      <c r="D41" s="4" t="inlineStr">
        <is>
          <t>Dominica</t>
        </is>
      </c>
      <c r="E41" s="4" t="inlineStr">
        <is>
          <t>DMA</t>
        </is>
      </c>
      <c r="F41" s="10" t="n">
        <v>43255</v>
      </c>
      <c r="G41" s="4" t="inlineStr">
        <is>
          <t>2013gn</t>
        </is>
      </c>
      <c r="H41" s="4" t="n">
        <v>2017</v>
      </c>
      <c r="I41" s="5" t="n"/>
      <c r="J41" t="inlineStr">
        <is>
          <t>Official Bilaterals</t>
        </is>
      </c>
      <c r="N41" t="n">
        <v>0.009538846330387901</v>
      </c>
      <c r="O41" t="n">
        <v>0.004838130226339932</v>
      </c>
      <c r="P41" t="n">
        <v>0.00942251196366227</v>
      </c>
      <c r="Q41" t="n">
        <v>0.008829415968369052</v>
      </c>
      <c r="R41" t="n">
        <v>0.00797616028379567</v>
      </c>
      <c r="S41" t="n">
        <v>0.007360765384541442</v>
      </c>
      <c r="T41" t="n">
        <v>0.007179408885646266</v>
      </c>
      <c r="U41" t="n">
        <v>0.00703089613260403</v>
      </c>
      <c r="V41" t="n">
        <v>0.006331937012324473</v>
      </c>
      <c r="W41" t="n">
        <v>0.005902289417260705</v>
      </c>
      <c r="X41" t="n">
        <v>0.005547262365603233</v>
      </c>
      <c r="Y41" t="n">
        <v>0.00523684522228946</v>
      </c>
      <c r="Z41" t="n">
        <v>0.004904874019849307</v>
      </c>
      <c r="AA41" t="n">
        <v>0.004542409423496279</v>
      </c>
      <c r="AB41" t="n">
        <v>0.004236935647693852</v>
      </c>
      <c r="AC41" t="n">
        <v>0.001881065218837361</v>
      </c>
      <c r="AD41" t="n">
        <v>0.0004936163406148761</v>
      </c>
      <c r="AE41" t="n">
        <v>4.145564843837608e-05</v>
      </c>
      <c r="AF41" t="n">
        <v>1.113313811943402e-05</v>
      </c>
      <c r="AG41" t="n">
        <v>6.59532761991053e-06</v>
      </c>
      <c r="AH41" t="n">
        <v>5.544038878564335e-06</v>
      </c>
      <c r="AI41" t="n">
        <v>5.393442831297477e-06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</row>
    <row r="42">
      <c r="A42" t="inlineStr">
        <is>
          <t>Dominica_2018_August</t>
        </is>
      </c>
      <c r="B42" s="2" t="n"/>
      <c r="C42" s="3" t="inlineStr">
        <is>
          <t>SM.18.139</t>
        </is>
      </c>
      <c r="D42" s="4" t="inlineStr">
        <is>
          <t>Dominica</t>
        </is>
      </c>
      <c r="E42" s="4" t="inlineStr">
        <is>
          <t>DMA</t>
        </is>
      </c>
      <c r="F42" s="10" t="n">
        <v>43255</v>
      </c>
      <c r="G42" s="4" t="inlineStr">
        <is>
          <t>2013gn</t>
        </is>
      </c>
      <c r="H42" s="4" t="n">
        <v>2017</v>
      </c>
      <c r="I42" s="4" t="inlineStr">
        <is>
          <t>old.tds.exc.lcl.iss</t>
        </is>
      </c>
      <c r="J42" t="inlineStr">
        <is>
          <t xml:space="preserve">   PC</t>
        </is>
      </c>
      <c r="N42" t="n">
        <v>0.00330701544444444</v>
      </c>
      <c r="O42" t="n">
        <v>0.00218637648148148</v>
      </c>
      <c r="P42" t="n">
        <v>0.00433320959259259</v>
      </c>
      <c r="Q42" t="n">
        <v>0.00361116511111111</v>
      </c>
      <c r="R42" t="n">
        <v>0.00287516944444444</v>
      </c>
      <c r="S42" t="n">
        <v>0.00282120396296296</v>
      </c>
      <c r="T42" t="n">
        <v>0.00276983485185185</v>
      </c>
      <c r="U42" t="n">
        <v>0.00271916688888889</v>
      </c>
      <c r="V42" t="n">
        <v>0.00210611375619292</v>
      </c>
      <c r="W42" t="n">
        <v>0.00163127730495203</v>
      </c>
      <c r="X42" t="n">
        <v>0.00126349568622627</v>
      </c>
      <c r="Y42" t="n">
        <v>0.0009786327218960071</v>
      </c>
      <c r="Z42" t="n">
        <v>0.000757993885381637</v>
      </c>
      <c r="AA42" t="n">
        <v>0.000587099447444191</v>
      </c>
      <c r="AB42" t="n">
        <v>0.00045473422389909</v>
      </c>
      <c r="AC42" t="n">
        <v>0.000352211563620598</v>
      </c>
      <c r="AD42" t="n">
        <v>0.000272803275030373</v>
      </c>
      <c r="AE42" t="n">
        <v>0.00021129807920635</v>
      </c>
      <c r="AF42" t="n">
        <v>0.000163659612485671</v>
      </c>
      <c r="AG42" t="n">
        <v>0.000126761534508805</v>
      </c>
      <c r="AH42" t="n">
        <v>0.001098182357803358</v>
      </c>
      <c r="AI42" t="n">
        <v>0.002076046534314848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</row>
    <row r="43">
      <c r="A43" t="inlineStr">
        <is>
          <t>Dominica_2018_August</t>
        </is>
      </c>
      <c r="B43" s="2" t="n"/>
      <c r="C43" s="3" t="inlineStr">
        <is>
          <t>SM.18.139</t>
        </is>
      </c>
      <c r="D43" s="4" t="inlineStr">
        <is>
          <t>Dominica</t>
        </is>
      </c>
      <c r="E43" s="4" t="inlineStr">
        <is>
          <t>DMA</t>
        </is>
      </c>
      <c r="F43" s="10" t="n">
        <v>43255</v>
      </c>
      <c r="G43" s="4" t="inlineStr">
        <is>
          <t>2013gn</t>
        </is>
      </c>
      <c r="H43" s="4" t="n">
        <v>2017</v>
      </c>
      <c r="I43" s="7" t="inlineStr">
        <is>
          <t>old.tds.exc.lcl.iss.amt</t>
        </is>
      </c>
      <c r="J43" t="inlineStr">
        <is>
          <t>…</t>
        </is>
      </c>
    </row>
    <row r="44">
      <c r="A44" t="inlineStr">
        <is>
          <t>Dominica_2018_August</t>
        </is>
      </c>
      <c r="B44" s="2" t="n"/>
      <c r="C44" s="3" t="inlineStr">
        <is>
          <t>SM.18.139</t>
        </is>
      </c>
      <c r="D44" s="4" t="inlineStr">
        <is>
          <t>Dominica</t>
        </is>
      </c>
      <c r="E44" s="4" t="inlineStr">
        <is>
          <t>DMA</t>
        </is>
      </c>
      <c r="F44" s="10" t="n">
        <v>43255</v>
      </c>
      <c r="G44" s="4" t="inlineStr">
        <is>
          <t>2013gn</t>
        </is>
      </c>
      <c r="H44" s="4" t="n">
        <v>2017</v>
      </c>
      <c r="I44" s="4" t="inlineStr">
        <is>
          <t>old.tds.exc.lcl.iss.int</t>
        </is>
      </c>
      <c r="J44" t="inlineStr">
        <is>
          <t>AFD (France)</t>
        </is>
      </c>
      <c r="N44" t="n">
        <v>0.00330701544444444</v>
      </c>
      <c r="O44" t="n">
        <v>0.00218637648148148</v>
      </c>
      <c r="P44" t="n">
        <v>0.00433320959259259</v>
      </c>
      <c r="Q44" t="n">
        <v>0.00361116511111111</v>
      </c>
      <c r="R44" t="n">
        <v>0.00287516944444444</v>
      </c>
      <c r="S44" t="n">
        <v>0.00282120396296296</v>
      </c>
      <c r="T44" t="n">
        <v>0.00276983485185185</v>
      </c>
      <c r="U44" t="n">
        <v>0.00271916688888889</v>
      </c>
      <c r="V44" t="n">
        <v>0.00210611375619292</v>
      </c>
      <c r="W44" t="n">
        <v>0.00163127730495203</v>
      </c>
      <c r="X44" t="n">
        <v>0.00126349568622627</v>
      </c>
      <c r="Y44" t="n">
        <v>0.0009786327218960071</v>
      </c>
      <c r="Z44" t="n">
        <v>0.000757993885381637</v>
      </c>
      <c r="AA44" t="n">
        <v>0.000587099447444191</v>
      </c>
      <c r="AB44" t="n">
        <v>0.00045473422389909</v>
      </c>
      <c r="AC44" t="n">
        <v>0.000352211563620598</v>
      </c>
      <c r="AD44" t="n">
        <v>0.000272803275030373</v>
      </c>
      <c r="AE44" t="n">
        <v>0.00021129807920635</v>
      </c>
      <c r="AF44" t="n">
        <v>0.000163659612485671</v>
      </c>
      <c r="AG44" t="n">
        <v>0.000126761534508805</v>
      </c>
      <c r="AH44" t="n">
        <v>9.8182357803358e-05</v>
      </c>
      <c r="AI44" t="n">
        <v>7.60465343148476e-05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</row>
    <row r="45">
      <c r="A45" t="inlineStr">
        <is>
          <t>Dominica_2018_August</t>
        </is>
      </c>
      <c r="B45" s="2" t="n"/>
      <c r="C45" s="3" t="inlineStr">
        <is>
          <t>SM.18.139</t>
        </is>
      </c>
      <c r="D45" s="4" t="inlineStr">
        <is>
          <t>Dominica</t>
        </is>
      </c>
      <c r="E45" s="4" t="inlineStr">
        <is>
          <t>DMA</t>
        </is>
      </c>
      <c r="F45" s="10" t="n">
        <v>43255</v>
      </c>
      <c r="G45" s="4" t="inlineStr">
        <is>
          <t>2013gn</t>
        </is>
      </c>
      <c r="H45" s="4" t="n">
        <v>2017</v>
      </c>
      <c r="I45" s="5" t="n"/>
      <c r="J45" t="inlineStr">
        <is>
          <t xml:space="preserve">   Others Paris Club</t>
        </is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0.001</v>
      </c>
      <c r="AI45" t="n">
        <v>0.002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</row>
    <row r="46">
      <c r="A46" t="inlineStr">
        <is>
          <t>Dominica_2018_August</t>
        </is>
      </c>
      <c r="B46" s="2" t="n"/>
      <c r="C46" s="3" t="inlineStr">
        <is>
          <t>SM.18.139</t>
        </is>
      </c>
      <c r="D46" s="4" t="inlineStr">
        <is>
          <t>Dominica</t>
        </is>
      </c>
      <c r="E46" s="4" t="inlineStr">
        <is>
          <t>DMA</t>
        </is>
      </c>
      <c r="F46" s="10" t="n">
        <v>43255</v>
      </c>
      <c r="G46" s="4" t="inlineStr">
        <is>
          <t>2013gn</t>
        </is>
      </c>
      <c r="H46" s="4" t="n">
        <v>2017</v>
      </c>
      <c r="I46" s="5" t="n"/>
      <c r="J46" t="inlineStr">
        <is>
          <t xml:space="preserve">   NPC</t>
        </is>
      </c>
      <c r="N46" t="n">
        <v>0.006231830885943462</v>
      </c>
      <c r="O46" t="n">
        <v>0.002651753744858452</v>
      </c>
      <c r="P46" t="n">
        <v>0.005089302371069681</v>
      </c>
      <c r="Q46" t="n">
        <v>0.005218250857257942</v>
      </c>
      <c r="R46" t="n">
        <v>0.00510099083935123</v>
      </c>
      <c r="S46" t="n">
        <v>0.004539561421578482</v>
      </c>
      <c r="T46" t="n">
        <v>0.004409574033794416</v>
      </c>
      <c r="U46" t="n">
        <v>0.00431172924371514</v>
      </c>
      <c r="V46" t="n">
        <v>0.004225823256131554</v>
      </c>
      <c r="W46" t="n">
        <v>0.004271012112308675</v>
      </c>
      <c r="X46" t="n">
        <v>0.004283766679376963</v>
      </c>
      <c r="Y46" t="n">
        <v>0.004258212500393452</v>
      </c>
      <c r="Z46" t="n">
        <v>0.00414688013446767</v>
      </c>
      <c r="AA46" t="n">
        <v>0.003955309976052088</v>
      </c>
      <c r="AB46" t="n">
        <v>0.003782201423794761</v>
      </c>
      <c r="AC46" t="n">
        <v>0.001528853655216763</v>
      </c>
      <c r="AD46" t="n">
        <v>0.0002208130655845031</v>
      </c>
      <c r="AE46" t="n">
        <v>-0.0001698424307679739</v>
      </c>
      <c r="AF46" t="n">
        <v>-0.000152526474366237</v>
      </c>
      <c r="AG46" t="n">
        <v>-0.0001201662068888945</v>
      </c>
      <c r="AH46" t="n">
        <v>-0.001092638318924794</v>
      </c>
      <c r="AI46" t="n">
        <v>-0.00207065309148355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</row>
    <row r="47">
      <c r="A47" t="inlineStr">
        <is>
          <t>Dominica_2018_August</t>
        </is>
      </c>
      <c r="B47" s="2" t="n"/>
      <c r="C47" s="3" t="inlineStr">
        <is>
          <t>SM.18.139</t>
        </is>
      </c>
      <c r="D47" s="4" t="inlineStr">
        <is>
          <t>Dominica</t>
        </is>
      </c>
      <c r="E47" s="4" t="inlineStr">
        <is>
          <t>DMA</t>
        </is>
      </c>
      <c r="F47" s="10" t="n">
        <v>43255</v>
      </c>
      <c r="G47" s="4" t="inlineStr">
        <is>
          <t>2013gn</t>
        </is>
      </c>
      <c r="H47" s="4" t="n">
        <v>2017</v>
      </c>
      <c r="I47" s="5" t="n"/>
      <c r="J47" t="inlineStr">
        <is>
          <t>Taiwan</t>
        </is>
      </c>
      <c r="N47" t="n">
        <v>0.0008544020370370369</v>
      </c>
      <c r="O47" t="n">
        <v>0.000308748185185185</v>
      </c>
      <c r="P47" t="n">
        <v>0.000604535037037037</v>
      </c>
      <c r="Q47" t="n">
        <v>0.00058805062962963</v>
      </c>
      <c r="R47" t="n">
        <v>0.000572204</v>
      </c>
      <c r="S47" t="n">
        <v>9.74182222222222e-05</v>
      </c>
      <c r="T47" t="n">
        <v>5.17803703703704e-05</v>
      </c>
      <c r="U47" t="n">
        <v>5.02312962962963e-05</v>
      </c>
      <c r="V47" t="n">
        <v>3.90673083430259e-05</v>
      </c>
      <c r="W47" t="n">
        <v>3.03845350151077e-05</v>
      </c>
      <c r="X47" t="n">
        <v>2.36315222942436e-05</v>
      </c>
      <c r="Y47" t="n">
        <v>1.83793777217805e-05</v>
      </c>
      <c r="Z47" t="n">
        <v>1.42945308911465e-05</v>
      </c>
      <c r="AA47" t="n">
        <v>1.11175479655003e-05</v>
      </c>
      <c r="AB47" t="n">
        <v>8.646654703565841e-06</v>
      </c>
      <c r="AC47" t="n">
        <v>6.72492151998851e-06</v>
      </c>
      <c r="AD47" t="n">
        <v>5.23029668703599e-06</v>
      </c>
      <c r="AE47" t="n">
        <v>4.06785467356152e-06</v>
      </c>
      <c r="AF47" t="n">
        <v>3.16376730334081e-06</v>
      </c>
      <c r="AG47" t="n">
        <v>2.46061483335266e-06</v>
      </c>
      <c r="AH47" t="n">
        <v>1.91373915259877e-06</v>
      </c>
      <c r="AI47" t="n">
        <v>1.48840748846471e-06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</row>
    <row r="48">
      <c r="A48" t="inlineStr">
        <is>
          <t>Dominica_2018_August</t>
        </is>
      </c>
      <c r="B48" s="2" t="n"/>
      <c r="C48" s="3" t="inlineStr">
        <is>
          <t>SM.18.139</t>
        </is>
      </c>
      <c r="D48" s="4" t="inlineStr">
        <is>
          <t>Dominica</t>
        </is>
      </c>
      <c r="E48" s="4" t="inlineStr">
        <is>
          <t>DMA</t>
        </is>
      </c>
      <c r="F48" s="10" t="n">
        <v>43255</v>
      </c>
      <c r="G48" s="4" t="inlineStr">
        <is>
          <t>2013gn</t>
        </is>
      </c>
      <c r="H48" s="4" t="n">
        <v>2017</v>
      </c>
      <c r="I48" s="5" t="n"/>
      <c r="J48" t="inlineStr">
        <is>
          <t>Kuwait</t>
        </is>
      </c>
      <c r="N48" t="n">
        <v>0.000675171518518518</v>
      </c>
      <c r="O48" t="n">
        <v>0.000196040333333333</v>
      </c>
      <c r="P48" t="n">
        <v>0.000382732777777778</v>
      </c>
      <c r="Q48" t="n">
        <v>0.000370268962962963</v>
      </c>
      <c r="R48" t="n">
        <v>0.000357805111111111</v>
      </c>
      <c r="S48" t="n">
        <v>0.000345341259259259</v>
      </c>
      <c r="T48" t="n">
        <v>0.000332877407407407</v>
      </c>
      <c r="U48" t="n">
        <v>0.000307154185185185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F48" t="n">
        <v>0</v>
      </c>
      <c r="BG48" t="n">
        <v>0</v>
      </c>
    </row>
    <row r="49">
      <c r="A49" t="inlineStr">
        <is>
          <t>Dominica_2018_August</t>
        </is>
      </c>
      <c r="B49" s="2" t="n"/>
      <c r="C49" s="3" t="inlineStr">
        <is>
          <t>SM.18.139</t>
        </is>
      </c>
      <c r="D49" s="4" t="inlineStr">
        <is>
          <t>Dominica</t>
        </is>
      </c>
      <c r="E49" s="4" t="inlineStr">
        <is>
          <t>DMA</t>
        </is>
      </c>
      <c r="F49" s="10" t="n">
        <v>43255</v>
      </c>
      <c r="G49" s="4" t="inlineStr">
        <is>
          <t>2013gn</t>
        </is>
      </c>
      <c r="H49" s="4" t="n">
        <v>2017</v>
      </c>
      <c r="I49" s="4" t="inlineStr">
        <is>
          <t>old.tds.lcl.nres</t>
        </is>
      </c>
      <c r="J49" t="inlineStr">
        <is>
          <t>China</t>
        </is>
      </c>
      <c r="N49" t="n">
        <v>0.00359901114814815</v>
      </c>
      <c r="O49" t="n">
        <v>0.0018133602962963</v>
      </c>
      <c r="P49" t="n">
        <v>0.00358934488888889</v>
      </c>
      <c r="Q49" t="n">
        <v>0.00353280218518519</v>
      </c>
      <c r="R49" t="n">
        <v>0.00347274548148148</v>
      </c>
      <c r="S49" t="n">
        <v>0.00341444577777778</v>
      </c>
      <c r="T49" t="n">
        <v>0.00335614611111111</v>
      </c>
      <c r="U49" t="n">
        <v>0.00329896448148148</v>
      </c>
      <c r="V49" t="n">
        <v>0.00285910255401712</v>
      </c>
      <c r="W49" t="n">
        <v>0.00247788887818382</v>
      </c>
      <c r="X49" t="n">
        <v>0.00214750369272354</v>
      </c>
      <c r="Y49" t="n">
        <v>0.00186116986555162</v>
      </c>
      <c r="Z49" t="n">
        <v>0.00161301388219936</v>
      </c>
      <c r="AA49" t="n">
        <v>0.00139794536346455</v>
      </c>
      <c r="AB49" t="n">
        <v>0.00121155264737549</v>
      </c>
      <c r="AC49" t="n">
        <v>0.00105001229355969</v>
      </c>
      <c r="AD49" t="n">
        <v>0.0009100106536969849</v>
      </c>
      <c r="AE49" t="n">
        <v>0.0007886758992454969</v>
      </c>
      <c r="AF49" t="n">
        <v>0.00068351911213757</v>
      </c>
      <c r="AG49" t="n">
        <v>0.000592383230049615</v>
      </c>
      <c r="AH49" t="n">
        <v>0.000513398798969335</v>
      </c>
      <c r="AI49" t="n">
        <v>0.000444945625420693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F49" t="n">
        <v>0</v>
      </c>
      <c r="BG49" t="n">
        <v>0</v>
      </c>
    </row>
    <row r="50">
      <c r="A50" t="inlineStr">
        <is>
          <t>Dominica_2018_August</t>
        </is>
      </c>
      <c r="B50" s="2" t="n"/>
      <c r="C50" s="3" t="inlineStr">
        <is>
          <t>SM.18.139</t>
        </is>
      </c>
      <c r="D50" s="4" t="inlineStr">
        <is>
          <t>Dominica</t>
        </is>
      </c>
      <c r="E50" s="4" t="inlineStr">
        <is>
          <t>DMA</t>
        </is>
      </c>
      <c r="F50" s="10" t="n">
        <v>43255</v>
      </c>
      <c r="G50" s="4" t="inlineStr">
        <is>
          <t>2013gn</t>
        </is>
      </c>
      <c r="H50" s="4" t="n">
        <v>2017</v>
      </c>
      <c r="I50" s="4" t="inlineStr">
        <is>
          <t>old.tds.lcl.nres.lc</t>
        </is>
      </c>
      <c r="J50" t="inlineStr">
        <is>
          <t>Petrocaribe</t>
        </is>
      </c>
      <c r="N50" t="n">
        <v>2.50288594345696e-06</v>
      </c>
      <c r="O50" t="n">
        <v>2.71826337696647e-06</v>
      </c>
      <c r="P50" t="n">
        <v>2.89055625486517e-06</v>
      </c>
      <c r="Q50" t="n">
        <v>3.08559799867812e-06</v>
      </c>
      <c r="R50" t="n">
        <v>3.30795046234334e-06</v>
      </c>
      <c r="S50" t="n">
        <v>3.51390305996129e-06</v>
      </c>
      <c r="T50" t="n">
        <v>3.70881157219641e-06</v>
      </c>
      <c r="U50" t="n">
        <v>3.897132604029669e-06</v>
      </c>
      <c r="V50" t="n">
        <v>4.08377361097751e-06</v>
      </c>
      <c r="W50" t="n">
        <v>4.270651859037349e-06</v>
      </c>
      <c r="X50" t="n">
        <v>4.465343720609779e-06</v>
      </c>
      <c r="Y50" t="n">
        <v>4.66818706988129e-06</v>
      </c>
      <c r="Z50" t="n">
        <v>4.87953438075309e-06</v>
      </c>
      <c r="AA50" t="n">
        <v>5.09975338585781e-06</v>
      </c>
      <c r="AB50" t="n">
        <v>5.32922771771494e-06</v>
      </c>
      <c r="AC50" t="n">
        <v>5.56835760005715e-06</v>
      </c>
      <c r="AD50" t="n">
        <v>5.81565412152733e-06</v>
      </c>
      <c r="AE50" t="n">
        <v>5.705141161151569e-06</v>
      </c>
      <c r="AF50" t="n">
        <v>5.7705620278503e-06</v>
      </c>
      <c r="AG50" t="n">
        <v>5.79094120617288e-06</v>
      </c>
      <c r="AH50" t="n">
        <v>5.423380916502879e-06</v>
      </c>
      <c r="AI50" t="n">
        <v>5.37534413699176e-06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</row>
    <row r="51">
      <c r="A51" t="inlineStr">
        <is>
          <t>Dominica_2018_August</t>
        </is>
      </c>
      <c r="B51" s="2" t="n"/>
      <c r="C51" s="3" t="inlineStr">
        <is>
          <t>SM.18.139</t>
        </is>
      </c>
      <c r="D51" s="4" t="inlineStr">
        <is>
          <t>Dominica</t>
        </is>
      </c>
      <c r="E51" s="4" t="inlineStr">
        <is>
          <t>DMA</t>
        </is>
      </c>
      <c r="F51" s="10" t="n">
        <v>43255</v>
      </c>
      <c r="G51" s="4" t="inlineStr">
        <is>
          <t>2013gn</t>
        </is>
      </c>
      <c r="H51" s="4" t="n">
        <v>2017</v>
      </c>
      <c r="I51" s="4" t="inlineStr">
        <is>
          <t>old.tds.lcl.nres.fx</t>
        </is>
      </c>
      <c r="J51" t="inlineStr">
        <is>
          <t xml:space="preserve">   Others Non Paris Club</t>
        </is>
      </c>
      <c r="N51" t="n">
        <v>0.0011007432962963</v>
      </c>
      <c r="O51" t="n">
        <v>0.000330886666666667</v>
      </c>
      <c r="P51" t="n">
        <v>0.00050979911111111</v>
      </c>
      <c r="Q51" t="n">
        <v>0.000724043481481481</v>
      </c>
      <c r="R51" t="n">
        <v>0.000694928296296295</v>
      </c>
      <c r="S51" t="n">
        <v>0.00067884225925926</v>
      </c>
      <c r="T51" t="n">
        <v>0.000665061333333332</v>
      </c>
      <c r="U51" t="n">
        <v>0.000651482148148149</v>
      </c>
      <c r="V51" t="n">
        <v>0.00132356962016043</v>
      </c>
      <c r="W51" t="n">
        <v>0.00175846804725071</v>
      </c>
      <c r="X51" t="n">
        <v>0.00210816612063857</v>
      </c>
      <c r="Y51" t="n">
        <v>0.00237399507005017</v>
      </c>
      <c r="Z51" t="n">
        <v>0.00251469218699641</v>
      </c>
      <c r="AA51" t="n">
        <v>0.00254114731123618</v>
      </c>
      <c r="AB51" t="n">
        <v>0.00255667289399799</v>
      </c>
      <c r="AC51" t="n">
        <v>0.000466548082537028</v>
      </c>
      <c r="AD51" t="n">
        <v>-0.0007002435389210451</v>
      </c>
      <c r="AE51" t="n">
        <v>-0.000968291325848184</v>
      </c>
      <c r="AF51" t="n">
        <v>-0.0008449799158349981</v>
      </c>
      <c r="AG51" t="n">
        <v>-0.000720800992978035</v>
      </c>
      <c r="AH51" t="n">
        <v>-0.00161337423796323</v>
      </c>
      <c r="AI51" t="n">
        <v>-0.0025224624685297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0</v>
      </c>
      <c r="BE51" t="n">
        <v>0</v>
      </c>
      <c r="BF51" t="n">
        <v>0</v>
      </c>
      <c r="BG51" t="n">
        <v>0</v>
      </c>
    </row>
    <row r="52">
      <c r="A52" t="inlineStr">
        <is>
          <t>Dominica_2018_August</t>
        </is>
      </c>
      <c r="B52" s="2" t="n"/>
      <c r="C52" s="3" t="inlineStr">
        <is>
          <t>SM.18.139</t>
        </is>
      </c>
      <c r="D52" s="4" t="inlineStr">
        <is>
          <t>Dominica</t>
        </is>
      </c>
      <c r="E52" s="4" t="inlineStr">
        <is>
          <t>DMA</t>
        </is>
      </c>
      <c r="F52" s="10" t="n">
        <v>43255</v>
      </c>
      <c r="G52" s="4" t="inlineStr">
        <is>
          <t>2013gn</t>
        </is>
      </c>
      <c r="H52" s="4" t="n">
        <v>2017</v>
      </c>
      <c r="I52" s="5" t="n"/>
      <c r="J52" t="inlineStr">
        <is>
          <t>Commercial</t>
        </is>
      </c>
      <c r="N52" t="n">
        <v>0.00603464512142157</v>
      </c>
      <c r="O52" t="n">
        <v>0.007428724501157981</v>
      </c>
      <c r="P52" t="n">
        <v>0.00591571192419537</v>
      </c>
      <c r="Q52" t="n">
        <v>0.0142916729805661</v>
      </c>
      <c r="R52" t="n">
        <v>0.00589857007397384</v>
      </c>
      <c r="S52" t="n">
        <v>0.00471376353775197</v>
      </c>
      <c r="T52" t="n">
        <v>0.00463414007560417</v>
      </c>
      <c r="U52" t="n">
        <v>0.004554516576419341</v>
      </c>
      <c r="V52" t="n">
        <v>0.00612783060522099</v>
      </c>
      <c r="W52" t="n">
        <v>0.00469955960094631</v>
      </c>
      <c r="X52" t="n">
        <v>0.00432285294970256</v>
      </c>
      <c r="Y52" t="n">
        <v>0.0039626649086484</v>
      </c>
      <c r="Z52" t="n">
        <v>0.00272084518659005</v>
      </c>
      <c r="AA52" t="n">
        <v>0.00238078669059871</v>
      </c>
      <c r="AB52" t="n">
        <v>0.00235702762259282</v>
      </c>
      <c r="AC52" t="n">
        <v>0.00233432458067741</v>
      </c>
      <c r="AD52" t="n">
        <v>0.00230987353888569</v>
      </c>
      <c r="AE52" t="n">
        <v>0.00191712812509583</v>
      </c>
      <c r="AF52" t="n">
        <v>0.00168935705245589</v>
      </c>
      <c r="AG52" t="n">
        <v>0.00140661946122345</v>
      </c>
      <c r="AH52" t="n">
        <v>0.00107633261082971</v>
      </c>
      <c r="AI52" t="n">
        <v>3.74599220357582e-13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</row>
    <row r="53">
      <c r="A53" t="inlineStr">
        <is>
          <t>Dominica_2018_August</t>
        </is>
      </c>
      <c r="B53" s="2" t="n"/>
      <c r="C53" s="3" t="inlineStr">
        <is>
          <t>SM.18.139</t>
        </is>
      </c>
      <c r="D53" s="4" t="inlineStr">
        <is>
          <t>Dominica</t>
        </is>
      </c>
      <c r="E53" s="4" t="inlineStr">
        <is>
          <t>DMA</t>
        </is>
      </c>
      <c r="F53" s="10" t="n">
        <v>43255</v>
      </c>
      <c r="G53" s="4" t="inlineStr">
        <is>
          <t>2013gn</t>
        </is>
      </c>
      <c r="H53" s="4" t="n">
        <v>2017</v>
      </c>
      <c r="I53" s="4" t="inlineStr">
        <is>
          <t>old.tds.lcl.fx</t>
        </is>
      </c>
      <c r="J53" t="inlineStr">
        <is>
          <t>Royal Merchant Bank</t>
        </is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</row>
    <row r="54">
      <c r="A54" t="inlineStr">
        <is>
          <t>Dominica_2018_August</t>
        </is>
      </c>
      <c r="B54" s="2" t="n"/>
      <c r="C54" s="3" t="inlineStr">
        <is>
          <t>SM.18.139</t>
        </is>
      </c>
      <c r="D54" s="4" t="inlineStr">
        <is>
          <t>Dominica</t>
        </is>
      </c>
      <c r="E54" s="4" t="inlineStr">
        <is>
          <t>DMA</t>
        </is>
      </c>
      <c r="F54" s="10" t="n">
        <v>43255</v>
      </c>
      <c r="G54" s="4" t="inlineStr">
        <is>
          <t>2013gn</t>
        </is>
      </c>
      <c r="H54" s="4" t="n">
        <v>2017</v>
      </c>
      <c r="I54" s="5" t="n"/>
      <c r="J54" t="inlineStr">
        <is>
          <t>…</t>
        </is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0</v>
      </c>
      <c r="BE54" t="n">
        <v>0</v>
      </c>
      <c r="BF54" t="n">
        <v>0</v>
      </c>
      <c r="BG54" t="n">
        <v>0</v>
      </c>
    </row>
    <row r="55">
      <c r="A55" t="inlineStr">
        <is>
          <t>Dominica_2018_August</t>
        </is>
      </c>
      <c r="B55" s="2" t="n"/>
      <c r="C55" s="3" t="inlineStr">
        <is>
          <t>SM.18.139</t>
        </is>
      </c>
      <c r="D55" s="4" t="inlineStr">
        <is>
          <t>Dominica</t>
        </is>
      </c>
      <c r="E55" s="4" t="inlineStr">
        <is>
          <t>DMA</t>
        </is>
      </c>
      <c r="F55" s="10" t="n">
        <v>43255</v>
      </c>
      <c r="G55" s="4" t="inlineStr">
        <is>
          <t>2013gn</t>
        </is>
      </c>
      <c r="H55" s="4" t="n">
        <v>2017</v>
      </c>
      <c r="I55" s="4" t="inlineStr">
        <is>
          <t>old.tds.lcl.incl.dom</t>
        </is>
      </c>
      <c r="J55" t="inlineStr">
        <is>
          <t xml:space="preserve">   Others Commercial</t>
        </is>
      </c>
      <c r="N55" t="n">
        <v>0.00603464512142157</v>
      </c>
      <c r="O55" t="n">
        <v>0.007428724501157981</v>
      </c>
      <c r="P55" t="n">
        <v>0.00591571192419537</v>
      </c>
      <c r="Q55" t="n">
        <v>0.0142916729805661</v>
      </c>
      <c r="R55" t="n">
        <v>0.00589857007397384</v>
      </c>
      <c r="S55" t="n">
        <v>0.00471376353775197</v>
      </c>
      <c r="T55" t="n">
        <v>0.00463414007560417</v>
      </c>
      <c r="U55" t="n">
        <v>0.004554516576419341</v>
      </c>
      <c r="V55" t="n">
        <v>0.00612783060522099</v>
      </c>
      <c r="W55" t="n">
        <v>0.00469955960094631</v>
      </c>
      <c r="X55" t="n">
        <v>0.00432285294970256</v>
      </c>
      <c r="Y55" t="n">
        <v>0.0039626649086484</v>
      </c>
      <c r="Z55" t="n">
        <v>0.00272084518659005</v>
      </c>
      <c r="AA55" t="n">
        <v>0.00238078669059871</v>
      </c>
      <c r="AB55" t="n">
        <v>0.00235702762259282</v>
      </c>
      <c r="AC55" t="n">
        <v>0.00233432458067741</v>
      </c>
      <c r="AD55" t="n">
        <v>0.00230987353888569</v>
      </c>
      <c r="AE55" t="n">
        <v>0.00191712812509583</v>
      </c>
      <c r="AF55" t="n">
        <v>0.00168935705245589</v>
      </c>
      <c r="AG55" t="n">
        <v>0.00140661946122345</v>
      </c>
      <c r="AH55" t="n">
        <v>0.00107633261082971</v>
      </c>
      <c r="AI55" t="n">
        <v>3.74599220357582e-13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</row>
    <row r="56">
      <c r="A56" t="inlineStr">
        <is>
          <t>Dominica_2018_August</t>
        </is>
      </c>
      <c r="B56" s="2" t="n"/>
      <c r="C56" s="3" t="inlineStr">
        <is>
          <t>SM.18.139</t>
        </is>
      </c>
      <c r="D56" s="4" t="inlineStr">
        <is>
          <t>Dominica</t>
        </is>
      </c>
      <c r="E56" s="4" t="inlineStr">
        <is>
          <t>DMA</t>
        </is>
      </c>
      <c r="F56" s="10" t="n">
        <v>43255</v>
      </c>
      <c r="G56" s="4" t="inlineStr">
        <is>
          <t>2013gn</t>
        </is>
      </c>
      <c r="H56" s="4" t="n">
        <v>2017</v>
      </c>
      <c r="I56" s="4" t="inlineStr">
        <is>
          <t>old.tds.lcl.incl.dom.amt</t>
        </is>
      </c>
      <c r="J56" t="inlineStr">
        <is>
          <t>If the Breakdown is not available insert total debt service here</t>
        </is>
      </c>
    </row>
    <row r="57">
      <c r="A57" t="inlineStr">
        <is>
          <t>Dominica_2018_August</t>
        </is>
      </c>
      <c r="B57" s="2" t="n"/>
      <c r="C57" s="3" t="inlineStr">
        <is>
          <t>SM.18.139</t>
        </is>
      </c>
      <c r="D57" s="4" t="inlineStr">
        <is>
          <t>Dominica</t>
        </is>
      </c>
      <c r="E57" s="4" t="inlineStr">
        <is>
          <t>DMA</t>
        </is>
      </c>
      <c r="F57" s="10" t="n">
        <v>43255</v>
      </c>
      <c r="G57" s="4" t="inlineStr">
        <is>
          <t>2013gn</t>
        </is>
      </c>
      <c r="H57" s="4" t="n">
        <v>2017</v>
      </c>
      <c r="I57" s="4" t="inlineStr">
        <is>
          <t>old.tds.lcl.incl.dom.int</t>
        </is>
      </c>
      <c r="J57" t="inlineStr">
        <is>
          <t>Total</t>
        </is>
      </c>
      <c r="N57" t="n">
        <v>0.02891994197032799</v>
      </c>
      <c r="O57" t="n">
        <v>0.01959083106083124</v>
      </c>
      <c r="P57" t="n">
        <v>0.02914510336933912</v>
      </c>
      <c r="Q57" t="n">
        <v>0.0365411875044907</v>
      </c>
      <c r="R57" t="n">
        <v>0.0268044227651769</v>
      </c>
      <c r="S57" t="n">
        <v>0.02501668436673786</v>
      </c>
      <c r="T57" t="n">
        <v>0.02387133655384303</v>
      </c>
      <c r="U57" t="n">
        <v>0.02342769841272708</v>
      </c>
      <c r="V57" t="n">
        <v>0.02337080720931846</v>
      </c>
      <c r="W57" t="n">
        <v>0.02108054826401407</v>
      </c>
      <c r="X57" t="n">
        <v>0.01993475827258013</v>
      </c>
      <c r="Y57" t="n">
        <v>0.01877300101086456</v>
      </c>
      <c r="Z57" t="n">
        <v>0.01411821660047286</v>
      </c>
      <c r="AA57" t="n">
        <v>0.01278689027529861</v>
      </c>
      <c r="AB57" t="n">
        <v>0.0121594326059051</v>
      </c>
      <c r="AC57" t="n">
        <v>0.009470295291219111</v>
      </c>
      <c r="AD57" t="n">
        <v>0.007749015893928254</v>
      </c>
      <c r="AE57" t="n">
        <v>0.006614018019124055</v>
      </c>
      <c r="AF57" t="n">
        <v>0.006079417370712043</v>
      </c>
      <c r="AG57" t="n">
        <v>0.005536762048236565</v>
      </c>
      <c r="AH57" t="n">
        <v>0.00495741331199075</v>
      </c>
      <c r="AI57" t="n">
        <v>0.003643678666827812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</row>
    <row r="58">
      <c r="A58" t="inlineStr">
        <is>
          <t>Dominica_2018_August</t>
        </is>
      </c>
      <c r="B58" s="2" t="n"/>
      <c r="C58" s="3" t="inlineStr">
        <is>
          <t>SM.18.139</t>
        </is>
      </c>
      <c r="D58" s="4" t="inlineStr">
        <is>
          <t>Dominica</t>
        </is>
      </c>
      <c r="E58" s="4" t="inlineStr">
        <is>
          <t>DMA</t>
        </is>
      </c>
      <c r="F58" s="10" t="n">
        <v>43255</v>
      </c>
      <c r="G58" s="4" t="inlineStr">
        <is>
          <t>2013gn</t>
        </is>
      </c>
      <c r="H58" s="4" t="n">
        <v>2017</v>
      </c>
      <c r="I58" s="4" t="inlineStr">
        <is>
          <t>dbt.evol</t>
        </is>
      </c>
      <c r="J58" t="inlineStr">
        <is>
          <t xml:space="preserve">    of which: principal</t>
        </is>
      </c>
      <c r="N58" t="n">
        <v>0.0214953117099327</v>
      </c>
      <c r="O58" t="n">
        <v>0.0154323495851503</v>
      </c>
      <c r="P58" t="n">
        <v>0.0230101790295947</v>
      </c>
      <c r="Q58" t="n">
        <v>0.0306390689925577</v>
      </c>
      <c r="R58" t="n">
        <v>0.0221014026221873</v>
      </c>
      <c r="S58" t="n">
        <v>0.0209061978444095</v>
      </c>
      <c r="T58" t="n">
        <v>0.020208473325891</v>
      </c>
      <c r="U58" t="n">
        <v>0.0202094218814466</v>
      </c>
      <c r="V58" t="n">
        <v>0.020645029272928</v>
      </c>
      <c r="W58" t="n">
        <v>0.0187847921501406</v>
      </c>
      <c r="X58" t="n">
        <v>0.0180181636867038</v>
      </c>
      <c r="Y58" t="n">
        <v>0.0172170163390069</v>
      </c>
      <c r="Z58" t="n">
        <v>0.013962222658525</v>
      </c>
      <c r="AA58" t="n">
        <v>0.0115248142211452</v>
      </c>
      <c r="AB58" t="n">
        <v>0.0110972568145823</v>
      </c>
      <c r="AC58" t="n">
        <v>0.008599129464976851</v>
      </c>
      <c r="AD58" t="n">
        <v>0.00704336241805733</v>
      </c>
      <c r="AE58" t="n">
        <v>0.00624949480049149</v>
      </c>
      <c r="AF58" t="n">
        <v>0.005796506009119009</v>
      </c>
      <c r="AG58" t="n">
        <v>0.005329006188336829</v>
      </c>
      <c r="AH58" t="n">
        <v>0.0048190285208869</v>
      </c>
      <c r="AI58" t="n">
        <v>0.00356075700721318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</row>
    <row r="59">
      <c r="A59" t="inlineStr">
        <is>
          <t>Dominica_2018_August</t>
        </is>
      </c>
      <c r="B59" s="2" t="n"/>
      <c r="C59" s="3" t="inlineStr">
        <is>
          <t>SM.18.139</t>
        </is>
      </c>
      <c r="D59" s="4" t="inlineStr">
        <is>
          <t>Dominica</t>
        </is>
      </c>
      <c r="E59" s="4" t="inlineStr">
        <is>
          <t>DMA</t>
        </is>
      </c>
      <c r="F59" s="10" t="n">
        <v>43255</v>
      </c>
      <c r="G59" s="4" t="inlineStr">
        <is>
          <t>2013gn</t>
        </is>
      </c>
      <c r="H59" s="4" t="n">
        <v>2017</v>
      </c>
      <c r="I59" s="5" t="n"/>
      <c r="J59" t="inlineStr">
        <is>
          <t xml:space="preserve">    of which: interest</t>
        </is>
      </c>
      <c r="N59" t="n">
        <v>0.007424630260395287</v>
      </c>
      <c r="O59" t="n">
        <v>0.004158481475680939</v>
      </c>
      <c r="P59" t="n">
        <v>0.00613492433974442</v>
      </c>
      <c r="Q59" t="n">
        <v>0.005902118511933001</v>
      </c>
      <c r="R59" t="n">
        <v>0.004703020142989602</v>
      </c>
      <c r="S59" t="n">
        <v>0.004110486522328365</v>
      </c>
      <c r="T59" t="n">
        <v>0.003662863227952031</v>
      </c>
      <c r="U59" t="n">
        <v>0.00321827653128048</v>
      </c>
      <c r="V59" t="n">
        <v>0.002725777936390464</v>
      </c>
      <c r="W59" t="n">
        <v>0.002295756113873469</v>
      </c>
      <c r="X59" t="n">
        <v>0.001916594585876327</v>
      </c>
      <c r="Y59" t="n">
        <v>0.001555984671857663</v>
      </c>
      <c r="Z59" t="n">
        <v>0.0001559939419478584</v>
      </c>
      <c r="AA59" t="n">
        <v>0.001262076054153414</v>
      </c>
      <c r="AB59" t="n">
        <v>0.001062175791322803</v>
      </c>
      <c r="AC59" t="n">
        <v>0.0008711658262422605</v>
      </c>
      <c r="AD59" t="n">
        <v>0.0007056534758709239</v>
      </c>
      <c r="AE59" t="n">
        <v>0.0003645232186325646</v>
      </c>
      <c r="AF59" t="n">
        <v>0.0002829113615930336</v>
      </c>
      <c r="AG59" t="n">
        <v>0.0002077558598997352</v>
      </c>
      <c r="AH59" t="n">
        <v>0.00013838479110385</v>
      </c>
      <c r="AI59" t="n">
        <v>8.29216596146317e-05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t="n">
        <v>0</v>
      </c>
      <c r="BE59" t="n">
        <v>0</v>
      </c>
      <c r="BF59" t="n">
        <v>0</v>
      </c>
      <c r="BG59" t="n">
        <v>0</v>
      </c>
    </row>
    <row r="60">
      <c r="A60" t="inlineStr">
        <is>
          <t>Dominica_2018_August</t>
        </is>
      </c>
      <c r="B60" s="2" t="n"/>
      <c r="C60" s="3" t="inlineStr">
        <is>
          <t>SM.18.139</t>
        </is>
      </c>
      <c r="D60" s="4" t="inlineStr">
        <is>
          <t>Dominica</t>
        </is>
      </c>
      <c r="E60" s="4" t="inlineStr">
        <is>
          <t>DMA</t>
        </is>
      </c>
      <c r="F60" s="10" t="n">
        <v>43255</v>
      </c>
      <c r="G60" s="4" t="inlineStr">
        <is>
          <t>2013gn</t>
        </is>
      </c>
      <c r="H60" s="4" t="n">
        <v>2017</v>
      </c>
      <c r="I60" s="5" t="n"/>
    </row>
    <row r="61">
      <c r="A61" t="inlineStr">
        <is>
          <t>Dominica_2018_August</t>
        </is>
      </c>
      <c r="B61" s="2" t="n"/>
      <c r="C61" s="3" t="inlineStr">
        <is>
          <t>SM.18.139</t>
        </is>
      </c>
      <c r="D61" s="4" t="inlineStr">
        <is>
          <t>Dominica</t>
        </is>
      </c>
      <c r="E61" s="4" t="inlineStr">
        <is>
          <t>DMA</t>
        </is>
      </c>
      <c r="F61" s="10" t="n">
        <v>43255</v>
      </c>
      <c r="G61" s="4" t="inlineStr">
        <is>
          <t>2013gn</t>
        </is>
      </c>
      <c r="H61" s="4" t="n">
        <v>2017</v>
      </c>
      <c r="I61" s="4" t="inlineStr">
        <is>
          <t>old.tds.inc.lcl.iss</t>
        </is>
      </c>
      <c r="J61" t="inlineStr">
        <is>
          <t>2. Stock of outstanding arrears</t>
        </is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</row>
    <row r="62">
      <c r="A62" t="inlineStr">
        <is>
          <t>Dominica_2018_August</t>
        </is>
      </c>
      <c r="B62" s="2" t="n"/>
      <c r="C62" s="3" t="inlineStr">
        <is>
          <t>SM.18.139</t>
        </is>
      </c>
      <c r="D62" s="4" t="inlineStr">
        <is>
          <t>Dominica</t>
        </is>
      </c>
      <c r="E62" s="4" t="inlineStr">
        <is>
          <t>DMA</t>
        </is>
      </c>
      <c r="F62" s="10" t="n">
        <v>43255</v>
      </c>
      <c r="G62" s="4" t="inlineStr">
        <is>
          <t>2013gn</t>
        </is>
      </c>
      <c r="H62" s="4" t="n">
        <v>2017</v>
      </c>
      <c r="I62" s="4" t="inlineStr">
        <is>
          <t>old.tds.inc.lcl.iss.amt</t>
        </is>
      </c>
    </row>
    <row r="63">
      <c r="A63" t="inlineStr">
        <is>
          <t>Dominica_2018_August</t>
        </is>
      </c>
      <c r="B63" s="2" t="n"/>
      <c r="C63" s="3" t="inlineStr">
        <is>
          <t>SM.18.139</t>
        </is>
      </c>
      <c r="D63" s="4" t="inlineStr">
        <is>
          <t>Dominica</t>
        </is>
      </c>
      <c r="E63" s="4" t="inlineStr">
        <is>
          <t>DMA</t>
        </is>
      </c>
      <c r="F63" s="10" t="n">
        <v>43255</v>
      </c>
      <c r="G63" s="4" t="inlineStr">
        <is>
          <t>2013gn</t>
        </is>
      </c>
      <c r="H63" s="4" t="n">
        <v>2017</v>
      </c>
      <c r="I63" s="4" t="inlineStr">
        <is>
          <t>old.tds.inc.lcl.iss.int</t>
        </is>
      </c>
      <c r="J63" t="inlineStr">
        <is>
          <t>Evolution of old MLT debt, excluding arrears (nominal)</t>
        </is>
      </c>
      <c r="N63" t="n">
        <v>0.311435365870942</v>
      </c>
      <c r="O63" t="n">
        <v>0.2960030162857917</v>
      </c>
      <c r="P63" t="n">
        <v>0.2729928372561971</v>
      </c>
      <c r="Q63" t="n">
        <v>0.2423537682636394</v>
      </c>
      <c r="R63" t="n">
        <v>0.2202523656414521</v>
      </c>
      <c r="S63" t="n">
        <v>0.1993461677970426</v>
      </c>
      <c r="T63" t="n">
        <v>0.1791376944711516</v>
      </c>
      <c r="U63" t="n">
        <v>0.158928272589705</v>
      </c>
      <c r="V63" t="n">
        <v>0.138283243316777</v>
      </c>
      <c r="W63" t="n">
        <v>0.1194984511666364</v>
      </c>
      <c r="X63" t="n">
        <v>0.1014802874799326</v>
      </c>
      <c r="Y63" t="n">
        <v>0.08426327114092569</v>
      </c>
      <c r="Z63" t="n">
        <v>0.07030104848240069</v>
      </c>
      <c r="AA63" t="n">
        <v>0.05877623426125549</v>
      </c>
      <c r="AB63" t="n">
        <v>0.0476789774466732</v>
      </c>
      <c r="AC63" t="n">
        <v>0.03907984798169634</v>
      </c>
      <c r="AD63" t="n">
        <v>0.03203648556363901</v>
      </c>
      <c r="AE63" t="n">
        <v>0.02578699076314752</v>
      </c>
      <c r="AF63" t="n">
        <v>0.01999048475402852</v>
      </c>
      <c r="AG63" t="n">
        <v>0.01466147856569169</v>
      </c>
      <c r="AH63" t="n">
        <v>0.009842450044804787</v>
      </c>
      <c r="AI63" t="n">
        <v>0.006281693037591607</v>
      </c>
      <c r="AJ63" t="n">
        <v>0.006281693037591607</v>
      </c>
      <c r="AK63" t="n">
        <v>0.006281693037591607</v>
      </c>
      <c r="AL63" t="n">
        <v>0.006281693037591607</v>
      </c>
      <c r="AM63" t="n">
        <v>0.006281693037591607</v>
      </c>
      <c r="AN63" t="n">
        <v>0.006281693037591607</v>
      </c>
      <c r="AO63" t="n">
        <v>0.006281693037591607</v>
      </c>
      <c r="AP63" t="n">
        <v>0.006281693037591607</v>
      </c>
      <c r="AQ63" t="n">
        <v>0.006281693037591607</v>
      </c>
      <c r="AR63" t="n">
        <v>0.006281693037591607</v>
      </c>
      <c r="AS63" t="n">
        <v>0.006281693037591607</v>
      </c>
      <c r="AT63" t="n">
        <v>0.006281693037591607</v>
      </c>
      <c r="AU63" t="n">
        <v>0.006281693037591607</v>
      </c>
      <c r="AV63" t="n">
        <v>0.006281693037591607</v>
      </c>
      <c r="AW63" t="n">
        <v>0.006281693037591607</v>
      </c>
      <c r="AX63" t="n">
        <v>0.006281693037591607</v>
      </c>
      <c r="AY63" t="n">
        <v>0.006281693037591607</v>
      </c>
      <c r="AZ63" t="n">
        <v>0.006281693037591607</v>
      </c>
      <c r="BA63" t="n">
        <v>0.006281693037591607</v>
      </c>
      <c r="BB63" t="n">
        <v>0.006281693037591607</v>
      </c>
      <c r="BC63" t="n">
        <v>0.006281693037591607</v>
      </c>
      <c r="BD63" t="n">
        <v>0.006281693037591607</v>
      </c>
      <c r="BE63" t="n">
        <v>0.006281693037591607</v>
      </c>
      <c r="BF63" t="n">
        <v>0.006281693037591607</v>
      </c>
      <c r="BG63" t="n">
        <v>0.006281693037591607</v>
      </c>
    </row>
    <row r="64">
      <c r="A64" t="inlineStr">
        <is>
          <t>Dominica_2018_August</t>
        </is>
      </c>
      <c r="B64" s="2" t="n"/>
      <c r="C64" s="3" t="inlineStr">
        <is>
          <t>SM.18.139</t>
        </is>
      </c>
      <c r="D64" s="4" t="inlineStr">
        <is>
          <t>Dominica</t>
        </is>
      </c>
      <c r="E64" s="4" t="inlineStr">
        <is>
          <t>DMA</t>
        </is>
      </c>
      <c r="F64" s="10" t="n">
        <v>43255</v>
      </c>
      <c r="G64" s="4" t="inlineStr">
        <is>
          <t>2013gn</t>
        </is>
      </c>
      <c r="H64" s="4" t="n">
        <v>2017</v>
      </c>
      <c r="I64" s="5" t="n"/>
      <c r="J64" t="inlineStr">
        <is>
          <t>Check</t>
        </is>
      </c>
      <c r="N64" t="n">
        <v>0.006281693037591574</v>
      </c>
    </row>
    <row r="65">
      <c r="A65" t="inlineStr">
        <is>
          <t>Dominica_2018_August</t>
        </is>
      </c>
      <c r="B65" s="2" t="n"/>
      <c r="C65" s="3" t="inlineStr">
        <is>
          <t>SM.18.139</t>
        </is>
      </c>
      <c r="D65" s="4" t="inlineStr">
        <is>
          <t>Dominica</t>
        </is>
      </c>
      <c r="E65" s="4" t="inlineStr">
        <is>
          <t>DMA</t>
        </is>
      </c>
      <c r="F65" s="10" t="n">
        <v>43255</v>
      </c>
      <c r="G65" s="4" t="inlineStr">
        <is>
          <t>2013gn</t>
        </is>
      </c>
      <c r="H65" s="4" t="n">
        <v>2017</v>
      </c>
      <c r="I65" s="4" t="inlineStr">
        <is>
          <t>out.arr</t>
        </is>
      </c>
      <c r="O65" t="n">
        <v>0.04799764022025562</v>
      </c>
      <c r="P65" t="n">
        <v>0.04326419511078253</v>
      </c>
      <c r="Q65" t="n">
        <v>0.05007416262430552</v>
      </c>
      <c r="R65" t="n">
        <v>0.07816360592144965</v>
      </c>
      <c r="S65" t="n">
        <v>0.06195122317172717</v>
      </c>
      <c r="T65" t="n">
        <v>0.04207824784589988</v>
      </c>
      <c r="U65" t="n">
        <v>0.03661503956834882</v>
      </c>
      <c r="V65" t="n">
        <v>0.03424432304654688</v>
      </c>
      <c r="W65" t="n">
        <v>0.0390505191949202</v>
      </c>
      <c r="X65" t="n">
        <v>0.04067660906140018</v>
      </c>
      <c r="Y65" t="n">
        <v>0.04120153520074076</v>
      </c>
      <c r="Z65" t="n">
        <v>0.04301325639954543</v>
      </c>
      <c r="AA65" t="n">
        <v>0.0436356271783027</v>
      </c>
      <c r="AB65" t="n">
        <v>0.04712148905015819</v>
      </c>
      <c r="AC65" t="n">
        <v>0.05128167338926248</v>
      </c>
      <c r="AD65" t="n">
        <v>0.05300666110592499</v>
      </c>
      <c r="AE65" t="n">
        <v>0.05455107117528573</v>
      </c>
      <c r="AF65" t="n">
        <v>0.05632238982471681</v>
      </c>
      <c r="AG65" t="n">
        <v>0.05797199959587077</v>
      </c>
      <c r="AH65" t="n">
        <v>0.05971870615058705</v>
      </c>
      <c r="AI65" t="n">
        <v>0.06065785555785898</v>
      </c>
      <c r="AJ65" t="inlineStr">
        <is>
          <t>DSA</t>
        </is>
      </c>
    </row>
    <row r="66">
      <c r="A66" t="inlineStr">
        <is>
          <t>Dominica_2018_August</t>
        </is>
      </c>
      <c r="B66" s="2" t="n"/>
      <c r="C66" s="3" t="inlineStr">
        <is>
          <t>SM.18.139</t>
        </is>
      </c>
      <c r="D66" s="4" t="inlineStr">
        <is>
          <t>Dominica</t>
        </is>
      </c>
      <c r="E66" s="4" t="inlineStr">
        <is>
          <t>DMA</t>
        </is>
      </c>
      <c r="F66" s="10" t="n">
        <v>43255</v>
      </c>
      <c r="G66" s="4" t="inlineStr">
        <is>
          <t>2013gn</t>
        </is>
      </c>
      <c r="H66" s="4" t="n">
        <v>2017</v>
      </c>
      <c r="I66" s="5" t="n"/>
      <c r="J66" t="inlineStr">
        <is>
          <t>3. NEW MLT DEBT: Disbursements (including for refinancing/clearance of arrears)</t>
        </is>
      </c>
      <c r="O66" t="n">
        <v>0.05130036665998314</v>
      </c>
      <c r="P66" t="n">
        <v>0.04390637121415705</v>
      </c>
      <c r="Q66" t="n">
        <v>0.06831316157075208</v>
      </c>
      <c r="R66" t="n">
        <v>0.08251746961687888</v>
      </c>
      <c r="S66" t="n">
        <v>0.07014381363546929</v>
      </c>
      <c r="T66" t="n">
        <v>0.05367896108065829</v>
      </c>
      <c r="U66" t="n">
        <v>0.04473271755595558</v>
      </c>
      <c r="V66" t="n">
        <v>0.04147512449717634</v>
      </c>
      <c r="W66" t="n">
        <v>0.04304391554780372</v>
      </c>
      <c r="X66" t="n">
        <v>0.04412544145227017</v>
      </c>
      <c r="Y66" t="n">
        <v>0.04661586148007709</v>
      </c>
      <c r="Z66" t="n">
        <v>0.04826222892894864</v>
      </c>
      <c r="AA66" t="n">
        <v>0.05007216782902651</v>
      </c>
      <c r="AB66" t="n">
        <v>0.05104944440971976</v>
      </c>
      <c r="AC66" t="n">
        <v>0.05354317453392542</v>
      </c>
      <c r="AD66" t="n">
        <v>0.05406303797049747</v>
      </c>
      <c r="AE66" t="n">
        <v>0.05552149687257288</v>
      </c>
      <c r="AF66" t="n">
        <v>0.05838464549333841</v>
      </c>
      <c r="AG66" t="n">
        <v>0.06166940827796516</v>
      </c>
      <c r="AH66" t="n">
        <v>0.06533639776098248</v>
      </c>
      <c r="AI66" t="n">
        <v>0.06915457324080226</v>
      </c>
      <c r="AJ66" t="inlineStr">
        <is>
          <t>Fiscal</t>
        </is>
      </c>
    </row>
    <row r="67">
      <c r="A67" t="inlineStr">
        <is>
          <t>Dominica_2018_August</t>
        </is>
      </c>
      <c r="B67" s="2" t="n"/>
      <c r="C67" s="3" t="inlineStr">
        <is>
          <t>SM.18.139</t>
        </is>
      </c>
      <c r="D67" s="4" t="inlineStr">
        <is>
          <t>Dominica</t>
        </is>
      </c>
      <c r="E67" s="4" t="inlineStr">
        <is>
          <t>DMA</t>
        </is>
      </c>
      <c r="F67" s="10" t="n">
        <v>43255</v>
      </c>
      <c r="G67" s="4" t="inlineStr">
        <is>
          <t>2013gn</t>
        </is>
      </c>
      <c r="H67" s="4" t="n">
        <v>2017</v>
      </c>
      <c r="I67" s="4" t="inlineStr">
        <is>
          <t>old.mlt.dbt.evol.exc.arr</t>
        </is>
      </c>
      <c r="J67" t="inlineStr">
        <is>
          <t>Multilaterals</t>
        </is>
      </c>
      <c r="O67" t="n">
        <v>0.01625814528966408</v>
      </c>
      <c r="P67" t="n">
        <v>0.01938517614394596</v>
      </c>
      <c r="Q67" t="n">
        <v>0.02379061185992033</v>
      </c>
      <c r="R67" t="n">
        <v>0.02860822746946734</v>
      </c>
      <c r="S67" t="n">
        <v>0.02720744076634404</v>
      </c>
      <c r="T67" t="n">
        <v>0.01531109999578356</v>
      </c>
      <c r="U67" t="n">
        <v>0.009711900629928241</v>
      </c>
      <c r="V67" t="n">
        <v>0.007970898271084919</v>
      </c>
      <c r="W67" t="n">
        <v>0.0079948717758396</v>
      </c>
      <c r="X67" t="n">
        <v>0.008231720125863</v>
      </c>
      <c r="Y67" t="n">
        <v>0.008451469331053198</v>
      </c>
      <c r="Z67" t="n">
        <v>0.008665414817101981</v>
      </c>
      <c r="AA67" t="n">
        <v>0.00886302706587426</v>
      </c>
      <c r="AB67" t="n">
        <v>0.009037632763620899</v>
      </c>
      <c r="AC67" t="n">
        <v>0.009244307934050339</v>
      </c>
      <c r="AD67" t="n">
        <v>0.00817872993548556</v>
      </c>
      <c r="AE67" t="n">
        <v>0.007752648521221379</v>
      </c>
      <c r="AF67" t="n">
        <v>0.008005443328453979</v>
      </c>
      <c r="AG67" t="n">
        <v>0.008345280699446279</v>
      </c>
      <c r="AH67" t="n">
        <v>0.008704268202746401</v>
      </c>
      <c r="AI67" t="n">
        <v>0.00907261542962628</v>
      </c>
    </row>
    <row r="68">
      <c r="A68" t="inlineStr">
        <is>
          <t>Dominica_2018_August</t>
        </is>
      </c>
      <c r="B68" s="2" t="n"/>
      <c r="C68" s="3" t="inlineStr">
        <is>
          <t>SM.18.139</t>
        </is>
      </c>
      <c r="D68" s="4" t="inlineStr">
        <is>
          <t>Dominica</t>
        </is>
      </c>
      <c r="E68" s="4" t="inlineStr">
        <is>
          <t>DMA</t>
        </is>
      </c>
      <c r="F68" s="10" t="n">
        <v>43255</v>
      </c>
      <c r="G68" s="4" t="inlineStr">
        <is>
          <t>2013gn</t>
        </is>
      </c>
      <c r="H68" s="4" t="n">
        <v>2017</v>
      </c>
      <c r="I68" s="5" t="n"/>
      <c r="J68" t="inlineStr">
        <is>
          <t xml:space="preserve">   IMF</t>
        </is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</row>
    <row r="69">
      <c r="A69" t="inlineStr">
        <is>
          <t>Dominica_2018_August</t>
        </is>
      </c>
      <c r="B69" s="2" t="n"/>
      <c r="C69" s="3" t="inlineStr">
        <is>
          <t>SM.18.139</t>
        </is>
      </c>
      <c r="D69" s="4" t="inlineStr">
        <is>
          <t>Dominica</t>
        </is>
      </c>
      <c r="E69" s="4" t="inlineStr">
        <is>
          <t>DMA</t>
        </is>
      </c>
      <c r="F69" s="10" t="n">
        <v>43255</v>
      </c>
      <c r="G69" s="4" t="inlineStr">
        <is>
          <t>2013gn</t>
        </is>
      </c>
      <c r="H69" s="4" t="n">
        <v>2017</v>
      </c>
      <c r="I69" s="5" t="n"/>
      <c r="J69" t="inlineStr">
        <is>
          <t xml:space="preserve">   IDA - Small Island Country</t>
        </is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</row>
    <row r="70">
      <c r="A70" t="inlineStr">
        <is>
          <t>Dominica_2018_August</t>
        </is>
      </c>
      <c r="B70" s="2" t="n"/>
      <c r="C70" s="3" t="inlineStr">
        <is>
          <t>SM.18.139</t>
        </is>
      </c>
      <c r="D70" s="4" t="inlineStr">
        <is>
          <t>Dominica</t>
        </is>
      </c>
      <c r="E70" s="4" t="inlineStr">
        <is>
          <t>DMA</t>
        </is>
      </c>
      <c r="F70" s="10" t="n">
        <v>43255</v>
      </c>
      <c r="G70" s="4" t="inlineStr">
        <is>
          <t>2013gn</t>
        </is>
      </c>
      <c r="H70" s="4" t="n">
        <v>2017</v>
      </c>
      <c r="I70" s="5" t="n"/>
      <c r="J70" t="inlineStr">
        <is>
          <t>IDA - Regular</t>
        </is>
      </c>
      <c r="N70" t="inlineStr">
        <is>
          <t>IDA 12% M&amp;B</t>
        </is>
      </c>
      <c r="O70" t="n">
        <v>0.003251629057932816</v>
      </c>
      <c r="P70" t="n">
        <v>0.003877035228789192</v>
      </c>
      <c r="Q70" t="n">
        <v>0.004758122371984067</v>
      </c>
      <c r="R70" t="n">
        <v>0.005721645493893468</v>
      </c>
      <c r="S70" t="n">
        <v>0.005441488153268808</v>
      </c>
      <c r="T70" t="n">
        <v>0.003062219999156712</v>
      </c>
      <c r="U70" t="n">
        <v>0.001942380125985648</v>
      </c>
      <c r="V70" t="n">
        <v>0.001594179654216984</v>
      </c>
      <c r="W70" t="n">
        <v>0.00159897435516792</v>
      </c>
      <c r="X70" t="n">
        <v>0.0016463440251726</v>
      </c>
      <c r="Y70" t="n">
        <v>0.00169029386621064</v>
      </c>
      <c r="Z70" t="n">
        <v>0.001733082963420396</v>
      </c>
      <c r="AA70" t="n">
        <v>0.001772605413174852</v>
      </c>
      <c r="AB70" t="n">
        <v>0.00180752655272418</v>
      </c>
      <c r="AC70" t="n">
        <v>0.001848861586810068</v>
      </c>
      <c r="AD70" t="n">
        <v>0.001635745987097112</v>
      </c>
      <c r="AE70" t="n">
        <v>0.001550529704244276</v>
      </c>
      <c r="AF70" t="n">
        <v>0.001601088665690796</v>
      </c>
      <c r="AG70" t="n">
        <v>0.001669056139889256</v>
      </c>
      <c r="AH70" t="n">
        <v>0.00174085364054928</v>
      </c>
      <c r="AI70" t="n">
        <v>0.001814523085925256</v>
      </c>
    </row>
    <row r="71">
      <c r="A71" t="inlineStr">
        <is>
          <t>Dominica_2018_August</t>
        </is>
      </c>
      <c r="B71" s="2" t="n"/>
      <c r="C71" s="3" t="inlineStr">
        <is>
          <t>SM.18.139</t>
        </is>
      </c>
      <c r="D71" s="4" t="inlineStr">
        <is>
          <t>Dominica</t>
        </is>
      </c>
      <c r="E71" s="4" t="inlineStr">
        <is>
          <t>DMA</t>
        </is>
      </c>
      <c r="F71" s="10" t="n">
        <v>43255</v>
      </c>
      <c r="G71" s="4" t="inlineStr">
        <is>
          <t>2013gn</t>
        </is>
      </c>
      <c r="H71" s="4" t="n">
        <v>2017</v>
      </c>
      <c r="I71" s="4" t="inlineStr">
        <is>
          <t>new.dis.mlt</t>
        </is>
      </c>
    </row>
    <row r="72">
      <c r="A72" t="inlineStr">
        <is>
          <t>Dominica_2018_August</t>
        </is>
      </c>
      <c r="B72" s="2" t="n"/>
      <c r="C72" s="3" t="inlineStr">
        <is>
          <t>SM.18.139</t>
        </is>
      </c>
      <c r="D72" s="4" t="inlineStr">
        <is>
          <t>Dominica</t>
        </is>
      </c>
      <c r="E72" s="4" t="inlineStr">
        <is>
          <t>DMA</t>
        </is>
      </c>
      <c r="F72" s="10" t="n">
        <v>43255</v>
      </c>
      <c r="G72" s="4" t="inlineStr">
        <is>
          <t>2013gn</t>
        </is>
      </c>
      <c r="H72" s="4" t="n">
        <v>2017</v>
      </c>
      <c r="I72" s="4" t="inlineStr">
        <is>
          <t>new.dis.mlt.imf</t>
        </is>
      </c>
      <c r="O72" t="n">
        <v>4.587460873325108</v>
      </c>
      <c r="P72" t="n">
        <v>-2.04767739404712</v>
      </c>
      <c r="Q72" t="n">
        <v>-2.083738273399351</v>
      </c>
      <c r="R72" t="n">
        <v>-1.660832107787654</v>
      </c>
      <c r="S72" t="n">
        <v>-2.766518423286469</v>
      </c>
      <c r="T72" t="n">
        <v>1.985577786049499</v>
      </c>
      <c r="U72" t="n">
        <v>0.09537984605822736</v>
      </c>
      <c r="V72" t="n">
        <v>-0.500443655935852</v>
      </c>
      <c r="W72" t="n">
        <v>-0.2460831852116829</v>
      </c>
      <c r="X72" t="n">
        <v>-0.4938814010850159</v>
      </c>
      <c r="Y72" t="n">
        <v>-0.4707191914709601</v>
      </c>
      <c r="Z72" t="n">
        <v>-0.3123879549805382</v>
      </c>
      <c r="AA72" t="n">
        <v>-0.3441261877764261</v>
      </c>
      <c r="AB72" t="n">
        <v>-0.2939712201978948</v>
      </c>
      <c r="AC72" t="n">
        <v>0.01057812459602769</v>
      </c>
      <c r="AD72" t="n">
        <v>-0.2145520599895705</v>
      </c>
      <c r="AE72" t="n">
        <v>-0.3960183129757928</v>
      </c>
      <c r="AF72" t="n">
        <v>-0.492808724453178</v>
      </c>
      <c r="AG72" t="n">
        <v>-0.5932156279703924</v>
      </c>
      <c r="AH72" t="n">
        <v>0.5186385087588685</v>
      </c>
      <c r="AI72" t="n">
        <v>1.55496716663482</v>
      </c>
      <c r="AJ72" t="inlineStr">
        <is>
          <t>residual</t>
        </is>
      </c>
    </row>
    <row r="73">
      <c r="A73" t="inlineStr">
        <is>
          <t>Dominica_2018_August</t>
        </is>
      </c>
      <c r="B73" s="2" t="n"/>
      <c r="C73" s="3" t="inlineStr">
        <is>
          <t>SM.18.139</t>
        </is>
      </c>
      <c r="D73" s="4" t="inlineStr">
        <is>
          <t>Dominica</t>
        </is>
      </c>
      <c r="E73" s="4" t="inlineStr">
        <is>
          <t>DMA</t>
        </is>
      </c>
      <c r="F73" s="10" t="n">
        <v>43255</v>
      </c>
      <c r="G73" s="4" t="inlineStr">
        <is>
          <t>2013gn</t>
        </is>
      </c>
      <c r="H73" s="4" t="n">
        <v>2017</v>
      </c>
      <c r="I73" s="4" t="inlineStr">
        <is>
          <t>new.dis.mlt.ida.reg</t>
        </is>
      </c>
      <c r="O73" t="n">
        <v>4.2422726448157</v>
      </c>
      <c r="P73" t="n">
        <v>-2.510914244226943</v>
      </c>
      <c r="Q73" t="n">
        <v>-2.419579038916662</v>
      </c>
      <c r="R73" t="n">
        <v>-1.906528526457977</v>
      </c>
      <c r="S73" t="n">
        <v>-2.952403214997001</v>
      </c>
      <c r="T73" t="n">
        <v>1.840556029767593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-0.5727730719454018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inlineStr">
        <is>
          <t>of which deposit use</t>
        </is>
      </c>
    </row>
    <row r="74">
      <c r="A74" t="inlineStr">
        <is>
          <t>Dominica_2018_August</t>
        </is>
      </c>
      <c r="B74" s="2" t="n"/>
      <c r="C74" s="3" t="inlineStr">
        <is>
          <t>SM.18.139</t>
        </is>
      </c>
      <c r="D74" s="4" t="inlineStr">
        <is>
          <t>Dominica</t>
        </is>
      </c>
      <c r="E74" s="4" t="inlineStr">
        <is>
          <t>DMA</t>
        </is>
      </c>
      <c r="F74" s="10" t="n">
        <v>43255</v>
      </c>
      <c r="G74" s="4" t="inlineStr">
        <is>
          <t>2013gn</t>
        </is>
      </c>
      <c r="H74" s="4" t="n">
        <v>2017</v>
      </c>
      <c r="I74" s="4" t="inlineStr">
        <is>
          <t>new.dis.mlt.ida.bld</t>
        </is>
      </c>
      <c r="O74" t="n">
        <v>82.7103158286877</v>
      </c>
      <c r="P74" t="n">
        <v>87.6636683640882</v>
      </c>
      <c r="Q74" t="n">
        <v>83.30862892801392</v>
      </c>
      <c r="R74" t="n">
        <v>86.0962670060502</v>
      </c>
      <c r="S74" t="n">
        <v>87.83974372320779</v>
      </c>
      <c r="T74" t="n">
        <v>87.14072341963733</v>
      </c>
      <c r="U74" t="n">
        <v>85.16471897576882</v>
      </c>
      <c r="V74" t="n">
        <v>82.52171241683068</v>
      </c>
      <c r="W74" t="n">
        <v>80.21648340359111</v>
      </c>
      <c r="X74" t="n">
        <v>77.74382399914749</v>
      </c>
      <c r="Y74" t="n">
        <v>75.36975794419369</v>
      </c>
      <c r="Z74" t="n">
        <v>73.22641774952463</v>
      </c>
      <c r="AA74" t="n">
        <v>71.11867689594668</v>
      </c>
      <c r="AB74" t="n">
        <v>69.12242456230729</v>
      </c>
      <c r="AC74" t="n">
        <v>67.48809743440597</v>
      </c>
      <c r="AD74" t="n">
        <v>65.84945638290712</v>
      </c>
      <c r="AE74" t="n">
        <v>64.24322797244768</v>
      </c>
      <c r="AF74" t="n">
        <v>62.74848614536598</v>
      </c>
      <c r="AG74" t="n">
        <v>61.3579402939362</v>
      </c>
      <c r="AH74" t="n">
        <v>60.07620146490996</v>
      </c>
      <c r="AI74" t="n">
        <v>58.86599806010631</v>
      </c>
      <c r="AJ74" t="inlineStr">
        <is>
          <t>debt here</t>
        </is>
      </c>
    </row>
    <row r="75">
      <c r="A75" t="inlineStr">
        <is>
          <t>Dominica_2018_August</t>
        </is>
      </c>
      <c r="B75" s="2" t="n"/>
      <c r="C75" s="3" t="inlineStr">
        <is>
          <t>SM.18.139</t>
        </is>
      </c>
      <c r="D75" s="4" t="inlineStr">
        <is>
          <t>Dominica</t>
        </is>
      </c>
      <c r="E75" s="4" t="inlineStr">
        <is>
          <t>DMA</t>
        </is>
      </c>
      <c r="F75" s="10" t="n">
        <v>43255</v>
      </c>
      <c r="G75" s="4" t="inlineStr">
        <is>
          <t>2013gn</t>
        </is>
      </c>
      <c r="H75" s="4" t="n">
        <v>2017</v>
      </c>
      <c r="I75" s="4" t="inlineStr">
        <is>
          <t>new.dis.mlt.afdb</t>
        </is>
      </c>
      <c r="O75" t="n">
        <v>82.7103158286877</v>
      </c>
      <c r="P75" t="n">
        <v>87.6636683640882</v>
      </c>
      <c r="Q75" t="n">
        <v>83.3086289280139</v>
      </c>
      <c r="R75" t="n">
        <v>86.0962670060502</v>
      </c>
      <c r="S75" t="n">
        <v>87.8397437232078</v>
      </c>
      <c r="T75" t="n">
        <v>87.1407234196373</v>
      </c>
      <c r="U75" t="n">
        <v>85.16471897576881</v>
      </c>
      <c r="V75" t="n">
        <v>82.5217124168307</v>
      </c>
      <c r="W75" t="n">
        <v>80.2164834035911</v>
      </c>
      <c r="X75" t="n">
        <v>77.74382399914749</v>
      </c>
      <c r="Y75" t="n">
        <v>75.36975794419369</v>
      </c>
      <c r="Z75" t="n">
        <v>73.2264177495246</v>
      </c>
      <c r="AA75" t="n">
        <v>71.11867689594671</v>
      </c>
      <c r="AB75" t="n">
        <v>69.1224245623073</v>
      </c>
      <c r="AC75" t="n">
        <v>67.488097434406</v>
      </c>
      <c r="AD75" t="n">
        <v>65.84945638290711</v>
      </c>
      <c r="AE75" t="n">
        <v>64.2432279724477</v>
      </c>
      <c r="AF75" t="n">
        <v>62.748486145366</v>
      </c>
      <c r="AG75" t="n">
        <v>61.3579402939362</v>
      </c>
      <c r="AH75" t="n">
        <v>60.0762014649099</v>
      </c>
      <c r="AI75" t="n">
        <v>58.8659980601063</v>
      </c>
      <c r="AJ75" t="inlineStr">
        <is>
          <t>debt fiscal</t>
        </is>
      </c>
    </row>
    <row r="76">
      <c r="A76" t="inlineStr">
        <is>
          <t>Dominica_2018_August</t>
        </is>
      </c>
      <c r="B76" s="2" t="n"/>
      <c r="C76" s="3" t="inlineStr">
        <is>
          <t>SM.18.139</t>
        </is>
      </c>
      <c r="D76" s="4" t="inlineStr">
        <is>
          <t>Dominica</t>
        </is>
      </c>
      <c r="E76" s="4" t="inlineStr">
        <is>
          <t>DMA</t>
        </is>
      </c>
      <c r="F76" s="10" t="n">
        <v>43255</v>
      </c>
      <c r="G76" s="4" t="inlineStr">
        <is>
          <t>2013gn</t>
        </is>
      </c>
      <c r="H76" s="4" t="n">
        <v>2017</v>
      </c>
      <c r="I76" s="4" t="inlineStr">
        <is>
          <t>new.dis.mlt2</t>
        </is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6.394884621840902e-14</v>
      </c>
      <c r="AI76" t="n">
        <v>0</v>
      </c>
      <c r="AJ76" t="inlineStr">
        <is>
          <t>difference</t>
        </is>
      </c>
    </row>
    <row r="77">
      <c r="A77" t="inlineStr">
        <is>
          <t>Dominica_2018_August</t>
        </is>
      </c>
      <c r="B77" s="2" t="n"/>
      <c r="C77" s="3" t="inlineStr">
        <is>
          <t>SM.18.139</t>
        </is>
      </c>
      <c r="D77" s="4" t="inlineStr">
        <is>
          <t>Dominica</t>
        </is>
      </c>
      <c r="E77" s="4" t="inlineStr">
        <is>
          <t>DMA</t>
        </is>
      </c>
      <c r="F77" s="10" t="n">
        <v>43255</v>
      </c>
      <c r="G77" s="4" t="inlineStr">
        <is>
          <t>2013gn</t>
        </is>
      </c>
      <c r="H77" s="4" t="n">
        <v>2017</v>
      </c>
      <c r="I77" s="4" t="inlineStr">
        <is>
          <t>new.dis.mlt3</t>
        </is>
      </c>
      <c r="J77" t="inlineStr">
        <is>
          <t>IBRD</t>
        </is>
      </c>
      <c r="AJ77" t="inlineStr">
        <is>
          <t>also includes CDB</t>
        </is>
      </c>
    </row>
    <row r="78">
      <c r="A78" t="inlineStr">
        <is>
          <t>Dominica_2018_August</t>
        </is>
      </c>
      <c r="B78" s="2" t="n"/>
      <c r="C78" s="3" t="inlineStr">
        <is>
          <t>SM.18.139</t>
        </is>
      </c>
      <c r="D78" s="4" t="inlineStr">
        <is>
          <t>Dominica</t>
        </is>
      </c>
      <c r="E78" s="4" t="inlineStr">
        <is>
          <t>DMA</t>
        </is>
      </c>
      <c r="F78" s="10" t="n">
        <v>43255</v>
      </c>
      <c r="G78" s="4" t="inlineStr">
        <is>
          <t>2013gn</t>
        </is>
      </c>
      <c r="H78" s="4" t="n">
        <v>2017</v>
      </c>
      <c r="I78" s="4" t="inlineStr">
        <is>
          <t>new.dis.mlt.oth</t>
        </is>
      </c>
      <c r="J78" t="inlineStr">
        <is>
          <t>Other Multilateral</t>
        </is>
      </c>
      <c r="N78" t="inlineStr">
        <is>
          <t>CDB 48% of M&amp;B</t>
        </is>
      </c>
      <c r="O78" t="n">
        <v>0.01300651623173126</v>
      </c>
      <c r="P78" t="n">
        <v>0.01550814091515677</v>
      </c>
      <c r="Q78" t="n">
        <v>0.01903248948793627</v>
      </c>
      <c r="R78" t="n">
        <v>0.02288658197557387</v>
      </c>
      <c r="S78" t="n">
        <v>0.02176595261307523</v>
      </c>
      <c r="T78" t="n">
        <v>0.01224887999662685</v>
      </c>
      <c r="U78" t="n">
        <v>0.007769520503942592</v>
      </c>
      <c r="V78" t="n">
        <v>0.006376718616867935</v>
      </c>
      <c r="W78" t="n">
        <v>0.00639589742067168</v>
      </c>
      <c r="X78" t="n">
        <v>0.0065853761006904</v>
      </c>
      <c r="Y78" t="n">
        <v>0.006761175464842559</v>
      </c>
      <c r="Z78" t="n">
        <v>0.006932331853681585</v>
      </c>
      <c r="AA78" t="n">
        <v>0.007090421652699408</v>
      </c>
      <c r="AB78" t="n">
        <v>0.007230106210896719</v>
      </c>
      <c r="AC78" t="n">
        <v>0.007395446347240271</v>
      </c>
      <c r="AD78" t="n">
        <v>0.006542983948388448</v>
      </c>
      <c r="AE78" t="n">
        <v>0.006202118816977104</v>
      </c>
      <c r="AF78" t="n">
        <v>0.006404354662763183</v>
      </c>
      <c r="AG78" t="n">
        <v>0.006676224559557024</v>
      </c>
      <c r="AH78" t="n">
        <v>0.00696341456219712</v>
      </c>
      <c r="AI78" t="n">
        <v>0.007258092343701024</v>
      </c>
      <c r="BI78" t="inlineStr">
        <is>
          <t>In Bi &amp; Mult:</t>
        </is>
      </c>
    </row>
    <row r="79">
      <c r="A79" t="inlineStr">
        <is>
          <t>Dominica_2018_August</t>
        </is>
      </c>
      <c r="B79" s="2" t="n"/>
      <c r="C79" s="3" t="inlineStr">
        <is>
          <t>SM.18.139</t>
        </is>
      </c>
      <c r="D79" s="4" t="inlineStr">
        <is>
          <t>Dominica</t>
        </is>
      </c>
      <c r="E79" s="4" t="inlineStr">
        <is>
          <t>DMA</t>
        </is>
      </c>
      <c r="F79" s="10" t="n">
        <v>43255</v>
      </c>
      <c r="G79" s="4" t="inlineStr">
        <is>
          <t>2013gn</t>
        </is>
      </c>
      <c r="H79" s="4" t="n">
        <v>2017</v>
      </c>
      <c r="I79" s="4" t="inlineStr">
        <is>
          <t>new.dis.mlt.oth1</t>
        </is>
      </c>
      <c r="J79" t="inlineStr">
        <is>
          <t>Official Bilaterals</t>
        </is>
      </c>
      <c r="O79" t="n">
        <v>0.0294361391547343</v>
      </c>
      <c r="P79" t="n">
        <v>0.02413346978512728</v>
      </c>
      <c r="Q79" t="n">
        <v>0.02389291133834713</v>
      </c>
      <c r="R79" t="n">
        <v>0.03237588778206151</v>
      </c>
      <c r="S79" t="n">
        <v>0.02745549205496798</v>
      </c>
      <c r="T79" t="n">
        <v>0.01898253934935215</v>
      </c>
      <c r="U79" t="n">
        <v>0.01911918300712038</v>
      </c>
      <c r="V79" t="n">
        <v>0.01806814753836876</v>
      </c>
      <c r="W79" t="n">
        <v>0.0214917945762857</v>
      </c>
      <c r="X79" t="n">
        <v>0.02406793766059406</v>
      </c>
      <c r="Y79" t="n">
        <v>0.02408257388583208</v>
      </c>
      <c r="Z79" t="n">
        <v>0.02553180955527981</v>
      </c>
      <c r="AA79" t="n">
        <v>0.02670633911002651</v>
      </c>
      <c r="AB79" t="n">
        <v>0.02984869947426374</v>
      </c>
      <c r="AC79" t="n">
        <v>0.03345590730214687</v>
      </c>
      <c r="AD79" t="n">
        <v>0.0359092690342394</v>
      </c>
      <c r="AE79" t="n">
        <v>0.03752732100791204</v>
      </c>
      <c r="AF79" t="n">
        <v>0.03868129727675977</v>
      </c>
      <c r="AG79" t="n">
        <v>0.03961356987168969</v>
      </c>
      <c r="AH79" t="n">
        <v>0.04061046309773036</v>
      </c>
      <c r="AI79" t="n">
        <v>0.0407766395883761</v>
      </c>
    </row>
    <row r="80">
      <c r="A80" t="inlineStr">
        <is>
          <t>Dominica_2018_August</t>
        </is>
      </c>
      <c r="B80" s="2" t="n"/>
      <c r="C80" s="3" t="inlineStr">
        <is>
          <t>SM.18.139</t>
        </is>
      </c>
      <c r="D80" s="4" t="inlineStr">
        <is>
          <t>Dominica</t>
        </is>
      </c>
      <c r="E80" s="4" t="inlineStr">
        <is>
          <t>DMA</t>
        </is>
      </c>
      <c r="F80" s="10" t="n">
        <v>43255</v>
      </c>
      <c r="G80" s="4" t="inlineStr">
        <is>
          <t>2013gn</t>
        </is>
      </c>
      <c r="H80" s="4" t="n">
        <v>2017</v>
      </c>
      <c r="I80" s="4" t="inlineStr">
        <is>
          <t>new.dis.mlt.oth2</t>
        </is>
      </c>
      <c r="J80" t="inlineStr">
        <is>
          <t xml:space="preserve">   PC</t>
        </is>
      </c>
      <c r="O80" t="n">
        <v>0.01859737562829158</v>
      </c>
      <c r="P80" t="n">
        <v>0.01121001902249664</v>
      </c>
      <c r="Q80" t="n">
        <v>0.008032503431733567</v>
      </c>
      <c r="R80" t="n">
        <v>0.01330373613574995</v>
      </c>
      <c r="S80" t="n">
        <v>0.009317198210738616</v>
      </c>
      <c r="T80" t="n">
        <v>0.008775139352163112</v>
      </c>
      <c r="U80" t="n">
        <v>0.01264458258716822</v>
      </c>
      <c r="V80" t="n">
        <v>0.01275421535764548</v>
      </c>
      <c r="W80" t="n">
        <v>0.0161618800590593</v>
      </c>
      <c r="X80" t="n">
        <v>0.01858012424335206</v>
      </c>
      <c r="Y80" t="n">
        <v>0.01844826099846328</v>
      </c>
      <c r="Z80" t="n">
        <v>0.01975486634387849</v>
      </c>
      <c r="AA80" t="n">
        <v>0.02079765439944367</v>
      </c>
      <c r="AB80" t="n">
        <v>0.02382361096518314</v>
      </c>
      <c r="AC80" t="n">
        <v>0.02729303534611331</v>
      </c>
      <c r="AD80" t="n">
        <v>0.03045678241058235</v>
      </c>
      <c r="AE80" t="n">
        <v>0.03235888866043112</v>
      </c>
      <c r="AF80" t="n">
        <v>0.03334433505779045</v>
      </c>
      <c r="AG80" t="n">
        <v>0.03405004940539218</v>
      </c>
      <c r="AH80" t="n">
        <v>0.03480761762923276</v>
      </c>
      <c r="AI80" t="n">
        <v>0.03472822930195858</v>
      </c>
      <c r="BI80" t="inlineStr">
        <is>
          <t xml:space="preserve">Multilateral </t>
        </is>
      </c>
      <c r="BJ80" t="n">
        <v>0.6</v>
      </c>
    </row>
    <row r="81">
      <c r="A81" t="inlineStr">
        <is>
          <t>Dominica_2018_August</t>
        </is>
      </c>
      <c r="B81" s="2" t="n"/>
      <c r="C81" s="3" t="inlineStr">
        <is>
          <t>SM.18.139</t>
        </is>
      </c>
      <c r="D81" s="4" t="inlineStr">
        <is>
          <t>Dominica</t>
        </is>
      </c>
      <c r="E81" s="4" t="inlineStr">
        <is>
          <t>DMA</t>
        </is>
      </c>
      <c r="F81" s="10" t="n">
        <v>43255</v>
      </c>
      <c r="G81" s="4" t="inlineStr">
        <is>
          <t>2013gn</t>
        </is>
      </c>
      <c r="H81" s="4" t="n">
        <v>2017</v>
      </c>
      <c r="I81" s="4" t="inlineStr">
        <is>
          <t>new.dis.mlt.oth3</t>
        </is>
      </c>
      <c r="J81" t="inlineStr">
        <is>
          <t>…</t>
        </is>
      </c>
      <c r="BI81" t="inlineStr">
        <is>
          <t xml:space="preserve"> -- IDA</t>
        </is>
      </c>
      <c r="BJ81" t="n">
        <v>0.2</v>
      </c>
      <c r="BK81" t="n">
        <v>0.12</v>
      </c>
    </row>
    <row r="82">
      <c r="A82" t="inlineStr">
        <is>
          <t>Dominica_2018_August</t>
        </is>
      </c>
      <c r="B82" s="2" t="n"/>
      <c r="C82" s="3" t="inlineStr">
        <is>
          <t>SM.18.139</t>
        </is>
      </c>
      <c r="D82" s="4" t="inlineStr">
        <is>
          <t>Dominica</t>
        </is>
      </c>
      <c r="E82" s="4" t="inlineStr">
        <is>
          <t>DMA</t>
        </is>
      </c>
      <c r="F82" s="10" t="n">
        <v>43255</v>
      </c>
      <c r="G82" s="4" t="inlineStr">
        <is>
          <t>2013gn</t>
        </is>
      </c>
      <c r="H82" s="4" t="n">
        <v>2017</v>
      </c>
      <c r="I82" s="4" t="inlineStr">
        <is>
          <t>new.dis.blt</t>
        </is>
      </c>
      <c r="J82" t="inlineStr">
        <is>
          <t>…</t>
        </is>
      </c>
      <c r="BI82" t="inlineStr">
        <is>
          <t xml:space="preserve"> -- CDB </t>
        </is>
      </c>
      <c r="BJ82" t="n">
        <v>0.8</v>
      </c>
      <c r="BK82" t="n">
        <v>0.48</v>
      </c>
    </row>
    <row r="83">
      <c r="A83" t="inlineStr">
        <is>
          <t>Dominica_2018_August</t>
        </is>
      </c>
      <c r="B83" s="2" t="n"/>
      <c r="C83" s="3" t="inlineStr">
        <is>
          <t>SM.18.139</t>
        </is>
      </c>
      <c r="D83" s="4" t="inlineStr">
        <is>
          <t>Dominica</t>
        </is>
      </c>
      <c r="E83" s="4" t="inlineStr">
        <is>
          <t>DMA</t>
        </is>
      </c>
      <c r="F83" s="10" t="n">
        <v>43255</v>
      </c>
      <c r="G83" s="4" t="inlineStr">
        <is>
          <t>2013gn</t>
        </is>
      </c>
      <c r="H83" s="4" t="n">
        <v>2017</v>
      </c>
      <c r="I83" s="4" t="inlineStr">
        <is>
          <t>new.dis.pc</t>
        </is>
      </c>
      <c r="J83" t="inlineStr">
        <is>
          <t xml:space="preserve">   Others Paris Club</t>
        </is>
      </c>
      <c r="N83" t="inlineStr">
        <is>
          <t>residual</t>
        </is>
      </c>
      <c r="O83" t="n">
        <v>0.01859737562829158</v>
      </c>
      <c r="P83" t="n">
        <v>0.01121001902249664</v>
      </c>
      <c r="Q83" t="n">
        <v>0.008032503431733567</v>
      </c>
      <c r="R83" t="n">
        <v>0.01330373613574995</v>
      </c>
      <c r="S83" t="n">
        <v>0.009317198210738616</v>
      </c>
      <c r="T83" t="n">
        <v>0.008775139352163112</v>
      </c>
      <c r="U83" t="n">
        <v>0.01264458258716822</v>
      </c>
      <c r="V83" t="n">
        <v>0.01275421535764548</v>
      </c>
      <c r="W83" t="n">
        <v>0.0161618800590593</v>
      </c>
      <c r="X83" t="n">
        <v>0.01858012424335206</v>
      </c>
      <c r="Y83" t="n">
        <v>0.01844826099846328</v>
      </c>
      <c r="Z83" t="n">
        <v>0.01975486634387849</v>
      </c>
      <c r="AA83" t="n">
        <v>0.02079765439944367</v>
      </c>
      <c r="AB83" t="n">
        <v>0.02382361096518314</v>
      </c>
      <c r="AC83" t="n">
        <v>0.02729303534611331</v>
      </c>
      <c r="AD83" t="n">
        <v>0.03045678241058235</v>
      </c>
      <c r="AE83" t="n">
        <v>0.03235888866043112</v>
      </c>
      <c r="AF83" t="n">
        <v>0.03334433505779045</v>
      </c>
      <c r="AG83" t="n">
        <v>0.03405004940539218</v>
      </c>
      <c r="AH83" t="n">
        <v>0.03480761762923276</v>
      </c>
      <c r="AI83" t="n">
        <v>0.03472822930195858</v>
      </c>
      <c r="AJ83">
        <f>=&gt; residual  to get FISCAL RESIDUALS=0</f>
        <v/>
      </c>
      <c r="BI83" t="inlineStr">
        <is>
          <t>Bilateral</t>
        </is>
      </c>
      <c r="BJ83" t="n">
        <v>0.4</v>
      </c>
      <c r="BK83" t="n">
        <v>0.4</v>
      </c>
    </row>
    <row r="84">
      <c r="A84" t="inlineStr">
        <is>
          <t>Dominica_2018_August</t>
        </is>
      </c>
      <c r="B84" s="2" t="n"/>
      <c r="C84" s="3" t="inlineStr">
        <is>
          <t>SM.18.139</t>
        </is>
      </c>
      <c r="D84" s="4" t="inlineStr">
        <is>
          <t>Dominica</t>
        </is>
      </c>
      <c r="E84" s="4" t="inlineStr">
        <is>
          <t>DMA</t>
        </is>
      </c>
      <c r="F84" s="10" t="n">
        <v>43255</v>
      </c>
      <c r="G84" s="4" t="inlineStr">
        <is>
          <t>2013gn</t>
        </is>
      </c>
      <c r="H84" s="4" t="n">
        <v>2017</v>
      </c>
      <c r="I84" s="4" t="inlineStr">
        <is>
          <t>new.dis.pc1</t>
        </is>
      </c>
      <c r="J84" t="inlineStr">
        <is>
          <t xml:space="preserve">   NPC</t>
        </is>
      </c>
      <c r="O84" t="n">
        <v>0.01083876352644272</v>
      </c>
      <c r="P84" t="n">
        <v>0.01292345076263064</v>
      </c>
      <c r="Q84" t="n">
        <v>0.01586040790661356</v>
      </c>
      <c r="R84" t="n">
        <v>0.01907215164631156</v>
      </c>
      <c r="S84" t="n">
        <v>0.01813829384422936</v>
      </c>
      <c r="T84" t="n">
        <v>0.01020739999718904</v>
      </c>
      <c r="U84" t="n">
        <v>0.006474600419952162</v>
      </c>
      <c r="V84" t="n">
        <v>0.00531393218072328</v>
      </c>
      <c r="W84" t="n">
        <v>0.0053299145172264</v>
      </c>
      <c r="X84" t="n">
        <v>0.005487813417242001</v>
      </c>
      <c r="Y84" t="n">
        <v>0.005634312887368801</v>
      </c>
      <c r="Z84" t="n">
        <v>0.005776943211401321</v>
      </c>
      <c r="AA84" t="n">
        <v>0.00590868471058284</v>
      </c>
      <c r="AB84" t="n">
        <v>0.006025088509080601</v>
      </c>
      <c r="AC84" t="n">
        <v>0.00616287195603356</v>
      </c>
      <c r="AD84" t="n">
        <v>0.00545248662365704</v>
      </c>
      <c r="AE84" t="n">
        <v>0.00516843234748092</v>
      </c>
      <c r="AF84" t="n">
        <v>0.005336962218969321</v>
      </c>
      <c r="AG84" t="n">
        <v>0.005563520466297519</v>
      </c>
      <c r="AH84" t="n">
        <v>0.0058028454684976</v>
      </c>
      <c r="AI84" t="n">
        <v>0.006048410286417521</v>
      </c>
    </row>
    <row r="85">
      <c r="A85" t="inlineStr">
        <is>
          <t>Dominica_2018_August</t>
        </is>
      </c>
      <c r="B85" s="2" t="n"/>
      <c r="C85" s="3" t="inlineStr">
        <is>
          <t>SM.18.139</t>
        </is>
      </c>
      <c r="D85" s="4" t="inlineStr">
        <is>
          <t>Dominica</t>
        </is>
      </c>
      <c r="E85" s="4" t="inlineStr">
        <is>
          <t>DMA</t>
        </is>
      </c>
      <c r="F85" s="10" t="n">
        <v>43255</v>
      </c>
      <c r="G85" s="4" t="inlineStr">
        <is>
          <t>2013gn</t>
        </is>
      </c>
      <c r="H85" s="4" t="n">
        <v>2017</v>
      </c>
      <c r="I85" s="4" t="inlineStr">
        <is>
          <t>new.dis.pc2</t>
        </is>
      </c>
      <c r="J85" t="inlineStr">
        <is>
          <t>…</t>
        </is>
      </c>
      <c r="BI85" t="inlineStr">
        <is>
          <t>In early years: also reduction of debt with ECP</t>
        </is>
      </c>
    </row>
    <row r="86">
      <c r="A86" t="inlineStr">
        <is>
          <t>Dominica_2018_August</t>
        </is>
      </c>
      <c r="B86" s="2" t="n"/>
      <c r="C86" s="3" t="inlineStr">
        <is>
          <t>SM.18.139</t>
        </is>
      </c>
      <c r="D86" s="4" t="inlineStr">
        <is>
          <t>Dominica</t>
        </is>
      </c>
      <c r="E86" s="4" t="inlineStr">
        <is>
          <t>DMA</t>
        </is>
      </c>
      <c r="F86" s="10" t="n">
        <v>43255</v>
      </c>
      <c r="G86" s="4" t="inlineStr">
        <is>
          <t>2013gn</t>
        </is>
      </c>
      <c r="H86" s="4" t="n">
        <v>2017</v>
      </c>
      <c r="I86" s="4" t="inlineStr">
        <is>
          <t>new.dis.pc3</t>
        </is>
      </c>
      <c r="J86" t="inlineStr">
        <is>
          <t>…</t>
        </is>
      </c>
    </row>
    <row r="87">
      <c r="A87" t="inlineStr">
        <is>
          <t>Dominica_2018_August</t>
        </is>
      </c>
      <c r="B87" s="2" t="n"/>
      <c r="C87" s="3" t="inlineStr">
        <is>
          <t>SM.18.139</t>
        </is>
      </c>
      <c r="D87" s="4" t="inlineStr">
        <is>
          <t>Dominica</t>
        </is>
      </c>
      <c r="E87" s="4" t="inlineStr">
        <is>
          <t>DMA</t>
        </is>
      </c>
      <c r="F87" s="10" t="n">
        <v>43255</v>
      </c>
      <c r="G87" s="4" t="inlineStr">
        <is>
          <t>2013gn</t>
        </is>
      </c>
      <c r="H87" s="4" t="n">
        <v>2017</v>
      </c>
      <c r="I87" s="4" t="inlineStr">
        <is>
          <t>new.dis.pc4</t>
        </is>
      </c>
      <c r="J87" t="inlineStr">
        <is>
          <t xml:space="preserve">   Others Non Paris Club</t>
        </is>
      </c>
      <c r="N87" t="inlineStr">
        <is>
          <t>Bilateral</t>
        </is>
      </c>
      <c r="O87" t="n">
        <v>0.01083876352644272</v>
      </c>
      <c r="P87" t="n">
        <v>0.01292345076263064</v>
      </c>
      <c r="Q87" t="n">
        <v>0.01586040790661356</v>
      </c>
      <c r="R87" t="n">
        <v>0.01907215164631156</v>
      </c>
      <c r="S87" t="n">
        <v>0.01813829384422936</v>
      </c>
      <c r="T87" t="n">
        <v>0.01020739999718904</v>
      </c>
      <c r="U87" t="n">
        <v>0.006474600419952162</v>
      </c>
      <c r="V87" t="n">
        <v>0.00531393218072328</v>
      </c>
      <c r="W87" t="n">
        <v>0.0053299145172264</v>
      </c>
      <c r="X87" t="n">
        <v>0.005487813417242001</v>
      </c>
      <c r="Y87" t="n">
        <v>0.005634312887368801</v>
      </c>
      <c r="Z87" t="n">
        <v>0.005776943211401321</v>
      </c>
      <c r="AA87" t="n">
        <v>0.00590868471058284</v>
      </c>
      <c r="AB87" t="n">
        <v>0.006025088509080601</v>
      </c>
      <c r="AC87" t="n">
        <v>0.00616287195603356</v>
      </c>
      <c r="AD87" t="n">
        <v>0.00545248662365704</v>
      </c>
      <c r="AE87" t="n">
        <v>0.00516843234748092</v>
      </c>
      <c r="AF87" t="n">
        <v>0.005336962218969321</v>
      </c>
      <c r="AG87" t="n">
        <v>0.005563520466297519</v>
      </c>
      <c r="AH87" t="n">
        <v>0.0058028454684976</v>
      </c>
      <c r="AI87" t="n">
        <v>0.006048410286417521</v>
      </c>
    </row>
    <row r="88">
      <c r="A88" t="inlineStr">
        <is>
          <t>Dominica_2018_August</t>
        </is>
      </c>
      <c r="B88" s="2" t="n"/>
      <c r="C88" s="3" t="inlineStr">
        <is>
          <t>SM.18.139</t>
        </is>
      </c>
      <c r="D88" s="4" t="inlineStr">
        <is>
          <t>Dominica</t>
        </is>
      </c>
      <c r="E88" s="4" t="inlineStr">
        <is>
          <t>DMA</t>
        </is>
      </c>
      <c r="F88" s="10" t="n">
        <v>43255</v>
      </c>
      <c r="G88" s="4" t="inlineStr">
        <is>
          <t>2013gn</t>
        </is>
      </c>
      <c r="H88" s="4" t="n">
        <v>2017</v>
      </c>
      <c r="I88" s="4" t="inlineStr">
        <is>
          <t>new.dis.pc5</t>
        </is>
      </c>
      <c r="AJ88">
        <f>&gt; if negative add here</f>
        <v/>
      </c>
    </row>
    <row r="89">
      <c r="A89" t="inlineStr">
        <is>
          <t>Dominica_2018_August</t>
        </is>
      </c>
      <c r="B89" s="2" t="n"/>
      <c r="C89" s="3" t="inlineStr">
        <is>
          <t>SM.18.139</t>
        </is>
      </c>
      <c r="D89" s="4" t="inlineStr">
        <is>
          <t>Dominica</t>
        </is>
      </c>
      <c r="E89" s="4" t="inlineStr">
        <is>
          <t>DMA</t>
        </is>
      </c>
      <c r="F89" s="10" t="n">
        <v>43255</v>
      </c>
      <c r="G89" s="4" t="inlineStr">
        <is>
          <t>2013gn</t>
        </is>
      </c>
      <c r="H89" s="4" t="n">
        <v>2017</v>
      </c>
      <c r="I89" s="4" t="inlineStr">
        <is>
          <t>new.dis.npc</t>
        </is>
      </c>
      <c r="J89" t="inlineStr">
        <is>
          <t>Commercial</t>
        </is>
      </c>
      <c r="O89" t="n">
        <v>0.00230335577585724</v>
      </c>
      <c r="P89" t="n">
        <v>-0.0002544508182907</v>
      </c>
      <c r="Q89" t="n">
        <v>0.00239063942603806</v>
      </c>
      <c r="R89" t="n">
        <v>0.0171794906699208</v>
      </c>
      <c r="S89" t="n">
        <v>0.00728829035041516</v>
      </c>
      <c r="T89" t="n">
        <v>0.00778460850076417</v>
      </c>
      <c r="U89" t="n">
        <v>0.0077839559313002</v>
      </c>
      <c r="V89" t="n">
        <v>0.0082052772370932</v>
      </c>
      <c r="W89" t="n">
        <v>0.009563852842794901</v>
      </c>
      <c r="X89" t="n">
        <v>0.008376951274943119</v>
      </c>
      <c r="Y89" t="n">
        <v>0.00866749198385549</v>
      </c>
      <c r="Z89" t="n">
        <v>0.008816032027163639</v>
      </c>
      <c r="AA89" t="n">
        <v>0.008066261002401931</v>
      </c>
      <c r="AB89" t="n">
        <v>0.008235156812273549</v>
      </c>
      <c r="AC89" t="n">
        <v>0.008581458153065279</v>
      </c>
      <c r="AD89" t="n">
        <v>0.00891866213620004</v>
      </c>
      <c r="AE89" t="n">
        <v>0.009271101646152311</v>
      </c>
      <c r="AF89" t="n">
        <v>0.009635649219503059</v>
      </c>
      <c r="AG89" t="n">
        <v>0.0100131490247348</v>
      </c>
      <c r="AH89" t="n">
        <v>0.0104039748501103</v>
      </c>
      <c r="AI89" t="n">
        <v>0.0108086005398566</v>
      </c>
    </row>
    <row r="90">
      <c r="A90" t="inlineStr">
        <is>
          <t>Dominica_2018_August</t>
        </is>
      </c>
      <c r="B90" s="2" t="n"/>
      <c r="C90" s="3" t="inlineStr">
        <is>
          <t>SM.18.139</t>
        </is>
      </c>
      <c r="D90" s="4" t="inlineStr">
        <is>
          <t>Dominica</t>
        </is>
      </c>
      <c r="E90" s="4" t="inlineStr">
        <is>
          <t>DMA</t>
        </is>
      </c>
      <c r="F90" s="10" t="n">
        <v>43255</v>
      </c>
      <c r="G90" s="4" t="inlineStr">
        <is>
          <t>2013gn</t>
        </is>
      </c>
      <c r="H90" s="4" t="n">
        <v>2017</v>
      </c>
      <c r="I90" s="4" t="inlineStr">
        <is>
          <t>new.dis.npc.eximbk</t>
        </is>
      </c>
      <c r="J90" t="inlineStr">
        <is>
          <t>…</t>
        </is>
      </c>
    </row>
    <row r="91">
      <c r="A91" t="inlineStr">
        <is>
          <t>Dominica_2018_August</t>
        </is>
      </c>
      <c r="B91" s="2" t="n"/>
      <c r="C91" s="3" t="inlineStr">
        <is>
          <t>SM.18.139</t>
        </is>
      </c>
      <c r="D91" s="4" t="inlineStr">
        <is>
          <t>Dominica</t>
        </is>
      </c>
      <c r="E91" s="4" t="inlineStr">
        <is>
          <t>DMA</t>
        </is>
      </c>
      <c r="F91" s="10" t="n">
        <v>43255</v>
      </c>
      <c r="G91" s="4" t="inlineStr">
        <is>
          <t>2013gn</t>
        </is>
      </c>
      <c r="H91" s="4" t="n">
        <v>2017</v>
      </c>
      <c r="I91" s="4" t="inlineStr">
        <is>
          <t>new.dis.npc2</t>
        </is>
      </c>
      <c r="J91" t="inlineStr">
        <is>
          <t>…</t>
        </is>
      </c>
    </row>
    <row r="92">
      <c r="A92" t="inlineStr">
        <is>
          <t>Dominica_2018_August</t>
        </is>
      </c>
      <c r="B92" s="2" t="n"/>
      <c r="C92" s="3" t="inlineStr">
        <is>
          <t>SM.18.139</t>
        </is>
      </c>
      <c r="D92" s="4" t="inlineStr">
        <is>
          <t>Dominica</t>
        </is>
      </c>
      <c r="E92" s="4" t="inlineStr">
        <is>
          <t>DMA</t>
        </is>
      </c>
      <c r="F92" s="10" t="n">
        <v>43255</v>
      </c>
      <c r="G92" s="4" t="inlineStr">
        <is>
          <t>2013gn</t>
        </is>
      </c>
      <c r="H92" s="4" t="n">
        <v>2017</v>
      </c>
      <c r="I92" s="4" t="inlineStr">
        <is>
          <t>new.dis.npc3</t>
        </is>
      </c>
      <c r="J92" t="inlineStr">
        <is>
          <t xml:space="preserve">   Others Commercial</t>
        </is>
      </c>
      <c r="N92" t="inlineStr">
        <is>
          <t>Commercial</t>
        </is>
      </c>
      <c r="O92" t="n">
        <v>0.00230335577585724</v>
      </c>
      <c r="P92" t="n">
        <v>-0.0002544508182907</v>
      </c>
      <c r="Q92" t="n">
        <v>0.00239063942603806</v>
      </c>
      <c r="R92" t="n">
        <v>0.0171794906699208</v>
      </c>
      <c r="S92" t="n">
        <v>0.00728829035041516</v>
      </c>
      <c r="T92" t="n">
        <v>0.00778460850076417</v>
      </c>
      <c r="U92" t="n">
        <v>0.0077839559313002</v>
      </c>
      <c r="V92" t="n">
        <v>0.0082052772370932</v>
      </c>
      <c r="W92" t="n">
        <v>0.009563852842794901</v>
      </c>
      <c r="X92" t="n">
        <v>0.008376951274943119</v>
      </c>
      <c r="Y92" t="n">
        <v>0.00866749198385549</v>
      </c>
      <c r="Z92" t="n">
        <v>0.008816032027163639</v>
      </c>
      <c r="AA92" t="n">
        <v>0.008066261002401931</v>
      </c>
      <c r="AB92" t="n">
        <v>0.008235156812273549</v>
      </c>
      <c r="AC92" t="n">
        <v>0.008581458153065279</v>
      </c>
      <c r="AD92" t="n">
        <v>0.00891866213620004</v>
      </c>
      <c r="AE92" t="n">
        <v>0.009271101646152311</v>
      </c>
      <c r="AF92" t="n">
        <v>0.009635649219503059</v>
      </c>
      <c r="AG92" t="n">
        <v>0.0100131490247348</v>
      </c>
      <c r="AH92" t="n">
        <v>0.0104039748501103</v>
      </c>
      <c r="AI92" t="n">
        <v>0.0108086005398566</v>
      </c>
    </row>
    <row r="93">
      <c r="A93" t="inlineStr">
        <is>
          <t>Dominica_2018_August</t>
        </is>
      </c>
      <c r="B93" s="2" t="n"/>
      <c r="C93" s="3" t="inlineStr">
        <is>
          <t>SM.18.139</t>
        </is>
      </c>
      <c r="D93" s="4" t="inlineStr">
        <is>
          <t>Dominica</t>
        </is>
      </c>
      <c r="E93" s="4" t="inlineStr">
        <is>
          <t>DMA</t>
        </is>
      </c>
      <c r="F93" s="10" t="n">
        <v>43255</v>
      </c>
      <c r="G93" s="4" t="inlineStr">
        <is>
          <t>2013gn</t>
        </is>
      </c>
      <c r="H93" s="4" t="n">
        <v>2017</v>
      </c>
      <c r="I93" s="4" t="inlineStr">
        <is>
          <t>new.dis.npc4</t>
        </is>
      </c>
    </row>
    <row r="94">
      <c r="A94" t="inlineStr">
        <is>
          <t>Dominica_2018_August</t>
        </is>
      </c>
      <c r="B94" s="2" t="n"/>
      <c r="C94" s="3" t="inlineStr">
        <is>
          <t>SM.18.139</t>
        </is>
      </c>
      <c r="D94" s="4" t="inlineStr">
        <is>
          <t>Dominica</t>
        </is>
      </c>
      <c r="E94" s="4" t="inlineStr">
        <is>
          <t>DMA</t>
        </is>
      </c>
      <c r="F94" s="10" t="n">
        <v>43255</v>
      </c>
      <c r="G94" s="4" t="inlineStr">
        <is>
          <t>2013gn</t>
        </is>
      </c>
      <c r="H94" s="4" t="n">
        <v>2017</v>
      </c>
      <c r="I94" s="4" t="inlineStr">
        <is>
          <t>new.dis.npc5</t>
        </is>
      </c>
      <c r="J94" t="inlineStr">
        <is>
          <t>Total new MLT disbursements</t>
        </is>
      </c>
      <c r="O94" t="n">
        <v>0.04799764022025562</v>
      </c>
      <c r="P94" t="n">
        <v>0.04326419511078253</v>
      </c>
      <c r="Q94" t="n">
        <v>0.05007416262430552</v>
      </c>
      <c r="R94" t="n">
        <v>0.07816360592144965</v>
      </c>
      <c r="S94" t="n">
        <v>0.06195122317172717</v>
      </c>
      <c r="T94" t="n">
        <v>0.04207824784589988</v>
      </c>
      <c r="U94" t="n">
        <v>0.03661503956834882</v>
      </c>
      <c r="V94" t="n">
        <v>0.03424432304654688</v>
      </c>
      <c r="W94" t="n">
        <v>0.0390505191949202</v>
      </c>
      <c r="X94" t="n">
        <v>0.04067660906140018</v>
      </c>
      <c r="Y94" t="n">
        <v>0.04120153520074076</v>
      </c>
      <c r="Z94" t="n">
        <v>0.04301325639954543</v>
      </c>
      <c r="AA94" t="n">
        <v>0.0436356271783027</v>
      </c>
      <c r="AB94" t="n">
        <v>0.04712148905015819</v>
      </c>
      <c r="AC94" t="n">
        <v>0.05128167338926248</v>
      </c>
      <c r="AD94" t="n">
        <v>0.05300666110592499</v>
      </c>
      <c r="AE94" t="n">
        <v>0.05455107117528573</v>
      </c>
      <c r="AF94" t="n">
        <v>0.05632238982471681</v>
      </c>
      <c r="AG94" t="n">
        <v>0.05797199959587077</v>
      </c>
      <c r="AH94" t="n">
        <v>0.05971870615058705</v>
      </c>
      <c r="AI94" t="n">
        <v>0.06065785555785898</v>
      </c>
    </row>
    <row r="95">
      <c r="A95" t="inlineStr">
        <is>
          <t>Dominica_2018_August</t>
        </is>
      </c>
      <c r="B95" s="2" t="n"/>
      <c r="C95" s="3" t="inlineStr">
        <is>
          <t>SM.18.139</t>
        </is>
      </c>
      <c r="D95" s="4" t="inlineStr">
        <is>
          <t>Dominica</t>
        </is>
      </c>
      <c r="E95" s="4" t="inlineStr">
        <is>
          <t>DMA</t>
        </is>
      </c>
      <c r="F95" s="10" t="n">
        <v>43255</v>
      </c>
      <c r="G95" s="4" t="inlineStr">
        <is>
          <t>2013gn</t>
        </is>
      </c>
      <c r="H95" s="4" t="n">
        <v>2017</v>
      </c>
      <c r="I95" s="4" t="inlineStr">
        <is>
          <t>new.dis.prvt</t>
        </is>
      </c>
      <c r="J95" t="inlineStr">
        <is>
          <t>Terms of residual financing under stress tests</t>
        </is>
      </c>
      <c r="M95" t="inlineStr">
        <is>
          <t>Average</t>
        </is>
      </c>
    </row>
    <row r="96">
      <c r="A96" t="inlineStr">
        <is>
          <t>Dominica_2018_August</t>
        </is>
      </c>
      <c r="B96" s="2" t="n"/>
      <c r="C96" s="3" t="inlineStr">
        <is>
          <t>SM.18.139</t>
        </is>
      </c>
      <c r="D96" s="4" t="inlineStr">
        <is>
          <t>Dominica</t>
        </is>
      </c>
      <c r="E96" s="4" t="inlineStr">
        <is>
          <t>DMA</t>
        </is>
      </c>
      <c r="F96" s="10" t="n">
        <v>43255</v>
      </c>
      <c r="G96" s="4" t="inlineStr">
        <is>
          <t>2013gn</t>
        </is>
      </c>
      <c r="H96" s="4" t="n">
        <v>2017</v>
      </c>
      <c r="I96" s="4" t="inlineStr">
        <is>
          <t>new.dis.prvt.bnd</t>
        </is>
      </c>
      <c r="J96" t="inlineStr">
        <is>
          <t>Average interest rate on new debt</t>
        </is>
      </c>
      <c r="L96" t="n">
        <v>3.651433850553459</v>
      </c>
      <c r="M96" t="n">
        <v>3.651433850553459</v>
      </c>
      <c r="O96" t="n">
        <v>3.352849088242968</v>
      </c>
      <c r="P96" t="n">
        <v>3.258662838217744</v>
      </c>
      <c r="Q96" t="n">
        <v>3.436208903893471</v>
      </c>
      <c r="R96" t="n">
        <v>3.885069355066898</v>
      </c>
      <c r="S96" t="n">
        <v>3.623761580139279</v>
      </c>
      <c r="T96" t="n">
        <v>3.779397246287383</v>
      </c>
      <c r="U96" t="n">
        <v>3.801333919838762</v>
      </c>
      <c r="V96" t="n">
        <v>3.862368309582528</v>
      </c>
      <c r="W96" t="n">
        <v>3.860980344179207</v>
      </c>
      <c r="X96" t="n">
        <v>3.742615521126196</v>
      </c>
      <c r="Y96" t="n">
        <v>3.757598356961743</v>
      </c>
      <c r="Z96" t="n">
        <v>3.7391155939631</v>
      </c>
      <c r="AA96" t="n">
        <v>3.67981872343169</v>
      </c>
      <c r="AB96" t="n">
        <v>3.642566224413882</v>
      </c>
      <c r="AC96" t="n">
        <v>3.613182623348461</v>
      </c>
      <c r="AD96" t="n">
        <v>3.599915857215318</v>
      </c>
      <c r="AE96" t="n">
        <v>3.5974970639008</v>
      </c>
      <c r="AF96" t="n">
        <v>3.600891365163693</v>
      </c>
      <c r="AG96" t="n">
        <v>3.606943071669307</v>
      </c>
      <c r="AH96" t="n">
        <v>3.612530963354296</v>
      </c>
      <c r="AI96" t="n">
        <v>3.62680391162592</v>
      </c>
    </row>
    <row r="97">
      <c r="A97" t="inlineStr">
        <is>
          <t>Dominica_2018_August</t>
        </is>
      </c>
      <c r="B97" s="2" t="n"/>
      <c r="C97" s="3" t="inlineStr">
        <is>
          <t>SM.18.139</t>
        </is>
      </c>
      <c r="D97" s="4" t="inlineStr">
        <is>
          <t>Dominica</t>
        </is>
      </c>
      <c r="E97" s="4" t="inlineStr">
        <is>
          <t>DMA</t>
        </is>
      </c>
      <c r="F97" s="10" t="n">
        <v>43255</v>
      </c>
      <c r="G97" s="4" t="inlineStr">
        <is>
          <t>2013gn</t>
        </is>
      </c>
      <c r="H97" s="4" t="n">
        <v>2017</v>
      </c>
      <c r="I97" s="4" t="inlineStr">
        <is>
          <t>new.dis.prvt.cmbk</t>
        </is>
      </c>
      <c r="J97" t="inlineStr">
        <is>
          <t>Average grace period on new debt</t>
        </is>
      </c>
      <c r="L97" t="n">
        <v>6</v>
      </c>
      <c r="M97" t="n">
        <v>6.216697218553743</v>
      </c>
      <c r="O97" t="n">
        <v>7.005630650340139</v>
      </c>
      <c r="P97" t="n">
        <v>7.423611044981546</v>
      </c>
      <c r="Q97" t="n">
        <v>7.125308011028497</v>
      </c>
      <c r="R97" t="n">
        <v>5.998470631485577</v>
      </c>
      <c r="S97" t="n">
        <v>6.674744757675929</v>
      </c>
      <c r="T97" t="n">
        <v>6.205336896852337</v>
      </c>
      <c r="U97" t="n">
        <v>5.954343474888399</v>
      </c>
      <c r="V97" t="n">
        <v>5.764071010249193</v>
      </c>
      <c r="W97" t="n">
        <v>5.707975483436381</v>
      </c>
      <c r="X97" t="n">
        <v>5.939745686712866</v>
      </c>
      <c r="Y97" t="n">
        <v>5.915566011512354</v>
      </c>
      <c r="Z97" t="n">
        <v>5.944833063403222</v>
      </c>
      <c r="AA97" t="n">
        <v>6.066902929473659</v>
      </c>
      <c r="AB97" t="n">
        <v>6.117635570311059</v>
      </c>
      <c r="AC97" t="n">
        <v>6.15219195275614</v>
      </c>
      <c r="AD97" t="n">
        <v>6.124190446297381</v>
      </c>
      <c r="AE97" t="n">
        <v>6.103452108794773</v>
      </c>
      <c r="AF97" t="n">
        <v>6.096703023598768</v>
      </c>
      <c r="AG97" t="n">
        <v>6.088416512961095</v>
      </c>
      <c r="AH97" t="n">
        <v>6.081022454618678</v>
      </c>
      <c r="AI97" t="n">
        <v>6.060489868250655</v>
      </c>
    </row>
    <row r="98">
      <c r="A98" t="inlineStr">
        <is>
          <t>Dominica_2018_August</t>
        </is>
      </c>
      <c r="B98" s="2" t="n"/>
      <c r="C98" s="3" t="inlineStr">
        <is>
          <t>SM.18.139</t>
        </is>
      </c>
      <c r="D98" s="4" t="inlineStr">
        <is>
          <t>Dominica</t>
        </is>
      </c>
      <c r="E98" s="4" t="inlineStr">
        <is>
          <t>DMA</t>
        </is>
      </c>
      <c r="F98" s="10" t="n">
        <v>43255</v>
      </c>
      <c r="G98" s="4" t="inlineStr">
        <is>
          <t>2013gn</t>
        </is>
      </c>
      <c r="H98" s="4" t="n">
        <v>2017</v>
      </c>
      <c r="I98" s="4" t="inlineStr">
        <is>
          <t>new.dis.prvt.com3</t>
        </is>
      </c>
      <c r="J98" t="inlineStr">
        <is>
          <t>Average maturity of new debt</t>
        </is>
      </c>
      <c r="L98" t="n">
        <v>17</v>
      </c>
      <c r="M98" t="n">
        <v>17.73794823320538</v>
      </c>
      <c r="O98" t="n">
        <v>19.41848233947874</v>
      </c>
      <c r="P98" t="n">
        <v>20.20182258652365</v>
      </c>
      <c r="Q98" t="n">
        <v>19.45830769042713</v>
      </c>
      <c r="R98" t="n">
        <v>17.02055699740359</v>
      </c>
      <c r="S98" t="n">
        <v>18.47007464073162</v>
      </c>
      <c r="T98" t="n">
        <v>17.50698842318729</v>
      </c>
      <c r="U98" t="n">
        <v>17.09448510436173</v>
      </c>
      <c r="V98" t="n">
        <v>16.70753285752615</v>
      </c>
      <c r="W98" t="n">
        <v>16.62585858757601</v>
      </c>
      <c r="X98" t="n">
        <v>17.17080171779822</v>
      </c>
      <c r="Y98" t="n">
        <v>17.10954550506923</v>
      </c>
      <c r="Z98" t="n">
        <v>17.18427105423689</v>
      </c>
      <c r="AA98" t="n">
        <v>17.46619477479699</v>
      </c>
      <c r="AB98" t="n">
        <v>17.60444412424997</v>
      </c>
      <c r="AC98" t="n">
        <v>17.70531541614749</v>
      </c>
      <c r="AD98" t="n">
        <v>17.68556870593714</v>
      </c>
      <c r="AE98" t="n">
        <v>17.65856018304904</v>
      </c>
      <c r="AF98" t="n">
        <v>17.64277928194034</v>
      </c>
      <c r="AG98" t="n">
        <v>17.62025324084915</v>
      </c>
      <c r="AH98" t="n">
        <v>17.59983899596365</v>
      </c>
      <c r="AI98" t="n">
        <v>17.54523067005897</v>
      </c>
    </row>
    <row r="99">
      <c r="A99" t="inlineStr">
        <is>
          <t>Dominica_2018_August</t>
        </is>
      </c>
      <c r="B99" s="2" t="n"/>
      <c r="C99" s="3" t="inlineStr">
        <is>
          <t>SM.18.139</t>
        </is>
      </c>
      <c r="D99" s="4" t="inlineStr">
        <is>
          <t>Dominica</t>
        </is>
      </c>
      <c r="E99" s="4" t="inlineStr">
        <is>
          <t>DMA</t>
        </is>
      </c>
      <c r="F99" s="10" t="n">
        <v>43255</v>
      </c>
      <c r="G99" s="4" t="inlineStr">
        <is>
          <t>2013gn</t>
        </is>
      </c>
      <c r="H99" s="4" t="n">
        <v>2017</v>
      </c>
      <c r="I99" s="4" t="inlineStr">
        <is>
          <t>new.dis.prvt.com4</t>
        </is>
      </c>
    </row>
    <row r="100">
      <c r="A100" t="inlineStr">
        <is>
          <t>Dominica_2018_August</t>
        </is>
      </c>
      <c r="B100" s="2" t="n"/>
      <c r="C100" s="3" t="inlineStr">
        <is>
          <t>SM.18.139</t>
        </is>
      </c>
      <c r="D100" s="4" t="inlineStr">
        <is>
          <t>Dominica</t>
        </is>
      </c>
      <c r="E100" s="4" t="inlineStr">
        <is>
          <t>DMA</t>
        </is>
      </c>
      <c r="F100" s="10" t="n">
        <v>43255</v>
      </c>
      <c r="G100" s="4" t="inlineStr">
        <is>
          <t>2013gn</t>
        </is>
      </c>
      <c r="H100" s="4" t="n">
        <v>2017</v>
      </c>
      <c r="I100" s="4" t="inlineStr">
        <is>
          <t>new.dis.prvt.com5</t>
        </is>
      </c>
      <c r="J100" t="inlineStr">
        <is>
          <t>Average grace period on new debt (rounded down)</t>
        </is>
      </c>
      <c r="N100" t="n">
        <v>6</v>
      </c>
      <c r="O100" t="n">
        <v>7</v>
      </c>
      <c r="P100" t="n">
        <v>7</v>
      </c>
      <c r="Q100" t="n">
        <v>7</v>
      </c>
      <c r="R100" t="n">
        <v>5</v>
      </c>
      <c r="S100" t="n">
        <v>6</v>
      </c>
      <c r="T100" t="n">
        <v>6</v>
      </c>
      <c r="U100" t="n">
        <v>5</v>
      </c>
      <c r="V100" t="n">
        <v>5</v>
      </c>
      <c r="W100" t="n">
        <v>5</v>
      </c>
      <c r="X100" t="n">
        <v>5</v>
      </c>
      <c r="Y100" t="n">
        <v>5</v>
      </c>
      <c r="Z100" t="n">
        <v>5</v>
      </c>
      <c r="AA100" t="n">
        <v>6</v>
      </c>
      <c r="AB100" t="n">
        <v>6</v>
      </c>
      <c r="AC100" t="n">
        <v>6</v>
      </c>
      <c r="AD100" t="n">
        <v>6</v>
      </c>
      <c r="AE100" t="n">
        <v>6</v>
      </c>
      <c r="AF100" t="n">
        <v>6</v>
      </c>
      <c r="AG100" t="n">
        <v>6</v>
      </c>
      <c r="AH100" t="n">
        <v>6</v>
      </c>
      <c r="AI100" t="n">
        <v>6</v>
      </c>
    </row>
    <row r="101">
      <c r="A101" t="inlineStr">
        <is>
          <t>Dominica_2018_August</t>
        </is>
      </c>
      <c r="B101" s="2" t="n"/>
      <c r="C101" s="3" t="inlineStr">
        <is>
          <t>SM.18.139</t>
        </is>
      </c>
      <c r="D101" s="4" t="inlineStr">
        <is>
          <t>Dominica</t>
        </is>
      </c>
      <c r="E101" s="4" t="inlineStr">
        <is>
          <t>DMA</t>
        </is>
      </c>
      <c r="F101" s="10" t="n">
        <v>43255</v>
      </c>
      <c r="G101" s="4" t="inlineStr">
        <is>
          <t>2013gn</t>
        </is>
      </c>
      <c r="H101" s="4" t="n">
        <v>2017</v>
      </c>
      <c r="I101" s="4" t="inlineStr">
        <is>
          <t>new.dis.lcl.nres</t>
        </is>
      </c>
      <c r="J101" t="inlineStr">
        <is>
          <t>Average maturity of new debt (rounded down)</t>
        </is>
      </c>
      <c r="N101" t="n">
        <v>17</v>
      </c>
      <c r="O101" t="n">
        <v>19</v>
      </c>
      <c r="P101" t="n">
        <v>20</v>
      </c>
      <c r="Q101" t="n">
        <v>19</v>
      </c>
      <c r="R101" t="n">
        <v>17</v>
      </c>
      <c r="S101" t="n">
        <v>18</v>
      </c>
      <c r="T101" t="n">
        <v>17</v>
      </c>
      <c r="U101" t="n">
        <v>17</v>
      </c>
      <c r="V101" t="n">
        <v>16</v>
      </c>
      <c r="W101" t="n">
        <v>16</v>
      </c>
      <c r="X101" t="n">
        <v>17</v>
      </c>
      <c r="Y101" t="n">
        <v>17</v>
      </c>
      <c r="Z101" t="n">
        <v>17</v>
      </c>
      <c r="AA101" t="n">
        <v>17</v>
      </c>
      <c r="AB101" t="n">
        <v>17</v>
      </c>
      <c r="AC101" t="n">
        <v>17</v>
      </c>
      <c r="AD101" t="n">
        <v>17</v>
      </c>
      <c r="AE101" t="n">
        <v>17</v>
      </c>
      <c r="AF101" t="n">
        <v>17</v>
      </c>
      <c r="AG101" t="n">
        <v>17</v>
      </c>
      <c r="AH101" t="n">
        <v>17</v>
      </c>
      <c r="AI101" t="n">
        <v>17</v>
      </c>
    </row>
    <row r="102">
      <c r="A102" t="inlineStr">
        <is>
          <t>Dominica_2018_August</t>
        </is>
      </c>
      <c r="B102" s="2" t="n"/>
      <c r="C102" s="3" t="inlineStr">
        <is>
          <t>SM.18.139</t>
        </is>
      </c>
      <c r="D102" s="4" t="inlineStr">
        <is>
          <t>Dominica</t>
        </is>
      </c>
      <c r="E102" s="4" t="inlineStr">
        <is>
          <t>DMA</t>
        </is>
      </c>
      <c r="F102" s="10" t="n">
        <v>43255</v>
      </c>
      <c r="G102" s="4" t="inlineStr">
        <is>
          <t>2013gn</t>
        </is>
      </c>
      <c r="H102" s="4" t="n">
        <v>2017</v>
      </c>
      <c r="I102" s="4" t="inlineStr">
        <is>
          <t>new.dis.lcl.nres.lc</t>
        </is>
      </c>
    </row>
    <row r="103">
      <c r="A103" t="inlineStr">
        <is>
          <t>Dominica_2018_August</t>
        </is>
      </c>
      <c r="B103" s="2" t="n"/>
      <c r="C103" s="3" t="inlineStr">
        <is>
          <t>SM.18.139</t>
        </is>
      </c>
      <c r="D103" s="4" t="inlineStr">
        <is>
          <t>Dominica</t>
        </is>
      </c>
      <c r="E103" s="4" t="inlineStr">
        <is>
          <t>DMA</t>
        </is>
      </c>
      <c r="F103" s="10" t="n">
        <v>43255</v>
      </c>
      <c r="G103" s="4" t="inlineStr">
        <is>
          <t>2013gn</t>
        </is>
      </c>
      <c r="H103" s="4" t="n">
        <v>2017</v>
      </c>
      <c r="I103" s="4" t="inlineStr">
        <is>
          <t>new.dis.lcl.nres.bnd.1to3.lc</t>
        </is>
      </c>
      <c r="J103" t="inlineStr">
        <is>
          <t>B. OUTPUT</t>
        </is>
      </c>
    </row>
    <row r="104">
      <c r="A104" t="inlineStr">
        <is>
          <t>Dominica_2018_August</t>
        </is>
      </c>
      <c r="B104" s="2" t="n"/>
      <c r="C104" s="3" t="inlineStr">
        <is>
          <t>SM.18.139</t>
        </is>
      </c>
      <c r="D104" s="4" t="inlineStr">
        <is>
          <t>Dominica</t>
        </is>
      </c>
      <c r="E104" s="4" t="inlineStr">
        <is>
          <t>DMA</t>
        </is>
      </c>
      <c r="F104" s="10" t="n">
        <v>43255</v>
      </c>
      <c r="G104" s="4" t="inlineStr">
        <is>
          <t>2013gn</t>
        </is>
      </c>
      <c r="H104" s="4" t="n">
        <v>2017</v>
      </c>
      <c r="I104" s="4" t="inlineStr">
        <is>
          <t>new.dis.lcl.nres.bnd.4to7.lc</t>
        </is>
      </c>
    </row>
    <row r="105">
      <c r="A105" t="inlineStr">
        <is>
          <t>Dominica_2018_August</t>
        </is>
      </c>
      <c r="B105" s="2" t="n"/>
      <c r="C105" s="3" t="inlineStr">
        <is>
          <t>SM.18.139</t>
        </is>
      </c>
      <c r="D105" s="4" t="inlineStr">
        <is>
          <t>Dominica</t>
        </is>
      </c>
      <c r="E105" s="4" t="inlineStr">
        <is>
          <t>DMA</t>
        </is>
      </c>
      <c r="F105" s="10" t="n">
        <v>43255</v>
      </c>
      <c r="G105" s="4" t="inlineStr">
        <is>
          <t>2013gn</t>
        </is>
      </c>
      <c r="H105" s="4" t="n">
        <v>2017</v>
      </c>
      <c r="I105" s="4" t="inlineStr">
        <is>
          <t>new.dis.lcl.nres.bnd.byd7.lc</t>
        </is>
      </c>
      <c r="J105" t="inlineStr">
        <is>
          <t>New debt: Debt service</t>
        </is>
      </c>
    </row>
    <row r="106">
      <c r="A106" t="inlineStr">
        <is>
          <t>Dominica_2018_August</t>
        </is>
      </c>
      <c r="B106" s="2" t="n"/>
      <c r="C106" s="3" t="inlineStr">
        <is>
          <t>SM.18.139</t>
        </is>
      </c>
      <c r="D106" s="4" t="inlineStr">
        <is>
          <t>Dominica</t>
        </is>
      </c>
      <c r="E106" s="4" t="inlineStr">
        <is>
          <t>DMA</t>
        </is>
      </c>
      <c r="F106" s="10" t="n">
        <v>43255</v>
      </c>
      <c r="G106" s="4" t="inlineStr">
        <is>
          <t>2013gn</t>
        </is>
      </c>
      <c r="H106" s="4" t="n">
        <v>2017</v>
      </c>
      <c r="I106" s="4" t="inlineStr">
        <is>
          <t>new.dis.lcl.nres.fx</t>
        </is>
      </c>
    </row>
    <row r="107">
      <c r="A107" t="inlineStr">
        <is>
          <t>Dominica_2018_August</t>
        </is>
      </c>
      <c r="B107" s="2" t="n"/>
      <c r="C107" s="3" t="inlineStr">
        <is>
          <t>SM.18.139</t>
        </is>
      </c>
      <c r="D107" s="4" t="inlineStr">
        <is>
          <t>Dominica</t>
        </is>
      </c>
      <c r="E107" s="4" t="inlineStr">
        <is>
          <t>DMA</t>
        </is>
      </c>
      <c r="F107" s="10" t="n">
        <v>43255</v>
      </c>
      <c r="G107" s="4" t="inlineStr">
        <is>
          <t>2013gn</t>
        </is>
      </c>
      <c r="H107" s="4" t="n">
        <v>2017</v>
      </c>
      <c r="I107" s="4" t="inlineStr">
        <is>
          <t>new.dis.lcl.nres.bnd.1to3.fx</t>
        </is>
      </c>
      <c r="J107" t="inlineStr">
        <is>
          <t>Total new debt service</t>
        </is>
      </c>
      <c r="O107" t="n">
        <v>0.0008046442212514905</v>
      </c>
      <c r="P107" t="n">
        <v>0.002314205566667525</v>
      </c>
      <c r="Q107" t="n">
        <v>0.004326300128671616</v>
      </c>
      <c r="R107" t="n">
        <v>0.006627977968170923</v>
      </c>
      <c r="S107" t="n">
        <v>0.00970801261942795</v>
      </c>
      <c r="T107" t="n">
        <v>0.01490519365883798</v>
      </c>
      <c r="U107" t="n">
        <v>0.01861297442139159</v>
      </c>
      <c r="V107" t="n">
        <v>0.02201107592361591</v>
      </c>
      <c r="W107" t="n">
        <v>0.02756137214493598</v>
      </c>
      <c r="X107" t="n">
        <v>0.03235883986013217</v>
      </c>
      <c r="Y107" t="n">
        <v>0.03409573425929063</v>
      </c>
      <c r="Z107" t="n">
        <v>0.03845453046841887</v>
      </c>
      <c r="AA107" t="n">
        <v>0.04217461516754595</v>
      </c>
      <c r="AB107" t="n">
        <v>0.04602129744823979</v>
      </c>
      <c r="AC107" t="n">
        <v>0.05030599729454485</v>
      </c>
      <c r="AD107" t="n">
        <v>0.05424030151598813</v>
      </c>
      <c r="AE107" t="n">
        <v>0.05669161476008591</v>
      </c>
      <c r="AF107" t="n">
        <v>0.05870392538417118</v>
      </c>
      <c r="AG107" t="n">
        <v>0.06035475676823109</v>
      </c>
      <c r="AH107" t="n">
        <v>0.06205421067077718</v>
      </c>
      <c r="AI107" t="n">
        <v>0.06401729788630689</v>
      </c>
    </row>
    <row r="108">
      <c r="A108" t="inlineStr">
        <is>
          <t>Dominica_2018_August</t>
        </is>
      </c>
      <c r="B108" s="2" t="n"/>
      <c r="C108" s="3" t="inlineStr">
        <is>
          <t>SM.18.139</t>
        </is>
      </c>
      <c r="D108" s="4" t="inlineStr">
        <is>
          <t>Dominica</t>
        </is>
      </c>
      <c r="E108" s="4" t="inlineStr">
        <is>
          <t>DMA</t>
        </is>
      </c>
      <c r="F108" s="10" t="n">
        <v>43255</v>
      </c>
      <c r="G108" s="4" t="inlineStr">
        <is>
          <t>2013gn</t>
        </is>
      </c>
      <c r="H108" s="4" t="n">
        <v>2017</v>
      </c>
      <c r="I108" s="4" t="inlineStr">
        <is>
          <t>new.dis.lcl.nres.bnd.4to7.fx</t>
        </is>
      </c>
    </row>
    <row r="109">
      <c r="A109" t="inlineStr">
        <is>
          <t>Dominica_2018_August</t>
        </is>
      </c>
      <c r="B109" s="2" t="n"/>
      <c r="C109" s="3" t="inlineStr">
        <is>
          <t>SM.18.139</t>
        </is>
      </c>
      <c r="D109" s="4" t="inlineStr">
        <is>
          <t>Dominica</t>
        </is>
      </c>
      <c r="E109" s="4" t="inlineStr">
        <is>
          <t>DMA</t>
        </is>
      </c>
      <c r="F109" s="10" t="n">
        <v>43255</v>
      </c>
      <c r="G109" s="4" t="inlineStr">
        <is>
          <t>2013gn</t>
        </is>
      </c>
      <c r="H109" s="4" t="n">
        <v>2017</v>
      </c>
      <c r="I109" s="4" t="inlineStr">
        <is>
          <t>new.dis.lcl.nres.bnd.byd7.fx</t>
        </is>
      </c>
      <c r="J109" t="inlineStr">
        <is>
          <t>Interest</t>
        </is>
      </c>
      <c r="O109" t="n">
        <v>0.0008046442212514905</v>
      </c>
      <c r="P109" t="n">
        <v>0.002314205566667525</v>
      </c>
      <c r="Q109" t="n">
        <v>0.003865628973500168</v>
      </c>
      <c r="R109" t="n">
        <v>0.006218196976657615</v>
      </c>
      <c r="S109" t="n">
        <v>0.008820103742707031</v>
      </c>
      <c r="T109" t="n">
        <v>0.0105813866481329</v>
      </c>
      <c r="U109" t="n">
        <v>0.0117476329879592</v>
      </c>
      <c r="V109" t="n">
        <v>0.01265552546087867</v>
      </c>
      <c r="W109" t="n">
        <v>0.01346037483469712</v>
      </c>
      <c r="X109" t="n">
        <v>0.01417669934334996</v>
      </c>
      <c r="Y109" t="n">
        <v>0.01482620562246237</v>
      </c>
      <c r="Z109" t="n">
        <v>0.01545246720086873</v>
      </c>
      <c r="AA109" t="n">
        <v>0.0159852991402208</v>
      </c>
      <c r="AB109" t="n">
        <v>0.01645521393654178</v>
      </c>
      <c r="AC109" t="n">
        <v>0.01692358906729785</v>
      </c>
      <c r="AD109" t="n">
        <v>0.01736719445416503</v>
      </c>
      <c r="AE109" t="n">
        <v>0.01777849359309187</v>
      </c>
      <c r="AF109" t="n">
        <v>0.01819620688170613</v>
      </c>
      <c r="AG109" t="n">
        <v>0.0186402689573959</v>
      </c>
      <c r="AH109" t="n">
        <v>0.01911596276564071</v>
      </c>
      <c r="AI109" t="n">
        <v>0.01960615134346811</v>
      </c>
    </row>
    <row r="110">
      <c r="A110" t="inlineStr">
        <is>
          <t>Dominica_2018_August</t>
        </is>
      </c>
      <c r="B110" s="2" t="n"/>
      <c r="C110" s="3" t="inlineStr">
        <is>
          <t>SM.18.139</t>
        </is>
      </c>
      <c r="D110" s="4" t="inlineStr">
        <is>
          <t>Dominica</t>
        </is>
      </c>
      <c r="E110" s="4" t="inlineStr">
        <is>
          <t>DMA</t>
        </is>
      </c>
      <c r="F110" s="10" t="n">
        <v>43255</v>
      </c>
      <c r="G110" s="4" t="inlineStr">
        <is>
          <t>2013gn</t>
        </is>
      </c>
      <c r="H110" s="4" t="n">
        <v>2017</v>
      </c>
      <c r="I110" s="5" t="n"/>
      <c r="J110" t="inlineStr">
        <is>
          <t>Multilaterals</t>
        </is>
      </c>
      <c r="O110" t="n">
        <v>0.0002398076430225452</v>
      </c>
      <c r="P110" t="n">
        <v>0.0007655466341682932</v>
      </c>
      <c r="Q110" t="n">
        <v>0.001402389507225321</v>
      </c>
      <c r="R110" t="n">
        <v>0.002175272387333789</v>
      </c>
      <c r="S110" t="n">
        <v>0.002998553493812007</v>
      </c>
      <c r="T110" t="n">
        <v>0.003625701970053389</v>
      </c>
      <c r="U110" t="n">
        <v>0.003994791229282638</v>
      </c>
      <c r="V110" t="n">
        <v>0.004255231462792356</v>
      </c>
      <c r="W110" t="n">
        <v>0.004489510130358166</v>
      </c>
      <c r="X110" t="n">
        <v>0.004726623987750613</v>
      </c>
      <c r="Y110" t="n">
        <v>0.004969244561285676</v>
      </c>
      <c r="Z110" t="n">
        <v>0.00519419254838671</v>
      </c>
      <c r="AA110" t="n">
        <v>0.005374313833770185</v>
      </c>
      <c r="AB110" t="n">
        <v>0.005498892754082238</v>
      </c>
      <c r="AC110" t="n">
        <v>0.005555322751539502</v>
      </c>
      <c r="AD110" t="n">
        <v>0.00552056779901616</v>
      </c>
      <c r="AE110" t="n">
        <v>0.005403904602338917</v>
      </c>
      <c r="AF110" t="n">
        <v>0.005249262215079064</v>
      </c>
      <c r="AG110" t="n">
        <v>0.005078204057014387</v>
      </c>
      <c r="AH110" t="n">
        <v>0.004894690664923198</v>
      </c>
      <c r="AI110" t="n">
        <v>0.004698768684725025</v>
      </c>
    </row>
    <row r="111">
      <c r="A111" t="inlineStr">
        <is>
          <t>Dominica_2018_August</t>
        </is>
      </c>
      <c r="B111" s="2" t="n"/>
      <c r="C111" s="3" t="inlineStr">
        <is>
          <t>SM.18.139</t>
        </is>
      </c>
      <c r="D111" s="4" t="inlineStr">
        <is>
          <t>Dominica</t>
        </is>
      </c>
      <c r="E111" s="4" t="inlineStr">
        <is>
          <t>DMA</t>
        </is>
      </c>
      <c r="F111" s="10" t="n">
        <v>43255</v>
      </c>
      <c r="G111" s="4" t="inlineStr">
        <is>
          <t>2013gn</t>
        </is>
      </c>
      <c r="H111" s="4" t="n">
        <v>2017</v>
      </c>
      <c r="I111" s="4" t="inlineStr">
        <is>
          <t>new.dis.lcl.fx</t>
        </is>
      </c>
      <c r="J111" t="inlineStr">
        <is>
          <t xml:space="preserve">   IMF</t>
        </is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</row>
    <row r="112">
      <c r="A112" t="inlineStr">
        <is>
          <t>Dominica_2018_August</t>
        </is>
      </c>
      <c r="B112" s="2" t="n"/>
      <c r="C112" s="3" t="inlineStr">
        <is>
          <t>SM.18.139</t>
        </is>
      </c>
      <c r="D112" s="4" t="inlineStr">
        <is>
          <t>Dominica</t>
        </is>
      </c>
      <c r="E112" s="4" t="inlineStr">
        <is>
          <t>DMA</t>
        </is>
      </c>
      <c r="F112" s="10" t="n">
        <v>43255</v>
      </c>
      <c r="G112" s="4" t="inlineStr">
        <is>
          <t>2013gn</t>
        </is>
      </c>
      <c r="H112" s="4" t="n">
        <v>2017</v>
      </c>
      <c r="I112" s="4" t="inlineStr">
        <is>
          <t>new.dis.lcl.fx.bnd.1to3.fx</t>
        </is>
      </c>
      <c r="J112" t="inlineStr">
        <is>
          <t xml:space="preserve">   IDA - Small Island Country</t>
        </is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</row>
    <row r="113">
      <c r="A113" t="inlineStr">
        <is>
          <t>Dominica_2018_August</t>
        </is>
      </c>
      <c r="B113" s="2" t="n"/>
      <c r="C113" s="3" t="inlineStr">
        <is>
          <t>SM.18.139</t>
        </is>
      </c>
      <c r="D113" s="4" t="inlineStr">
        <is>
          <t>Dominica</t>
        </is>
      </c>
      <c r="E113" s="4" t="inlineStr">
        <is>
          <t>DMA</t>
        </is>
      </c>
      <c r="F113" s="10" t="n">
        <v>43255</v>
      </c>
      <c r="G113" s="4" t="inlineStr">
        <is>
          <t>2013gn</t>
        </is>
      </c>
      <c r="H113" s="4" t="n">
        <v>2017</v>
      </c>
      <c r="I113" s="4" t="inlineStr">
        <is>
          <t>new.dis.lcl.fx.bnd.4to7.fx</t>
        </is>
      </c>
      <c r="J113" t="inlineStr">
        <is>
          <t>IDA - Regular</t>
        </is>
      </c>
      <c r="O113" t="n">
        <v>1.219360896724806e-05</v>
      </c>
      <c r="P113" t="n">
        <v>3.892610004245558e-05</v>
      </c>
      <c r="Q113" t="n">
        <v>7.130794104535529e-05</v>
      </c>
      <c r="R113" t="n">
        <v>0.0001106070705423961</v>
      </c>
      <c r="S113" t="n">
        <v>0.0001524688217192546</v>
      </c>
      <c r="T113" t="n">
        <v>0.0001843577272908503</v>
      </c>
      <c r="U113" t="n">
        <v>0.0002031249777601341</v>
      </c>
      <c r="V113" t="n">
        <v>0.0002160060266556675</v>
      </c>
      <c r="W113" t="n">
        <v>0.0002267639135645342</v>
      </c>
      <c r="X113" t="n">
        <v>0.0002367054843331437</v>
      </c>
      <c r="Y113" t="n">
        <v>0.000245761405471381</v>
      </c>
      <c r="Z113" t="n">
        <v>0.0002538344179037707</v>
      </c>
      <c r="AA113" t="n">
        <v>0.0002612195703381638</v>
      </c>
      <c r="AB113" t="n">
        <v>0.000268297409655281</v>
      </c>
      <c r="AC113" t="n">
        <v>0.0002752467690242878</v>
      </c>
      <c r="AD113" t="n">
        <v>0.0002811777535367182</v>
      </c>
      <c r="AE113" t="n">
        <v>0.0002856096827418308</v>
      </c>
      <c r="AF113" t="n">
        <v>0.0002895206347387732</v>
      </c>
      <c r="AG113" t="n">
        <v>0.0002934748838971619</v>
      </c>
      <c r="AH113" t="n">
        <v>0.0002975424288546377</v>
      </c>
      <c r="AI113" t="n">
        <v>0.0003017359281449946</v>
      </c>
    </row>
    <row r="114">
      <c r="A114" t="inlineStr">
        <is>
          <t>Dominica_2018_August</t>
        </is>
      </c>
      <c r="B114" s="2" t="n"/>
      <c r="C114" s="3" t="inlineStr">
        <is>
          <t>SM.18.139</t>
        </is>
      </c>
      <c r="D114" s="4" t="inlineStr">
        <is>
          <t>Dominica</t>
        </is>
      </c>
      <c r="E114" s="4" t="inlineStr">
        <is>
          <t>DMA</t>
        </is>
      </c>
      <c r="F114" s="10" t="n">
        <v>43255</v>
      </c>
      <c r="G114" s="4" t="inlineStr">
        <is>
          <t>2013gn</t>
        </is>
      </c>
      <c r="H114" s="4" t="n">
        <v>2017</v>
      </c>
      <c r="I114" s="4" t="inlineStr">
        <is>
          <t>new.dis.lcl.fx.bnd.byd7.fx</t>
        </is>
      </c>
      <c r="J114" t="inlineStr">
        <is>
          <t>IBRD</t>
        </is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</row>
    <row r="115">
      <c r="A115" t="inlineStr">
        <is>
          <t>Dominica_2018_August</t>
        </is>
      </c>
      <c r="B115" s="2" t="n"/>
      <c r="C115" s="3" t="inlineStr">
        <is>
          <t>SM.18.139</t>
        </is>
      </c>
      <c r="D115" s="4" t="inlineStr">
        <is>
          <t>Dominica</t>
        </is>
      </c>
      <c r="E115" s="4" t="inlineStr">
        <is>
          <t>DMA</t>
        </is>
      </c>
      <c r="F115" s="10" t="n">
        <v>43255</v>
      </c>
      <c r="G115" s="4" t="inlineStr">
        <is>
          <t>2013gn</t>
        </is>
      </c>
      <c r="H115" s="4" t="n">
        <v>2017</v>
      </c>
      <c r="I115" s="5" t="n"/>
      <c r="J115" t="inlineStr">
        <is>
          <t>Other Multilateral</t>
        </is>
      </c>
      <c r="O115" t="n">
        <v>0.0002276140340552971</v>
      </c>
      <c r="P115" t="n">
        <v>0.0007266205341258376</v>
      </c>
      <c r="Q115" t="n">
        <v>0.001331081566179966</v>
      </c>
      <c r="R115" t="n">
        <v>0.002064665316791393</v>
      </c>
      <c r="S115" t="n">
        <v>0.002846084672092753</v>
      </c>
      <c r="T115" t="n">
        <v>0.003441344242762539</v>
      </c>
      <c r="U115" t="n">
        <v>0.003791666251522504</v>
      </c>
      <c r="V115" t="n">
        <v>0.004039225436136688</v>
      </c>
      <c r="W115" t="n">
        <v>0.004262746216793632</v>
      </c>
      <c r="X115" t="n">
        <v>0.004489918503417469</v>
      </c>
      <c r="Y115" t="n">
        <v>0.004723483155814295</v>
      </c>
      <c r="Z115" t="n">
        <v>0.004940358130482938</v>
      </c>
      <c r="AA115" t="n">
        <v>0.005113094263432021</v>
      </c>
      <c r="AB115" t="n">
        <v>0.005230595344426957</v>
      </c>
      <c r="AC115" t="n">
        <v>0.005280075982515215</v>
      </c>
      <c r="AD115" t="n">
        <v>0.005239390045479442</v>
      </c>
      <c r="AE115" t="n">
        <v>0.005118294919597086</v>
      </c>
      <c r="AF115" t="n">
        <v>0.004959741580340291</v>
      </c>
      <c r="AG115" t="n">
        <v>0.004784729173117225</v>
      </c>
      <c r="AH115" t="n">
        <v>0.00459714823606856</v>
      </c>
      <c r="AI115" t="n">
        <v>0.00439703275658003</v>
      </c>
    </row>
    <row r="116">
      <c r="A116" t="inlineStr">
        <is>
          <t>Dominica_2018_August</t>
        </is>
      </c>
      <c r="B116" s="2" t="n"/>
      <c r="C116" s="3" t="inlineStr">
        <is>
          <t>SM.18.139</t>
        </is>
      </c>
      <c r="D116" s="4" t="inlineStr">
        <is>
          <t>Dominica</t>
        </is>
      </c>
      <c r="E116" s="4" t="inlineStr">
        <is>
          <t>DMA</t>
        </is>
      </c>
      <c r="F116" s="10" t="n">
        <v>43255</v>
      </c>
      <c r="G116" s="4" t="inlineStr">
        <is>
          <t>2013gn</t>
        </is>
      </c>
      <c r="H116" s="4" t="n">
        <v>2017</v>
      </c>
      <c r="I116" s="4" t="inlineStr">
        <is>
          <t>def.ext.dom.curres</t>
        </is>
      </c>
      <c r="J116" t="inlineStr">
        <is>
          <t>Official Bilaterals</t>
        </is>
      </c>
      <c r="O116" t="n">
        <v>0.0004957359049532281</v>
      </c>
      <c r="P116" t="n">
        <v>0.001418091110496518</v>
      </c>
      <c r="Q116" t="n">
        <v>0.002282406120694856</v>
      </c>
      <c r="R116" t="n">
        <v>0.003301100905265611</v>
      </c>
      <c r="S116" t="n">
        <v>0.004384623830273758</v>
      </c>
      <c r="T116" t="n">
        <v>0.005222922770545651</v>
      </c>
      <c r="U116" t="n">
        <v>0.005856181080925561</v>
      </c>
      <c r="V116" t="n">
        <v>0.006403731746480242</v>
      </c>
      <c r="W116" t="n">
        <v>0.006902121928379952</v>
      </c>
      <c r="X116" t="n">
        <v>0.007387120101515796</v>
      </c>
      <c r="Y116" t="n">
        <v>0.007815878154640354</v>
      </c>
      <c r="Z116" t="n">
        <v>0.008186729809510679</v>
      </c>
      <c r="AA116" t="n">
        <v>0.008538844722933606</v>
      </c>
      <c r="AB116" t="n">
        <v>0.008912500872317295</v>
      </c>
      <c r="AC116" t="n">
        <v>0.009342668723637993</v>
      </c>
      <c r="AD116" t="n">
        <v>0.009809940347741332</v>
      </c>
      <c r="AE116" t="n">
        <v>0.01029937952835124</v>
      </c>
      <c r="AF116" t="n">
        <v>0.01081443649891487</v>
      </c>
      <c r="AG116" t="n">
        <v>0.01135423404462937</v>
      </c>
      <c r="AH116" t="n">
        <v>0.01192721553502373</v>
      </c>
      <c r="AI116" t="n">
        <v>0.0125233211202314</v>
      </c>
    </row>
    <row r="117">
      <c r="A117" t="inlineStr">
        <is>
          <t>Dominica_2018_August</t>
        </is>
      </c>
      <c r="B117" s="2" t="n"/>
      <c r="C117" s="3" t="inlineStr">
        <is>
          <t>SM.18.139</t>
        </is>
      </c>
      <c r="D117" s="4" t="inlineStr">
        <is>
          <t>Dominica</t>
        </is>
      </c>
      <c r="E117" s="4" t="inlineStr">
        <is>
          <t>DMA</t>
        </is>
      </c>
      <c r="F117" s="10" t="n">
        <v>43255</v>
      </c>
      <c r="G117" s="4" t="inlineStr">
        <is>
          <t>2013gn</t>
        </is>
      </c>
      <c r="H117" s="4" t="n">
        <v>2017</v>
      </c>
      <c r="I117" s="5" t="n"/>
      <c r="J117" t="inlineStr">
        <is>
          <t xml:space="preserve">   PC</t>
        </is>
      </c>
      <c r="O117" t="n">
        <v>0.0002789606344243737</v>
      </c>
      <c r="P117" t="n">
        <v>0.0007260715541861969</v>
      </c>
      <c r="Q117" t="n">
        <v>0.00101470939099965</v>
      </c>
      <c r="R117" t="n">
        <v>0.001334752984511903</v>
      </c>
      <c r="S117" t="n">
        <v>0.001674066999709231</v>
      </c>
      <c r="T117" t="n">
        <v>0.001945452063152757</v>
      </c>
      <c r="U117" t="n">
        <v>0.002266747892242727</v>
      </c>
      <c r="V117" t="n">
        <v>0.002647729861414933</v>
      </c>
      <c r="W117" t="n">
        <v>0.003060012782325168</v>
      </c>
      <c r="X117" t="n">
        <v>0.003525291188847016</v>
      </c>
      <c r="Y117" t="n">
        <v>0.004002662398935811</v>
      </c>
      <c r="Z117" t="n">
        <v>0.004473036002570022</v>
      </c>
      <c r="AA117" t="n">
        <v>0.004952549429126837</v>
      </c>
      <c r="AB117" t="n">
        <v>0.00547221825089218</v>
      </c>
      <c r="AC117" t="n">
        <v>0.006064602723081418</v>
      </c>
      <c r="AD117" t="n">
        <v>0.006727178461630704</v>
      </c>
      <c r="AE117" t="n">
        <v>0.007432377274413943</v>
      </c>
      <c r="AF117" t="n">
        <v>0.008140802448864061</v>
      </c>
      <c r="AG117" t="n">
        <v>0.008831869974594193</v>
      </c>
      <c r="AH117" t="n">
        <v>0.0095008062073471</v>
      </c>
      <c r="AI117" t="n">
        <v>0.01013312376846006</v>
      </c>
    </row>
    <row r="118">
      <c r="A118" t="inlineStr">
        <is>
          <t>Dominica_2018_August</t>
        </is>
      </c>
      <c r="B118" s="2" t="n"/>
      <c r="C118" s="3" t="inlineStr">
        <is>
          <t>SM.18.139</t>
        </is>
      </c>
      <c r="D118" s="4" t="inlineStr">
        <is>
          <t>Dominica</t>
        </is>
      </c>
      <c r="E118" s="4" t="inlineStr">
        <is>
          <t>DMA</t>
        </is>
      </c>
      <c r="F118" s="10" t="n">
        <v>43255</v>
      </c>
      <c r="G118" s="4" t="inlineStr">
        <is>
          <t>2013gn</t>
        </is>
      </c>
      <c r="H118" s="4" t="n">
        <v>2017</v>
      </c>
      <c r="I118" s="4" t="inlineStr">
        <is>
          <t>new.tot.pub.ext.dis.mlt</t>
        </is>
      </c>
      <c r="J118" t="inlineStr">
        <is>
          <t>…</t>
        </is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</row>
    <row r="119">
      <c r="A119" t="inlineStr">
        <is>
          <t>Dominica_2018_August</t>
        </is>
      </c>
      <c r="B119" s="2" t="n"/>
      <c r="C119" s="3" t="inlineStr">
        <is>
          <t>SM.18.139</t>
        </is>
      </c>
      <c r="D119" s="4" t="inlineStr">
        <is>
          <t>Dominica</t>
        </is>
      </c>
      <c r="E119" s="4" t="inlineStr">
        <is>
          <t>DMA</t>
        </is>
      </c>
      <c r="F119" s="10" t="n">
        <v>43255</v>
      </c>
      <c r="G119" s="4" t="inlineStr">
        <is>
          <t>2013gn</t>
        </is>
      </c>
      <c r="H119" s="4" t="n">
        <v>2017</v>
      </c>
      <c r="I119" s="4" t="inlineStr">
        <is>
          <t>new.tot.pub.dis</t>
        </is>
      </c>
      <c r="J119" t="inlineStr">
        <is>
          <t>…</t>
        </is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</row>
    <row r="120">
      <c r="A120" t="inlineStr">
        <is>
          <t>Dominica_2018_August</t>
        </is>
      </c>
      <c r="B120" s="2" t="n"/>
      <c r="C120" s="3" t="inlineStr">
        <is>
          <t>SM.18.139</t>
        </is>
      </c>
      <c r="D120" s="4" t="inlineStr">
        <is>
          <t>Dominica</t>
        </is>
      </c>
      <c r="E120" s="4" t="inlineStr">
        <is>
          <t>DMA</t>
        </is>
      </c>
      <c r="F120" s="10" t="n">
        <v>43255</v>
      </c>
      <c r="G120" s="4" t="inlineStr">
        <is>
          <t>2013gn</t>
        </is>
      </c>
      <c r="H120" s="4" t="n">
        <v>2017</v>
      </c>
      <c r="I120" s="5" t="n"/>
      <c r="J120" t="inlineStr">
        <is>
          <t xml:space="preserve">   Others Paris Club</t>
        </is>
      </c>
      <c r="O120" t="n">
        <v>0.0002789606344243737</v>
      </c>
      <c r="P120" t="n">
        <v>0.0007260715541861969</v>
      </c>
      <c r="Q120" t="n">
        <v>0.00101470939099965</v>
      </c>
      <c r="R120" t="n">
        <v>0.001334752984511903</v>
      </c>
      <c r="S120" t="n">
        <v>0.001674066999709231</v>
      </c>
      <c r="T120" t="n">
        <v>0.001945452063152757</v>
      </c>
      <c r="U120" t="n">
        <v>0.002266747892242727</v>
      </c>
      <c r="V120" t="n">
        <v>0.002647729861414933</v>
      </c>
      <c r="W120" t="n">
        <v>0.003060012782325168</v>
      </c>
      <c r="X120" t="n">
        <v>0.003525291188847016</v>
      </c>
      <c r="Y120" t="n">
        <v>0.004002662398935811</v>
      </c>
      <c r="Z120" t="n">
        <v>0.004473036002570022</v>
      </c>
      <c r="AA120" t="n">
        <v>0.004952549429126837</v>
      </c>
      <c r="AB120" t="n">
        <v>0.00547221825089218</v>
      </c>
      <c r="AC120" t="n">
        <v>0.006064602723081418</v>
      </c>
      <c r="AD120" t="n">
        <v>0.006727178461630704</v>
      </c>
      <c r="AE120" t="n">
        <v>0.007432377274413943</v>
      </c>
      <c r="AF120" t="n">
        <v>0.008140802448864061</v>
      </c>
      <c r="AG120" t="n">
        <v>0.008831869974594193</v>
      </c>
      <c r="AH120" t="n">
        <v>0.0095008062073471</v>
      </c>
      <c r="AI120" t="n">
        <v>0.01013312376846006</v>
      </c>
    </row>
    <row r="121">
      <c r="A121" t="inlineStr">
        <is>
          <t>Dominica_2018_August</t>
        </is>
      </c>
      <c r="B121" s="2" t="n"/>
      <c r="C121" s="3" t="inlineStr">
        <is>
          <t>SM.18.139</t>
        </is>
      </c>
      <c r="D121" s="4" t="inlineStr">
        <is>
          <t>Dominica</t>
        </is>
      </c>
      <c r="E121" s="4" t="inlineStr">
        <is>
          <t>DMA</t>
        </is>
      </c>
      <c r="F121" s="10" t="n">
        <v>43255</v>
      </c>
      <c r="G121" s="4" t="inlineStr">
        <is>
          <t>2013gn</t>
        </is>
      </c>
      <c r="H121" s="4" t="n">
        <v>2017</v>
      </c>
      <c r="I121" s="5" t="n"/>
      <c r="J121" t="inlineStr">
        <is>
          <t xml:space="preserve">   NPC</t>
        </is>
      </c>
      <c r="O121" t="n">
        <v>0.0002167752705288544</v>
      </c>
      <c r="P121" t="n">
        <v>0.0006920195563103216</v>
      </c>
      <c r="Q121" t="n">
        <v>0.001267696729695206</v>
      </c>
      <c r="R121" t="n">
        <v>0.001966347920753708</v>
      </c>
      <c r="S121" t="n">
        <v>0.002710556830564527</v>
      </c>
      <c r="T121" t="n">
        <v>0.003277470707392894</v>
      </c>
      <c r="U121" t="n">
        <v>0.003589433188682834</v>
      </c>
      <c r="V121" t="n">
        <v>0.00375600188506531</v>
      </c>
      <c r="W121" t="n">
        <v>0.003842109146054783</v>
      </c>
      <c r="X121" t="n">
        <v>0.003861828912668781</v>
      </c>
      <c r="Y121" t="n">
        <v>0.003813215755704544</v>
      </c>
      <c r="Z121" t="n">
        <v>0.003713693806940657</v>
      </c>
      <c r="AA121" t="n">
        <v>0.003586295293806768</v>
      </c>
      <c r="AB121" t="n">
        <v>0.003440282621425114</v>
      </c>
      <c r="AC121" t="n">
        <v>0.003278066000556575</v>
      </c>
      <c r="AD121" t="n">
        <v>0.003082761886110628</v>
      </c>
      <c r="AE121" t="n">
        <v>0.002867002253937292</v>
      </c>
      <c r="AF121" t="n">
        <v>0.002673634050050808</v>
      </c>
      <c r="AG121" t="n">
        <v>0.002522364070035176</v>
      </c>
      <c r="AH121" t="n">
        <v>0.002426409327676633</v>
      </c>
      <c r="AI121" t="n">
        <v>0.002390197351771344</v>
      </c>
    </row>
    <row r="122">
      <c r="A122" t="inlineStr">
        <is>
          <t>Dominica_2018_August</t>
        </is>
      </c>
      <c r="B122" s="2" t="n"/>
      <c r="C122" s="3" t="inlineStr">
        <is>
          <t>SM.18.139</t>
        </is>
      </c>
      <c r="D122" s="4" t="inlineStr">
        <is>
          <t>Dominica</t>
        </is>
      </c>
      <c r="E122" s="4" t="inlineStr">
        <is>
          <t>DMA</t>
        </is>
      </c>
      <c r="F122" s="10" t="n">
        <v>43255</v>
      </c>
      <c r="G122" s="4" t="inlineStr">
        <is>
          <t>2013gn</t>
        </is>
      </c>
      <c r="H122" s="4" t="n">
        <v>2017</v>
      </c>
      <c r="I122" s="4" t="inlineStr">
        <is>
          <t>shr.ext.ppg.mlt</t>
        </is>
      </c>
      <c r="J122" t="inlineStr">
        <is>
          <t>…</t>
        </is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</row>
    <row r="123">
      <c r="A123" t="inlineStr">
        <is>
          <t>Dominica_2018_August</t>
        </is>
      </c>
      <c r="B123" s="2" t="n"/>
      <c r="C123" s="3" t="inlineStr">
        <is>
          <t>SM.18.139</t>
        </is>
      </c>
      <c r="D123" s="4" t="inlineStr">
        <is>
          <t>Dominica</t>
        </is>
      </c>
      <c r="E123" s="4" t="inlineStr">
        <is>
          <t>DMA</t>
        </is>
      </c>
      <c r="F123" s="10" t="n">
        <v>43255</v>
      </c>
      <c r="G123" s="4" t="inlineStr">
        <is>
          <t>2013gn</t>
        </is>
      </c>
      <c r="H123" s="4" t="n">
        <v>2017</v>
      </c>
      <c r="I123" s="4" t="inlineStr">
        <is>
          <t>shr.dom.mlt</t>
        </is>
      </c>
      <c r="J123" t="inlineStr">
        <is>
          <t>…</t>
        </is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</row>
    <row r="124">
      <c r="A124" t="inlineStr">
        <is>
          <t>Dominica_2018_August</t>
        </is>
      </c>
      <c r="B124" s="2" t="n"/>
      <c r="C124" s="3" t="inlineStr">
        <is>
          <t>SM.18.139</t>
        </is>
      </c>
      <c r="D124" s="4" t="inlineStr">
        <is>
          <t>Dominica</t>
        </is>
      </c>
      <c r="E124" s="4" t="inlineStr">
        <is>
          <t>DMA</t>
        </is>
      </c>
      <c r="F124" s="10" t="n">
        <v>43255</v>
      </c>
      <c r="G124" s="4" t="inlineStr">
        <is>
          <t>2013gn</t>
        </is>
      </c>
      <c r="H124" s="4" t="n">
        <v>2017</v>
      </c>
      <c r="I124" s="4" t="inlineStr">
        <is>
          <t>shr.dom.sht.trm</t>
        </is>
      </c>
      <c r="J124" t="inlineStr">
        <is>
          <t xml:space="preserve">   Others Non Paris Club</t>
        </is>
      </c>
      <c r="O124" t="n">
        <v>0.0002167752705288544</v>
      </c>
      <c r="P124" t="n">
        <v>0.0006920195563103216</v>
      </c>
      <c r="Q124" t="n">
        <v>0.001267696729695206</v>
      </c>
      <c r="R124" t="n">
        <v>0.001966347920753708</v>
      </c>
      <c r="S124" t="n">
        <v>0.002710556830564527</v>
      </c>
      <c r="T124" t="n">
        <v>0.003277470707392894</v>
      </c>
      <c r="U124" t="n">
        <v>0.003589433188682834</v>
      </c>
      <c r="V124" t="n">
        <v>0.00375600188506531</v>
      </c>
      <c r="W124" t="n">
        <v>0.003842109146054783</v>
      </c>
      <c r="X124" t="n">
        <v>0.003861828912668781</v>
      </c>
      <c r="Y124" t="n">
        <v>0.003813215755704544</v>
      </c>
      <c r="Z124" t="n">
        <v>0.003713693806940657</v>
      </c>
      <c r="AA124" t="n">
        <v>0.003586295293806768</v>
      </c>
      <c r="AB124" t="n">
        <v>0.003440282621425114</v>
      </c>
      <c r="AC124" t="n">
        <v>0.003278066000556575</v>
      </c>
      <c r="AD124" t="n">
        <v>0.003082761886110628</v>
      </c>
      <c r="AE124" t="n">
        <v>0.002867002253937292</v>
      </c>
      <c r="AF124" t="n">
        <v>0.002673634050050808</v>
      </c>
      <c r="AG124" t="n">
        <v>0.002522364070035176</v>
      </c>
      <c r="AH124" t="n">
        <v>0.002426409327676633</v>
      </c>
      <c r="AI124" t="n">
        <v>0.002390197351771344</v>
      </c>
    </row>
    <row r="125">
      <c r="A125" t="inlineStr">
        <is>
          <t>Dominica_2018_August</t>
        </is>
      </c>
      <c r="B125" s="2" t="n"/>
      <c r="C125" s="3" t="inlineStr">
        <is>
          <t>SM.18.139</t>
        </is>
      </c>
      <c r="D125" s="4" t="inlineStr">
        <is>
          <t>Dominica</t>
        </is>
      </c>
      <c r="E125" s="4" t="inlineStr">
        <is>
          <t>DMA</t>
        </is>
      </c>
      <c r="F125" s="10" t="n">
        <v>43255</v>
      </c>
      <c r="G125" s="4" t="inlineStr">
        <is>
          <t>2013gn</t>
        </is>
      </c>
      <c r="H125" s="4" t="n">
        <v>2017</v>
      </c>
      <c r="I125" s="5" t="n"/>
      <c r="J125" t="inlineStr">
        <is>
          <t>Commercial</t>
        </is>
      </c>
      <c r="O125" t="n">
        <v>6.91006732757172e-05</v>
      </c>
      <c r="P125" t="n">
        <v>0.0001305678220027134</v>
      </c>
      <c r="Q125" t="n">
        <v>0.0001808333455799907</v>
      </c>
      <c r="R125" t="n">
        <v>0.0007418236840582138</v>
      </c>
      <c r="S125" t="n">
        <v>0.001436926418621266</v>
      </c>
      <c r="T125" t="n">
        <v>0.001732761907533865</v>
      </c>
      <c r="U125" t="n">
        <v>0.001896660677751001</v>
      </c>
      <c r="V125" t="n">
        <v>0.001996562251606074</v>
      </c>
      <c r="W125" t="n">
        <v>0.002068742775959002</v>
      </c>
      <c r="X125" t="n">
        <v>0.002062955254083551</v>
      </c>
      <c r="Y125" t="n">
        <v>0.002041082906536343</v>
      </c>
      <c r="Z125" t="n">
        <v>0.002071544842971338</v>
      </c>
      <c r="AA125" t="n">
        <v>0.00207214058351701</v>
      </c>
      <c r="AB125" t="n">
        <v>0.002043820310142251</v>
      </c>
      <c r="AC125" t="n">
        <v>0.00202559759212036</v>
      </c>
      <c r="AD125" t="n">
        <v>0.002036686307407538</v>
      </c>
      <c r="AE125" t="n">
        <v>0.002075209462401723</v>
      </c>
      <c r="AF125" t="n">
        <v>0.002132508167712199</v>
      </c>
      <c r="AG125" t="n">
        <v>0.002207830855752148</v>
      </c>
      <c r="AH125" t="n">
        <v>0.002294056565693778</v>
      </c>
      <c r="AI125" t="n">
        <v>0.002384061538511686</v>
      </c>
    </row>
    <row r="126">
      <c r="A126" t="inlineStr">
        <is>
          <t>Dominica_2018_August</t>
        </is>
      </c>
      <c r="B126" s="2" t="n"/>
      <c r="C126" s="3" t="inlineStr">
        <is>
          <t>SM.18.139</t>
        </is>
      </c>
      <c r="D126" s="4" t="inlineStr">
        <is>
          <t>Dominica</t>
        </is>
      </c>
      <c r="E126" s="4" t="inlineStr">
        <is>
          <t>DMA</t>
        </is>
      </c>
      <c r="F126" s="10" t="n">
        <v>43255</v>
      </c>
      <c r="G126" s="4" t="inlineStr">
        <is>
          <t>2013gn</t>
        </is>
      </c>
      <c r="H126" s="4" t="n">
        <v>2017</v>
      </c>
      <c r="I126" s="5" t="n"/>
      <c r="J126" t="inlineStr">
        <is>
          <t>…</t>
        </is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</row>
    <row r="127">
      <c r="A127" t="inlineStr">
        <is>
          <t>Dominica_2018_August</t>
        </is>
      </c>
      <c r="B127" s="2" t="n"/>
      <c r="C127" s="3" t="inlineStr">
        <is>
          <t>SM.18.139</t>
        </is>
      </c>
      <c r="D127" s="4" t="inlineStr">
        <is>
          <t>Dominica</t>
        </is>
      </c>
      <c r="E127" s="4" t="inlineStr">
        <is>
          <t>DMA</t>
        </is>
      </c>
      <c r="F127" s="10" t="n">
        <v>43255</v>
      </c>
      <c r="G127" s="4" t="inlineStr">
        <is>
          <t>2013gn</t>
        </is>
      </c>
      <c r="H127" s="4" t="n">
        <v>2017</v>
      </c>
      <c r="I127" s="4" t="inlineStr">
        <is>
          <t>rsdl.ndr.strs.tst.avg.int.rat</t>
        </is>
      </c>
      <c r="J127" t="inlineStr">
        <is>
          <t>…</t>
        </is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</row>
    <row r="128">
      <c r="A128" t="inlineStr">
        <is>
          <t>Dominica_2018_August</t>
        </is>
      </c>
      <c r="B128" s="2" t="n"/>
      <c r="C128" s="3" t="inlineStr">
        <is>
          <t>SM.18.139</t>
        </is>
      </c>
      <c r="D128" s="4" t="inlineStr">
        <is>
          <t>Dominica</t>
        </is>
      </c>
      <c r="E128" s="4" t="inlineStr">
        <is>
          <t>DMA</t>
        </is>
      </c>
      <c r="F128" s="10" t="n">
        <v>43255</v>
      </c>
      <c r="G128" s="4" t="inlineStr">
        <is>
          <t>2013gn</t>
        </is>
      </c>
      <c r="H128" s="4" t="n">
        <v>2017</v>
      </c>
      <c r="I128" s="4" t="inlineStr">
        <is>
          <t>rsdl.ndr.strs.tst.avg.grc.prd</t>
        </is>
      </c>
      <c r="J128" t="inlineStr">
        <is>
          <t xml:space="preserve">   Others Commercial</t>
        </is>
      </c>
      <c r="O128" t="n">
        <v>6.91006732757172e-05</v>
      </c>
      <c r="P128" t="n">
        <v>0.0001305678220027134</v>
      </c>
      <c r="Q128" t="n">
        <v>0.0001808333455799907</v>
      </c>
      <c r="R128" t="n">
        <v>0.0007418236840582138</v>
      </c>
      <c r="S128" t="n">
        <v>0.001436926418621266</v>
      </c>
      <c r="T128" t="n">
        <v>0.001732761907533865</v>
      </c>
      <c r="U128" t="n">
        <v>0.001896660677751001</v>
      </c>
      <c r="V128" t="n">
        <v>0.001996562251606074</v>
      </c>
      <c r="W128" t="n">
        <v>0.002068742775959002</v>
      </c>
      <c r="X128" t="n">
        <v>0.002062955254083551</v>
      </c>
      <c r="Y128" t="n">
        <v>0.002041082906536343</v>
      </c>
      <c r="Z128" t="n">
        <v>0.002071544842971338</v>
      </c>
      <c r="AA128" t="n">
        <v>0.00207214058351701</v>
      </c>
      <c r="AB128" t="n">
        <v>0.002043820310142251</v>
      </c>
      <c r="AC128" t="n">
        <v>0.00202559759212036</v>
      </c>
      <c r="AD128" t="n">
        <v>0.002036686307407538</v>
      </c>
      <c r="AE128" t="n">
        <v>0.002075209462401723</v>
      </c>
      <c r="AF128" t="n">
        <v>0.002132508167712199</v>
      </c>
      <c r="AG128" t="n">
        <v>0.002207830855752148</v>
      </c>
      <c r="AH128" t="n">
        <v>0.002294056565693778</v>
      </c>
      <c r="AI128" t="n">
        <v>0.002384061538511686</v>
      </c>
    </row>
    <row r="129">
      <c r="A129" t="inlineStr">
        <is>
          <t>Dominica_2018_August</t>
        </is>
      </c>
      <c r="B129" s="2" t="n"/>
      <c r="C129" s="3" t="inlineStr">
        <is>
          <t>SM.18.139</t>
        </is>
      </c>
      <c r="D129" s="4" t="inlineStr">
        <is>
          <t>Dominica</t>
        </is>
      </c>
      <c r="E129" s="4" t="inlineStr">
        <is>
          <t>DMA</t>
        </is>
      </c>
      <c r="F129" s="10" t="n">
        <v>43255</v>
      </c>
      <c r="G129" s="4" t="inlineStr">
        <is>
          <t>2013gn</t>
        </is>
      </c>
      <c r="H129" s="4" t="n">
        <v>2017</v>
      </c>
      <c r="I129" s="4" t="inlineStr">
        <is>
          <t>rsdl.ndr.strs.tst.avg.matrty</t>
        </is>
      </c>
    </row>
    <row r="130">
      <c r="A130" t="inlineStr">
        <is>
          <t>Dominica_2018_August</t>
        </is>
      </c>
      <c r="B130" s="2" t="n"/>
      <c r="C130" s="3" t="inlineStr">
        <is>
          <t>SM.18.139</t>
        </is>
      </c>
      <c r="D130" s="4" t="inlineStr">
        <is>
          <t>Dominica</t>
        </is>
      </c>
      <c r="E130" s="4" t="inlineStr">
        <is>
          <t>DMA</t>
        </is>
      </c>
      <c r="F130" s="10" t="n">
        <v>43255</v>
      </c>
      <c r="G130" s="4" t="inlineStr">
        <is>
          <t>2013gn</t>
        </is>
      </c>
      <c r="H130" s="4" t="n">
        <v>2017</v>
      </c>
      <c r="I130" s="5" t="n"/>
      <c r="J130" t="inlineStr">
        <is>
          <t>Amortization</t>
        </is>
      </c>
      <c r="O130" t="n">
        <v>0</v>
      </c>
      <c r="P130" t="n">
        <v>0</v>
      </c>
      <c r="Q130" t="n">
        <v>0.000460671155171448</v>
      </c>
      <c r="R130" t="n">
        <v>0.000409780991513308</v>
      </c>
      <c r="S130" t="n">
        <v>0.0008879088767209199</v>
      </c>
      <c r="T130" t="n">
        <v>0.00432380701070508</v>
      </c>
      <c r="U130" t="n">
        <v>0.006865341433432384</v>
      </c>
      <c r="V130" t="n">
        <v>0.009355550462737235</v>
      </c>
      <c r="W130" t="n">
        <v>0.01410099731023886</v>
      </c>
      <c r="X130" t="n">
        <v>0.01818214051678221</v>
      </c>
      <c r="Y130" t="n">
        <v>0.01926952863682826</v>
      </c>
      <c r="Z130" t="n">
        <v>0.02300206326755014</v>
      </c>
      <c r="AA130" t="n">
        <v>0.02618931602732515</v>
      </c>
      <c r="AB130" t="n">
        <v>0.029566083511698</v>
      </c>
      <c r="AC130" t="n">
        <v>0.033382408227247</v>
      </c>
      <c r="AD130" t="n">
        <v>0.0368731070618231</v>
      </c>
      <c r="AE130" t="n">
        <v>0.03891312116699403</v>
      </c>
      <c r="AF130" t="n">
        <v>0.04050771850246505</v>
      </c>
      <c r="AG130" t="n">
        <v>0.04171448781083519</v>
      </c>
      <c r="AH130" t="n">
        <v>0.04293824790513646</v>
      </c>
      <c r="AI130" t="n">
        <v>0.04441114654283878</v>
      </c>
    </row>
    <row r="131">
      <c r="A131" t="inlineStr">
        <is>
          <t>Dominica_2018_August</t>
        </is>
      </c>
      <c r="B131" s="2" t="n"/>
      <c r="C131" s="3" t="inlineStr">
        <is>
          <t>SM.18.139</t>
        </is>
      </c>
      <c r="D131" s="4" t="inlineStr">
        <is>
          <t>Dominica</t>
        </is>
      </c>
      <c r="E131" s="4" t="inlineStr">
        <is>
          <t>DMA</t>
        </is>
      </c>
      <c r="F131" s="10" t="n">
        <v>43255</v>
      </c>
      <c r="G131" s="4" t="inlineStr">
        <is>
          <t>2013gn</t>
        </is>
      </c>
      <c r="H131" s="4" t="n">
        <v>2017</v>
      </c>
      <c r="I131" s="4" t="inlineStr">
        <is>
          <t>rsdl.ndr.strs.tst.avg.grc.prd.rnd</t>
        </is>
      </c>
      <c r="J131" t="inlineStr">
        <is>
          <t>Multilaterals</t>
        </is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0.0001016134080604005</v>
      </c>
      <c r="W131" t="n">
        <v>0.0002227707589600627</v>
      </c>
      <c r="X131" t="n">
        <v>0.0003714620830845648</v>
      </c>
      <c r="Y131" t="n">
        <v>0.0005502635047687357</v>
      </c>
      <c r="Z131" t="n">
        <v>0.002020961632731512</v>
      </c>
      <c r="AA131" t="n">
        <v>0.003667470099220836</v>
      </c>
      <c r="AB131" t="n">
        <v>0.005631418426951514</v>
      </c>
      <c r="AC131" t="n">
        <v>0.007969894738703182</v>
      </c>
      <c r="AD131" t="n">
        <v>0.0101964579486097</v>
      </c>
      <c r="AE131" t="n">
        <v>0.01147279419905903</v>
      </c>
      <c r="AF131" t="n">
        <v>0.01230256793277237</v>
      </c>
      <c r="AG131" t="n">
        <v>0.01299439863706605</v>
      </c>
      <c r="AH131" t="n">
        <v>0.01368938229829494</v>
      </c>
      <c r="AI131" t="n">
        <v>0.01440440511313661</v>
      </c>
    </row>
    <row r="132">
      <c r="A132" t="inlineStr">
        <is>
          <t>Dominica_2018_August</t>
        </is>
      </c>
      <c r="B132" s="2" t="n"/>
      <c r="C132" s="3" t="inlineStr">
        <is>
          <t>SM.18.139</t>
        </is>
      </c>
      <c r="D132" s="4" t="inlineStr">
        <is>
          <t>Dominica</t>
        </is>
      </c>
      <c r="E132" s="4" t="inlineStr">
        <is>
          <t>DMA</t>
        </is>
      </c>
      <c r="F132" s="10" t="n">
        <v>43255</v>
      </c>
      <c r="G132" s="4" t="inlineStr">
        <is>
          <t>2013gn</t>
        </is>
      </c>
      <c r="H132" s="4" t="n">
        <v>2017</v>
      </c>
      <c r="I132" s="4" t="inlineStr">
        <is>
          <t>rsdl.ndr.strs.tst.avg.matrty.rnd</t>
        </is>
      </c>
      <c r="J132" t="inlineStr">
        <is>
          <t xml:space="preserve">   IMF</t>
        </is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</row>
    <row r="133">
      <c r="A133" t="inlineStr">
        <is>
          <t>Dominica_2018_August</t>
        </is>
      </c>
      <c r="B133" s="2" t="n"/>
      <c r="C133" s="3" t="inlineStr">
        <is>
          <t>SM.18.139</t>
        </is>
      </c>
      <c r="D133" s="4" t="inlineStr">
        <is>
          <t>Dominica</t>
        </is>
      </c>
      <c r="E133" s="4" t="inlineStr">
        <is>
          <t>DMA</t>
        </is>
      </c>
      <c r="F133" s="10" t="n">
        <v>43255</v>
      </c>
      <c r="G133" s="4" t="inlineStr">
        <is>
          <t>2013gn</t>
        </is>
      </c>
      <c r="H133" s="4" t="n">
        <v>2017</v>
      </c>
      <c r="I133" s="5" t="n"/>
      <c r="J133" t="inlineStr">
        <is>
          <t xml:space="preserve">   IDA - Small Island Country</t>
        </is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</row>
    <row r="134">
      <c r="A134" t="inlineStr">
        <is>
          <t>Dominica_2018_August</t>
        </is>
      </c>
      <c r="B134" s="2" t="n"/>
      <c r="C134" s="3" t="inlineStr">
        <is>
          <t>SM.18.139</t>
        </is>
      </c>
      <c r="D134" s="4" t="inlineStr">
        <is>
          <t>Dominica</t>
        </is>
      </c>
      <c r="E134" s="4" t="inlineStr">
        <is>
          <t>DMA</t>
        </is>
      </c>
      <c r="F134" s="10" t="n">
        <v>43255</v>
      </c>
      <c r="G134" s="4" t="inlineStr">
        <is>
          <t>2013gn</t>
        </is>
      </c>
      <c r="H134" s="4" t="n">
        <v>2017</v>
      </c>
      <c r="I134" s="5" t="n"/>
      <c r="J134" t="inlineStr">
        <is>
          <t>IDA - Regular</t>
        </is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0.0001016134080604005</v>
      </c>
      <c r="W134" t="n">
        <v>0.0002227707589600627</v>
      </c>
      <c r="X134" t="n">
        <v>0.0003714620830845648</v>
      </c>
      <c r="Y134" t="n">
        <v>0.0005502635047687357</v>
      </c>
      <c r="Z134" t="n">
        <v>0.0007203100095583859</v>
      </c>
      <c r="AA134" t="n">
        <v>0.0008160043845320331</v>
      </c>
      <c r="AB134" t="n">
        <v>0.0008767037634690847</v>
      </c>
      <c r="AC134" t="n">
        <v>0.0009265218776633654</v>
      </c>
      <c r="AD134" t="n">
        <v>0.0009764898262623629</v>
      </c>
      <c r="AE134" t="n">
        <v>0.001027938077049007</v>
      </c>
      <c r="AF134" t="n">
        <v>0.001080759760368089</v>
      </c>
      <c r="AG134" t="n">
        <v>0.001134918602974977</v>
      </c>
      <c r="AH134" t="n">
        <v>0.001190312522136691</v>
      </c>
      <c r="AI134" t="n">
        <v>0.001246797726909321</v>
      </c>
    </row>
    <row r="135">
      <c r="A135" t="inlineStr">
        <is>
          <t>Dominica_2018_August</t>
        </is>
      </c>
      <c r="B135" s="2" t="n"/>
      <c r="C135" s="3" t="inlineStr">
        <is>
          <t>SM.18.139</t>
        </is>
      </c>
      <c r="D135" s="4" t="inlineStr">
        <is>
          <t>Dominica</t>
        </is>
      </c>
      <c r="E135" s="4" t="inlineStr">
        <is>
          <t>DMA</t>
        </is>
      </c>
      <c r="F135" s="10" t="n">
        <v>43255</v>
      </c>
      <c r="G135" s="4" t="inlineStr">
        <is>
          <t>2013gn</t>
        </is>
      </c>
      <c r="H135" s="4" t="n">
        <v>2017</v>
      </c>
      <c r="I135" s="5" t="n"/>
      <c r="J135" t="inlineStr">
        <is>
          <t>IBRD</t>
        </is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</row>
    <row r="136">
      <c r="A136" t="inlineStr">
        <is>
          <t>Dominica_2018_August</t>
        </is>
      </c>
      <c r="B136" s="2" t="n"/>
      <c r="C136" s="3" t="inlineStr">
        <is>
          <t>SM.18.139</t>
        </is>
      </c>
      <c r="D136" s="4" t="inlineStr">
        <is>
          <t>Dominica</t>
        </is>
      </c>
      <c r="E136" s="4" t="inlineStr">
        <is>
          <t>DMA</t>
        </is>
      </c>
      <c r="F136" s="10" t="n">
        <v>43255</v>
      </c>
      <c r="G136" s="4" t="inlineStr">
        <is>
          <t>2013gn</t>
        </is>
      </c>
      <c r="H136" s="4" t="n">
        <v>2017</v>
      </c>
      <c r="I136" s="4" t="inlineStr">
        <is>
          <t>new.tds</t>
        </is>
      </c>
      <c r="J136" t="inlineStr">
        <is>
          <t>Other Multilateral</t>
        </is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0.001300651623173126</v>
      </c>
      <c r="AA136" t="n">
        <v>0.002851465714688803</v>
      </c>
      <c r="AB136" t="n">
        <v>0.00475471466348243</v>
      </c>
      <c r="AC136" t="n">
        <v>0.007043372861039817</v>
      </c>
      <c r="AD136" t="n">
        <v>0.009219968122347339</v>
      </c>
      <c r="AE136" t="n">
        <v>0.01044485612201002</v>
      </c>
      <c r="AF136" t="n">
        <v>0.01122180817240428</v>
      </c>
      <c r="AG136" t="n">
        <v>0.01185948003409108</v>
      </c>
      <c r="AH136" t="n">
        <v>0.01249906977615825</v>
      </c>
      <c r="AI136" t="n">
        <v>0.01315760738622728</v>
      </c>
    </row>
    <row r="137">
      <c r="A137" t="inlineStr">
        <is>
          <t>Dominica_2018_August</t>
        </is>
      </c>
      <c r="B137" s="2" t="n"/>
      <c r="C137" s="3" t="inlineStr">
        <is>
          <t>SM.18.139</t>
        </is>
      </c>
      <c r="D137" s="4" t="inlineStr">
        <is>
          <t>Dominica</t>
        </is>
      </c>
      <c r="E137" s="4" t="inlineStr">
        <is>
          <t>DMA</t>
        </is>
      </c>
      <c r="F137" s="10" t="n">
        <v>43255</v>
      </c>
      <c r="G137" s="4" t="inlineStr">
        <is>
          <t>2013gn</t>
        </is>
      </c>
      <c r="H137" s="4" t="n">
        <v>2017</v>
      </c>
      <c r="I137" s="5" t="n"/>
      <c r="J137" t="inlineStr">
        <is>
          <t>Official Bilaterals</t>
        </is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0.001083876352644272</v>
      </c>
      <c r="V137" t="n">
        <v>0.002376221428907336</v>
      </c>
      <c r="W137" t="n">
        <v>0.005392829575591122</v>
      </c>
      <c r="X137" t="n">
        <v>0.008162353895798943</v>
      </c>
      <c r="Y137" t="n">
        <v>0.010594068159586</v>
      </c>
      <c r="Z137" t="n">
        <v>0.01263817247743951</v>
      </c>
      <c r="AA137" t="n">
        <v>0.01400234007410693</v>
      </c>
      <c r="AB137" t="n">
        <v>0.01520874401157642</v>
      </c>
      <c r="AC137" t="n">
        <v>0.016714395662312</v>
      </c>
      <c r="AD137" t="n">
        <v>0.01824427049308586</v>
      </c>
      <c r="AE137" t="n">
        <v>0.01896704697218302</v>
      </c>
      <c r="AF137" t="n">
        <v>0.01968163654347179</v>
      </c>
      <c r="AG137" t="n">
        <v>0.02010556122375051</v>
      </c>
      <c r="AH137" t="n">
        <v>0.02032046001340268</v>
      </c>
      <c r="AI137" t="n">
        <v>0.02072273739377108</v>
      </c>
    </row>
    <row r="138">
      <c r="A138" t="inlineStr">
        <is>
          <t>Dominica_2018_August</t>
        </is>
      </c>
      <c r="B138" s="2" t="n"/>
      <c r="C138" s="3" t="inlineStr">
        <is>
          <t>SM.18.139</t>
        </is>
      </c>
      <c r="D138" s="4" t="inlineStr">
        <is>
          <t>Dominica</t>
        </is>
      </c>
      <c r="E138" s="4" t="inlineStr">
        <is>
          <t>DMA</t>
        </is>
      </c>
      <c r="F138" s="10" t="n">
        <v>43255</v>
      </c>
      <c r="G138" s="4" t="inlineStr">
        <is>
          <t>2013gn</t>
        </is>
      </c>
      <c r="H138" s="4" t="n">
        <v>2017</v>
      </c>
      <c r="I138" s="4" t="inlineStr">
        <is>
          <t>new.int</t>
        </is>
      </c>
      <c r="J138" t="inlineStr">
        <is>
          <t xml:space="preserve">   PC</t>
        </is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0.001430567356022429</v>
      </c>
      <c r="X138" t="n">
        <v>0.002292876511599094</v>
      </c>
      <c r="Y138" t="n">
        <v>0.002910761390963214</v>
      </c>
      <c r="Z138" t="n">
        <v>0.003934125709097826</v>
      </c>
      <c r="AA138" t="n">
        <v>0.004650833263770027</v>
      </c>
      <c r="AB138" t="n">
        <v>0.005325843983167189</v>
      </c>
      <c r="AC138" t="n">
        <v>0.006298504182180129</v>
      </c>
      <c r="AD138" t="n">
        <v>0.007279597671229782</v>
      </c>
      <c r="AE138" t="n">
        <v>0.008522819214234343</v>
      </c>
      <c r="AF138" t="n">
        <v>0.009952059540646041</v>
      </c>
      <c r="AG138" t="n">
        <v>0.01137115654052783</v>
      </c>
      <c r="AH138" t="n">
        <v>0.0128907616439031</v>
      </c>
      <c r="AI138" t="n">
        <v>0.01449058121309107</v>
      </c>
    </row>
    <row r="139">
      <c r="A139" t="inlineStr">
        <is>
          <t>Dominica_2018_August</t>
        </is>
      </c>
      <c r="B139" s="2" t="n"/>
      <c r="C139" s="3" t="inlineStr">
        <is>
          <t>SM.18.139</t>
        </is>
      </c>
      <c r="D139" s="4" t="inlineStr">
        <is>
          <t>Dominica</t>
        </is>
      </c>
      <c r="E139" s="4" t="inlineStr">
        <is>
          <t>DMA</t>
        </is>
      </c>
      <c r="F139" s="10" t="n">
        <v>43255</v>
      </c>
      <c r="G139" s="4" t="inlineStr">
        <is>
          <t>2013gn</t>
        </is>
      </c>
      <c r="H139" s="4" t="n">
        <v>2017</v>
      </c>
      <c r="I139" s="4" t="inlineStr">
        <is>
          <t>new.int.mlt</t>
        </is>
      </c>
      <c r="J139" t="inlineStr">
        <is>
          <t>…</t>
        </is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</row>
    <row r="140">
      <c r="A140" t="inlineStr">
        <is>
          <t>Dominica_2018_August</t>
        </is>
      </c>
      <c r="B140" s="2" t="n"/>
      <c r="C140" s="3" t="inlineStr">
        <is>
          <t>SM.18.139</t>
        </is>
      </c>
      <c r="D140" s="4" t="inlineStr">
        <is>
          <t>Dominica</t>
        </is>
      </c>
      <c r="E140" s="4" t="inlineStr">
        <is>
          <t>DMA</t>
        </is>
      </c>
      <c r="F140" s="10" t="n">
        <v>43255</v>
      </c>
      <c r="G140" s="4" t="inlineStr">
        <is>
          <t>2013gn</t>
        </is>
      </c>
      <c r="H140" s="4" t="n">
        <v>2017</v>
      </c>
      <c r="I140" s="4" t="inlineStr">
        <is>
          <t>new.int.mlt.imf</t>
        </is>
      </c>
      <c r="J140" t="inlineStr">
        <is>
          <t>…</t>
        </is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</row>
    <row r="141">
      <c r="A141" t="inlineStr">
        <is>
          <t>Dominica_2018_August</t>
        </is>
      </c>
      <c r="B141" s="2" t="n"/>
      <c r="C141" s="3" t="inlineStr">
        <is>
          <t>SM.18.139</t>
        </is>
      </c>
      <c r="D141" s="4" t="inlineStr">
        <is>
          <t>Dominica</t>
        </is>
      </c>
      <c r="E141" s="4" t="inlineStr">
        <is>
          <t>DMA</t>
        </is>
      </c>
      <c r="F141" s="10" t="n">
        <v>43255</v>
      </c>
      <c r="G141" s="4" t="inlineStr">
        <is>
          <t>2013gn</t>
        </is>
      </c>
      <c r="H141" s="4" t="n">
        <v>2017</v>
      </c>
      <c r="I141" s="4" t="inlineStr">
        <is>
          <t>new.int.mlt.ida.reg</t>
        </is>
      </c>
      <c r="J141" t="inlineStr">
        <is>
          <t xml:space="preserve">   Others Paris Club</t>
        </is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0.001430567356022429</v>
      </c>
      <c r="X141" t="n">
        <v>0.002292876511599094</v>
      </c>
      <c r="Y141" t="n">
        <v>0.002910761390963214</v>
      </c>
      <c r="Z141" t="n">
        <v>0.003934125709097826</v>
      </c>
      <c r="AA141" t="n">
        <v>0.004650833263770027</v>
      </c>
      <c r="AB141" t="n">
        <v>0.005325843983167189</v>
      </c>
      <c r="AC141" t="n">
        <v>0.006298504182180129</v>
      </c>
      <c r="AD141" t="n">
        <v>0.007279597671229782</v>
      </c>
      <c r="AE141" t="n">
        <v>0.008522819214234343</v>
      </c>
      <c r="AF141" t="n">
        <v>0.009952059540646041</v>
      </c>
      <c r="AG141" t="n">
        <v>0.01137115654052783</v>
      </c>
      <c r="AH141" t="n">
        <v>0.0128907616439031</v>
      </c>
      <c r="AI141" t="n">
        <v>0.01449058121309107</v>
      </c>
    </row>
    <row r="142">
      <c r="A142" t="inlineStr">
        <is>
          <t>Dominica_2018_August</t>
        </is>
      </c>
      <c r="B142" s="2" t="n"/>
      <c r="C142" s="3" t="inlineStr">
        <is>
          <t>SM.18.139</t>
        </is>
      </c>
      <c r="D142" s="4" t="inlineStr">
        <is>
          <t>Dominica</t>
        </is>
      </c>
      <c r="E142" s="4" t="inlineStr">
        <is>
          <t>DMA</t>
        </is>
      </c>
      <c r="F142" s="10" t="n">
        <v>43255</v>
      </c>
      <c r="G142" s="4" t="inlineStr">
        <is>
          <t>2013gn</t>
        </is>
      </c>
      <c r="H142" s="4" t="n">
        <v>2017</v>
      </c>
      <c r="I142" s="4" t="inlineStr">
        <is>
          <t>new.int.mlt.ida.bld</t>
        </is>
      </c>
      <c r="J142" t="inlineStr">
        <is>
          <t xml:space="preserve">   NPC</t>
        </is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0.001083876352644272</v>
      </c>
      <c r="V142" t="n">
        <v>0.002376221428907336</v>
      </c>
      <c r="W142" t="n">
        <v>0.003962262219568692</v>
      </c>
      <c r="X142" t="n">
        <v>0.005869477384199849</v>
      </c>
      <c r="Y142" t="n">
        <v>0.007683306768622784</v>
      </c>
      <c r="Z142" t="n">
        <v>0.008704046768341689</v>
      </c>
      <c r="AA142" t="n">
        <v>0.009351506810336906</v>
      </c>
      <c r="AB142" t="n">
        <v>0.009882900028409233</v>
      </c>
      <c r="AC142" t="n">
        <v>0.01041589148013187</v>
      </c>
      <c r="AD142" t="n">
        <v>0.01096467282185607</v>
      </c>
      <c r="AE142" t="n">
        <v>0.01044422775794868</v>
      </c>
      <c r="AF142" t="n">
        <v>0.009729577002825751</v>
      </c>
      <c r="AG142" t="n">
        <v>0.008734404683222678</v>
      </c>
      <c r="AH142" t="n">
        <v>0.007429698369499582</v>
      </c>
      <c r="AI142" t="n">
        <v>0.006232156180680003</v>
      </c>
    </row>
    <row r="143">
      <c r="A143" t="inlineStr">
        <is>
          <t>Dominica_2018_August</t>
        </is>
      </c>
      <c r="B143" s="2" t="n"/>
      <c r="C143" s="3" t="inlineStr">
        <is>
          <t>SM.18.139</t>
        </is>
      </c>
      <c r="D143" s="4" t="inlineStr">
        <is>
          <t>Dominica</t>
        </is>
      </c>
      <c r="E143" s="4" t="inlineStr">
        <is>
          <t>DMA</t>
        </is>
      </c>
      <c r="F143" s="10" t="n">
        <v>43255</v>
      </c>
      <c r="G143" s="4" t="inlineStr">
        <is>
          <t>2013gn</t>
        </is>
      </c>
      <c r="H143" s="4" t="n">
        <v>2017</v>
      </c>
      <c r="I143" s="4" t="inlineStr">
        <is>
          <t>new.int.mlt.afdb</t>
        </is>
      </c>
      <c r="J143" t="inlineStr">
        <is>
          <t>…</t>
        </is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</row>
    <row r="144">
      <c r="A144" t="inlineStr">
        <is>
          <t>Dominica_2018_August</t>
        </is>
      </c>
      <c r="B144" s="2" t="n"/>
      <c r="C144" s="3" t="inlineStr">
        <is>
          <t>SM.18.139</t>
        </is>
      </c>
      <c r="D144" s="4" t="inlineStr">
        <is>
          <t>Dominica</t>
        </is>
      </c>
      <c r="E144" s="4" t="inlineStr">
        <is>
          <t>DMA</t>
        </is>
      </c>
      <c r="F144" s="10" t="n">
        <v>43255</v>
      </c>
      <c r="G144" s="4" t="inlineStr">
        <is>
          <t>2013gn</t>
        </is>
      </c>
      <c r="H144" s="4" t="n">
        <v>2017</v>
      </c>
      <c r="I144" s="4" t="inlineStr">
        <is>
          <t>new.int.mlt2</t>
        </is>
      </c>
      <c r="J144" t="inlineStr">
        <is>
          <t>…</t>
        </is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</row>
    <row r="145">
      <c r="A145" t="inlineStr">
        <is>
          <t>Dominica_2018_August</t>
        </is>
      </c>
      <c r="B145" s="2" t="n"/>
      <c r="C145" s="3" t="inlineStr">
        <is>
          <t>SM.18.139</t>
        </is>
      </c>
      <c r="D145" s="4" t="inlineStr">
        <is>
          <t>Dominica</t>
        </is>
      </c>
      <c r="E145" s="4" t="inlineStr">
        <is>
          <t>DMA</t>
        </is>
      </c>
      <c r="F145" s="10" t="n">
        <v>43255</v>
      </c>
      <c r="G145" s="4" t="inlineStr">
        <is>
          <t>2013gn</t>
        </is>
      </c>
      <c r="H145" s="4" t="n">
        <v>2017</v>
      </c>
      <c r="I145" s="4" t="inlineStr">
        <is>
          <t>new.int.mlt3</t>
        </is>
      </c>
      <c r="J145" t="inlineStr">
        <is>
          <t xml:space="preserve">   Others Non Paris Club</t>
        </is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0.001083876352644272</v>
      </c>
      <c r="V145" t="n">
        <v>0.002376221428907336</v>
      </c>
      <c r="W145" t="n">
        <v>0.003962262219568692</v>
      </c>
      <c r="X145" t="n">
        <v>0.005869477384199849</v>
      </c>
      <c r="Y145" t="n">
        <v>0.007683306768622784</v>
      </c>
      <c r="Z145" t="n">
        <v>0.008704046768341689</v>
      </c>
      <c r="AA145" t="n">
        <v>0.009351506810336906</v>
      </c>
      <c r="AB145" t="n">
        <v>0.009882900028409233</v>
      </c>
      <c r="AC145" t="n">
        <v>0.01041589148013187</v>
      </c>
      <c r="AD145" t="n">
        <v>0.01096467282185607</v>
      </c>
      <c r="AE145" t="n">
        <v>0.01044422775794868</v>
      </c>
      <c r="AF145" t="n">
        <v>0.009729577002825751</v>
      </c>
      <c r="AG145" t="n">
        <v>0.008734404683222678</v>
      </c>
      <c r="AH145" t="n">
        <v>0.007429698369499582</v>
      </c>
      <c r="AI145" t="n">
        <v>0.006232156180680003</v>
      </c>
    </row>
    <row r="146">
      <c r="A146" t="inlineStr">
        <is>
          <t>Dominica_2018_August</t>
        </is>
      </c>
      <c r="B146" s="2" t="n"/>
      <c r="C146" s="3" t="inlineStr">
        <is>
          <t>SM.18.139</t>
        </is>
      </c>
      <c r="D146" s="4" t="inlineStr">
        <is>
          <t>Dominica</t>
        </is>
      </c>
      <c r="E146" s="4" t="inlineStr">
        <is>
          <t>DMA</t>
        </is>
      </c>
      <c r="F146" s="10" t="n">
        <v>43255</v>
      </c>
      <c r="G146" s="4" t="inlineStr">
        <is>
          <t>2013gn</t>
        </is>
      </c>
      <c r="H146" s="4" t="n">
        <v>2017</v>
      </c>
      <c r="I146" s="4" t="inlineStr">
        <is>
          <t>new.int.mlt.oth</t>
        </is>
      </c>
      <c r="J146" t="inlineStr">
        <is>
          <t>Commercial</t>
        </is>
      </c>
      <c r="O146" t="n">
        <v>0</v>
      </c>
      <c r="P146" t="n">
        <v>0</v>
      </c>
      <c r="Q146" t="n">
        <v>0.000460671155171448</v>
      </c>
      <c r="R146" t="n">
        <v>0.000409780991513308</v>
      </c>
      <c r="S146" t="n">
        <v>0.0008879088767209199</v>
      </c>
      <c r="T146" t="n">
        <v>0.00432380701070508</v>
      </c>
      <c r="U146" t="n">
        <v>0.005781465080788112</v>
      </c>
      <c r="V146" t="n">
        <v>0.006877715625769498</v>
      </c>
      <c r="W146" t="n">
        <v>0.008485396975687679</v>
      </c>
      <c r="X146" t="n">
        <v>0.009648324537898706</v>
      </c>
      <c r="Y146" t="n">
        <v>0.008125196972473525</v>
      </c>
      <c r="Z146" t="n">
        <v>0.008342929157379117</v>
      </c>
      <c r="AA146" t="n">
        <v>0.00851950585399738</v>
      </c>
      <c r="AB146" t="n">
        <v>0.008725921073170067</v>
      </c>
      <c r="AC146" t="n">
        <v>0.008698117826231814</v>
      </c>
      <c r="AD146" t="n">
        <v>0.008432378620127542</v>
      </c>
      <c r="AE146" t="n">
        <v>0.008473279995751976</v>
      </c>
      <c r="AF146" t="n">
        <v>0.008523514026220888</v>
      </c>
      <c r="AG146" t="n">
        <v>0.008614527950018625</v>
      </c>
      <c r="AH146" t="n">
        <v>0.008928405593438849</v>
      </c>
      <c r="AI146" t="n">
        <v>0.009284004035931099</v>
      </c>
    </row>
    <row r="147">
      <c r="A147" t="inlineStr">
        <is>
          <t>Dominica_2018_August</t>
        </is>
      </c>
      <c r="B147" s="2" t="n"/>
      <c r="C147" s="3" t="inlineStr">
        <is>
          <t>SM.18.139</t>
        </is>
      </c>
      <c r="D147" s="4" t="inlineStr">
        <is>
          <t>Dominica</t>
        </is>
      </c>
      <c r="E147" s="4" t="inlineStr">
        <is>
          <t>DMA</t>
        </is>
      </c>
      <c r="F147" s="10" t="n">
        <v>43255</v>
      </c>
      <c r="G147" s="4" t="inlineStr">
        <is>
          <t>2013gn</t>
        </is>
      </c>
      <c r="H147" s="4" t="n">
        <v>2017</v>
      </c>
      <c r="I147" s="4" t="inlineStr">
        <is>
          <t>new.int.mlt.oth1</t>
        </is>
      </c>
      <c r="J147" t="inlineStr">
        <is>
          <t>…</t>
        </is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</row>
    <row r="148">
      <c r="A148" t="inlineStr">
        <is>
          <t>Dominica_2018_August</t>
        </is>
      </c>
      <c r="B148" s="2" t="n"/>
      <c r="C148" s="3" t="inlineStr">
        <is>
          <t>SM.18.139</t>
        </is>
      </c>
      <c r="D148" s="4" t="inlineStr">
        <is>
          <t>Dominica</t>
        </is>
      </c>
      <c r="E148" s="4" t="inlineStr">
        <is>
          <t>DMA</t>
        </is>
      </c>
      <c r="F148" s="10" t="n">
        <v>43255</v>
      </c>
      <c r="G148" s="4" t="inlineStr">
        <is>
          <t>2013gn</t>
        </is>
      </c>
      <c r="H148" s="4" t="n">
        <v>2017</v>
      </c>
      <c r="I148" s="4" t="inlineStr">
        <is>
          <t>new.int.mlt.oth2</t>
        </is>
      </c>
      <c r="J148" t="inlineStr">
        <is>
          <t>…</t>
        </is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</row>
    <row r="149">
      <c r="A149" t="inlineStr">
        <is>
          <t>Dominica_2018_August</t>
        </is>
      </c>
      <c r="B149" s="2" t="n"/>
      <c r="C149" s="3" t="inlineStr">
        <is>
          <t>SM.18.139</t>
        </is>
      </c>
      <c r="D149" s="4" t="inlineStr">
        <is>
          <t>Dominica</t>
        </is>
      </c>
      <c r="E149" s="4" t="inlineStr">
        <is>
          <t>DMA</t>
        </is>
      </c>
      <c r="F149" s="10" t="n">
        <v>43255</v>
      </c>
      <c r="G149" s="4" t="inlineStr">
        <is>
          <t>2013gn</t>
        </is>
      </c>
      <c r="H149" s="4" t="n">
        <v>2017</v>
      </c>
      <c r="I149" s="4" t="inlineStr">
        <is>
          <t>new.int.mlt.oth3</t>
        </is>
      </c>
      <c r="J149" t="inlineStr">
        <is>
          <t xml:space="preserve">   Others Commercial</t>
        </is>
      </c>
      <c r="O149" t="n">
        <v>0</v>
      </c>
      <c r="P149" t="n">
        <v>0</v>
      </c>
      <c r="Q149" t="n">
        <v>0.000460671155171448</v>
      </c>
      <c r="R149" t="n">
        <v>0.000409780991513308</v>
      </c>
      <c r="S149" t="n">
        <v>0.0008879088767209199</v>
      </c>
      <c r="T149" t="n">
        <v>0.00432380701070508</v>
      </c>
      <c r="U149" t="n">
        <v>0.005781465080788112</v>
      </c>
      <c r="V149" t="n">
        <v>0.006877715625769498</v>
      </c>
      <c r="W149" t="n">
        <v>0.008485396975687679</v>
      </c>
      <c r="X149" t="n">
        <v>0.009648324537898706</v>
      </c>
      <c r="Y149" t="n">
        <v>0.008125196972473525</v>
      </c>
      <c r="Z149" t="n">
        <v>0.008342929157379117</v>
      </c>
      <c r="AA149" t="n">
        <v>0.00851950585399738</v>
      </c>
      <c r="AB149" t="n">
        <v>0.008725921073170067</v>
      </c>
      <c r="AC149" t="n">
        <v>0.008698117826231814</v>
      </c>
      <c r="AD149" t="n">
        <v>0.008432378620127542</v>
      </c>
      <c r="AE149" t="n">
        <v>0.008473279995751976</v>
      </c>
      <c r="AF149" t="n">
        <v>0.008523514026220888</v>
      </c>
      <c r="AG149" t="n">
        <v>0.008614527950018625</v>
      </c>
      <c r="AH149" t="n">
        <v>0.008928405593438849</v>
      </c>
      <c r="AI149" t="n">
        <v>0.009284004035931099</v>
      </c>
    </row>
    <row r="150">
      <c r="A150" t="inlineStr">
        <is>
          <t>Dominica_2018_August</t>
        </is>
      </c>
      <c r="B150" s="2" t="n"/>
      <c r="C150" s="3" t="inlineStr">
        <is>
          <t>SM.18.139</t>
        </is>
      </c>
      <c r="D150" s="4" t="inlineStr">
        <is>
          <t>Dominica</t>
        </is>
      </c>
      <c r="E150" s="4" t="inlineStr">
        <is>
          <t>DMA</t>
        </is>
      </c>
      <c r="F150" s="10" t="n">
        <v>43255</v>
      </c>
      <c r="G150" s="4" t="inlineStr">
        <is>
          <t>2013gn</t>
        </is>
      </c>
      <c r="H150" s="4" t="n">
        <v>2017</v>
      </c>
      <c r="I150" s="4" t="inlineStr">
        <is>
          <t>new.int.blt</t>
        </is>
      </c>
    </row>
    <row r="151">
      <c r="A151" t="inlineStr">
        <is>
          <t>Dominica_2018_August</t>
        </is>
      </c>
      <c r="B151" s="2" t="n"/>
      <c r="C151" s="3" t="inlineStr">
        <is>
          <t>SM.18.139</t>
        </is>
      </c>
      <c r="D151" s="4" t="inlineStr">
        <is>
          <t>Dominica</t>
        </is>
      </c>
      <c r="E151" s="4" t="inlineStr">
        <is>
          <t>DMA</t>
        </is>
      </c>
      <c r="F151" s="10" t="n">
        <v>43255</v>
      </c>
      <c r="G151" s="4" t="inlineStr">
        <is>
          <t>2013gn</t>
        </is>
      </c>
      <c r="H151" s="4" t="n">
        <v>2017</v>
      </c>
      <c r="I151" s="4" t="inlineStr">
        <is>
          <t>new.int.pc</t>
        </is>
      </c>
      <c r="J151" t="inlineStr">
        <is>
          <t>PV of old MLT debt</t>
        </is>
      </c>
      <c r="N151" t="n">
        <v>0.2450650105420223</v>
      </c>
      <c r="O151" t="n">
        <v>0.2377274300082923</v>
      </c>
      <c r="P151" t="n">
        <v>0.2204686981393678</v>
      </c>
      <c r="Q151" t="n">
        <v>0.1949509455418455</v>
      </c>
      <c r="R151" t="n">
        <v>0.1778940700537609</v>
      </c>
      <c r="S151" t="n">
        <v>0.1617720891897111</v>
      </c>
      <c r="T151" t="n">
        <v>0.1459893570953536</v>
      </c>
      <c r="U151" t="n">
        <v>0.1298611265373942</v>
      </c>
      <c r="V151" t="n">
        <v>0.1129833756549455</v>
      </c>
      <c r="W151" t="n">
        <v>0.09755199617367867</v>
      </c>
      <c r="X151" t="n">
        <v>0.08249483770978248</v>
      </c>
      <c r="Y151" t="n">
        <v>0.06784657858440706</v>
      </c>
      <c r="Z151" t="n">
        <v>0.05712069091315453</v>
      </c>
      <c r="AA151" t="n">
        <v>0.04718983518351365</v>
      </c>
      <c r="AB151" t="n">
        <v>0.03738989433678424</v>
      </c>
      <c r="AC151" t="n">
        <v>0.02978909376240433</v>
      </c>
      <c r="AD151" t="n">
        <v>0.0235295325565963</v>
      </c>
      <c r="AE151" t="n">
        <v>0.01809199116530206</v>
      </c>
      <c r="AF151" t="n">
        <v>0.01291717335285512</v>
      </c>
      <c r="AG151" t="n">
        <v>0.008026269972261314</v>
      </c>
      <c r="AH151" t="n">
        <v>0.00347017015888363</v>
      </c>
      <c r="AI151" t="n">
        <v>0</v>
      </c>
    </row>
    <row r="152">
      <c r="A152" t="inlineStr">
        <is>
          <t>Dominica_2018_August</t>
        </is>
      </c>
      <c r="B152" s="2" t="n"/>
      <c r="C152" s="3" t="inlineStr">
        <is>
          <t>SM.18.139</t>
        </is>
      </c>
      <c r="D152" s="4" t="inlineStr">
        <is>
          <t>Dominica</t>
        </is>
      </c>
      <c r="E152" s="4" t="inlineStr">
        <is>
          <t>DMA</t>
        </is>
      </c>
      <c r="F152" s="10" t="n">
        <v>43255</v>
      </c>
      <c r="G152" s="4" t="inlineStr">
        <is>
          <t>2013gn</t>
        </is>
      </c>
      <c r="H152" s="4" t="n">
        <v>2017</v>
      </c>
      <c r="I152" s="4" t="inlineStr">
        <is>
          <t>new.int.pc1</t>
        </is>
      </c>
      <c r="J152" t="inlineStr">
        <is>
          <t>Multilaterals</t>
        </is>
      </c>
      <c r="N152" t="n">
        <v>0.05379936002250831</v>
      </c>
      <c r="O152" t="n">
        <v>0.05329829387548556</v>
      </c>
      <c r="P152" t="n">
        <v>0.04977873516185242</v>
      </c>
      <c r="Q152" t="n">
        <v>0.04643537158661172</v>
      </c>
      <c r="R152" t="n">
        <v>0.04337748709186826</v>
      </c>
      <c r="S152" t="n">
        <v>0.03979209526127649</v>
      </c>
      <c r="T152" t="n">
        <v>0.03668756032063661</v>
      </c>
      <c r="U152" t="n">
        <v>0.03351008055889066</v>
      </c>
      <c r="V152" t="n">
        <v>0.03035354406978977</v>
      </c>
      <c r="W152" t="n">
        <v>0.0268077133664676</v>
      </c>
      <c r="X152" t="n">
        <v>0.02291162644044532</v>
      </c>
      <c r="Y152" t="n">
        <v>0.01879223090288134</v>
      </c>
      <c r="Z152" t="n">
        <v>0.01708736531700961</v>
      </c>
      <c r="AA152" t="n">
        <v>0.01551758141376183</v>
      </c>
      <c r="AB152" t="n">
        <v>0.01380483618281496</v>
      </c>
      <c r="AC152" t="n">
        <v>0.0119946584116551</v>
      </c>
      <c r="AD152" t="n">
        <v>0.01011657189993186</v>
      </c>
      <c r="AE152" t="n">
        <v>0.008179309977301298</v>
      </c>
      <c r="AF152" t="n">
        <v>0.006194098823694885</v>
      </c>
      <c r="AG152" t="n">
        <v>0.004161985651351835</v>
      </c>
      <c r="AH152" t="n">
        <v>0.002095020697449081</v>
      </c>
      <c r="AI152" t="n">
        <v>0</v>
      </c>
    </row>
    <row r="153">
      <c r="A153" t="inlineStr">
        <is>
          <t>Dominica_2018_August</t>
        </is>
      </c>
      <c r="B153" s="2" t="n"/>
      <c r="C153" s="3" t="inlineStr">
        <is>
          <t>SM.18.139</t>
        </is>
      </c>
      <c r="D153" s="4" t="inlineStr">
        <is>
          <t>Dominica</t>
        </is>
      </c>
      <c r="E153" s="4" t="inlineStr">
        <is>
          <t>DMA</t>
        </is>
      </c>
      <c r="F153" s="10" t="n">
        <v>43255</v>
      </c>
      <c r="G153" s="4" t="inlineStr">
        <is>
          <t>2013gn</t>
        </is>
      </c>
      <c r="H153" s="4" t="n">
        <v>2017</v>
      </c>
      <c r="I153" s="4" t="inlineStr">
        <is>
          <t>new.int.pc2</t>
        </is>
      </c>
      <c r="J153" t="inlineStr">
        <is>
          <t xml:space="preserve">   IMF</t>
        </is>
      </c>
      <c r="N153" t="n">
        <v>0.008942259422891854</v>
      </c>
      <c r="O153" t="n">
        <v>0.008636035542184596</v>
      </c>
      <c r="P153" t="n">
        <v>0.007561163578553087</v>
      </c>
      <c r="Q153" t="n">
        <v>0.006896139942665933</v>
      </c>
      <c r="R153" t="n">
        <v>0.006226839606465897</v>
      </c>
      <c r="S153" t="n">
        <v>0.005089456846048454</v>
      </c>
      <c r="T153" t="n">
        <v>0.004474694836499023</v>
      </c>
      <c r="U153" t="n">
        <v>0.003829194726472124</v>
      </c>
      <c r="V153" t="n">
        <v>0.003267317591520009</v>
      </c>
      <c r="W153" t="n">
        <v>0.002777791516275708</v>
      </c>
      <c r="X153" t="n">
        <v>0.002350841398159177</v>
      </c>
      <c r="Y153" t="n">
        <v>0.001977989066875172</v>
      </c>
      <c r="Z153" t="n">
        <v>0.001651880039371628</v>
      </c>
      <c r="AA153" t="n">
        <v>0.001366133358100184</v>
      </c>
      <c r="AB153" t="n">
        <v>0.001115211434003346</v>
      </c>
      <c r="AC153" t="n">
        <v>0.000894307226089484</v>
      </c>
      <c r="AD153" t="n">
        <v>0.0006992464451665852</v>
      </c>
      <c r="AE153" t="n">
        <v>0.0005264027775853386</v>
      </c>
      <c r="AF153" t="n">
        <v>0.0003726243920156786</v>
      </c>
      <c r="AG153" t="n">
        <v>0.0002351702238289375</v>
      </c>
      <c r="AH153" t="n">
        <v>0.0001116547323303124</v>
      </c>
      <c r="AI153" t="n">
        <v>0</v>
      </c>
    </row>
    <row r="154">
      <c r="A154" t="inlineStr">
        <is>
          <t>Dominica_2018_August</t>
        </is>
      </c>
      <c r="B154" s="2" t="n"/>
      <c r="C154" s="3" t="inlineStr">
        <is>
          <t>SM.18.139</t>
        </is>
      </c>
      <c r="D154" s="4" t="inlineStr">
        <is>
          <t>Dominica</t>
        </is>
      </c>
      <c r="E154" s="4" t="inlineStr">
        <is>
          <t>DMA</t>
        </is>
      </c>
      <c r="F154" s="10" t="n">
        <v>43255</v>
      </c>
      <c r="G154" s="4" t="inlineStr">
        <is>
          <t>2013gn</t>
        </is>
      </c>
      <c r="H154" s="4" t="n">
        <v>2017</v>
      </c>
      <c r="I154" s="4" t="inlineStr">
        <is>
          <t>new.int.pc3</t>
        </is>
      </c>
      <c r="J154" t="inlineStr">
        <is>
          <t xml:space="preserve">   IDA - Small Island Country</t>
        </is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</row>
    <row r="155">
      <c r="A155" t="inlineStr">
        <is>
          <t>Dominica_2018_August</t>
        </is>
      </c>
      <c r="B155" s="2" t="n"/>
      <c r="C155" s="3" t="inlineStr">
        <is>
          <t>SM.18.139</t>
        </is>
      </c>
      <c r="D155" s="4" t="inlineStr">
        <is>
          <t>Dominica</t>
        </is>
      </c>
      <c r="E155" s="4" t="inlineStr">
        <is>
          <t>DMA</t>
        </is>
      </c>
      <c r="F155" s="10" t="n">
        <v>43255</v>
      </c>
      <c r="G155" s="4" t="inlineStr">
        <is>
          <t>2013gn</t>
        </is>
      </c>
      <c r="H155" s="4" t="n">
        <v>2017</v>
      </c>
      <c r="I155" s="4" t="inlineStr">
        <is>
          <t>new.int.pc4</t>
        </is>
      </c>
      <c r="J155" t="inlineStr">
        <is>
          <t>IDA - Regular</t>
        </is>
      </c>
      <c r="N155" t="n">
        <v>0.01361113219666706</v>
      </c>
      <c r="O155" t="n">
        <v>0.01374056773242634</v>
      </c>
      <c r="P155" t="n">
        <v>0.01321997845238099</v>
      </c>
      <c r="Q155" t="n">
        <v>0.01265997618981485</v>
      </c>
      <c r="R155" t="n">
        <v>0.01207936992523152</v>
      </c>
      <c r="S155" t="n">
        <v>0.01144369416223384</v>
      </c>
      <c r="T155" t="n">
        <v>0.01075057161108627</v>
      </c>
      <c r="U155" t="n">
        <v>0.009993307154603547</v>
      </c>
      <c r="V155" t="n">
        <v>0.009247482785249712</v>
      </c>
      <c r="W155" t="n">
        <v>0.008511793129064539</v>
      </c>
      <c r="X155" t="n">
        <v>0.007784939030463296</v>
      </c>
      <c r="Y155" t="n">
        <v>0.007065625141060809</v>
      </c>
      <c r="Z155" t="n">
        <v>0.006352557491588941</v>
      </c>
      <c r="AA155" t="n">
        <v>0.005644441042115428</v>
      </c>
      <c r="AB155" t="n">
        <v>0.004939977205682436</v>
      </c>
      <c r="AC155" t="n">
        <v>0.004237861340383868</v>
      </c>
      <c r="AD155" t="n">
        <v>0.003536780204790335</v>
      </c>
      <c r="AE155" t="n">
        <v>0.002835409371510019</v>
      </c>
      <c r="AF155" t="n">
        <v>0.002132410593541669</v>
      </c>
      <c r="AG155" t="n">
        <v>0.001426429117932583</v>
      </c>
      <c r="AH155" t="n">
        <v>0.0007160909410991686</v>
      </c>
      <c r="AI155" t="n">
        <v>0</v>
      </c>
    </row>
    <row r="156">
      <c r="A156" t="inlineStr">
        <is>
          <t>Dominica_2018_August</t>
        </is>
      </c>
      <c r="B156" s="2" t="n"/>
      <c r="C156" s="3" t="inlineStr">
        <is>
          <t>SM.18.139</t>
        </is>
      </c>
      <c r="D156" s="4" t="inlineStr">
        <is>
          <t>Dominica</t>
        </is>
      </c>
      <c r="E156" s="4" t="inlineStr">
        <is>
          <t>DMA</t>
        </is>
      </c>
      <c r="F156" s="10" t="n">
        <v>43255</v>
      </c>
      <c r="G156" s="4" t="inlineStr">
        <is>
          <t>2013gn</t>
        </is>
      </c>
      <c r="H156" s="4" t="n">
        <v>2017</v>
      </c>
      <c r="I156" s="4" t="inlineStr">
        <is>
          <t>new.int.pc5</t>
        </is>
      </c>
      <c r="J156" t="inlineStr">
        <is>
          <t>IBRD</t>
        </is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</row>
    <row r="157">
      <c r="A157" t="inlineStr">
        <is>
          <t>Dominica_2018_August</t>
        </is>
      </c>
      <c r="B157" s="2" t="n"/>
      <c r="C157" s="3" t="inlineStr">
        <is>
          <t>SM.18.139</t>
        </is>
      </c>
      <c r="D157" s="4" t="inlineStr">
        <is>
          <t>Dominica</t>
        </is>
      </c>
      <c r="E157" s="4" t="inlineStr">
        <is>
          <t>DMA</t>
        </is>
      </c>
      <c r="F157" s="10" t="n">
        <v>43255</v>
      </c>
      <c r="G157" s="4" t="inlineStr">
        <is>
          <t>2013gn</t>
        </is>
      </c>
      <c r="H157" s="4" t="n">
        <v>2017</v>
      </c>
      <c r="I157" s="4" t="inlineStr">
        <is>
          <t>new.int.npc</t>
        </is>
      </c>
      <c r="J157" t="inlineStr">
        <is>
          <t>Other Multilateral</t>
        </is>
      </c>
      <c r="N157" t="n">
        <v>0.03124596840294939</v>
      </c>
      <c r="O157" t="n">
        <v>0.03092169060087462</v>
      </c>
      <c r="P157" t="n">
        <v>0.02899759313091835</v>
      </c>
      <c r="Q157" t="n">
        <v>0.02687925545413094</v>
      </c>
      <c r="R157" t="n">
        <v>0.02507127756017084</v>
      </c>
      <c r="S157" t="n">
        <v>0.02325894425299419</v>
      </c>
      <c r="T157" t="n">
        <v>0.02146229387305132</v>
      </c>
      <c r="U157" t="n">
        <v>0.01968757867781499</v>
      </c>
      <c r="V157" t="n">
        <v>0.01783874369302006</v>
      </c>
      <c r="W157" t="n">
        <v>0.01551812872112735</v>
      </c>
      <c r="X157" t="n">
        <v>0.01277584601182285</v>
      </c>
      <c r="Y157" t="n">
        <v>0.009748616694945355</v>
      </c>
      <c r="Z157" t="n">
        <v>0.009082927786049043</v>
      </c>
      <c r="AA157" t="n">
        <v>0.008507007013546224</v>
      </c>
      <c r="AB157" t="n">
        <v>0.007749647543129175</v>
      </c>
      <c r="AC157" t="n">
        <v>0.006862489845181744</v>
      </c>
      <c r="AD157" t="n">
        <v>0.005880545249974943</v>
      </c>
      <c r="AE157" t="n">
        <v>0.004817497828205939</v>
      </c>
      <c r="AF157" t="n">
        <v>0.003689063838137537</v>
      </c>
      <c r="AG157" t="n">
        <v>0.002500386309590314</v>
      </c>
      <c r="AH157" t="n">
        <v>0.0012672750240196</v>
      </c>
      <c r="AI157" t="n">
        <v>0</v>
      </c>
    </row>
    <row r="158">
      <c r="A158" t="inlineStr">
        <is>
          <t>Dominica_2018_August</t>
        </is>
      </c>
      <c r="B158" s="2" t="n"/>
      <c r="C158" s="3" t="inlineStr">
        <is>
          <t>SM.18.139</t>
        </is>
      </c>
      <c r="D158" s="4" t="inlineStr">
        <is>
          <t>Dominica</t>
        </is>
      </c>
      <c r="E158" s="4" t="inlineStr">
        <is>
          <t>DMA</t>
        </is>
      </c>
      <c r="F158" s="10" t="n">
        <v>43255</v>
      </c>
      <c r="G158" s="4" t="inlineStr">
        <is>
          <t>2013gn</t>
        </is>
      </c>
      <c r="H158" s="4" t="n">
        <v>2017</v>
      </c>
      <c r="I158" s="4" t="inlineStr">
        <is>
          <t>new.int.npc.eximbk</t>
        </is>
      </c>
      <c r="J158" t="inlineStr">
        <is>
          <t>Official Bilaterals</t>
        </is>
      </c>
      <c r="N158" t="n">
        <v>0.03766475146627474</v>
      </c>
      <c r="O158" t="n">
        <v>0.03652593737292183</v>
      </c>
      <c r="P158" t="n">
        <v>0.0325219577230494</v>
      </c>
      <c r="Q158" t="n">
        <v>0.02885452742401669</v>
      </c>
      <c r="R158" t="n">
        <v>0.02579714694336568</v>
      </c>
      <c r="S158" t="n">
        <v>0.02314419858683026</v>
      </c>
      <c r="T158" t="n">
        <v>0.02048185455320882</v>
      </c>
      <c r="U158" t="n">
        <v>0.01777791276235074</v>
      </c>
      <c r="V158" t="n">
        <v>0.0151980577157719</v>
      </c>
      <c r="W158" t="n">
        <v>0.01253783071434265</v>
      </c>
      <c r="X158" t="n">
        <v>0.009769428920900693</v>
      </c>
      <c r="Y158" t="n">
        <v>0.006886893197277773</v>
      </c>
      <c r="Z158" t="n">
        <v>0.003944257253872468</v>
      </c>
      <c r="AA158" t="n">
        <v>0.00100210580992022</v>
      </c>
      <c r="AB158" t="n">
        <v>-0.001967842672184416</v>
      </c>
      <c r="AC158" t="n">
        <v>-0.00289171937347125</v>
      </c>
      <c r="AD158" t="n">
        <v>-0.002614095374941177</v>
      </c>
      <c r="AE158" t="n">
        <v>-0.001991874751719963</v>
      </c>
      <c r="AF158" t="n">
        <v>-0.001413311953259976</v>
      </c>
      <c r="AG158" t="n">
        <v>-0.0008923987072870965</v>
      </c>
      <c r="AH158" t="n">
        <v>-0.0004237405016441786</v>
      </c>
      <c r="AI158" t="n">
        <v>0</v>
      </c>
    </row>
    <row r="159">
      <c r="A159" t="inlineStr">
        <is>
          <t>Dominica_2018_August</t>
        </is>
      </c>
      <c r="B159" s="2" t="n"/>
      <c r="C159" s="3" t="inlineStr">
        <is>
          <t>SM.18.139</t>
        </is>
      </c>
      <c r="D159" s="4" t="inlineStr">
        <is>
          <t>Dominica</t>
        </is>
      </c>
      <c r="E159" s="4" t="inlineStr">
        <is>
          <t>DMA</t>
        </is>
      </c>
      <c r="F159" s="10" t="n">
        <v>43255</v>
      </c>
      <c r="G159" s="4" t="inlineStr">
        <is>
          <t>2013gn</t>
        </is>
      </c>
      <c r="H159" s="4" t="n">
        <v>2017</v>
      </c>
      <c r="I159" s="4" t="inlineStr">
        <is>
          <t>new.int.npc2</t>
        </is>
      </c>
      <c r="J159" t="inlineStr">
        <is>
          <t xml:space="preserve">   PC</t>
        </is>
      </c>
      <c r="N159" t="n">
        <v>0.0241591500653103</v>
      </c>
      <c r="O159" t="n">
        <v>0.02318073108709434</v>
      </c>
      <c r="P159" t="n">
        <v>0.02000655804885646</v>
      </c>
      <c r="Q159" t="n">
        <v>0.01739572084018818</v>
      </c>
      <c r="R159" t="n">
        <v>0.01539033743775315</v>
      </c>
      <c r="S159" t="n">
        <v>0.01333865034667785</v>
      </c>
      <c r="T159" t="n">
        <v>0.01123574801215989</v>
      </c>
      <c r="U159" t="n">
        <v>0.009078368523878997</v>
      </c>
      <c r="V159" t="n">
        <v>0.007426173193880029</v>
      </c>
      <c r="W159" t="n">
        <v>0.006166204548621999</v>
      </c>
      <c r="X159" t="n">
        <v>0.005211019089826829</v>
      </c>
      <c r="Y159" t="n">
        <v>0.004492937322422164</v>
      </c>
      <c r="Z159" t="n">
        <v>0.003959590303161635</v>
      </c>
      <c r="AA159" t="n">
        <v>0.003570470370875527</v>
      </c>
      <c r="AB159" t="n">
        <v>0.003294259665520213</v>
      </c>
      <c r="AC159" t="n">
        <v>0.003106761085175626</v>
      </c>
      <c r="AD159" t="n">
        <v>0.002989295864404034</v>
      </c>
      <c r="AE159" t="n">
        <v>0.002927462578417886</v>
      </c>
      <c r="AF159" t="n">
        <v>0.002910176094853109</v>
      </c>
      <c r="AG159" t="n">
        <v>0.00292892336508696</v>
      </c>
      <c r="AH159" t="n">
        <v>0.00197718717553795</v>
      </c>
      <c r="AI159" t="n">
        <v>0</v>
      </c>
    </row>
    <row r="160">
      <c r="A160" t="inlineStr">
        <is>
          <t>Dominica_2018_August</t>
        </is>
      </c>
      <c r="B160" s="2" t="n"/>
      <c r="C160" s="3" t="inlineStr">
        <is>
          <t>SM.18.139</t>
        </is>
      </c>
      <c r="D160" s="4" t="inlineStr">
        <is>
          <t>Dominica</t>
        </is>
      </c>
      <c r="E160" s="4" t="inlineStr">
        <is>
          <t>DMA</t>
        </is>
      </c>
      <c r="F160" s="10" t="n">
        <v>43255</v>
      </c>
      <c r="G160" s="4" t="inlineStr">
        <is>
          <t>2013gn</t>
        </is>
      </c>
      <c r="H160" s="4" t="n">
        <v>2017</v>
      </c>
      <c r="I160" s="4" t="inlineStr">
        <is>
          <t>new.int.npc3</t>
        </is>
      </c>
      <c r="J160" t="inlineStr">
        <is>
          <t>…</t>
        </is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</row>
    <row r="161">
      <c r="A161" t="inlineStr">
        <is>
          <t>Dominica_2018_August</t>
        </is>
      </c>
      <c r="B161" s="2" t="n"/>
      <c r="C161" s="3" t="inlineStr">
        <is>
          <t>SM.18.139</t>
        </is>
      </c>
      <c r="D161" s="4" t="inlineStr">
        <is>
          <t>Dominica</t>
        </is>
      </c>
      <c r="E161" s="4" t="inlineStr">
        <is>
          <t>DMA</t>
        </is>
      </c>
      <c r="F161" s="10" t="n">
        <v>43255</v>
      </c>
      <c r="G161" s="4" t="inlineStr">
        <is>
          <t>2013gn</t>
        </is>
      </c>
      <c r="H161" s="4" t="n">
        <v>2017</v>
      </c>
      <c r="I161" s="4" t="inlineStr">
        <is>
          <t>new.int.npc4</t>
        </is>
      </c>
      <c r="J161" t="inlineStr">
        <is>
          <t>…</t>
        </is>
      </c>
      <c r="N161" t="n">
        <v>0.0230643758531554</v>
      </c>
      <c r="O161" t="n">
        <v>0.02203121816433169</v>
      </c>
      <c r="P161" t="n">
        <v>0.01879956947995568</v>
      </c>
      <c r="Q161" t="n">
        <v>0.01612838284284236</v>
      </c>
      <c r="R161" t="n">
        <v>0.01405963254054004</v>
      </c>
      <c r="S161" t="n">
        <v>0.01194141020460408</v>
      </c>
      <c r="T161" t="n">
        <v>0.009768645862982433</v>
      </c>
      <c r="U161" t="n">
        <v>0.007537911267242665</v>
      </c>
      <c r="V161" t="n">
        <v>0.00580869307441188</v>
      </c>
      <c r="W161" t="n">
        <v>0.004467850423180444</v>
      </c>
      <c r="X161" t="n">
        <v>0.003427747258113196</v>
      </c>
      <c r="Y161" t="n">
        <v>0.002620501899122849</v>
      </c>
      <c r="Z161" t="n">
        <v>0.001993533108697354</v>
      </c>
      <c r="AA161" t="n">
        <v>0.001506110316688031</v>
      </c>
      <c r="AB161" t="n">
        <v>0.001126681608623343</v>
      </c>
      <c r="AC161" t="n">
        <v>0.0008308041254339118</v>
      </c>
      <c r="AD161" t="n">
        <v>0.0005995410566752346</v>
      </c>
      <c r="AE161" t="n">
        <v>0.0004182200303026463</v>
      </c>
      <c r="AF161" t="n">
        <v>0.0002754714193321076</v>
      </c>
      <c r="AG161" t="n">
        <v>0.000162483455789908</v>
      </c>
      <c r="AH161" t="n">
        <v>7.242527077604533e-05</v>
      </c>
      <c r="AI161" t="n">
        <v>0</v>
      </c>
    </row>
    <row r="162">
      <c r="A162" t="inlineStr">
        <is>
          <t>Dominica_2018_August</t>
        </is>
      </c>
      <c r="B162" s="2" t="n"/>
      <c r="C162" s="3" t="inlineStr">
        <is>
          <t>SM.18.139</t>
        </is>
      </c>
      <c r="D162" s="4" t="inlineStr">
        <is>
          <t>Dominica</t>
        </is>
      </c>
      <c r="E162" s="4" t="inlineStr">
        <is>
          <t>DMA</t>
        </is>
      </c>
      <c r="F162" s="10" t="n">
        <v>43255</v>
      </c>
      <c r="G162" s="4" t="inlineStr">
        <is>
          <t>2013gn</t>
        </is>
      </c>
      <c r="H162" s="4" t="n">
        <v>2017</v>
      </c>
      <c r="I162" s="4" t="inlineStr">
        <is>
          <t>new.int.npc5</t>
        </is>
      </c>
      <c r="J162" t="inlineStr">
        <is>
          <t xml:space="preserve">   Others Paris Club</t>
        </is>
      </c>
      <c r="N162" t="n">
        <v>0.001094774212154906</v>
      </c>
      <c r="O162" t="n">
        <v>0.001149512922762651</v>
      </c>
      <c r="P162" t="n">
        <v>0.001206988568900784</v>
      </c>
      <c r="Q162" t="n">
        <v>0.001267337997345823</v>
      </c>
      <c r="R162" t="n">
        <v>0.001330704897213114</v>
      </c>
      <c r="S162" t="n">
        <v>0.00139724014207377</v>
      </c>
      <c r="T162" t="n">
        <v>0.001467102149177459</v>
      </c>
      <c r="U162" t="n">
        <v>0.001540457256636332</v>
      </c>
      <c r="V162" t="n">
        <v>0.001617480119468148</v>
      </c>
      <c r="W162" t="n">
        <v>0.001698354125441556</v>
      </c>
      <c r="X162" t="n">
        <v>0.001783271831713634</v>
      </c>
      <c r="Y162" t="n">
        <v>0.001872435423299316</v>
      </c>
      <c r="Z162" t="n">
        <v>0.001966057194464281</v>
      </c>
      <c r="AA162" t="n">
        <v>0.002064360054187496</v>
      </c>
      <c r="AB162" t="n">
        <v>0.00216757805689687</v>
      </c>
      <c r="AC162" t="n">
        <v>0.002275956959741714</v>
      </c>
      <c r="AD162" t="n">
        <v>0.0023897548077288</v>
      </c>
      <c r="AE162" t="n">
        <v>0.00250924254811524</v>
      </c>
      <c r="AF162" t="n">
        <v>0.002634704675521002</v>
      </c>
      <c r="AG162" t="n">
        <v>0.002766439909297052</v>
      </c>
      <c r="AH162" t="n">
        <v>0.001904761904761905</v>
      </c>
      <c r="AI162" t="n">
        <v>0</v>
      </c>
    </row>
    <row r="163">
      <c r="A163" t="inlineStr">
        <is>
          <t>Dominica_2018_August</t>
        </is>
      </c>
      <c r="B163" s="2" t="n"/>
      <c r="C163" s="3" t="inlineStr">
        <is>
          <t>SM.18.139</t>
        </is>
      </c>
      <c r="D163" s="4" t="inlineStr">
        <is>
          <t>Dominica</t>
        </is>
      </c>
      <c r="E163" s="4" t="inlineStr">
        <is>
          <t>DMA</t>
        </is>
      </c>
      <c r="F163" s="10" t="n">
        <v>43255</v>
      </c>
      <c r="G163" s="4" t="inlineStr">
        <is>
          <t>2013gn</t>
        </is>
      </c>
      <c r="H163" s="4" t="n">
        <v>2017</v>
      </c>
      <c r="I163" s="4" t="inlineStr">
        <is>
          <t>new.int.prvt</t>
        </is>
      </c>
      <c r="J163" t="inlineStr">
        <is>
          <t xml:space="preserve">   NPC</t>
        </is>
      </c>
      <c r="N163" t="n">
        <v>0.01350560140096444</v>
      </c>
      <c r="O163" t="n">
        <v>0.01334520628582748</v>
      </c>
      <c r="P163" t="n">
        <v>0.01251539967419293</v>
      </c>
      <c r="Q163" t="n">
        <v>0.0114588065838285</v>
      </c>
      <c r="R163" t="n">
        <v>0.01040680950561253</v>
      </c>
      <c r="S163" t="n">
        <v>0.009805548240152411</v>
      </c>
      <c r="T163" t="n">
        <v>0.009246106541048925</v>
      </c>
      <c r="U163" t="n">
        <v>0.008699544238471739</v>
      </c>
      <c r="V163" t="n">
        <v>0.007771884521891871</v>
      </c>
      <c r="W163" t="n">
        <v>0.006371626165720646</v>
      </c>
      <c r="X163" t="n">
        <v>0.004558409831073864</v>
      </c>
      <c r="Y163" t="n">
        <v>0.002393955874855609</v>
      </c>
      <c r="Z163" t="n">
        <v>-1.533304928916796e-05</v>
      </c>
      <c r="AA163" t="n">
        <v>-0.002568364560955306</v>
      </c>
      <c r="AB163" t="n">
        <v>-0.005262102337704628</v>
      </c>
      <c r="AC163" t="n">
        <v>-0.005998480458646875</v>
      </c>
      <c r="AD163" t="n">
        <v>-0.005603391239345211</v>
      </c>
      <c r="AE163" t="n">
        <v>-0.00491933733013785</v>
      </c>
      <c r="AF163" t="n">
        <v>-0.004323488048113085</v>
      </c>
      <c r="AG163" t="n">
        <v>-0.003821322072374057</v>
      </c>
      <c r="AH163" t="n">
        <v>-0.002400927677182129</v>
      </c>
      <c r="AI163" t="n">
        <v>0</v>
      </c>
    </row>
    <row r="164">
      <c r="A164" t="inlineStr">
        <is>
          <t>Dominica_2018_August</t>
        </is>
      </c>
      <c r="B164" s="2" t="n"/>
      <c r="C164" s="3" t="inlineStr">
        <is>
          <t>SM.18.139</t>
        </is>
      </c>
      <c r="D164" s="4" t="inlineStr">
        <is>
          <t>Dominica</t>
        </is>
      </c>
      <c r="E164" s="4" t="inlineStr">
        <is>
          <t>DMA</t>
        </is>
      </c>
      <c r="F164" s="10" t="n">
        <v>43255</v>
      </c>
      <c r="G164" s="4" t="inlineStr">
        <is>
          <t>2013gn</t>
        </is>
      </c>
      <c r="H164" s="4" t="n">
        <v>2017</v>
      </c>
      <c r="I164" s="4" t="inlineStr">
        <is>
          <t>new.int.prvt.bnd</t>
        </is>
      </c>
      <c r="J164" t="inlineStr">
        <is>
          <t>…</t>
        </is>
      </c>
      <c r="K164" t="n">
        <v>0</v>
      </c>
      <c r="N164" t="n">
        <v>0.00207223282538592</v>
      </c>
      <c r="O164" t="n">
        <v>0.001867096281470033</v>
      </c>
      <c r="P164" t="n">
        <v>0.001355916058506497</v>
      </c>
      <c r="Q164" t="n">
        <v>0.0008356612318021919</v>
      </c>
      <c r="R164" t="n">
        <v>0.0003052402933923017</v>
      </c>
      <c r="S164" t="n">
        <v>0.0002230840858396946</v>
      </c>
      <c r="T164" t="n">
        <v>0.0001824579197613089</v>
      </c>
      <c r="U164" t="n">
        <v>0.0001413495194530781</v>
      </c>
      <c r="V164" t="n">
        <v>0.0001093496870827061</v>
      </c>
      <c r="W164" t="n">
        <v>8.443263642173373e-05</v>
      </c>
      <c r="X164" t="n">
        <v>6.502274594857684e-05</v>
      </c>
      <c r="Y164" t="n">
        <v>4.989450552422516e-05</v>
      </c>
      <c r="Z164" t="n">
        <v>3.809469990928993e-05</v>
      </c>
      <c r="AA164" t="n">
        <v>2.888188693925412e-05</v>
      </c>
      <c r="AB164" t="n">
        <v>2.167932658265099e-05</v>
      </c>
      <c r="AC164" t="n">
        <v>1.603837139179503e-05</v>
      </c>
      <c r="AD164" t="n">
        <v>1.160999327434879e-05</v>
      </c>
      <c r="AE164" t="n">
        <v>8.122638264504711e-06</v>
      </c>
      <c r="AF164" t="n">
        <v>5.365002874389138e-06</v>
      </c>
      <c r="AG164" t="n">
        <v>3.172638184755935e-06</v>
      </c>
      <c r="AH164" t="n">
        <v>1.417530941394962e-06</v>
      </c>
      <c r="AI164" t="n">
        <v>0</v>
      </c>
    </row>
    <row r="165">
      <c r="A165" t="inlineStr">
        <is>
          <t>Dominica_2018_August</t>
        </is>
      </c>
      <c r="B165" s="2" t="n"/>
      <c r="C165" s="3" t="inlineStr">
        <is>
          <t>SM.18.139</t>
        </is>
      </c>
      <c r="D165" s="4" t="inlineStr">
        <is>
          <t>Dominica</t>
        </is>
      </c>
      <c r="E165" s="4" t="inlineStr">
        <is>
          <t>DMA</t>
        </is>
      </c>
      <c r="F165" s="10" t="n">
        <v>43255</v>
      </c>
      <c r="G165" s="4" t="inlineStr">
        <is>
          <t>2013gn</t>
        </is>
      </c>
      <c r="H165" s="4" t="n">
        <v>2017</v>
      </c>
      <c r="I165" s="4" t="inlineStr">
        <is>
          <t>new.int.prvt.cmbk</t>
        </is>
      </c>
      <c r="J165" t="inlineStr">
        <is>
          <t>…</t>
        </is>
      </c>
      <c r="N165" t="n">
        <v>0.001885345297835748</v>
      </c>
      <c r="O165" t="n">
        <v>0.001783572229394202</v>
      </c>
      <c r="P165" t="n">
        <v>0.001490018063086134</v>
      </c>
      <c r="Q165" t="n">
        <v>0.001194250003277478</v>
      </c>
      <c r="R165" t="n">
        <v>0.0008961573923302411</v>
      </c>
      <c r="S165" t="n">
        <v>0.0005956240026874941</v>
      </c>
      <c r="T165" t="n">
        <v>0.0002925277954144619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</row>
    <row r="166">
      <c r="A166" t="inlineStr">
        <is>
          <t>Dominica_2018_August</t>
        </is>
      </c>
      <c r="B166" s="2" t="n"/>
      <c r="C166" s="3" t="inlineStr">
        <is>
          <t>SM.18.139</t>
        </is>
      </c>
      <c r="D166" s="4" t="inlineStr">
        <is>
          <t>Dominica</t>
        </is>
      </c>
      <c r="E166" s="4" t="inlineStr">
        <is>
          <t>DMA</t>
        </is>
      </c>
      <c r="F166" s="10" t="n">
        <v>43255</v>
      </c>
      <c r="G166" s="4" t="inlineStr">
        <is>
          <t>2013gn</t>
        </is>
      </c>
      <c r="H166" s="4" t="n">
        <v>2017</v>
      </c>
      <c r="I166" s="4" t="inlineStr">
        <is>
          <t>new.int.prvt.com3</t>
        </is>
      </c>
      <c r="J166" t="inlineStr">
        <is>
          <t xml:space="preserve">   Others Non Paris Club</t>
        </is>
      </c>
      <c r="N166" t="n">
        <v>0.009548023277742774</v>
      </c>
      <c r="O166" t="n">
        <v>0.009694537774963246</v>
      </c>
      <c r="P166" t="n">
        <v>0.009669465552600303</v>
      </c>
      <c r="Q166" t="n">
        <v>0.009428895348748835</v>
      </c>
      <c r="R166" t="n">
        <v>0.009205411819889982</v>
      </c>
      <c r="S166" t="n">
        <v>0.008986840151625222</v>
      </c>
      <c r="T166" t="n">
        <v>0.008771120825873153</v>
      </c>
      <c r="U166" t="n">
        <v>0.00855819471901866</v>
      </c>
      <c r="V166" t="n">
        <v>0.007662534834809165</v>
      </c>
      <c r="W166" t="n">
        <v>0.006287193529298913</v>
      </c>
      <c r="X166" t="n">
        <v>0.004493387085125288</v>
      </c>
      <c r="Y166" t="n">
        <v>0.002344061369331383</v>
      </c>
      <c r="Z166" t="n">
        <v>-5.342774919845789e-05</v>
      </c>
      <c r="AA166" t="n">
        <v>-0.00259724644789456</v>
      </c>
      <c r="AB166" t="n">
        <v>-0.005283781664287279</v>
      </c>
      <c r="AC166" t="n">
        <v>-0.006014518830038671</v>
      </c>
      <c r="AD166" t="n">
        <v>-0.00561500123261956</v>
      </c>
      <c r="AE166" t="n">
        <v>-0.004927459968402354</v>
      </c>
      <c r="AF166" t="n">
        <v>-0.004328853050987474</v>
      </c>
      <c r="AG166" t="n">
        <v>-0.003824494710558813</v>
      </c>
      <c r="AH166" t="n">
        <v>-0.002402345208123524</v>
      </c>
      <c r="AI166" t="n">
        <v>0</v>
      </c>
    </row>
    <row r="167">
      <c r="A167" t="inlineStr">
        <is>
          <t>Dominica_2018_August</t>
        </is>
      </c>
      <c r="B167" s="2" t="n"/>
      <c r="C167" s="3" t="inlineStr">
        <is>
          <t>SM.18.139</t>
        </is>
      </c>
      <c r="D167" s="4" t="inlineStr">
        <is>
          <t>Dominica</t>
        </is>
      </c>
      <c r="E167" s="4" t="inlineStr">
        <is>
          <t>DMA</t>
        </is>
      </c>
      <c r="F167" s="10" t="n">
        <v>43255</v>
      </c>
      <c r="G167" s="4" t="inlineStr">
        <is>
          <t>2013gn</t>
        </is>
      </c>
      <c r="H167" s="4" t="n">
        <v>2017</v>
      </c>
      <c r="I167" s="4" t="inlineStr">
        <is>
          <t>new.int.prvt.com4</t>
        </is>
      </c>
      <c r="J167" t="inlineStr">
        <is>
          <t>Commercial</t>
        </is>
      </c>
      <c r="N167" t="n">
        <v>0.06082491111074526</v>
      </c>
      <c r="O167" t="n">
        <v>0.05643743216512455</v>
      </c>
      <c r="P167" t="n">
        <v>0.0533435918491854</v>
      </c>
      <c r="Q167" t="n">
        <v>0.04171909846107857</v>
      </c>
      <c r="R167" t="n">
        <v>0.03790648331015865</v>
      </c>
      <c r="S167" t="n">
        <v>0.03508804393791463</v>
      </c>
      <c r="T167" t="n">
        <v>0.03220830605920619</v>
      </c>
      <c r="U167" t="n">
        <v>0.02926420478574716</v>
      </c>
      <c r="V167" t="n">
        <v>0.02459958441981353</v>
      </c>
      <c r="W167" t="n">
        <v>0.0211300040398579</v>
      </c>
      <c r="X167" t="n">
        <v>0.01786365129214824</v>
      </c>
      <c r="Y167" t="n">
        <v>0.01479416894810725</v>
      </c>
      <c r="Z167" t="n">
        <v>0.01281303220892256</v>
      </c>
      <c r="AA167" t="n">
        <v>0.01107289712876998</v>
      </c>
      <c r="AB167" t="n">
        <v>0.009269514362615656</v>
      </c>
      <c r="AC167" t="n">
        <v>0.00739866550006903</v>
      </c>
      <c r="AD167" t="n">
        <v>0.005458725236186793</v>
      </c>
      <c r="AE167" t="n">
        <v>0.003814533372900302</v>
      </c>
      <c r="AF167" t="n">
        <v>0.002315902989089427</v>
      </c>
      <c r="AG167" t="n">
        <v>0.001025078677320449</v>
      </c>
      <c r="AH167" t="n">
        <v>3.567611622453162e-13</v>
      </c>
      <c r="AI167" t="n">
        <v>0</v>
      </c>
    </row>
    <row r="168">
      <c r="A168" t="inlineStr">
        <is>
          <t>Dominica_2018_August</t>
        </is>
      </c>
      <c r="B168" s="2" t="n"/>
      <c r="C168" s="3" t="inlineStr">
        <is>
          <t>SM.18.139</t>
        </is>
      </c>
      <c r="D168" s="4" t="inlineStr">
        <is>
          <t>Dominica</t>
        </is>
      </c>
      <c r="E168" s="4" t="inlineStr">
        <is>
          <t>DMA</t>
        </is>
      </c>
      <c r="F168" s="10" t="n">
        <v>43255</v>
      </c>
      <c r="G168" s="4" t="inlineStr">
        <is>
          <t>2013gn</t>
        </is>
      </c>
      <c r="H168" s="4" t="n">
        <v>2017</v>
      </c>
      <c r="I168" s="4" t="inlineStr">
        <is>
          <t>new.int.prvt.com5</t>
        </is>
      </c>
      <c r="J168" t="inlineStr">
        <is>
          <t>…</t>
        </is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</row>
    <row r="169">
      <c r="A169" t="inlineStr">
        <is>
          <t>Dominica_2018_August</t>
        </is>
      </c>
      <c r="B169" s="2" t="n"/>
      <c r="C169" s="3" t="inlineStr">
        <is>
          <t>SM.18.139</t>
        </is>
      </c>
      <c r="D169" s="4" t="inlineStr">
        <is>
          <t>Dominica</t>
        </is>
      </c>
      <c r="E169" s="4" t="inlineStr">
        <is>
          <t>DMA</t>
        </is>
      </c>
      <c r="F169" s="10" t="n">
        <v>43255</v>
      </c>
      <c r="G169" s="4" t="inlineStr">
        <is>
          <t>2013gn</t>
        </is>
      </c>
      <c r="H169" s="4" t="n">
        <v>2017</v>
      </c>
      <c r="I169" s="4" t="inlineStr">
        <is>
          <t>new.int.lcl.nres</t>
        </is>
      </c>
      <c r="J169" t="inlineStr">
        <is>
          <t>…</t>
        </is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</row>
    <row r="170">
      <c r="A170" t="inlineStr">
        <is>
          <t>Dominica_2018_August</t>
        </is>
      </c>
      <c r="B170" s="2" t="n"/>
      <c r="C170" s="3" t="inlineStr">
        <is>
          <t>SM.18.139</t>
        </is>
      </c>
      <c r="D170" s="4" t="inlineStr">
        <is>
          <t>Dominica</t>
        </is>
      </c>
      <c r="E170" s="4" t="inlineStr">
        <is>
          <t>DMA</t>
        </is>
      </c>
      <c r="F170" s="10" t="n">
        <v>43255</v>
      </c>
      <c r="G170" s="4" t="inlineStr">
        <is>
          <t>2013gn</t>
        </is>
      </c>
      <c r="H170" s="4" t="n">
        <v>2017</v>
      </c>
      <c r="I170" s="4" t="inlineStr">
        <is>
          <t>new.int.lcl.nres.lc</t>
        </is>
      </c>
      <c r="J170" t="inlineStr">
        <is>
          <t xml:space="preserve">   Others Commercial</t>
        </is>
      </c>
      <c r="N170" t="n">
        <v>0.06082491111074526</v>
      </c>
      <c r="O170" t="n">
        <v>0.05643743216512455</v>
      </c>
      <c r="P170" t="n">
        <v>0.0533435918491854</v>
      </c>
      <c r="Q170" t="n">
        <v>0.04171909846107857</v>
      </c>
      <c r="R170" t="n">
        <v>0.03790648331015865</v>
      </c>
      <c r="S170" t="n">
        <v>0.03508804393791463</v>
      </c>
      <c r="T170" t="n">
        <v>0.03220830605920619</v>
      </c>
      <c r="U170" t="n">
        <v>0.02926420478574716</v>
      </c>
      <c r="V170" t="n">
        <v>0.02459958441981353</v>
      </c>
      <c r="W170" t="n">
        <v>0.0211300040398579</v>
      </c>
      <c r="X170" t="n">
        <v>0.01786365129214824</v>
      </c>
      <c r="Y170" t="n">
        <v>0.01479416894810725</v>
      </c>
      <c r="Z170" t="n">
        <v>0.01281303220892256</v>
      </c>
      <c r="AA170" t="n">
        <v>0.01107289712876998</v>
      </c>
      <c r="AB170" t="n">
        <v>0.009269514362615656</v>
      </c>
      <c r="AC170" t="n">
        <v>0.00739866550006903</v>
      </c>
      <c r="AD170" t="n">
        <v>0.005458725236186793</v>
      </c>
      <c r="AE170" t="n">
        <v>0.003814533372900302</v>
      </c>
      <c r="AF170" t="n">
        <v>0.002315902989089427</v>
      </c>
      <c r="AG170" t="n">
        <v>0.001025078677320449</v>
      </c>
      <c r="AH170" t="n">
        <v>3.567611622453162e-13</v>
      </c>
      <c r="AI170" t="n">
        <v>0</v>
      </c>
    </row>
    <row r="171">
      <c r="A171" t="inlineStr">
        <is>
          <t>Dominica_2018_August</t>
        </is>
      </c>
      <c r="B171" s="2" t="n"/>
      <c r="C171" s="3" t="inlineStr">
        <is>
          <t>SM.18.139</t>
        </is>
      </c>
      <c r="D171" s="4" t="inlineStr">
        <is>
          <t>Dominica</t>
        </is>
      </c>
      <c r="E171" s="4" t="inlineStr">
        <is>
          <t>DMA</t>
        </is>
      </c>
      <c r="F171" s="10" t="n">
        <v>43255</v>
      </c>
      <c r="G171" s="4" t="inlineStr">
        <is>
          <t>2013gn</t>
        </is>
      </c>
      <c r="H171" s="4" t="n">
        <v>2017</v>
      </c>
      <c r="I171" s="4" t="inlineStr">
        <is>
          <t>new.int.lcl.nres.bnd.1to3.lc</t>
        </is>
      </c>
    </row>
    <row r="172">
      <c r="A172" t="inlineStr">
        <is>
          <t>Dominica_2018_August</t>
        </is>
      </c>
      <c r="B172" s="2" t="n"/>
      <c r="C172" s="3" t="inlineStr">
        <is>
          <t>SM.18.139</t>
        </is>
      </c>
      <c r="D172" s="4" t="inlineStr">
        <is>
          <t>Dominica</t>
        </is>
      </c>
      <c r="E172" s="4" t="inlineStr">
        <is>
          <t>DMA</t>
        </is>
      </c>
      <c r="F172" s="10" t="n">
        <v>43255</v>
      </c>
      <c r="G172" s="4" t="inlineStr">
        <is>
          <t>2013gn</t>
        </is>
      </c>
      <c r="H172" s="4" t="n">
        <v>2017</v>
      </c>
      <c r="I172" s="4" t="inlineStr">
        <is>
          <t>new.int.lcl.nres.bnd.4to7.lc</t>
        </is>
      </c>
      <c r="J172" t="inlineStr">
        <is>
          <t>PV of existing arrears</t>
        </is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</row>
    <row r="173">
      <c r="A173" t="inlineStr">
        <is>
          <t>Dominica_2018_August</t>
        </is>
      </c>
      <c r="B173" s="2" t="n"/>
      <c r="C173" s="3" t="inlineStr">
        <is>
          <t>SM.18.139</t>
        </is>
      </c>
      <c r="D173" s="4" t="inlineStr">
        <is>
          <t>Dominica</t>
        </is>
      </c>
      <c r="E173" s="4" t="inlineStr">
        <is>
          <t>DMA</t>
        </is>
      </c>
      <c r="F173" s="10" t="n">
        <v>43255</v>
      </c>
      <c r="G173" s="4" t="inlineStr">
        <is>
          <t>2013gn</t>
        </is>
      </c>
      <c r="H173" s="4" t="n">
        <v>2017</v>
      </c>
      <c r="I173" s="4" t="inlineStr">
        <is>
          <t>new.int.lcl.nres.bnd.byd7.lc</t>
        </is>
      </c>
    </row>
    <row r="174">
      <c r="A174" t="inlineStr">
        <is>
          <t>Dominica_2018_August</t>
        </is>
      </c>
      <c r="B174" s="2" t="n"/>
      <c r="C174" s="3" t="inlineStr">
        <is>
          <t>SM.18.139</t>
        </is>
      </c>
      <c r="D174" s="4" t="inlineStr">
        <is>
          <t>Dominica</t>
        </is>
      </c>
      <c r="E174" s="4" t="inlineStr">
        <is>
          <t>DMA</t>
        </is>
      </c>
      <c r="F174" s="10" t="n">
        <v>43255</v>
      </c>
      <c r="G174" s="4" t="inlineStr">
        <is>
          <t>2013gn</t>
        </is>
      </c>
      <c r="H174" s="4" t="n">
        <v>2017</v>
      </c>
      <c r="I174" s="4" t="inlineStr">
        <is>
          <t>new.int.lcl.nres.fx</t>
        </is>
      </c>
      <c r="J174" t="inlineStr">
        <is>
          <t>PV of new MLT debt</t>
        </is>
      </c>
      <c r="O174" t="n">
        <v>0.03936193067457203</v>
      </c>
      <c r="P174" t="n">
        <v>0.07417035270195114</v>
      </c>
      <c r="Q174" t="n">
        <v>0.1148601391119583</v>
      </c>
      <c r="R174" t="n">
        <v>0.1810073894193867</v>
      </c>
      <c r="S174" t="n">
        <v>0.2322958328041148</v>
      </c>
      <c r="T174" t="n">
        <v>0.2647768180517466</v>
      </c>
      <c r="U174" t="n">
        <v>0.2906147258497204</v>
      </c>
      <c r="V174" t="n">
        <v>0.3124823208405101</v>
      </c>
      <c r="W174" t="n">
        <v>0.3340166599094972</v>
      </c>
      <c r="X174" t="n">
        <v>0.3528835423671452</v>
      </c>
      <c r="Y174" t="n">
        <v>0.3714452819164188</v>
      </c>
      <c r="Z174" t="n">
        <v>0.3880608049201826</v>
      </c>
      <c r="AA174" t="n">
        <v>0.4021311724363409</v>
      </c>
      <c r="AB174" t="n">
        <v>0.4158812579372305</v>
      </c>
      <c r="AC174" t="n">
        <v>0.4294338140081277</v>
      </c>
      <c r="AD174" t="n">
        <v>0.4411391421175483</v>
      </c>
      <c r="AE174" t="n">
        <v>0.4522700385839005</v>
      </c>
      <c r="AF174" t="n">
        <v>0.4634447558442747</v>
      </c>
      <c r="AG174" t="n">
        <v>0.4749357572218184</v>
      </c>
      <c r="AH174" t="n">
        <v>0.4867912106314282</v>
      </c>
      <c r="AI174" t="n">
        <v>0.4981247813869827</v>
      </c>
    </row>
    <row r="175">
      <c r="A175" t="inlineStr">
        <is>
          <t>Dominica_2018_August</t>
        </is>
      </c>
      <c r="B175" s="2" t="n"/>
      <c r="C175" s="3" t="inlineStr">
        <is>
          <t>SM.18.139</t>
        </is>
      </c>
      <c r="D175" s="4" t="inlineStr">
        <is>
          <t>Dominica</t>
        </is>
      </c>
      <c r="E175" s="4" t="inlineStr">
        <is>
          <t>DMA</t>
        </is>
      </c>
      <c r="F175" s="10" t="n">
        <v>43255</v>
      </c>
      <c r="G175" s="4" t="inlineStr">
        <is>
          <t>2013gn</t>
        </is>
      </c>
      <c r="H175" s="4" t="n">
        <v>2017</v>
      </c>
      <c r="I175" s="4" t="inlineStr">
        <is>
          <t>new.int.lcl.nres.bnd.1to3.fx</t>
        </is>
      </c>
      <c r="J175" t="inlineStr">
        <is>
          <t>Multilaterals</t>
        </is>
      </c>
      <c r="O175" t="n">
        <v>0.01234813337968095</v>
      </c>
      <c r="P175" t="n">
        <v>0.02692312058240504</v>
      </c>
      <c r="Q175" t="n">
        <v>0.04493596221690069</v>
      </c>
      <c r="R175" t="n">
        <v>0.06673556345304835</v>
      </c>
      <c r="S175" t="n">
        <v>0.08773795993727719</v>
      </c>
      <c r="T175" t="n">
        <v>0.1001280042471549</v>
      </c>
      <c r="U175" t="n">
        <v>0.108515844787516</v>
      </c>
      <c r="V175" t="n">
        <v>0.1156387247082225</v>
      </c>
      <c r="W175" t="n">
        <v>0.1227805205895753</v>
      </c>
      <c r="X175" t="n">
        <v>0.130073488454685</v>
      </c>
      <c r="Y175" t="n">
        <v>0.1374765832127781</v>
      </c>
      <c r="Z175" t="n">
        <v>0.1437166791382577</v>
      </c>
      <c r="AA175" t="n">
        <v>0.1485922374866079</v>
      </c>
      <c r="AB175" t="n">
        <v>0.1517556603053669</v>
      </c>
      <c r="AC175" t="n">
        <v>0.1528393186634764</v>
      </c>
      <c r="AD175" t="n">
        <v>0.1509760404711243</v>
      </c>
      <c r="AE175" t="n">
        <v>0.1475363145934828</v>
      </c>
      <c r="AF175" t="n">
        <v>0.1434414698516136</v>
      </c>
      <c r="AG175" t="n">
        <v>0.1388792183153499</v>
      </c>
      <c r="AH175" t="n">
        <v>0.1338500365323961</v>
      </c>
      <c r="AI175" t="n">
        <v>0.1283300561764395</v>
      </c>
    </row>
    <row r="176">
      <c r="A176" t="inlineStr">
        <is>
          <t>Dominica_2018_August</t>
        </is>
      </c>
      <c r="B176" s="2" t="n"/>
      <c r="C176" s="3" t="inlineStr">
        <is>
          <t>SM.18.139</t>
        </is>
      </c>
      <c r="D176" s="4" t="inlineStr">
        <is>
          <t>Dominica</t>
        </is>
      </c>
      <c r="E176" s="4" t="inlineStr">
        <is>
          <t>DMA</t>
        </is>
      </c>
      <c r="F176" s="10" t="n">
        <v>43255</v>
      </c>
      <c r="G176" s="4" t="inlineStr">
        <is>
          <t>2013gn</t>
        </is>
      </c>
      <c r="H176" s="4" t="n">
        <v>2017</v>
      </c>
      <c r="I176" s="4" t="inlineStr">
        <is>
          <t>new.int.lcl.nres.bnd.4to7.fx</t>
        </is>
      </c>
      <c r="J176" t="inlineStr">
        <is>
          <t xml:space="preserve">   IMF</t>
        </is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</row>
    <row r="177">
      <c r="A177" t="inlineStr">
        <is>
          <t>Dominica_2018_August</t>
        </is>
      </c>
      <c r="B177" s="2" t="n"/>
      <c r="C177" s="3" t="inlineStr">
        <is>
          <t>SM.18.139</t>
        </is>
      </c>
      <c r="D177" s="4" t="inlineStr">
        <is>
          <t>Dominica</t>
        </is>
      </c>
      <c r="E177" s="4" t="inlineStr">
        <is>
          <t>DMA</t>
        </is>
      </c>
      <c r="F177" s="10" t="n">
        <v>43255</v>
      </c>
      <c r="G177" s="4" t="inlineStr">
        <is>
          <t>2013gn</t>
        </is>
      </c>
      <c r="H177" s="4" t="n">
        <v>2017</v>
      </c>
      <c r="I177" s="4" t="inlineStr">
        <is>
          <t>new.int.lcl.nres.bnd.byd7.fx</t>
        </is>
      </c>
      <c r="J177" t="inlineStr">
        <is>
          <t xml:space="preserve">   IDA - Small Island Country</t>
        </is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</row>
    <row r="178">
      <c r="A178" t="inlineStr">
        <is>
          <t>Dominica_2018_August</t>
        </is>
      </c>
      <c r="B178" s="2" t="n"/>
      <c r="C178" s="3" t="inlineStr">
        <is>
          <t>SM.18.139</t>
        </is>
      </c>
      <c r="D178" s="4" t="inlineStr">
        <is>
          <t>Dominica</t>
        </is>
      </c>
      <c r="E178" s="4" t="inlineStr">
        <is>
          <t>DMA</t>
        </is>
      </c>
      <c r="F178" s="10" t="n">
        <v>43255</v>
      </c>
      <c r="G178" s="4" t="inlineStr">
        <is>
          <t>2013gn</t>
        </is>
      </c>
      <c r="H178" s="4" t="n">
        <v>2017</v>
      </c>
      <c r="I178" s="5" t="n"/>
      <c r="J178" t="inlineStr">
        <is>
          <t>IDA - Regular</t>
        </is>
      </c>
      <c r="O178" t="n">
        <v>0.001501759778388635</v>
      </c>
      <c r="P178" t="n">
        <v>0.003328524304361274</v>
      </c>
      <c r="Q178" t="n">
        <v>0.005621173930231122</v>
      </c>
      <c r="R178" t="n">
        <v>0.008434158549920787</v>
      </c>
      <c r="S178" t="n">
        <v>0.01121654042123568</v>
      </c>
      <c r="T178" t="n">
        <v>0.01300729121679465</v>
      </c>
      <c r="U178" t="n">
        <v>0.01435161601333987</v>
      </c>
      <c r="V178" t="n">
        <v>0.01548784675121927</v>
      </c>
      <c r="W178" t="n">
        <v>0.0165511882132951</v>
      </c>
      <c r="X178" t="n">
        <v>0.01753094146134718</v>
      </c>
      <c r="Y178" t="n">
        <v>0.01839212319410271</v>
      </c>
      <c r="Z178" t="n">
        <v>0.01913800657368143</v>
      </c>
      <c r="AA178" t="n">
        <v>0.01983635797623684</v>
      </c>
      <c r="AB178" t="n">
        <v>0.02051797800417317</v>
      </c>
      <c r="AC178" t="n">
        <v>0.02119600208057824</v>
      </c>
      <c r="AD178" t="n">
        <v>0.02175360132235695</v>
      </c>
      <c r="AE178" t="n">
        <v>0.02224384333970715</v>
      </c>
      <c r="AF178" t="n">
        <v>0.02272521539962261</v>
      </c>
      <c r="AG178" t="n">
        <v>0.02320393364208173</v>
      </c>
      <c r="AH178" t="n">
        <v>0.02368028589556951</v>
      </c>
      <c r="AI178" t="n">
        <v>0.02415380117542342</v>
      </c>
    </row>
    <row r="179">
      <c r="A179" t="inlineStr">
        <is>
          <t>Dominica_2018_August</t>
        </is>
      </c>
      <c r="B179" s="2" t="n"/>
      <c r="C179" s="3" t="inlineStr">
        <is>
          <t>SM.18.139</t>
        </is>
      </c>
      <c r="D179" s="4" t="inlineStr">
        <is>
          <t>Dominica</t>
        </is>
      </c>
      <c r="E179" s="4" t="inlineStr">
        <is>
          <t>DMA</t>
        </is>
      </c>
      <c r="F179" s="10" t="n">
        <v>43255</v>
      </c>
      <c r="G179" s="4" t="inlineStr">
        <is>
          <t>2013gn</t>
        </is>
      </c>
      <c r="H179" s="4" t="n">
        <v>2017</v>
      </c>
      <c r="I179" s="4" t="inlineStr">
        <is>
          <t>new.int.lcl.fx</t>
        </is>
      </c>
      <c r="J179" t="inlineStr">
        <is>
          <t>IBRD</t>
        </is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</row>
    <row r="180">
      <c r="A180" t="inlineStr">
        <is>
          <t>Dominica_2018_August</t>
        </is>
      </c>
      <c r="B180" s="2" t="n"/>
      <c r="C180" s="3" t="inlineStr">
        <is>
          <t>SM.18.139</t>
        </is>
      </c>
      <c r="D180" s="4" t="inlineStr">
        <is>
          <t>Dominica</t>
        </is>
      </c>
      <c r="E180" s="4" t="inlineStr">
        <is>
          <t>DMA</t>
        </is>
      </c>
      <c r="F180" s="10" t="n">
        <v>43255</v>
      </c>
      <c r="G180" s="4" t="inlineStr">
        <is>
          <t>2013gn</t>
        </is>
      </c>
      <c r="H180" s="4" t="n">
        <v>2017</v>
      </c>
      <c r="I180" s="4" t="inlineStr">
        <is>
          <t>new.int.lcl.fx.bnd.1to3.fx</t>
        </is>
      </c>
      <c r="J180" t="inlineStr">
        <is>
          <t>Other Multilateral</t>
        </is>
      </c>
      <c r="O180" t="n">
        <v>0.01084637360129232</v>
      </c>
      <c r="P180" t="n">
        <v>0.02359459627804376</v>
      </c>
      <c r="Q180" t="n">
        <v>0.03931478828666957</v>
      </c>
      <c r="R180" t="n">
        <v>0.05830140490312757</v>
      </c>
      <c r="S180" t="n">
        <v>0.07652141951604151</v>
      </c>
      <c r="T180" t="n">
        <v>0.08712071303036026</v>
      </c>
      <c r="U180" t="n">
        <v>0.09416422877417616</v>
      </c>
      <c r="V180" t="n">
        <v>0.1001508779570032</v>
      </c>
      <c r="W180" t="n">
        <v>0.1062293323762802</v>
      </c>
      <c r="X180" t="n">
        <v>0.1125425469933378</v>
      </c>
      <c r="Y180" t="n">
        <v>0.1190844600186754</v>
      </c>
      <c r="Z180" t="n">
        <v>0.1245786725645763</v>
      </c>
      <c r="AA180" t="n">
        <v>0.128755879510371</v>
      </c>
      <c r="AB180" t="n">
        <v>0.1312376823011937</v>
      </c>
      <c r="AC180" t="n">
        <v>0.1316433165828982</v>
      </c>
      <c r="AD180" t="n">
        <v>0.1292224391487673</v>
      </c>
      <c r="AE180" t="n">
        <v>0.1252924712537757</v>
      </c>
      <c r="AF180" t="n">
        <v>0.120716254451991</v>
      </c>
      <c r="AG180" t="n">
        <v>0.1156752846732681</v>
      </c>
      <c r="AH180" t="n">
        <v>0.1101697506368266</v>
      </c>
      <c r="AI180" t="n">
        <v>0.1041762550010161</v>
      </c>
    </row>
    <row r="181">
      <c r="A181" t="inlineStr">
        <is>
          <t>Dominica_2018_August</t>
        </is>
      </c>
      <c r="B181" s="2" t="n"/>
      <c r="C181" s="3" t="inlineStr">
        <is>
          <t>SM.18.139</t>
        </is>
      </c>
      <c r="D181" s="4" t="inlineStr">
        <is>
          <t>Dominica</t>
        </is>
      </c>
      <c r="E181" s="4" t="inlineStr">
        <is>
          <t>DMA</t>
        </is>
      </c>
      <c r="F181" s="10" t="n">
        <v>43255</v>
      </c>
      <c r="G181" s="4" t="inlineStr">
        <is>
          <t>2013gn</t>
        </is>
      </c>
      <c r="H181" s="4" t="n">
        <v>2017</v>
      </c>
      <c r="I181" s="4" t="inlineStr">
        <is>
          <t>new.int.lcl.fx.bnd.4to7.fx</t>
        </is>
      </c>
      <c r="J181" t="inlineStr">
        <is>
          <t>Official Bilaterals</t>
        </is>
      </c>
      <c r="O181" t="n">
        <v>0.02468665317758038</v>
      </c>
      <c r="P181" t="n">
        <v>0.04519137732550793</v>
      </c>
      <c r="Q181" t="n">
        <v>0.06599170465620843</v>
      </c>
      <c r="R181" t="n">
        <v>0.09393741968927247</v>
      </c>
      <c r="S181" t="n">
        <v>0.1181680200268402</v>
      </c>
      <c r="T181" t="n">
        <v>0.1351310317267035</v>
      </c>
      <c r="U181" t="n">
        <v>0.1509189894338292</v>
      </c>
      <c r="V181" t="n">
        <v>0.1646889690136492</v>
      </c>
      <c r="W181" t="n">
        <v>0.1783652952591248</v>
      </c>
      <c r="X181" t="n">
        <v>0.1915434816205122</v>
      </c>
      <c r="Y181" t="n">
        <v>0.2025480705330987</v>
      </c>
      <c r="Z181" t="n">
        <v>0.2128598589415626</v>
      </c>
      <c r="AA181" t="n">
        <v>0.2229225343697367</v>
      </c>
      <c r="AB181" t="n">
        <v>0.2344279114578279</v>
      </c>
      <c r="AC181" t="n">
        <v>0.2474655554986732</v>
      </c>
      <c r="AD181" t="n">
        <v>0.2610360084331832</v>
      </c>
      <c r="AE181" t="n">
        <v>0.2753319148766675</v>
      </c>
      <c r="AF181" t="n">
        <v>0.2900522454119454</v>
      </c>
      <c r="AG181" t="n">
        <v>0.3053137433915664</v>
      </c>
      <c r="AH181" t="n">
        <v>0.3213722771037542</v>
      </c>
      <c r="AI181" t="n">
        <v>0.3373952205382648</v>
      </c>
    </row>
    <row r="182">
      <c r="A182" t="inlineStr">
        <is>
          <t>Dominica_2018_August</t>
        </is>
      </c>
      <c r="B182" s="2" t="n"/>
      <c r="C182" s="3" t="inlineStr">
        <is>
          <t>SM.18.139</t>
        </is>
      </c>
      <c r="D182" s="4" t="inlineStr">
        <is>
          <t>Dominica</t>
        </is>
      </c>
      <c r="E182" s="4" t="inlineStr">
        <is>
          <t>DMA</t>
        </is>
      </c>
      <c r="F182" s="10" t="n">
        <v>43255</v>
      </c>
      <c r="G182" s="4" t="inlineStr">
        <is>
          <t>2013gn</t>
        </is>
      </c>
      <c r="H182" s="4" t="n">
        <v>2017</v>
      </c>
      <c r="I182" s="4" t="inlineStr">
        <is>
          <t>new.int.lcl.fx.bnd.byd7.fx</t>
        </is>
      </c>
      <c r="J182" t="inlineStr">
        <is>
          <t xml:space="preserve">   PC</t>
        </is>
      </c>
      <c r="O182" t="n">
        <v>0.01483526562399689</v>
      </c>
      <c r="P182" t="n">
        <v>0.02379327336229782</v>
      </c>
      <c r="Q182" t="n">
        <v>0.03037581570007219</v>
      </c>
      <c r="R182" t="n">
        <v>0.04117234331150111</v>
      </c>
      <c r="S182" t="n">
        <v>0.0489892921711623</v>
      </c>
      <c r="T182" t="n">
        <v>0.05649329900494924</v>
      </c>
      <c r="U182" t="n">
        <v>0.06713789415853635</v>
      </c>
      <c r="V182" t="n">
        <v>0.07802119198155753</v>
      </c>
      <c r="W182" t="n">
        <v>0.09032412403622131</v>
      </c>
      <c r="X182" t="n">
        <v>0.103843666602798</v>
      </c>
      <c r="Y182" t="n">
        <v>0.1168387419116292</v>
      </c>
      <c r="Z182" t="n">
        <v>0.1300321219199586</v>
      </c>
      <c r="AA182" t="n">
        <v>0.1435207897781614</v>
      </c>
      <c r="AB182" t="n">
        <v>0.1589030396710051</v>
      </c>
      <c r="AC182" t="n">
        <v>0.176256943162949</v>
      </c>
      <c r="AD182" t="n">
        <v>0.1953586172961231</v>
      </c>
      <c r="AE182" t="n">
        <v>0.2149842791610687</v>
      </c>
      <c r="AF182" t="n">
        <v>0.2342396565794903</v>
      </c>
      <c r="AG182" t="n">
        <v>0.2529105919561711</v>
      </c>
      <c r="AH182" t="n">
        <v>0.2709308506033864</v>
      </c>
      <c r="AI182" t="n">
        <v>0.2875566563902687</v>
      </c>
    </row>
    <row r="183">
      <c r="A183" t="inlineStr">
        <is>
          <t>Dominica_2018_August</t>
        </is>
      </c>
      <c r="B183" s="2" t="n"/>
      <c r="C183" s="3" t="inlineStr">
        <is>
          <t>SM.18.139</t>
        </is>
      </c>
      <c r="D183" s="4" t="inlineStr">
        <is>
          <t>Dominica</t>
        </is>
      </c>
      <c r="E183" s="4" t="inlineStr">
        <is>
          <t>DMA</t>
        </is>
      </c>
      <c r="F183" s="10" t="n">
        <v>43255</v>
      </c>
      <c r="G183" s="4" t="inlineStr">
        <is>
          <t>2013gn</t>
        </is>
      </c>
      <c r="H183" s="4" t="n">
        <v>2017</v>
      </c>
      <c r="I183" s="5" t="n"/>
      <c r="J183" t="inlineStr">
        <is>
          <t>…</t>
        </is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</row>
    <row r="184">
      <c r="A184" t="inlineStr">
        <is>
          <t>Dominica_2018_August</t>
        </is>
      </c>
      <c r="B184" s="2" t="n"/>
      <c r="C184" s="3" t="inlineStr">
        <is>
          <t>SM.18.139</t>
        </is>
      </c>
      <c r="D184" s="4" t="inlineStr">
        <is>
          <t>Dominica</t>
        </is>
      </c>
      <c r="E184" s="4" t="inlineStr">
        <is>
          <t>DMA</t>
        </is>
      </c>
      <c r="F184" s="10" t="n">
        <v>43255</v>
      </c>
      <c r="G184" s="4" t="inlineStr">
        <is>
          <t>2013gn</t>
        </is>
      </c>
      <c r="H184" s="4" t="n">
        <v>2017</v>
      </c>
      <c r="I184" s="4" t="inlineStr">
        <is>
          <t>new.amt</t>
        </is>
      </c>
      <c r="J184" t="inlineStr">
        <is>
          <t>…</t>
        </is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</row>
    <row r="185">
      <c r="A185" t="inlineStr">
        <is>
          <t>Dominica_2018_August</t>
        </is>
      </c>
      <c r="B185" s="2" t="n"/>
      <c r="C185" s="3" t="inlineStr">
        <is>
          <t>SM.18.139</t>
        </is>
      </c>
      <c r="D185" s="4" t="inlineStr">
        <is>
          <t>Dominica</t>
        </is>
      </c>
      <c r="E185" s="4" t="inlineStr">
        <is>
          <t>DMA</t>
        </is>
      </c>
      <c r="F185" s="10" t="n">
        <v>43255</v>
      </c>
      <c r="G185" s="4" t="inlineStr">
        <is>
          <t>2013gn</t>
        </is>
      </c>
      <c r="H185" s="4" t="n">
        <v>2017</v>
      </c>
      <c r="I185" s="4" t="inlineStr">
        <is>
          <t>new.amt.mlt</t>
        </is>
      </c>
      <c r="J185" t="inlineStr">
        <is>
          <t xml:space="preserve">   Others Paris Club</t>
        </is>
      </c>
      <c r="O185" t="n">
        <v>0.01483526562399689</v>
      </c>
      <c r="P185" t="n">
        <v>0.02379327336229782</v>
      </c>
      <c r="Q185" t="n">
        <v>0.03037581570007219</v>
      </c>
      <c r="R185" t="n">
        <v>0.04117234331150111</v>
      </c>
      <c r="S185" t="n">
        <v>0.0489892921711623</v>
      </c>
      <c r="T185" t="n">
        <v>0.05649329900494924</v>
      </c>
      <c r="U185" t="n">
        <v>0.06713789415853635</v>
      </c>
      <c r="V185" t="n">
        <v>0.07802119198155753</v>
      </c>
      <c r="W185" t="n">
        <v>0.09032412403622131</v>
      </c>
      <c r="X185" t="n">
        <v>0.103843666602798</v>
      </c>
      <c r="Y185" t="n">
        <v>0.1168387419116292</v>
      </c>
      <c r="Z185" t="n">
        <v>0.1300321219199586</v>
      </c>
      <c r="AA185" t="n">
        <v>0.1435207897781614</v>
      </c>
      <c r="AB185" t="n">
        <v>0.1589030396710051</v>
      </c>
      <c r="AC185" t="n">
        <v>0.176256943162949</v>
      </c>
      <c r="AD185" t="n">
        <v>0.1953586172961231</v>
      </c>
      <c r="AE185" t="n">
        <v>0.2149842791610687</v>
      </c>
      <c r="AF185" t="n">
        <v>0.2342396565794903</v>
      </c>
      <c r="AG185" t="n">
        <v>0.2529105919561711</v>
      </c>
      <c r="AH185" t="n">
        <v>0.2709308506033864</v>
      </c>
      <c r="AI185" t="n">
        <v>0.2875566563902687</v>
      </c>
    </row>
    <row r="186">
      <c r="A186" t="inlineStr">
        <is>
          <t>Dominica_2018_August</t>
        </is>
      </c>
      <c r="B186" s="2" t="n"/>
      <c r="C186" s="3" t="inlineStr">
        <is>
          <t>SM.18.139</t>
        </is>
      </c>
      <c r="D186" s="4" t="inlineStr">
        <is>
          <t>Dominica</t>
        </is>
      </c>
      <c r="E186" s="4" t="inlineStr">
        <is>
          <t>DMA</t>
        </is>
      </c>
      <c r="F186" s="10" t="n">
        <v>43255</v>
      </c>
      <c r="G186" s="4" t="inlineStr">
        <is>
          <t>2013gn</t>
        </is>
      </c>
      <c r="H186" s="4" t="n">
        <v>2017</v>
      </c>
      <c r="I186" s="4" t="inlineStr">
        <is>
          <t>new.amt.mlt.imf</t>
        </is>
      </c>
      <c r="J186" t="inlineStr">
        <is>
          <t xml:space="preserve">   NPC</t>
        </is>
      </c>
      <c r="O186" t="n">
        <v>0.009851387553583484</v>
      </c>
      <c r="P186" t="n">
        <v>0.02139810396321011</v>
      </c>
      <c r="Q186" t="n">
        <v>0.03561588895613624</v>
      </c>
      <c r="R186" t="n">
        <v>0.05276507637777135</v>
      </c>
      <c r="S186" t="n">
        <v>0.06917872785567786</v>
      </c>
      <c r="T186" t="n">
        <v>0.07863773272175426</v>
      </c>
      <c r="U186" t="n">
        <v>0.08378109527529283</v>
      </c>
      <c r="V186" t="n">
        <v>0.08666777703209169</v>
      </c>
      <c r="W186" t="n">
        <v>0.08804117122290353</v>
      </c>
      <c r="X186" t="n">
        <v>0.08769981501771426</v>
      </c>
      <c r="Y186" t="n">
        <v>0.08570932862146957</v>
      </c>
      <c r="Z186" t="n">
        <v>0.08282773702160401</v>
      </c>
      <c r="AA186" t="n">
        <v>0.0794017445915753</v>
      </c>
      <c r="AB186" t="n">
        <v>0.07552487178682281</v>
      </c>
      <c r="AC186" t="n">
        <v>0.07120861233572415</v>
      </c>
      <c r="AD186" t="n">
        <v>0.06567739113706003</v>
      </c>
      <c r="AE186" t="n">
        <v>0.06034763571559887</v>
      </c>
      <c r="AF186" t="n">
        <v>0.05581258883245516</v>
      </c>
      <c r="AG186" t="n">
        <v>0.05240315143539523</v>
      </c>
      <c r="AH186" t="n">
        <v>0.0504414265003678</v>
      </c>
      <c r="AI186" t="n">
        <v>0.0498385641479961</v>
      </c>
    </row>
    <row r="187">
      <c r="A187" t="inlineStr">
        <is>
          <t>Dominica_2018_August</t>
        </is>
      </c>
      <c r="B187" s="2" t="n"/>
      <c r="C187" s="3" t="inlineStr">
        <is>
          <t>SM.18.139</t>
        </is>
      </c>
      <c r="D187" s="4" t="inlineStr">
        <is>
          <t>Dominica</t>
        </is>
      </c>
      <c r="E187" s="4" t="inlineStr">
        <is>
          <t>DMA</t>
        </is>
      </c>
      <c r="F187" s="10" t="n">
        <v>43255</v>
      </c>
      <c r="G187" s="4" t="inlineStr">
        <is>
          <t>2013gn</t>
        </is>
      </c>
      <c r="H187" s="4" t="n">
        <v>2017</v>
      </c>
      <c r="I187" s="4" t="inlineStr">
        <is>
          <t>new.amt.mlt.ida.reg</t>
        </is>
      </c>
      <c r="J187" t="inlineStr">
        <is>
          <t>…</t>
        </is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</row>
    <row r="188">
      <c r="A188" t="inlineStr">
        <is>
          <t>Dominica_2018_August</t>
        </is>
      </c>
      <c r="B188" s="2" t="n"/>
      <c r="C188" s="3" t="inlineStr">
        <is>
          <t>SM.18.139</t>
        </is>
      </c>
      <c r="D188" s="4" t="inlineStr">
        <is>
          <t>Dominica</t>
        </is>
      </c>
      <c r="E188" s="4" t="inlineStr">
        <is>
          <t>DMA</t>
        </is>
      </c>
      <c r="F188" s="10" t="n">
        <v>43255</v>
      </c>
      <c r="G188" s="4" t="inlineStr">
        <is>
          <t>2013gn</t>
        </is>
      </c>
      <c r="H188" s="4" t="n">
        <v>2017</v>
      </c>
      <c r="I188" s="4" t="inlineStr">
        <is>
          <t>new.amt.mlt.ida.bld</t>
        </is>
      </c>
      <c r="J188" t="inlineStr">
        <is>
          <t>…</t>
        </is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</row>
    <row r="189">
      <c r="A189" t="inlineStr">
        <is>
          <t>Dominica_2018_August</t>
        </is>
      </c>
      <c r="B189" s="2" t="n"/>
      <c r="C189" s="3" t="inlineStr">
        <is>
          <t>SM.18.139</t>
        </is>
      </c>
      <c r="D189" s="4" t="inlineStr">
        <is>
          <t>Dominica</t>
        </is>
      </c>
      <c r="E189" s="4" t="inlineStr">
        <is>
          <t>DMA</t>
        </is>
      </c>
      <c r="F189" s="10" t="n">
        <v>43255</v>
      </c>
      <c r="G189" s="4" t="inlineStr">
        <is>
          <t>2013gn</t>
        </is>
      </c>
      <c r="H189" s="4" t="n">
        <v>2017</v>
      </c>
      <c r="I189" s="4" t="inlineStr">
        <is>
          <t>new.amt.mlt.afdb</t>
        </is>
      </c>
      <c r="J189" t="inlineStr">
        <is>
          <t xml:space="preserve">   Others Non Paris Club</t>
        </is>
      </c>
      <c r="O189" t="n">
        <v>0.009851387553583484</v>
      </c>
      <c r="P189" t="n">
        <v>0.02139810396321011</v>
      </c>
      <c r="Q189" t="n">
        <v>0.03561588895613624</v>
      </c>
      <c r="R189" t="n">
        <v>0.05276507637777135</v>
      </c>
      <c r="S189" t="n">
        <v>0.06917872785567786</v>
      </c>
      <c r="T189" t="n">
        <v>0.07863773272175426</v>
      </c>
      <c r="U189" t="n">
        <v>0.08378109527529283</v>
      </c>
      <c r="V189" t="n">
        <v>0.08666777703209169</v>
      </c>
      <c r="W189" t="n">
        <v>0.08804117122290353</v>
      </c>
      <c r="X189" t="n">
        <v>0.08769981501771426</v>
      </c>
      <c r="Y189" t="n">
        <v>0.08570932862146957</v>
      </c>
      <c r="Z189" t="n">
        <v>0.08282773702160401</v>
      </c>
      <c r="AA189" t="n">
        <v>0.0794017445915753</v>
      </c>
      <c r="AB189" t="n">
        <v>0.07552487178682281</v>
      </c>
      <c r="AC189" t="n">
        <v>0.07120861233572415</v>
      </c>
      <c r="AD189" t="n">
        <v>0.06567739113706003</v>
      </c>
      <c r="AE189" t="n">
        <v>0.06034763571559887</v>
      </c>
      <c r="AF189" t="n">
        <v>0.05581258883245516</v>
      </c>
      <c r="AG189" t="n">
        <v>0.05240315143539523</v>
      </c>
      <c r="AH189" t="n">
        <v>0.0504414265003678</v>
      </c>
      <c r="AI189" t="n">
        <v>0.0498385641479961</v>
      </c>
    </row>
    <row r="190">
      <c r="A190" t="inlineStr">
        <is>
          <t>Dominica_2018_August</t>
        </is>
      </c>
      <c r="B190" s="2" t="n"/>
      <c r="C190" s="3" t="inlineStr">
        <is>
          <t>SM.18.139</t>
        </is>
      </c>
      <c r="D190" s="4" t="inlineStr">
        <is>
          <t>Dominica</t>
        </is>
      </c>
      <c r="E190" s="4" t="inlineStr">
        <is>
          <t>DMA</t>
        </is>
      </c>
      <c r="F190" s="10" t="n">
        <v>43255</v>
      </c>
      <c r="G190" s="4" t="inlineStr">
        <is>
          <t>2013gn</t>
        </is>
      </c>
      <c r="H190" s="4" t="n">
        <v>2017</v>
      </c>
      <c r="I190" s="4" t="inlineStr">
        <is>
          <t>new.amt.mlt2</t>
        </is>
      </c>
      <c r="J190" t="inlineStr">
        <is>
          <t>Commercial</t>
        </is>
      </c>
      <c r="O190" t="n">
        <v>0.0023271441173107</v>
      </c>
      <c r="P190" t="n">
        <v>0.002055854794038183</v>
      </c>
      <c r="Q190" t="n">
        <v>0.003932472238849169</v>
      </c>
      <c r="R190" t="n">
        <v>0.02033440627706589</v>
      </c>
      <c r="S190" t="n">
        <v>0.0263898528399974</v>
      </c>
      <c r="T190" t="n">
        <v>0.02951778207788825</v>
      </c>
      <c r="U190" t="n">
        <v>0.03117989162837522</v>
      </c>
      <c r="V190" t="n">
        <v>0.0321546271186384</v>
      </c>
      <c r="W190" t="n">
        <v>0.03287084406079711</v>
      </c>
      <c r="X190" t="n">
        <v>0.03126657229194803</v>
      </c>
      <c r="Y190" t="n">
        <v>0.03142062817054199</v>
      </c>
      <c r="Z190" t="n">
        <v>0.03148426684036224</v>
      </c>
      <c r="AA190" t="n">
        <v>0.03061640057999643</v>
      </c>
      <c r="AB190" t="n">
        <v>0.02969768617403568</v>
      </c>
      <c r="AC190" t="n">
        <v>0.02912893984597812</v>
      </c>
      <c r="AD190" t="n">
        <v>0.02912709321324089</v>
      </c>
      <c r="AE190" t="n">
        <v>0.02940180911375018</v>
      </c>
      <c r="AF190" t="n">
        <v>0.02995104058071576</v>
      </c>
      <c r="AG190" t="n">
        <v>0.03074279551490215</v>
      </c>
      <c r="AH190" t="n">
        <v>0.03156889699527786</v>
      </c>
      <c r="AI190" t="n">
        <v>0.03239950467227838</v>
      </c>
    </row>
    <row r="191">
      <c r="A191" t="inlineStr">
        <is>
          <t>Dominica_2018_August</t>
        </is>
      </c>
      <c r="B191" s="2" t="n"/>
      <c r="C191" s="3" t="inlineStr">
        <is>
          <t>SM.18.139</t>
        </is>
      </c>
      <c r="D191" s="4" t="inlineStr">
        <is>
          <t>Dominica</t>
        </is>
      </c>
      <c r="E191" s="4" t="inlineStr">
        <is>
          <t>DMA</t>
        </is>
      </c>
      <c r="F191" s="10" t="n">
        <v>43255</v>
      </c>
      <c r="G191" s="4" t="inlineStr">
        <is>
          <t>2013gn</t>
        </is>
      </c>
      <c r="H191" s="4" t="n">
        <v>2017</v>
      </c>
      <c r="I191" s="4" t="inlineStr">
        <is>
          <t>new.amt.mlt3</t>
        </is>
      </c>
      <c r="J191" t="inlineStr">
        <is>
          <t>…</t>
        </is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</row>
    <row r="192">
      <c r="A192" t="inlineStr">
        <is>
          <t>Dominica_2018_August</t>
        </is>
      </c>
      <c r="B192" s="2" t="n"/>
      <c r="C192" s="3" t="inlineStr">
        <is>
          <t>SM.18.139</t>
        </is>
      </c>
      <c r="D192" s="4" t="inlineStr">
        <is>
          <t>Dominica</t>
        </is>
      </c>
      <c r="E192" s="4" t="inlineStr">
        <is>
          <t>DMA</t>
        </is>
      </c>
      <c r="F192" s="10" t="n">
        <v>43255</v>
      </c>
      <c r="G192" s="4" t="inlineStr">
        <is>
          <t>2013gn</t>
        </is>
      </c>
      <c r="H192" s="4" t="n">
        <v>2017</v>
      </c>
      <c r="I192" s="4" t="inlineStr">
        <is>
          <t>new.amt.mlt.oth</t>
        </is>
      </c>
      <c r="J192" t="inlineStr">
        <is>
          <t>…</t>
        </is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</row>
    <row r="193">
      <c r="A193" t="inlineStr">
        <is>
          <t>Dominica_2018_August</t>
        </is>
      </c>
      <c r="B193" s="2" t="n"/>
      <c r="C193" s="3" t="inlineStr">
        <is>
          <t>SM.18.139</t>
        </is>
      </c>
      <c r="D193" s="4" t="inlineStr">
        <is>
          <t>Dominica</t>
        </is>
      </c>
      <c r="E193" s="4" t="inlineStr">
        <is>
          <t>DMA</t>
        </is>
      </c>
      <c r="F193" s="10" t="n">
        <v>43255</v>
      </c>
      <c r="G193" s="4" t="inlineStr">
        <is>
          <t>2013gn</t>
        </is>
      </c>
      <c r="H193" s="4" t="n">
        <v>2017</v>
      </c>
      <c r="I193" s="4" t="inlineStr">
        <is>
          <t>new.amt.mlt.oth1</t>
        </is>
      </c>
      <c r="J193" t="inlineStr">
        <is>
          <t xml:space="preserve">   Others Commercial</t>
        </is>
      </c>
      <c r="O193" t="n">
        <v>0.0023271441173107</v>
      </c>
      <c r="P193" t="n">
        <v>0.002055854794038183</v>
      </c>
      <c r="Q193" t="n">
        <v>0.003932472238849169</v>
      </c>
      <c r="R193" t="n">
        <v>0.02033440627706589</v>
      </c>
      <c r="S193" t="n">
        <v>0.0263898528399974</v>
      </c>
      <c r="T193" t="n">
        <v>0.02951778207788825</v>
      </c>
      <c r="U193" t="n">
        <v>0.03117989162837522</v>
      </c>
      <c r="V193" t="n">
        <v>0.0321546271186384</v>
      </c>
      <c r="W193" t="n">
        <v>0.03287084406079711</v>
      </c>
      <c r="X193" t="n">
        <v>0.03126657229194803</v>
      </c>
      <c r="Y193" t="n">
        <v>0.03142062817054199</v>
      </c>
      <c r="Z193" t="n">
        <v>0.03148426684036224</v>
      </c>
      <c r="AA193" t="n">
        <v>0.03061640057999643</v>
      </c>
      <c r="AB193" t="n">
        <v>0.02969768617403568</v>
      </c>
      <c r="AC193" t="n">
        <v>0.02912893984597812</v>
      </c>
      <c r="AD193" t="n">
        <v>0.02912709321324089</v>
      </c>
      <c r="AE193" t="n">
        <v>0.02940180911375018</v>
      </c>
      <c r="AF193" t="n">
        <v>0.02995104058071576</v>
      </c>
      <c r="AG193" t="n">
        <v>0.03074279551490215</v>
      </c>
      <c r="AH193" t="n">
        <v>0.03156889699527786</v>
      </c>
      <c r="AI193" t="n">
        <v>0.03239950467227838</v>
      </c>
    </row>
    <row r="194">
      <c r="A194" t="inlineStr">
        <is>
          <t>Dominica_2018_August</t>
        </is>
      </c>
      <c r="B194" s="2" t="n"/>
      <c r="C194" s="3" t="inlineStr">
        <is>
          <t>SM.18.139</t>
        </is>
      </c>
      <c r="D194" s="4" t="inlineStr">
        <is>
          <t>Dominica</t>
        </is>
      </c>
      <c r="E194" s="4" t="inlineStr">
        <is>
          <t>DMA</t>
        </is>
      </c>
      <c r="F194" s="10" t="n">
        <v>43255</v>
      </c>
      <c r="G194" s="4" t="inlineStr">
        <is>
          <t>2013gn</t>
        </is>
      </c>
      <c r="H194" s="4" t="n">
        <v>2017</v>
      </c>
      <c r="I194" s="4" t="inlineStr">
        <is>
          <t>new.amt.mlt.oth2</t>
        </is>
      </c>
    </row>
    <row r="195">
      <c r="A195" t="inlineStr">
        <is>
          <t>Dominica_2018_August</t>
        </is>
      </c>
      <c r="B195" s="2" t="n"/>
      <c r="C195" s="3" t="inlineStr">
        <is>
          <t>SM.18.139</t>
        </is>
      </c>
      <c r="D195" s="4" t="inlineStr">
        <is>
          <t>Dominica</t>
        </is>
      </c>
      <c r="E195" s="4" t="inlineStr">
        <is>
          <t>DMA</t>
        </is>
      </c>
      <c r="F195" s="10" t="n">
        <v>43255</v>
      </c>
      <c r="G195" s="4" t="inlineStr">
        <is>
          <t>2013gn</t>
        </is>
      </c>
      <c r="H195" s="4" t="n">
        <v>2017</v>
      </c>
      <c r="I195" s="4" t="inlineStr">
        <is>
          <t>new.amt.mlt.oth3</t>
        </is>
      </c>
      <c r="J195" t="inlineStr">
        <is>
          <t>Nominal value of new MLT debt</t>
        </is>
      </c>
      <c r="O195" t="n">
        <v>0.04799764022025562</v>
      </c>
      <c r="P195" t="n">
        <v>0.09126183533103815</v>
      </c>
      <c r="Q195" t="n">
        <v>0.1408753268001722</v>
      </c>
      <c r="R195" t="n">
        <v>0.2186291517301086</v>
      </c>
      <c r="S195" t="n">
        <v>0.2796924660251148</v>
      </c>
      <c r="T195" t="n">
        <v>0.3174469068603096</v>
      </c>
      <c r="U195" t="n">
        <v>0.3471966049952261</v>
      </c>
      <c r="V195" t="n">
        <v>0.3720853775790357</v>
      </c>
      <c r="W195" t="n">
        <v>0.3970348994637171</v>
      </c>
      <c r="X195" t="n">
        <v>0.4195293680083351</v>
      </c>
      <c r="Y195" t="n">
        <v>0.4414613745722475</v>
      </c>
      <c r="Z195" t="n">
        <v>0.4614725677042428</v>
      </c>
      <c r="AA195" t="n">
        <v>0.4789188788552203</v>
      </c>
      <c r="AB195" t="n">
        <v>0.4964742843936806</v>
      </c>
      <c r="AC195" t="n">
        <v>0.514373549555696</v>
      </c>
      <c r="AD195" t="n">
        <v>0.530507103599798</v>
      </c>
      <c r="AE195" t="n">
        <v>0.5461450536080896</v>
      </c>
      <c r="AF195" t="n">
        <v>0.5619597249303414</v>
      </c>
      <c r="AG195" t="n">
        <v>0.5782172367153768</v>
      </c>
      <c r="AH195" t="n">
        <v>0.5949976949608276</v>
      </c>
      <c r="AI195" t="n">
        <v>0.6112444039758477</v>
      </c>
    </row>
    <row r="196">
      <c r="A196" t="inlineStr">
        <is>
          <t>Dominica_2018_August</t>
        </is>
      </c>
      <c r="B196" s="2" t="n"/>
      <c r="C196" s="3" t="inlineStr">
        <is>
          <t>SM.18.139</t>
        </is>
      </c>
      <c r="D196" s="4" t="inlineStr">
        <is>
          <t>Dominica</t>
        </is>
      </c>
      <c r="E196" s="4" t="inlineStr">
        <is>
          <t>DMA</t>
        </is>
      </c>
      <c r="F196" s="10" t="n">
        <v>43255</v>
      </c>
      <c r="G196" s="4" t="inlineStr">
        <is>
          <t>2013gn</t>
        </is>
      </c>
      <c r="H196" s="4" t="n">
        <v>2017</v>
      </c>
      <c r="I196" s="4" t="inlineStr">
        <is>
          <t>new.amt.blt</t>
        </is>
      </c>
      <c r="J196" t="inlineStr">
        <is>
          <t>Multilaterals</t>
        </is>
      </c>
      <c r="O196" t="n">
        <v>0.01625814528966408</v>
      </c>
      <c r="P196" t="n">
        <v>0.03564332143361004</v>
      </c>
      <c r="Q196" t="n">
        <v>0.05943393329353037</v>
      </c>
      <c r="R196" t="n">
        <v>0.0880421607629977</v>
      </c>
      <c r="S196" t="n">
        <v>0.1152496015293417</v>
      </c>
      <c r="T196" t="n">
        <v>0.1305607015251253</v>
      </c>
      <c r="U196" t="n">
        <v>0.1402726021550535</v>
      </c>
      <c r="V196" t="n">
        <v>0.1481418870180781</v>
      </c>
      <c r="W196" t="n">
        <v>0.1559139880349576</v>
      </c>
      <c r="X196" t="n">
        <v>0.1637742460777361</v>
      </c>
      <c r="Y196" t="n">
        <v>0.1716754519040205</v>
      </c>
      <c r="Z196" t="n">
        <v>0.178319905088391</v>
      </c>
      <c r="AA196" t="n">
        <v>0.1835154620550444</v>
      </c>
      <c r="AB196" t="n">
        <v>0.1869216763917138</v>
      </c>
      <c r="AC196" t="n">
        <v>0.1881960895870609</v>
      </c>
      <c r="AD196" t="n">
        <v>0.1861783615739368</v>
      </c>
      <c r="AE196" t="n">
        <v>0.1824582158960991</v>
      </c>
      <c r="AF196" t="n">
        <v>0.1781610912917808</v>
      </c>
      <c r="AG196" t="n">
        <v>0.173511973354161</v>
      </c>
      <c r="AH196" t="n">
        <v>0.1685268592586124</v>
      </c>
      <c r="AI196" t="n">
        <v>0.1631950695751021</v>
      </c>
    </row>
    <row r="197">
      <c r="A197" t="inlineStr">
        <is>
          <t>Dominica_2018_August</t>
        </is>
      </c>
      <c r="B197" s="2" t="n"/>
      <c r="C197" s="3" t="inlineStr">
        <is>
          <t>SM.18.139</t>
        </is>
      </c>
      <c r="D197" s="4" t="inlineStr">
        <is>
          <t>Dominica</t>
        </is>
      </c>
      <c r="E197" s="4" t="inlineStr">
        <is>
          <t>DMA</t>
        </is>
      </c>
      <c r="F197" s="10" t="n">
        <v>43255</v>
      </c>
      <c r="G197" s="4" t="inlineStr">
        <is>
          <t>2013gn</t>
        </is>
      </c>
      <c r="H197" s="4" t="n">
        <v>2017</v>
      </c>
      <c r="I197" s="4" t="inlineStr">
        <is>
          <t>new.amt.pc</t>
        </is>
      </c>
      <c r="J197" t="inlineStr">
        <is>
          <t xml:space="preserve">   IMF</t>
        </is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</row>
    <row r="198">
      <c r="A198" t="inlineStr">
        <is>
          <t>Dominica_2018_August</t>
        </is>
      </c>
      <c r="B198" s="2" t="n"/>
      <c r="C198" s="3" t="inlineStr">
        <is>
          <t>SM.18.139</t>
        </is>
      </c>
      <c r="D198" s="4" t="inlineStr">
        <is>
          <t>Dominica</t>
        </is>
      </c>
      <c r="E198" s="4" t="inlineStr">
        <is>
          <t>DMA</t>
        </is>
      </c>
      <c r="F198" s="10" t="n">
        <v>43255</v>
      </c>
      <c r="G198" s="4" t="inlineStr">
        <is>
          <t>2013gn</t>
        </is>
      </c>
      <c r="H198" s="4" t="n">
        <v>2017</v>
      </c>
      <c r="I198" s="4" t="inlineStr">
        <is>
          <t>new.amt.pc1</t>
        </is>
      </c>
      <c r="J198" t="inlineStr">
        <is>
          <t xml:space="preserve">   IDA - Small Island Country</t>
        </is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</row>
    <row r="199">
      <c r="A199" t="inlineStr">
        <is>
          <t>Dominica_2018_August</t>
        </is>
      </c>
      <c r="B199" s="2" t="n"/>
      <c r="C199" s="3" t="inlineStr">
        <is>
          <t>SM.18.139</t>
        </is>
      </c>
      <c r="D199" s="4" t="inlineStr">
        <is>
          <t>Dominica</t>
        </is>
      </c>
      <c r="E199" s="4" t="inlineStr">
        <is>
          <t>DMA</t>
        </is>
      </c>
      <c r="F199" s="10" t="n">
        <v>43255</v>
      </c>
      <c r="G199" s="4" t="inlineStr">
        <is>
          <t>2013gn</t>
        </is>
      </c>
      <c r="H199" s="4" t="n">
        <v>2017</v>
      </c>
      <c r="I199" s="4" t="inlineStr">
        <is>
          <t>new.amt.pc2</t>
        </is>
      </c>
      <c r="J199" t="inlineStr">
        <is>
          <t>IDA - Regular</t>
        </is>
      </c>
      <c r="O199" t="n">
        <v>0.003251629057932816</v>
      </c>
      <c r="P199" t="n">
        <v>0.007128664286722007</v>
      </c>
      <c r="Q199" t="n">
        <v>0.01188678665870607</v>
      </c>
      <c r="R199" t="n">
        <v>0.01760843215259954</v>
      </c>
      <c r="S199" t="n">
        <v>0.02304992030586835</v>
      </c>
      <c r="T199" t="n">
        <v>0.02611214030502506</v>
      </c>
      <c r="U199" t="n">
        <v>0.02805452043101071</v>
      </c>
      <c r="V199" t="n">
        <v>0.02954708667716729</v>
      </c>
      <c r="W199" t="n">
        <v>0.03092329027337515</v>
      </c>
      <c r="X199" t="n">
        <v>0.03219817221546319</v>
      </c>
      <c r="Y199" t="n">
        <v>0.03333820257690509</v>
      </c>
      <c r="Z199" t="n">
        <v>0.0343509755307671</v>
      </c>
      <c r="AA199" t="n">
        <v>0.03530757655940992</v>
      </c>
      <c r="AB199" t="n">
        <v>0.03623839934866502</v>
      </c>
      <c r="AC199" t="n">
        <v>0.03716073905781172</v>
      </c>
      <c r="AD199" t="n">
        <v>0.03781999521864647</v>
      </c>
      <c r="AE199" t="n">
        <v>0.03834258684584174</v>
      </c>
      <c r="AF199" t="n">
        <v>0.03886291575116445</v>
      </c>
      <c r="AG199" t="n">
        <v>0.03939705328807873</v>
      </c>
      <c r="AH199" t="n">
        <v>0.03994759440649132</v>
      </c>
      <c r="AI199" t="n">
        <v>0.04051531976550726</v>
      </c>
    </row>
    <row r="200">
      <c r="A200" t="inlineStr">
        <is>
          <t>Dominica_2018_August</t>
        </is>
      </c>
      <c r="B200" s="2" t="n"/>
      <c r="C200" s="3" t="inlineStr">
        <is>
          <t>SM.18.139</t>
        </is>
      </c>
      <c r="D200" s="4" t="inlineStr">
        <is>
          <t>Dominica</t>
        </is>
      </c>
      <c r="E200" s="4" t="inlineStr">
        <is>
          <t>DMA</t>
        </is>
      </c>
      <c r="F200" s="10" t="n">
        <v>43255</v>
      </c>
      <c r="G200" s="4" t="inlineStr">
        <is>
          <t>2013gn</t>
        </is>
      </c>
      <c r="H200" s="4" t="n">
        <v>2017</v>
      </c>
      <c r="I200" s="4" t="inlineStr">
        <is>
          <t>new.amt.pc3</t>
        </is>
      </c>
      <c r="J200" t="inlineStr">
        <is>
          <t>IBRD</t>
        </is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</row>
    <row r="201">
      <c r="A201" t="inlineStr">
        <is>
          <t>Dominica_2018_August</t>
        </is>
      </c>
      <c r="B201" s="2" t="n"/>
      <c r="C201" s="3" t="inlineStr">
        <is>
          <t>SM.18.139</t>
        </is>
      </c>
      <c r="D201" s="4" t="inlineStr">
        <is>
          <t>Dominica</t>
        </is>
      </c>
      <c r="E201" s="4" t="inlineStr">
        <is>
          <t>DMA</t>
        </is>
      </c>
      <c r="F201" s="10" t="n">
        <v>43255</v>
      </c>
      <c r="G201" s="4" t="inlineStr">
        <is>
          <t>2013gn</t>
        </is>
      </c>
      <c r="H201" s="4" t="n">
        <v>2017</v>
      </c>
      <c r="I201" s="4" t="inlineStr">
        <is>
          <t>new.amt.pc4</t>
        </is>
      </c>
      <c r="J201" t="inlineStr">
        <is>
          <t>Other Multilateral</t>
        </is>
      </c>
      <c r="O201" t="n">
        <v>0.01300651623173126</v>
      </c>
      <c r="P201" t="n">
        <v>0.02851465714688803</v>
      </c>
      <c r="Q201" t="n">
        <v>0.0475471466348243</v>
      </c>
      <c r="R201" t="n">
        <v>0.07043372861039816</v>
      </c>
      <c r="S201" t="n">
        <v>0.0921996812234734</v>
      </c>
      <c r="T201" t="n">
        <v>0.1044485612201002</v>
      </c>
      <c r="U201" t="n">
        <v>0.1122180817240428</v>
      </c>
      <c r="V201" t="n">
        <v>0.1185948003409108</v>
      </c>
      <c r="W201" t="n">
        <v>0.1249906977615824</v>
      </c>
      <c r="X201" t="n">
        <v>0.1315760738622729</v>
      </c>
      <c r="Y201" t="n">
        <v>0.1383372493271154</v>
      </c>
      <c r="Z201" t="n">
        <v>0.1439689295576239</v>
      </c>
      <c r="AA201" t="n">
        <v>0.1482078854956345</v>
      </c>
      <c r="AB201" t="n">
        <v>0.1506832770430488</v>
      </c>
      <c r="AC201" t="n">
        <v>0.1510353505292492</v>
      </c>
      <c r="AD201" t="n">
        <v>0.1483583663552903</v>
      </c>
      <c r="AE201" t="n">
        <v>0.1441156290502574</v>
      </c>
      <c r="AF201" t="n">
        <v>0.1392981755406163</v>
      </c>
      <c r="AG201" t="n">
        <v>0.1341149200660822</v>
      </c>
      <c r="AH201" t="n">
        <v>0.1285792648521211</v>
      </c>
      <c r="AI201" t="n">
        <v>0.1226797498095949</v>
      </c>
    </row>
    <row r="202">
      <c r="A202" t="inlineStr">
        <is>
          <t>Dominica_2018_August</t>
        </is>
      </c>
      <c r="B202" s="2" t="n"/>
      <c r="C202" s="3" t="inlineStr">
        <is>
          <t>SM.18.139</t>
        </is>
      </c>
      <c r="D202" s="4" t="inlineStr">
        <is>
          <t>Dominica</t>
        </is>
      </c>
      <c r="E202" s="4" t="inlineStr">
        <is>
          <t>DMA</t>
        </is>
      </c>
      <c r="F202" s="10" t="n">
        <v>43255</v>
      </c>
      <c r="G202" s="4" t="inlineStr">
        <is>
          <t>2013gn</t>
        </is>
      </c>
      <c r="H202" s="4" t="n">
        <v>2017</v>
      </c>
      <c r="I202" s="4" t="inlineStr">
        <is>
          <t>new.amt.pc5</t>
        </is>
      </c>
      <c r="J202" t="inlineStr">
        <is>
          <t>Official Bilaterals</t>
        </is>
      </c>
      <c r="O202" t="n">
        <v>0.0294361391547343</v>
      </c>
      <c r="P202" t="n">
        <v>0.05356960893986158</v>
      </c>
      <c r="Q202" t="n">
        <v>0.07746252027820871</v>
      </c>
      <c r="R202" t="n">
        <v>0.1098384080602702</v>
      </c>
      <c r="S202" t="n">
        <v>0.1372939001152382</v>
      </c>
      <c r="T202" t="n">
        <v>0.1562764394645904</v>
      </c>
      <c r="U202" t="n">
        <v>0.1743117461190665</v>
      </c>
      <c r="V202" t="n">
        <v>0.1900036722285279</v>
      </c>
      <c r="W202" t="n">
        <v>0.2061026372292225</v>
      </c>
      <c r="X202" t="n">
        <v>0.2220082209940176</v>
      </c>
      <c r="Y202" t="n">
        <v>0.2354967267202637</v>
      </c>
      <c r="Z202" t="n">
        <v>0.248390363798104</v>
      </c>
      <c r="AA202" t="n">
        <v>0.2610943628340235</v>
      </c>
      <c r="AB202" t="n">
        <v>0.2757343182967109</v>
      </c>
      <c r="AC202" t="n">
        <v>0.2924758299365458</v>
      </c>
      <c r="AD202" t="n">
        <v>0.3101408284776993</v>
      </c>
      <c r="AE202" t="n">
        <v>0.3287011025134283</v>
      </c>
      <c r="AF202" t="n">
        <v>0.3477007632467162</v>
      </c>
      <c r="AG202" t="n">
        <v>0.3672087718946554</v>
      </c>
      <c r="AH202" t="n">
        <v>0.3874987749789831</v>
      </c>
      <c r="AI202" t="n">
        <v>0.407552677173588</v>
      </c>
    </row>
    <row r="203">
      <c r="A203" t="inlineStr">
        <is>
          <t>Dominica_2018_August</t>
        </is>
      </c>
      <c r="B203" s="2" t="n"/>
      <c r="C203" s="3" t="inlineStr">
        <is>
          <t>SM.18.139</t>
        </is>
      </c>
      <c r="D203" s="4" t="inlineStr">
        <is>
          <t>Dominica</t>
        </is>
      </c>
      <c r="E203" s="4" t="inlineStr">
        <is>
          <t>DMA</t>
        </is>
      </c>
      <c r="F203" s="10" t="n">
        <v>43255</v>
      </c>
      <c r="G203" s="4" t="inlineStr">
        <is>
          <t>2013gn</t>
        </is>
      </c>
      <c r="H203" s="4" t="n">
        <v>2017</v>
      </c>
      <c r="I203" s="4" t="inlineStr">
        <is>
          <t>new.amt.npc</t>
        </is>
      </c>
      <c r="J203" t="inlineStr">
        <is>
          <t xml:space="preserve">   PC</t>
        </is>
      </c>
      <c r="O203" t="n">
        <v>0.01859737562829158</v>
      </c>
      <c r="P203" t="n">
        <v>0.02980739465078822</v>
      </c>
      <c r="Q203" t="n">
        <v>0.03783989808252178</v>
      </c>
      <c r="R203" t="n">
        <v>0.05114363421827173</v>
      </c>
      <c r="S203" t="n">
        <v>0.06046083242901035</v>
      </c>
      <c r="T203" t="n">
        <v>0.06923597178117347</v>
      </c>
      <c r="U203" t="n">
        <v>0.08188055436834168</v>
      </c>
      <c r="V203" t="n">
        <v>0.09463476972598717</v>
      </c>
      <c r="W203" t="n">
        <v>0.109366082429024</v>
      </c>
      <c r="X203" t="n">
        <v>0.125653330160777</v>
      </c>
      <c r="Y203" t="n">
        <v>0.1411908297682771</v>
      </c>
      <c r="Z203" t="n">
        <v>0.1570115704030577</v>
      </c>
      <c r="AA203" t="n">
        <v>0.1731583915387314</v>
      </c>
      <c r="AB203" t="n">
        <v>0.1916561585207474</v>
      </c>
      <c r="AC203" t="n">
        <v>0.2126506896846805</v>
      </c>
      <c r="AD203" t="n">
        <v>0.2358278744240331</v>
      </c>
      <c r="AE203" t="n">
        <v>0.2596639438702298</v>
      </c>
      <c r="AF203" t="n">
        <v>0.2830562193873742</v>
      </c>
      <c r="AG203" t="n">
        <v>0.3057351122522386</v>
      </c>
      <c r="AH203" t="n">
        <v>0.3276519682375682</v>
      </c>
      <c r="AI203" t="n">
        <v>0.3478896163264357</v>
      </c>
    </row>
    <row r="204">
      <c r="A204" t="inlineStr">
        <is>
          <t>Dominica_2018_August</t>
        </is>
      </c>
      <c r="B204" s="2" t="n"/>
      <c r="C204" s="3" t="inlineStr">
        <is>
          <t>SM.18.139</t>
        </is>
      </c>
      <c r="D204" s="4" t="inlineStr">
        <is>
          <t>Dominica</t>
        </is>
      </c>
      <c r="E204" s="4" t="inlineStr">
        <is>
          <t>DMA</t>
        </is>
      </c>
      <c r="F204" s="10" t="n">
        <v>43255</v>
      </c>
      <c r="G204" s="4" t="inlineStr">
        <is>
          <t>2013gn</t>
        </is>
      </c>
      <c r="H204" s="4" t="n">
        <v>2017</v>
      </c>
      <c r="I204" s="4" t="inlineStr">
        <is>
          <t>new.amt.npc.eximbk</t>
        </is>
      </c>
      <c r="J204" t="inlineStr">
        <is>
          <t>…</t>
        </is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</row>
    <row r="205">
      <c r="A205" t="inlineStr">
        <is>
          <t>Dominica_2018_August</t>
        </is>
      </c>
      <c r="B205" s="2" t="n"/>
      <c r="C205" s="3" t="inlineStr">
        <is>
          <t>SM.18.139</t>
        </is>
      </c>
      <c r="D205" s="4" t="inlineStr">
        <is>
          <t>Dominica</t>
        </is>
      </c>
      <c r="E205" s="4" t="inlineStr">
        <is>
          <t>DMA</t>
        </is>
      </c>
      <c r="F205" s="10" t="n">
        <v>43255</v>
      </c>
      <c r="G205" s="4" t="inlineStr">
        <is>
          <t>2013gn</t>
        </is>
      </c>
      <c r="H205" s="4" t="n">
        <v>2017</v>
      </c>
      <c r="I205" s="4" t="inlineStr">
        <is>
          <t>new.amt.npc2</t>
        </is>
      </c>
      <c r="J205" t="inlineStr">
        <is>
          <t>…</t>
        </is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</row>
    <row r="206">
      <c r="A206" t="inlineStr">
        <is>
          <t>Dominica_2018_August</t>
        </is>
      </c>
      <c r="B206" s="2" t="n"/>
      <c r="C206" s="3" t="inlineStr">
        <is>
          <t>SM.18.139</t>
        </is>
      </c>
      <c r="D206" s="4" t="inlineStr">
        <is>
          <t>Dominica</t>
        </is>
      </c>
      <c r="E206" s="4" t="inlineStr">
        <is>
          <t>DMA</t>
        </is>
      </c>
      <c r="F206" s="10" t="n">
        <v>43255</v>
      </c>
      <c r="G206" s="4" t="inlineStr">
        <is>
          <t>2013gn</t>
        </is>
      </c>
      <c r="H206" s="4" t="n">
        <v>2017</v>
      </c>
      <c r="I206" s="4" t="inlineStr">
        <is>
          <t>new.amt.npc3</t>
        </is>
      </c>
      <c r="J206" t="inlineStr">
        <is>
          <t xml:space="preserve">   Others Paris Club</t>
        </is>
      </c>
      <c r="O206" t="n">
        <v>0.01859737562829158</v>
      </c>
      <c r="P206" t="n">
        <v>0.02980739465078822</v>
      </c>
      <c r="Q206" t="n">
        <v>0.03783989808252178</v>
      </c>
      <c r="R206" t="n">
        <v>0.05114363421827173</v>
      </c>
      <c r="S206" t="n">
        <v>0.06046083242901035</v>
      </c>
      <c r="T206" t="n">
        <v>0.06923597178117347</v>
      </c>
      <c r="U206" t="n">
        <v>0.08188055436834168</v>
      </c>
      <c r="V206" t="n">
        <v>0.09463476972598717</v>
      </c>
      <c r="W206" t="n">
        <v>0.109366082429024</v>
      </c>
      <c r="X206" t="n">
        <v>0.125653330160777</v>
      </c>
      <c r="Y206" t="n">
        <v>0.1411908297682771</v>
      </c>
      <c r="Z206" t="n">
        <v>0.1570115704030577</v>
      </c>
      <c r="AA206" t="n">
        <v>0.1731583915387314</v>
      </c>
      <c r="AB206" t="n">
        <v>0.1916561585207474</v>
      </c>
      <c r="AC206" t="n">
        <v>0.2126506896846805</v>
      </c>
      <c r="AD206" t="n">
        <v>0.2358278744240331</v>
      </c>
      <c r="AE206" t="n">
        <v>0.2596639438702298</v>
      </c>
      <c r="AF206" t="n">
        <v>0.2830562193873742</v>
      </c>
      <c r="AG206" t="n">
        <v>0.3057351122522386</v>
      </c>
      <c r="AH206" t="n">
        <v>0.3276519682375682</v>
      </c>
      <c r="AI206" t="n">
        <v>0.3478896163264357</v>
      </c>
    </row>
    <row r="207">
      <c r="A207" t="inlineStr">
        <is>
          <t>Dominica_2018_August</t>
        </is>
      </c>
      <c r="B207" s="2" t="n"/>
      <c r="C207" s="3" t="inlineStr">
        <is>
          <t>SM.18.139</t>
        </is>
      </c>
      <c r="D207" s="4" t="inlineStr">
        <is>
          <t>Dominica</t>
        </is>
      </c>
      <c r="E207" s="4" t="inlineStr">
        <is>
          <t>DMA</t>
        </is>
      </c>
      <c r="F207" s="10" t="n">
        <v>43255</v>
      </c>
      <c r="G207" s="4" t="inlineStr">
        <is>
          <t>2013gn</t>
        </is>
      </c>
      <c r="H207" s="4" t="n">
        <v>2017</v>
      </c>
      <c r="I207" s="4" t="inlineStr">
        <is>
          <t>new.amt.npc4</t>
        </is>
      </c>
      <c r="J207" t="inlineStr">
        <is>
          <t xml:space="preserve">   NPC</t>
        </is>
      </c>
      <c r="O207" t="n">
        <v>0.01083876352644272</v>
      </c>
      <c r="P207" t="n">
        <v>0.02376221428907336</v>
      </c>
      <c r="Q207" t="n">
        <v>0.03962262219568692</v>
      </c>
      <c r="R207" t="n">
        <v>0.05869477384199848</v>
      </c>
      <c r="S207" t="n">
        <v>0.07683306768622784</v>
      </c>
      <c r="T207" t="n">
        <v>0.08704046768341689</v>
      </c>
      <c r="U207" t="n">
        <v>0.09243119175072478</v>
      </c>
      <c r="V207" t="n">
        <v>0.09536890250254072</v>
      </c>
      <c r="W207" t="n">
        <v>0.09673655480019844</v>
      </c>
      <c r="X207" t="n">
        <v>0.09635489083324059</v>
      </c>
      <c r="Y207" t="n">
        <v>0.0943058969519866</v>
      </c>
      <c r="Z207" t="n">
        <v>0.09137879339504623</v>
      </c>
      <c r="AA207" t="n">
        <v>0.08793597129529217</v>
      </c>
      <c r="AB207" t="n">
        <v>0.08407815977596353</v>
      </c>
      <c r="AC207" t="n">
        <v>0.07982514025186521</v>
      </c>
      <c r="AD207" t="n">
        <v>0.07431295405366617</v>
      </c>
      <c r="AE207" t="n">
        <v>0.06903715864319841</v>
      </c>
      <c r="AF207" t="n">
        <v>0.06464454385934197</v>
      </c>
      <c r="AG207" t="n">
        <v>0.06147365964241681</v>
      </c>
      <c r="AH207" t="n">
        <v>0.05984680674141483</v>
      </c>
      <c r="AI207" t="n">
        <v>0.05966306084715235</v>
      </c>
    </row>
    <row r="208">
      <c r="A208" t="inlineStr">
        <is>
          <t>Dominica_2018_August</t>
        </is>
      </c>
      <c r="B208" s="2" t="n"/>
      <c r="C208" s="3" t="inlineStr">
        <is>
          <t>SM.18.139</t>
        </is>
      </c>
      <c r="D208" s="4" t="inlineStr">
        <is>
          <t>Dominica</t>
        </is>
      </c>
      <c r="E208" s="4" t="inlineStr">
        <is>
          <t>DMA</t>
        </is>
      </c>
      <c r="F208" s="10" t="n">
        <v>43255</v>
      </c>
      <c r="G208" s="4" t="inlineStr">
        <is>
          <t>2013gn</t>
        </is>
      </c>
      <c r="H208" s="4" t="n">
        <v>2017</v>
      </c>
      <c r="I208" s="4" t="inlineStr">
        <is>
          <t>new.amt.npc5</t>
        </is>
      </c>
      <c r="J208" t="inlineStr">
        <is>
          <t>…</t>
        </is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</row>
    <row r="209">
      <c r="A209" t="inlineStr">
        <is>
          <t>Dominica_2018_August</t>
        </is>
      </c>
      <c r="B209" s="2" t="n"/>
      <c r="C209" s="3" t="inlineStr">
        <is>
          <t>SM.18.139</t>
        </is>
      </c>
      <c r="D209" s="4" t="inlineStr">
        <is>
          <t>Dominica</t>
        </is>
      </c>
      <c r="E209" s="4" t="inlineStr">
        <is>
          <t>DMA</t>
        </is>
      </c>
      <c r="F209" s="10" t="n">
        <v>43255</v>
      </c>
      <c r="G209" s="4" t="inlineStr">
        <is>
          <t>2013gn</t>
        </is>
      </c>
      <c r="H209" s="4" t="n">
        <v>2017</v>
      </c>
      <c r="I209" s="4" t="inlineStr">
        <is>
          <t>new.amt.prvt</t>
        </is>
      </c>
      <c r="J209" t="inlineStr">
        <is>
          <t>…</t>
        </is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</row>
    <row r="210">
      <c r="A210" t="inlineStr">
        <is>
          <t>Dominica_2018_August</t>
        </is>
      </c>
      <c r="B210" s="2" t="n"/>
      <c r="C210" s="3" t="inlineStr">
        <is>
          <t>SM.18.139</t>
        </is>
      </c>
      <c r="D210" s="4" t="inlineStr">
        <is>
          <t>Dominica</t>
        </is>
      </c>
      <c r="E210" s="4" t="inlineStr">
        <is>
          <t>DMA</t>
        </is>
      </c>
      <c r="F210" s="10" t="n">
        <v>43255</v>
      </c>
      <c r="G210" s="4" t="inlineStr">
        <is>
          <t>2013gn</t>
        </is>
      </c>
      <c r="H210" s="4" t="n">
        <v>2017</v>
      </c>
      <c r="I210" s="4" t="inlineStr">
        <is>
          <t>new.amt.prvt.bnd</t>
        </is>
      </c>
      <c r="J210" t="inlineStr">
        <is>
          <t xml:space="preserve">   Others Non Paris Club</t>
        </is>
      </c>
      <c r="O210" t="n">
        <v>0.01083876352644272</v>
      </c>
      <c r="P210" t="n">
        <v>0.02376221428907336</v>
      </c>
      <c r="Q210" t="n">
        <v>0.03962262219568692</v>
      </c>
      <c r="R210" t="n">
        <v>0.05869477384199848</v>
      </c>
      <c r="S210" t="n">
        <v>0.07683306768622784</v>
      </c>
      <c r="T210" t="n">
        <v>0.08704046768341689</v>
      </c>
      <c r="U210" t="n">
        <v>0.09243119175072478</v>
      </c>
      <c r="V210" t="n">
        <v>0.09536890250254072</v>
      </c>
      <c r="W210" t="n">
        <v>0.09673655480019844</v>
      </c>
      <c r="X210" t="n">
        <v>0.09635489083324059</v>
      </c>
      <c r="Y210" t="n">
        <v>0.0943058969519866</v>
      </c>
      <c r="Z210" t="n">
        <v>0.09137879339504623</v>
      </c>
      <c r="AA210" t="n">
        <v>0.08793597129529217</v>
      </c>
      <c r="AB210" t="n">
        <v>0.08407815977596353</v>
      </c>
      <c r="AC210" t="n">
        <v>0.07982514025186521</v>
      </c>
      <c r="AD210" t="n">
        <v>0.07431295405366617</v>
      </c>
      <c r="AE210" t="n">
        <v>0.06903715864319841</v>
      </c>
      <c r="AF210" t="n">
        <v>0.06464454385934197</v>
      </c>
      <c r="AG210" t="n">
        <v>0.06147365964241681</v>
      </c>
      <c r="AH210" t="n">
        <v>0.05984680674141483</v>
      </c>
      <c r="AI210" t="n">
        <v>0.05966306084715235</v>
      </c>
    </row>
    <row r="211">
      <c r="A211" t="inlineStr">
        <is>
          <t>Dominica_2018_August</t>
        </is>
      </c>
      <c r="B211" s="2" t="n"/>
      <c r="C211" s="3" t="inlineStr">
        <is>
          <t>SM.18.139</t>
        </is>
      </c>
      <c r="D211" s="4" t="inlineStr">
        <is>
          <t>Dominica</t>
        </is>
      </c>
      <c r="E211" s="4" t="inlineStr">
        <is>
          <t>DMA</t>
        </is>
      </c>
      <c r="F211" s="10" t="n">
        <v>43255</v>
      </c>
      <c r="G211" s="4" t="inlineStr">
        <is>
          <t>2013gn</t>
        </is>
      </c>
      <c r="H211" s="4" t="n">
        <v>2017</v>
      </c>
      <c r="I211" s="4" t="inlineStr">
        <is>
          <t>new.amt.prvt.cmbk</t>
        </is>
      </c>
      <c r="J211" t="inlineStr">
        <is>
          <t>Commercial</t>
        </is>
      </c>
      <c r="O211" t="n">
        <v>0.00230335577585724</v>
      </c>
      <c r="P211" t="n">
        <v>0.00204890495756654</v>
      </c>
      <c r="Q211" t="n">
        <v>0.003978873228433152</v>
      </c>
      <c r="R211" t="n">
        <v>0.02074858290684064</v>
      </c>
      <c r="S211" t="n">
        <v>0.02714896438053488</v>
      </c>
      <c r="T211" t="n">
        <v>0.03060976587059397</v>
      </c>
      <c r="U211" t="n">
        <v>0.03261225672110606</v>
      </c>
      <c r="V211" t="n">
        <v>0.03393981833242976</v>
      </c>
      <c r="W211" t="n">
        <v>0.03501827419953699</v>
      </c>
      <c r="X211" t="n">
        <v>0.0337469009365814</v>
      </c>
      <c r="Y211" t="n">
        <v>0.03428919594796336</v>
      </c>
      <c r="Z211" t="n">
        <v>0.03476229881774789</v>
      </c>
      <c r="AA211" t="n">
        <v>0.03430905396615244</v>
      </c>
      <c r="AB211" t="n">
        <v>0.03381828970525592</v>
      </c>
      <c r="AC211" t="n">
        <v>0.0337016300320894</v>
      </c>
      <c r="AD211" t="n">
        <v>0.03418791354816189</v>
      </c>
      <c r="AE211" t="n">
        <v>0.03498573519856223</v>
      </c>
      <c r="AF211" t="n">
        <v>0.03609787039184439</v>
      </c>
      <c r="AG211" t="n">
        <v>0.03749649146656057</v>
      </c>
      <c r="AH211" t="n">
        <v>0.03897206072323202</v>
      </c>
      <c r="AI211" t="n">
        <v>0.04049665722715752</v>
      </c>
    </row>
    <row r="212">
      <c r="A212" t="inlineStr">
        <is>
          <t>Dominica_2018_August</t>
        </is>
      </c>
      <c r="B212" s="2" t="n"/>
      <c r="C212" s="3" t="inlineStr">
        <is>
          <t>SM.18.139</t>
        </is>
      </c>
      <c r="D212" s="4" t="inlineStr">
        <is>
          <t>Dominica</t>
        </is>
      </c>
      <c r="E212" s="4" t="inlineStr">
        <is>
          <t>DMA</t>
        </is>
      </c>
      <c r="F212" s="10" t="n">
        <v>43255</v>
      </c>
      <c r="G212" s="4" t="inlineStr">
        <is>
          <t>2013gn</t>
        </is>
      </c>
      <c r="H212" s="4" t="n">
        <v>2017</v>
      </c>
      <c r="I212" s="4" t="inlineStr">
        <is>
          <t>new.amt.prvt.com3</t>
        </is>
      </c>
      <c r="J212" t="inlineStr">
        <is>
          <t>…</t>
        </is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</row>
    <row r="213">
      <c r="A213" t="inlineStr">
        <is>
          <t>Dominica_2018_August</t>
        </is>
      </c>
      <c r="B213" s="2" t="n"/>
      <c r="C213" s="3" t="inlineStr">
        <is>
          <t>SM.18.139</t>
        </is>
      </c>
      <c r="D213" s="4" t="inlineStr">
        <is>
          <t>Dominica</t>
        </is>
      </c>
      <c r="E213" s="4" t="inlineStr">
        <is>
          <t>DMA</t>
        </is>
      </c>
      <c r="F213" s="10" t="n">
        <v>43255</v>
      </c>
      <c r="G213" s="4" t="inlineStr">
        <is>
          <t>2013gn</t>
        </is>
      </c>
      <c r="H213" s="4" t="n">
        <v>2017</v>
      </c>
      <c r="I213" s="4" t="inlineStr">
        <is>
          <t>new.amt.prvt.com4</t>
        </is>
      </c>
      <c r="J213" t="inlineStr">
        <is>
          <t>…</t>
        </is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</row>
    <row r="214">
      <c r="A214" t="inlineStr">
        <is>
          <t>Dominica_2018_August</t>
        </is>
      </c>
      <c r="B214" s="2" t="n"/>
      <c r="C214" s="3" t="inlineStr">
        <is>
          <t>SM.18.139</t>
        </is>
      </c>
      <c r="D214" s="4" t="inlineStr">
        <is>
          <t>Dominica</t>
        </is>
      </c>
      <c r="E214" s="4" t="inlineStr">
        <is>
          <t>DMA</t>
        </is>
      </c>
      <c r="F214" s="10" t="n">
        <v>43255</v>
      </c>
      <c r="G214" s="4" t="inlineStr">
        <is>
          <t>2013gn</t>
        </is>
      </c>
      <c r="H214" s="4" t="n">
        <v>2017</v>
      </c>
      <c r="I214" s="4" t="inlineStr">
        <is>
          <t>new.amt.prvt.com5</t>
        </is>
      </c>
      <c r="J214" t="inlineStr">
        <is>
          <t xml:space="preserve">   Others Commercial</t>
        </is>
      </c>
      <c r="O214" t="n">
        <v>0.00230335577585724</v>
      </c>
      <c r="P214" t="n">
        <v>0.00204890495756654</v>
      </c>
      <c r="Q214" t="n">
        <v>0.003978873228433152</v>
      </c>
      <c r="R214" t="n">
        <v>0.02074858290684064</v>
      </c>
      <c r="S214" t="n">
        <v>0.02714896438053488</v>
      </c>
      <c r="T214" t="n">
        <v>0.03060976587059397</v>
      </c>
      <c r="U214" t="n">
        <v>0.03261225672110606</v>
      </c>
      <c r="V214" t="n">
        <v>0.03393981833242976</v>
      </c>
      <c r="W214" t="n">
        <v>0.03501827419953699</v>
      </c>
      <c r="X214" t="n">
        <v>0.0337469009365814</v>
      </c>
      <c r="Y214" t="n">
        <v>0.03428919594796336</v>
      </c>
      <c r="Z214" t="n">
        <v>0.03476229881774789</v>
      </c>
      <c r="AA214" t="n">
        <v>0.03430905396615244</v>
      </c>
      <c r="AB214" t="n">
        <v>0.03381828970525592</v>
      </c>
      <c r="AC214" t="n">
        <v>0.0337016300320894</v>
      </c>
      <c r="AD214" t="n">
        <v>0.03418791354816189</v>
      </c>
      <c r="AE214" t="n">
        <v>0.03498573519856223</v>
      </c>
      <c r="AF214" t="n">
        <v>0.03609787039184439</v>
      </c>
      <c r="AG214" t="n">
        <v>0.03749649146656057</v>
      </c>
      <c r="AH214" t="n">
        <v>0.03897206072323202</v>
      </c>
      <c r="AI214" t="n">
        <v>0.04049665722715752</v>
      </c>
    </row>
    <row r="215">
      <c r="A215" t="inlineStr">
        <is>
          <t>Dominica_2018_August</t>
        </is>
      </c>
      <c r="B215" s="2" t="n"/>
      <c r="C215" s="3" t="inlineStr">
        <is>
          <t>SM.18.139</t>
        </is>
      </c>
      <c r="D215" s="4" t="inlineStr">
        <is>
          <t>Dominica</t>
        </is>
      </c>
      <c r="E215" s="4" t="inlineStr">
        <is>
          <t>DMA</t>
        </is>
      </c>
      <c r="F215" s="10" t="n">
        <v>43255</v>
      </c>
      <c r="G215" s="4" t="inlineStr">
        <is>
          <t>2013gn</t>
        </is>
      </c>
      <c r="H215" s="4" t="n">
        <v>2017</v>
      </c>
      <c r="I215" s="4" t="inlineStr">
        <is>
          <t>new.amt.lcl.nres</t>
        </is>
      </c>
    </row>
    <row r="216">
      <c r="A216" t="inlineStr">
        <is>
          <t>Dominica_2018_August</t>
        </is>
      </c>
      <c r="B216" s="2" t="n"/>
      <c r="C216" s="3" t="inlineStr">
        <is>
          <t>SM.18.139</t>
        </is>
      </c>
      <c r="D216" s="4" t="inlineStr">
        <is>
          <t>Dominica</t>
        </is>
      </c>
      <c r="E216" s="4" t="inlineStr">
        <is>
          <t>DMA</t>
        </is>
      </c>
      <c r="F216" s="10" t="n">
        <v>43255</v>
      </c>
      <c r="G216" s="4" t="inlineStr">
        <is>
          <t>2013gn</t>
        </is>
      </c>
      <c r="H216" s="4" t="n">
        <v>2017</v>
      </c>
      <c r="I216" s="4" t="inlineStr">
        <is>
          <t>new.amt.lcl.nres.lc</t>
        </is>
      </c>
      <c r="J216" t="inlineStr">
        <is>
          <t>Nominal value (=PV) of ST debt</t>
        </is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</row>
    <row r="217">
      <c r="A217" t="inlineStr">
        <is>
          <t>Dominica_2018_August</t>
        </is>
      </c>
      <c r="B217" s="2" t="n"/>
      <c r="C217" s="3" t="inlineStr">
        <is>
          <t>SM.18.139</t>
        </is>
      </c>
      <c r="D217" s="4" t="inlineStr">
        <is>
          <t>Dominica</t>
        </is>
      </c>
      <c r="E217" s="4" t="inlineStr">
        <is>
          <t>DMA</t>
        </is>
      </c>
      <c r="F217" s="10" t="n">
        <v>43255</v>
      </c>
      <c r="G217" s="4" t="inlineStr">
        <is>
          <t>2013gn</t>
        </is>
      </c>
      <c r="H217" s="4" t="n">
        <v>2017</v>
      </c>
      <c r="I217" s="4" t="inlineStr">
        <is>
          <t>new.amt.lcl.nres.bnd.1to3.lc</t>
        </is>
      </c>
      <c r="J217" t="inlineStr">
        <is>
          <t>Interest</t>
        </is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</row>
    <row r="218">
      <c r="A218" t="inlineStr">
        <is>
          <t>Dominica_2018_August</t>
        </is>
      </c>
      <c r="B218" s="2" t="n"/>
      <c r="C218" s="3" t="inlineStr">
        <is>
          <t>SM.18.139</t>
        </is>
      </c>
      <c r="D218" s="4" t="inlineStr">
        <is>
          <t>Dominica</t>
        </is>
      </c>
      <c r="E218" s="4" t="inlineStr">
        <is>
          <t>DMA</t>
        </is>
      </c>
      <c r="F218" s="10" t="n">
        <v>43255</v>
      </c>
      <c r="G218" s="4" t="inlineStr">
        <is>
          <t>2013gn</t>
        </is>
      </c>
      <c r="H218" s="4" t="n">
        <v>2017</v>
      </c>
      <c r="I218" s="4" t="inlineStr">
        <is>
          <t>new.amt.lcl.nres.bnd.4to7.lc</t>
        </is>
      </c>
    </row>
    <row r="219">
      <c r="A219" t="inlineStr">
        <is>
          <t>Dominica_2018_August</t>
        </is>
      </c>
      <c r="B219" s="2" t="n"/>
      <c r="C219" s="3" t="inlineStr">
        <is>
          <t>SM.18.139</t>
        </is>
      </c>
      <c r="D219" s="4" t="inlineStr">
        <is>
          <t>Dominica</t>
        </is>
      </c>
      <c r="E219" s="4" t="inlineStr">
        <is>
          <t>DMA</t>
        </is>
      </c>
      <c r="F219" s="10" t="n">
        <v>43255</v>
      </c>
      <c r="G219" s="4" t="inlineStr">
        <is>
          <t>2013gn</t>
        </is>
      </c>
      <c r="H219" s="4" t="n">
        <v>2017</v>
      </c>
      <c r="I219" s="4" t="inlineStr">
        <is>
          <t>new.amt.lcl.nres.bnd.byd7.lc</t>
        </is>
      </c>
      <c r="J219" t="inlineStr">
        <is>
          <t>PV of net use of SDRs</t>
        </is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</row>
    <row r="220">
      <c r="A220" t="inlineStr">
        <is>
          <t>Dominica_2018_August</t>
        </is>
      </c>
      <c r="B220" s="2" t="n"/>
      <c r="C220" s="3" t="inlineStr">
        <is>
          <t>SM.18.139</t>
        </is>
      </c>
      <c r="D220" s="4" t="inlineStr">
        <is>
          <t>Dominica</t>
        </is>
      </c>
      <c r="E220" s="4" t="inlineStr">
        <is>
          <t>DMA</t>
        </is>
      </c>
      <c r="F220" s="10" t="n">
        <v>43255</v>
      </c>
      <c r="G220" s="4" t="inlineStr">
        <is>
          <t>2013gn</t>
        </is>
      </c>
      <c r="H220" s="4" t="n">
        <v>2017</v>
      </c>
      <c r="I220" s="4" t="inlineStr">
        <is>
          <t>new.amt.lcl.nres.fx</t>
        </is>
      </c>
      <c r="J220" t="inlineStr">
        <is>
          <t>Total PV of debt</t>
        </is>
      </c>
      <c r="N220" t="n">
        <v>0.2450650105420223</v>
      </c>
      <c r="O220" t="n">
        <v>0.2770893606828643</v>
      </c>
      <c r="P220" t="n">
        <v>0.2946390508413189</v>
      </c>
      <c r="Q220" t="n">
        <v>0.3098110846538038</v>
      </c>
      <c r="R220" t="n">
        <v>0.3589014594731476</v>
      </c>
      <c r="S220" t="n">
        <v>0.3940679219938258</v>
      </c>
      <c r="T220" t="n">
        <v>0.4107661751471002</v>
      </c>
      <c r="U220" t="n">
        <v>0.4204758523871146</v>
      </c>
      <c r="V220" t="n">
        <v>0.4254656964954556</v>
      </c>
      <c r="W220" t="n">
        <v>0.4315686560831759</v>
      </c>
      <c r="X220" t="n">
        <v>0.4353783800769277</v>
      </c>
      <c r="Y220" t="n">
        <v>0.4392918605008259</v>
      </c>
      <c r="Z220" t="n">
        <v>0.4451814958333372</v>
      </c>
      <c r="AA220" t="n">
        <v>0.4493210076198546</v>
      </c>
      <c r="AB220" t="n">
        <v>0.4532711522740148</v>
      </c>
      <c r="AC220" t="n">
        <v>0.4592229077705321</v>
      </c>
      <c r="AD220" t="n">
        <v>0.4646686746741446</v>
      </c>
      <c r="AE220" t="n">
        <v>0.4703620297492026</v>
      </c>
      <c r="AF220" t="n">
        <v>0.4763619291971299</v>
      </c>
      <c r="AG220" t="n">
        <v>0.4829620271940797</v>
      </c>
      <c r="AH220" t="n">
        <v>0.4902613807903118</v>
      </c>
      <c r="AI220" t="n">
        <v>0.4981247813869827</v>
      </c>
    </row>
    <row r="221">
      <c r="A221" t="inlineStr">
        <is>
          <t>Dominica_2018_August</t>
        </is>
      </c>
      <c r="B221" s="2" t="n"/>
      <c r="C221" s="3" t="inlineStr">
        <is>
          <t>SM.18.139</t>
        </is>
      </c>
      <c r="D221" s="4" t="inlineStr">
        <is>
          <t>Dominica</t>
        </is>
      </c>
      <c r="E221" s="4" t="inlineStr">
        <is>
          <t>DMA</t>
        </is>
      </c>
      <c r="F221" s="10" t="n">
        <v>43255</v>
      </c>
      <c r="G221" s="4" t="inlineStr">
        <is>
          <t>2013gn</t>
        </is>
      </c>
      <c r="H221" s="4" t="n">
        <v>2017</v>
      </c>
      <c r="I221" s="4" t="inlineStr">
        <is>
          <t>new.amt.lcl.nres.bnd.1to3.fx</t>
        </is>
      </c>
    </row>
    <row r="222">
      <c r="A222" t="inlineStr">
        <is>
          <t>Dominica_2018_August</t>
        </is>
      </c>
      <c r="B222" s="2" t="n"/>
      <c r="C222" s="3" t="inlineStr">
        <is>
          <t>SM.18.139</t>
        </is>
      </c>
      <c r="D222" s="4" t="inlineStr">
        <is>
          <t>Dominica</t>
        </is>
      </c>
      <c r="E222" s="4" t="inlineStr">
        <is>
          <t>DMA</t>
        </is>
      </c>
      <c r="F222" s="10" t="n">
        <v>43255</v>
      </c>
      <c r="G222" s="4" t="inlineStr">
        <is>
          <t>2013gn</t>
        </is>
      </c>
      <c r="H222" s="4" t="n">
        <v>2017</v>
      </c>
      <c r="I222" s="4" t="inlineStr">
        <is>
          <t>new.amt.lcl.nres.bnd.4to7.fx</t>
        </is>
      </c>
      <c r="J222" t="inlineStr">
        <is>
          <t>Nominal PPG debt check</t>
        </is>
      </c>
      <c r="N222" t="n">
        <v>0</v>
      </c>
      <c r="O222" t="n">
        <v>0</v>
      </c>
      <c r="P222" t="n">
        <v>0</v>
      </c>
      <c r="Q222" t="n">
        <v>0</v>
      </c>
      <c r="R222" t="n">
        <v>2.775557561562891e-17</v>
      </c>
      <c r="S222" t="n">
        <v>0</v>
      </c>
      <c r="T222" t="n">
        <v>0</v>
      </c>
      <c r="U222" t="n">
        <v>0</v>
      </c>
      <c r="V222" t="n">
        <v>0</v>
      </c>
      <c r="W222" t="n">
        <v>-1.387778780781446e-17</v>
      </c>
      <c r="X222" t="n">
        <v>5.551115123125783e-17</v>
      </c>
      <c r="Y222" t="n">
        <v>0</v>
      </c>
      <c r="Z222" t="n">
        <v>1.387778780781446e-17</v>
      </c>
      <c r="AA222" t="n">
        <v>-4.85722573273506e-17</v>
      </c>
      <c r="AB222" t="n">
        <v>-4.163336342344337e-17</v>
      </c>
      <c r="AC222" t="n">
        <v>4.85722573273506e-17</v>
      </c>
      <c r="AD222" t="n">
        <v>1.387778780781446e-17</v>
      </c>
      <c r="AE222" t="n">
        <v>-2.42861286636753e-17</v>
      </c>
      <c r="AF222" t="n">
        <v>2.081668171172169e-17</v>
      </c>
      <c r="AG222" t="n">
        <v>-2.081668171172169e-17</v>
      </c>
      <c r="AH222" t="n">
        <v>-1.387778780781446e-17</v>
      </c>
      <c r="AI222" t="n">
        <v>2.168404344971009e-17</v>
      </c>
    </row>
    <row r="223">
      <c r="A223" t="inlineStr">
        <is>
          <t>Dominica_2018_August</t>
        </is>
      </c>
      <c r="B223" s="2" t="n"/>
      <c r="C223" s="3" t="inlineStr">
        <is>
          <t>SM.18.139</t>
        </is>
      </c>
      <c r="D223" s="4" t="inlineStr">
        <is>
          <t>Dominica</t>
        </is>
      </c>
      <c r="E223" s="4" t="inlineStr">
        <is>
          <t>DMA</t>
        </is>
      </c>
      <c r="F223" s="10" t="n">
        <v>43255</v>
      </c>
      <c r="G223" s="4" t="inlineStr">
        <is>
          <t>2013gn</t>
        </is>
      </c>
      <c r="H223" s="4" t="n">
        <v>2017</v>
      </c>
      <c r="I223" s="4" t="inlineStr">
        <is>
          <t>new.amt.lcl.nres.bnd.byd7.fx</t>
        </is>
      </c>
      <c r="J223" t="inlineStr">
        <is>
          <t>Total public debt service</t>
        </is>
      </c>
      <c r="N223" t="n">
        <v>0.02891994197032799</v>
      </c>
      <c r="O223" t="n">
        <v>0.02039547528208273</v>
      </c>
      <c r="P223" t="n">
        <v>0.03145930893600665</v>
      </c>
      <c r="Q223" t="n">
        <v>0.04086748763316232</v>
      </c>
      <c r="R223" t="n">
        <v>0.03343240073334783</v>
      </c>
      <c r="S223" t="n">
        <v>0.03472469698616582</v>
      </c>
      <c r="T223" t="n">
        <v>0.03877653021268102</v>
      </c>
      <c r="U223" t="n">
        <v>0.04204067283411866</v>
      </c>
      <c r="V223" t="n">
        <v>0.04538188313293437</v>
      </c>
      <c r="W223" t="n">
        <v>0.04864192040895005</v>
      </c>
      <c r="X223" t="n">
        <v>0.0522935981327123</v>
      </c>
      <c r="Y223" t="n">
        <v>0.05286873527015519</v>
      </c>
      <c r="Z223" t="n">
        <v>0.05257274706889173</v>
      </c>
      <c r="AA223" t="n">
        <v>0.05496150544284456</v>
      </c>
      <c r="AB223" t="n">
        <v>0.05818073005414489</v>
      </c>
      <c r="AC223" t="n">
        <v>0.05977629258576397</v>
      </c>
      <c r="AD223" t="n">
        <v>0.06198931740991639</v>
      </c>
      <c r="AE223" t="n">
        <v>0.06330563277920996</v>
      </c>
      <c r="AF223" t="n">
        <v>0.06478334275488323</v>
      </c>
      <c r="AG223" t="n">
        <v>0.06589151881646765</v>
      </c>
      <c r="AH223" t="n">
        <v>0.06701162398276793</v>
      </c>
      <c r="AI223" t="n">
        <v>0.0676609765531347</v>
      </c>
    </row>
    <row r="224">
      <c r="A224" t="inlineStr">
        <is>
          <t>Dominica_2018_August</t>
        </is>
      </c>
      <c r="B224" s="2" t="n"/>
      <c r="C224" s="3" t="inlineStr">
        <is>
          <t>SM.18.139</t>
        </is>
      </c>
      <c r="D224" s="4" t="inlineStr">
        <is>
          <t>Dominica</t>
        </is>
      </c>
      <c r="E224" s="4" t="inlineStr">
        <is>
          <t>DMA</t>
        </is>
      </c>
      <c r="F224" s="10" t="n">
        <v>43255</v>
      </c>
      <c r="G224" s="4" t="inlineStr">
        <is>
          <t>2013gn</t>
        </is>
      </c>
      <c r="H224" s="4" t="n">
        <v>2017</v>
      </c>
      <c r="I224" s="5" t="n"/>
      <c r="J224" t="inlineStr">
        <is>
          <t xml:space="preserve">    of which: principal</t>
        </is>
      </c>
      <c r="N224" t="n">
        <v>0.0214953117099327</v>
      </c>
      <c r="O224" t="n">
        <v>0.0154323495851503</v>
      </c>
      <c r="P224" t="n">
        <v>0.0230101790295947</v>
      </c>
      <c r="Q224" t="n">
        <v>0.03109974014772915</v>
      </c>
      <c r="R224" t="n">
        <v>0.02251118361370061</v>
      </c>
      <c r="S224" t="n">
        <v>0.02179410672113042</v>
      </c>
      <c r="T224" t="n">
        <v>0.02453228033659608</v>
      </c>
      <c r="U224" t="n">
        <v>0.02707476331487899</v>
      </c>
      <c r="V224" t="n">
        <v>0.03000057973566523</v>
      </c>
      <c r="W224" t="n">
        <v>0.03288578946037946</v>
      </c>
      <c r="X224" t="n">
        <v>0.03620030420348602</v>
      </c>
      <c r="Y224" t="n">
        <v>0.03648654497583516</v>
      </c>
      <c r="Z224" t="n">
        <v>0.03696428592607515</v>
      </c>
      <c r="AA224" t="n">
        <v>0.03771413024847035</v>
      </c>
      <c r="AB224" t="n">
        <v>0.0406633403262803</v>
      </c>
      <c r="AC224" t="n">
        <v>0.04198153769222385</v>
      </c>
      <c r="AD224" t="n">
        <v>0.04391646947988043</v>
      </c>
      <c r="AE224" t="n">
        <v>0.04516261596748553</v>
      </c>
      <c r="AF224" t="n">
        <v>0.04630422451158406</v>
      </c>
      <c r="AG224" t="n">
        <v>0.04704349399917201</v>
      </c>
      <c r="AH224" t="n">
        <v>0.04775727642602336</v>
      </c>
      <c r="AI224" t="n">
        <v>0.04797190355005196</v>
      </c>
    </row>
    <row r="225">
      <c r="A225" t="inlineStr">
        <is>
          <t>Dominica_2018_August</t>
        </is>
      </c>
      <c r="B225" s="2" t="n"/>
      <c r="C225" s="3" t="inlineStr">
        <is>
          <t>SM.18.139</t>
        </is>
      </c>
      <c r="D225" s="4" t="inlineStr">
        <is>
          <t>Dominica</t>
        </is>
      </c>
      <c r="E225" s="4" t="inlineStr">
        <is>
          <t>DMA</t>
        </is>
      </c>
      <c r="F225" s="10" t="n">
        <v>43255</v>
      </c>
      <c r="G225" s="4" t="inlineStr">
        <is>
          <t>2013gn</t>
        </is>
      </c>
      <c r="H225" s="4" t="n">
        <v>2017</v>
      </c>
      <c r="I225" s="4" t="inlineStr">
        <is>
          <t>new.amt.lcl.fx</t>
        </is>
      </c>
      <c r="J225" t="inlineStr">
        <is>
          <t xml:space="preserve">    of which: interest</t>
        </is>
      </c>
      <c r="N225" t="n">
        <v>0.007424630260395287</v>
      </c>
      <c r="O225" t="n">
        <v>0.00496312569693243</v>
      </c>
      <c r="P225" t="n">
        <v>0.008449129906411945</v>
      </c>
      <c r="Q225" t="n">
        <v>0.00976774748543317</v>
      </c>
      <c r="R225" t="n">
        <v>0.01092121711964722</v>
      </c>
      <c r="S225" t="n">
        <v>0.0129305902650354</v>
      </c>
      <c r="T225" t="n">
        <v>0.01424424987608494</v>
      </c>
      <c r="U225" t="n">
        <v>0.01496590951923968</v>
      </c>
      <c r="V225" t="n">
        <v>0.01538130339726914</v>
      </c>
      <c r="W225" t="n">
        <v>0.01575613094857059</v>
      </c>
      <c r="X225" t="n">
        <v>0.01609329392922629</v>
      </c>
      <c r="Y225" t="n">
        <v>0.01638219029432003</v>
      </c>
      <c r="Z225" t="n">
        <v>0.01560846114281658</v>
      </c>
      <c r="AA225" t="n">
        <v>0.01724737519437421</v>
      </c>
      <c r="AB225" t="n">
        <v>0.01751738972786459</v>
      </c>
      <c r="AC225" t="n">
        <v>0.01779475489354011</v>
      </c>
      <c r="AD225" t="n">
        <v>0.01807284793003595</v>
      </c>
      <c r="AE225" t="n">
        <v>0.01814301681172444</v>
      </c>
      <c r="AF225" t="n">
        <v>0.01847911824329917</v>
      </c>
      <c r="AG225" t="n">
        <v>0.01884802481729564</v>
      </c>
      <c r="AH225" t="n">
        <v>0.01925434755674456</v>
      </c>
      <c r="AI225" t="n">
        <v>0.01968907300308274</v>
      </c>
    </row>
    <row r="226">
      <c r="A226" t="inlineStr">
        <is>
          <t>Dominica_2018_August</t>
        </is>
      </c>
      <c r="B226" s="2" t="n"/>
      <c r="C226" s="3" t="inlineStr">
        <is>
          <t>SM.18.139</t>
        </is>
      </c>
      <c r="D226" s="4" t="inlineStr">
        <is>
          <t>Dominica</t>
        </is>
      </c>
      <c r="E226" s="4" t="inlineStr">
        <is>
          <t>DMA</t>
        </is>
      </c>
      <c r="F226" s="10" t="n">
        <v>43255</v>
      </c>
      <c r="G226" s="4" t="inlineStr">
        <is>
          <t>2013gn</t>
        </is>
      </c>
      <c r="H226" s="4" t="n">
        <v>2017</v>
      </c>
      <c r="I226" s="4" t="inlineStr">
        <is>
          <t>new.amt.lcl.fx.bnd.1to3.fx</t>
        </is>
      </c>
    </row>
    <row r="227">
      <c r="A227" t="inlineStr">
        <is>
          <t>Dominica_2018_August</t>
        </is>
      </c>
      <c r="B227" s="2" t="n"/>
      <c r="C227" s="3" t="inlineStr">
        <is>
          <t>SM.18.139</t>
        </is>
      </c>
      <c r="D227" s="4" t="inlineStr">
        <is>
          <t>Dominica</t>
        </is>
      </c>
      <c r="E227" s="4" t="inlineStr">
        <is>
          <t>DMA</t>
        </is>
      </c>
      <c r="F227" s="10" t="n">
        <v>43255</v>
      </c>
      <c r="G227" s="4" t="inlineStr">
        <is>
          <t>2013gn</t>
        </is>
      </c>
      <c r="H227" s="4" t="n">
        <v>2017</v>
      </c>
      <c r="I227" s="4" t="inlineStr">
        <is>
          <t>new.amt.lcl.fx.bnd.4to7.fx</t>
        </is>
      </c>
    </row>
    <row r="228">
      <c r="A228" t="inlineStr">
        <is>
          <t>Dominica_2018_August</t>
        </is>
      </c>
      <c r="B228" s="2" t="n"/>
      <c r="C228" s="3" t="inlineStr">
        <is>
          <t>SM.18.139</t>
        </is>
      </c>
      <c r="D228" s="4" t="inlineStr">
        <is>
          <t>Dominica</t>
        </is>
      </c>
      <c r="E228" s="4" t="inlineStr">
        <is>
          <t>DMA</t>
        </is>
      </c>
      <c r="F228" s="10" t="n">
        <v>43255</v>
      </c>
      <c r="G228" s="4" t="inlineStr">
        <is>
          <t>2013gn</t>
        </is>
      </c>
      <c r="H228" s="4" t="n">
        <v>2017</v>
      </c>
      <c r="I228" s="4" t="inlineStr">
        <is>
          <t>new.amt.lcl.fx.bnd.byd7.fx</t>
        </is>
      </c>
      <c r="J228" t="inlineStr">
        <is>
          <t>Calculation of grant implicit in new borrowing and average discount rates</t>
        </is>
      </c>
    </row>
    <row r="229">
      <c r="A229" t="inlineStr">
        <is>
          <t>Dominica_2018_August</t>
        </is>
      </c>
      <c r="B229" s="2" t="n"/>
      <c r="C229" s="3" t="inlineStr">
        <is>
          <t>SM.18.139</t>
        </is>
      </c>
      <c r="D229" s="4" t="inlineStr">
        <is>
          <t>Dominica</t>
        </is>
      </c>
      <c r="E229" s="4" t="inlineStr">
        <is>
          <t>DMA</t>
        </is>
      </c>
      <c r="F229" s="10" t="n">
        <v>43255</v>
      </c>
      <c r="G229" s="4" t="inlineStr">
        <is>
          <t>2013gn</t>
        </is>
      </c>
      <c r="H229" s="4" t="n">
        <v>2017</v>
      </c>
      <c r="I229" s="5" t="n"/>
    </row>
    <row r="230">
      <c r="A230" t="inlineStr">
        <is>
          <t>Dominica_2018_August</t>
        </is>
      </c>
      <c r="B230" s="2" t="n"/>
      <c r="C230" s="3" t="inlineStr">
        <is>
          <t>SM.18.139</t>
        </is>
      </c>
      <c r="D230" s="4" t="inlineStr">
        <is>
          <t>Dominica</t>
        </is>
      </c>
      <c r="E230" s="4" t="inlineStr">
        <is>
          <t>DMA</t>
        </is>
      </c>
      <c r="F230" s="10" t="n">
        <v>43255</v>
      </c>
      <c r="G230" s="4" t="inlineStr">
        <is>
          <t>2013gn</t>
        </is>
      </c>
      <c r="H230" s="4" t="n">
        <v>2017</v>
      </c>
      <c r="I230" s="4" t="inlineStr">
        <is>
          <t>pv.old.dbt.mlg.trm</t>
        </is>
      </c>
      <c r="J230" t="inlineStr">
        <is>
          <t>PV of new disbursements PPG</t>
        </is>
      </c>
      <c r="O230" t="n">
        <v>0.03936193067457203</v>
      </c>
      <c r="P230" t="n">
        <v>0.03515453106031804</v>
      </c>
      <c r="Q230" t="n">
        <v>0.04130756890358118</v>
      </c>
      <c r="R230" t="n">
        <v>0.06703222132000143</v>
      </c>
      <c r="S230" t="n">
        <v>0.05194608653318665</v>
      </c>
      <c r="T230" t="n">
        <v>0.03577138726626414</v>
      </c>
      <c r="U230" t="n">
        <v>0.03121204131677805</v>
      </c>
      <c r="V230" t="n">
        <v>0.02934793462191953</v>
      </c>
      <c r="W230" t="n">
        <v>0.0334715951718976</v>
      </c>
      <c r="X230" t="n">
        <v>0.03452488932230525</v>
      </c>
      <c r="Y230" t="n">
        <v>0.03501329669020692</v>
      </c>
      <c r="Z230" t="n">
        <v>0.03649778937636166</v>
      </c>
      <c r="AA230" t="n">
        <v>0.03684194243769524</v>
      </c>
      <c r="AB230" t="n">
        <v>0.03966482432731222</v>
      </c>
      <c r="AC230" t="n">
        <v>0.04306449046858057</v>
      </c>
      <c r="AD230" t="n">
        <v>0.04447393892500236</v>
      </c>
      <c r="AE230" t="n">
        <v>0.04576555412056063</v>
      </c>
      <c r="AF230" t="n">
        <v>0.0472651407153504</v>
      </c>
      <c r="AG230" t="n">
        <v>0.04867352035356091</v>
      </c>
      <c r="AH230" t="n">
        <v>0.0501628762192961</v>
      </c>
      <c r="AI230" t="n">
        <v>0.05101130811028991</v>
      </c>
    </row>
    <row r="231">
      <c r="A231" t="inlineStr">
        <is>
          <t>Dominica_2018_August</t>
        </is>
      </c>
      <c r="B231" s="2" t="n"/>
      <c r="C231" s="3" t="inlineStr">
        <is>
          <t>SM.18.139</t>
        </is>
      </c>
      <c r="D231" s="4" t="inlineStr">
        <is>
          <t>Dominica</t>
        </is>
      </c>
      <c r="E231" s="4" t="inlineStr">
        <is>
          <t>DMA</t>
        </is>
      </c>
      <c r="F231" s="10" t="n">
        <v>43255</v>
      </c>
      <c r="G231" s="4" t="inlineStr">
        <is>
          <t>2013gn</t>
        </is>
      </c>
      <c r="H231" s="4" t="n">
        <v>2017</v>
      </c>
      <c r="I231" s="5" t="n"/>
      <c r="J231" t="inlineStr">
        <is>
          <t>Grant element of new disbursement (percent)</t>
        </is>
      </c>
      <c r="O231" t="n">
        <v>17.99194607496393</v>
      </c>
      <c r="P231" t="n">
        <v>18.74451617486202</v>
      </c>
      <c r="Q231" t="n">
        <v>17.50721981413448</v>
      </c>
      <c r="R231" t="n">
        <v>14.24113495049689</v>
      </c>
      <c r="S231" t="n">
        <v>16.15002275387937</v>
      </c>
      <c r="T231" t="n">
        <v>14.98841064564498</v>
      </c>
      <c r="U231" t="n">
        <v>14.75622671794486</v>
      </c>
      <c r="V231" t="n">
        <v>14.29839456301089</v>
      </c>
      <c r="W231" t="n">
        <v>14.28642726918808</v>
      </c>
      <c r="X231" t="n">
        <v>15.12348221998809</v>
      </c>
      <c r="Y231" t="n">
        <v>15.019436728228</v>
      </c>
      <c r="Z231" t="n">
        <v>15.1475790687929</v>
      </c>
      <c r="AA231" t="n">
        <v>15.56912362654328</v>
      </c>
      <c r="AB231" t="n">
        <v>15.82434017504999</v>
      </c>
      <c r="AC231" t="n">
        <v>16.02362477196863</v>
      </c>
      <c r="AD231" t="n">
        <v>16.09745266518751</v>
      </c>
      <c r="AE231" t="n">
        <v>16.10512289757816</v>
      </c>
      <c r="AF231" t="n">
        <v>16.08108096540975</v>
      </c>
      <c r="AG231" t="n">
        <v>16.03960413153003</v>
      </c>
      <c r="AH231" t="n">
        <v>16.00140148246836</v>
      </c>
      <c r="AI231" t="n">
        <v>15.90321213773809</v>
      </c>
    </row>
    <row r="232">
      <c r="A232" t="inlineStr">
        <is>
          <t>Dominica_2018_August</t>
        </is>
      </c>
      <c r="B232" s="2" t="n"/>
      <c r="C232" s="3" t="inlineStr">
        <is>
          <t>SM.18.139</t>
        </is>
      </c>
      <c r="D232" s="4" t="inlineStr">
        <is>
          <t>Dominica</t>
        </is>
      </c>
      <c r="E232" s="4" t="inlineStr">
        <is>
          <t>DMA</t>
        </is>
      </c>
      <c r="F232" s="10" t="n">
        <v>43255</v>
      </c>
      <c r="G232" s="4" t="inlineStr">
        <is>
          <t>2013gn</t>
        </is>
      </c>
      <c r="H232" s="4" t="n">
        <v>2017</v>
      </c>
      <c r="I232" s="4" t="inlineStr">
        <is>
          <t>pv.old.dbt.mlt</t>
        </is>
      </c>
      <c r="J232" t="inlineStr">
        <is>
          <t>Grant implicit in new disbursements (US billion)</t>
        </is>
      </c>
      <c r="O232" t="n">
        <v>0.008635709545683589</v>
      </c>
      <c r="P232" t="n">
        <v>0.008109664050464496</v>
      </c>
      <c r="Q232" t="n">
        <v>0.008766593720724337</v>
      </c>
      <c r="R232" t="n">
        <v>0.01113138460144822</v>
      </c>
      <c r="S232" t="n">
        <v>0.01000513663854052</v>
      </c>
      <c r="T232" t="n">
        <v>0.006306860579635736</v>
      </c>
      <c r="U232" t="n">
        <v>0.005402998251570772</v>
      </c>
      <c r="V232" t="n">
        <v>0.004896388424627344</v>
      </c>
      <c r="W232" t="n">
        <v>0.005578924023022605</v>
      </c>
      <c r="X232" t="n">
        <v>0.006151719739094921</v>
      </c>
      <c r="Y232" t="n">
        <v>0.006188238510533846</v>
      </c>
      <c r="Z232" t="n">
        <v>0.006515467023183768</v>
      </c>
      <c r="AA232" t="n">
        <v>0.006793684740607465</v>
      </c>
      <c r="AB232" t="n">
        <v>0.007456664722845965</v>
      </c>
      <c r="AC232" t="n">
        <v>0.008217182920681911</v>
      </c>
      <c r="AD232" t="n">
        <v>0.008532722180922636</v>
      </c>
      <c r="AE232" t="n">
        <v>0.008785517054725103</v>
      </c>
      <c r="AF232" t="n">
        <v>0.009057249109366413</v>
      </c>
      <c r="AG232" t="n">
        <v>0.009298479242309858</v>
      </c>
      <c r="AH232" t="n">
        <v>0.009555829931290963</v>
      </c>
      <c r="AI232" t="n">
        <v>0.009646547447569069</v>
      </c>
    </row>
    <row r="233">
      <c r="A233" t="inlineStr">
        <is>
          <t>Dominica_2018_August</t>
        </is>
      </c>
      <c r="B233" s="2" t="n"/>
      <c r="C233" s="3" t="inlineStr">
        <is>
          <t>SM.18.139</t>
        </is>
      </c>
      <c r="D233" s="4" t="inlineStr">
        <is>
          <t>Dominica</t>
        </is>
      </c>
      <c r="E233" s="4" t="inlineStr">
        <is>
          <t>DMA</t>
        </is>
      </c>
      <c r="F233" s="10" t="n">
        <v>43255</v>
      </c>
      <c r="G233" s="4" t="inlineStr">
        <is>
          <t>2013gn</t>
        </is>
      </c>
      <c r="H233" s="4" t="n">
        <v>2017</v>
      </c>
      <c r="I233" s="4" t="inlineStr">
        <is>
          <t>pv.old.dbt.mlt.imf</t>
        </is>
      </c>
      <c r="J233" t="inlineStr">
        <is>
          <t>Average discount rate</t>
        </is>
      </c>
      <c r="O233" t="n">
        <v>5</v>
      </c>
      <c r="P233" t="n">
        <v>5</v>
      </c>
      <c r="Q233" t="n">
        <v>5</v>
      </c>
      <c r="R233" t="n">
        <v>5.000000000000001</v>
      </c>
      <c r="S233" t="n">
        <v>5.000000000000001</v>
      </c>
      <c r="T233" t="n">
        <v>5</v>
      </c>
      <c r="U233" t="n">
        <v>5</v>
      </c>
      <c r="V233" t="n">
        <v>5</v>
      </c>
      <c r="W233" t="n">
        <v>5</v>
      </c>
      <c r="X233" t="n">
        <v>5.000000000000001</v>
      </c>
      <c r="Y233" t="n">
        <v>5.000000000000001</v>
      </c>
      <c r="Z233" t="n">
        <v>5</v>
      </c>
      <c r="AA233" t="n">
        <v>5</v>
      </c>
      <c r="AB233" t="n">
        <v>5.000000000000001</v>
      </c>
      <c r="AC233" t="n">
        <v>5.000000000000001</v>
      </c>
      <c r="AD233" t="n">
        <v>5.000000000000001</v>
      </c>
      <c r="AE233" t="n">
        <v>5</v>
      </c>
      <c r="AF233" t="n">
        <v>5</v>
      </c>
      <c r="AG233" t="n">
        <v>5.000000000000001</v>
      </c>
      <c r="AH233" t="n">
        <v>5</v>
      </c>
      <c r="AI233" t="n">
        <v>5.000000000000001</v>
      </c>
    </row>
    <row r="234">
      <c r="A234" t="inlineStr">
        <is>
          <t>Dominica_2018_August</t>
        </is>
      </c>
      <c r="B234" s="2" t="n"/>
      <c r="C234" s="3" t="inlineStr">
        <is>
          <t>SM.18.139</t>
        </is>
      </c>
      <c r="D234" s="4" t="inlineStr">
        <is>
          <t>Dominica</t>
        </is>
      </c>
      <c r="E234" s="4" t="inlineStr">
        <is>
          <t>DMA</t>
        </is>
      </c>
      <c r="F234" s="10" t="n">
        <v>43255</v>
      </c>
      <c r="G234" s="4" t="inlineStr">
        <is>
          <t>2013gn</t>
        </is>
      </c>
      <c r="H234" s="4" t="n">
        <v>2017</v>
      </c>
      <c r="I234" s="4" t="inlineStr">
        <is>
          <t>pv.old.dbt.mlt.ida.reg</t>
        </is>
      </c>
    </row>
    <row r="235">
      <c r="A235" t="inlineStr">
        <is>
          <t>Dominica_2018_August</t>
        </is>
      </c>
      <c r="B235" s="2" t="n"/>
      <c r="C235" s="3" t="inlineStr">
        <is>
          <t>SM.18.139</t>
        </is>
      </c>
      <c r="D235" s="4" t="inlineStr">
        <is>
          <t>Dominica</t>
        </is>
      </c>
      <c r="E235" s="4" t="inlineStr">
        <is>
          <t>DMA</t>
        </is>
      </c>
      <c r="F235" s="10" t="n">
        <v>43255</v>
      </c>
      <c r="G235" s="4" t="inlineStr">
        <is>
          <t>2013gn</t>
        </is>
      </c>
      <c r="H235" s="4" t="n">
        <v>2017</v>
      </c>
      <c r="I235" s="4" t="inlineStr">
        <is>
          <t>pv.old.dbt.mlt.ida.bld</t>
        </is>
      </c>
    </row>
    <row r="236">
      <c r="A236" t="inlineStr">
        <is>
          <t>Dominica_2018_August</t>
        </is>
      </c>
      <c r="B236" s="2" t="n"/>
      <c r="C236" s="3" t="inlineStr">
        <is>
          <t>SM.18.139</t>
        </is>
      </c>
      <c r="D236" s="4" t="inlineStr">
        <is>
          <t>Dominica</t>
        </is>
      </c>
      <c r="E236" s="4" t="inlineStr">
        <is>
          <t>DMA</t>
        </is>
      </c>
      <c r="F236" s="10" t="n">
        <v>43255</v>
      </c>
      <c r="G236" s="4" t="inlineStr">
        <is>
          <t>2013gn</t>
        </is>
      </c>
      <c r="H236" s="4" t="n">
        <v>2017</v>
      </c>
      <c r="I236" s="4" t="inlineStr">
        <is>
          <t>pv.old.dbt.mlt.afdb</t>
        </is>
      </c>
      <c r="J236" t="inlineStr">
        <is>
          <t xml:space="preserve">1/ After rescheduling if a rescheduling has been agreed or is imminent. For HIPCs that have reached their decision or completion points, </t>
        </is>
      </c>
    </row>
    <row r="237">
      <c r="A237" t="inlineStr">
        <is>
          <t>Dominica_2018_August</t>
        </is>
      </c>
      <c r="B237" s="2" t="n"/>
      <c r="C237" s="3" t="inlineStr">
        <is>
          <t>SM.18.139</t>
        </is>
      </c>
      <c r="D237" s="4" t="inlineStr">
        <is>
          <t>Dominica</t>
        </is>
      </c>
      <c r="E237" s="4" t="inlineStr">
        <is>
          <t>DMA</t>
        </is>
      </c>
      <c r="F237" s="10" t="n">
        <v>43255</v>
      </c>
      <c r="G237" s="4" t="inlineStr">
        <is>
          <t>2013gn</t>
        </is>
      </c>
      <c r="H237" s="4" t="n">
        <v>2017</v>
      </c>
      <c r="I237" s="4" t="inlineStr">
        <is>
          <t>pv.old.dbt.mlt2</t>
        </is>
      </c>
      <c r="J237" t="inlineStr">
        <is>
          <t>enter debt service due after HIPC assistance (including additional bilateral assistance for completion point cases).</t>
        </is>
      </c>
    </row>
    <row r="238">
      <c r="A238" t="inlineStr">
        <is>
          <t>Dominica_2018_August</t>
        </is>
      </c>
      <c r="B238" s="2" t="n"/>
      <c r="C238" s="3" t="inlineStr">
        <is>
          <t>SM.18.139</t>
        </is>
      </c>
      <c r="D238" s="4" t="inlineStr">
        <is>
          <t>Dominica</t>
        </is>
      </c>
      <c r="E238" s="4" t="inlineStr">
        <is>
          <t>DMA</t>
        </is>
      </c>
      <c r="F238" s="10" t="n">
        <v>43255</v>
      </c>
      <c r="G238" s="4" t="inlineStr">
        <is>
          <t>2013gn</t>
        </is>
      </c>
      <c r="H238" s="4" t="n">
        <v>2017</v>
      </c>
      <c r="I238" s="4" t="inlineStr">
        <is>
          <t>pv.old.dbt.mlt3</t>
        </is>
      </c>
    </row>
    <row r="239">
      <c r="A239" t="inlineStr">
        <is>
          <t>Dominica_2018_August</t>
        </is>
      </c>
      <c r="B239" s="2" t="n"/>
      <c r="C239" s="3" t="inlineStr">
        <is>
          <t>SM.18.139</t>
        </is>
      </c>
      <c r="D239" s="4" t="inlineStr">
        <is>
          <t>Dominica</t>
        </is>
      </c>
      <c r="E239" s="4" t="inlineStr">
        <is>
          <t>DMA</t>
        </is>
      </c>
      <c r="F239" s="10" t="n">
        <v>43255</v>
      </c>
      <c r="G239" s="4" t="inlineStr">
        <is>
          <t>2013gn</t>
        </is>
      </c>
      <c r="H239" s="4" t="n">
        <v>2017</v>
      </c>
      <c r="I239" s="4" t="inlineStr">
        <is>
          <t>pv.old.dbt.mlt.oth</t>
        </is>
      </c>
    </row>
    <row r="240">
      <c r="A240" t="inlineStr">
        <is>
          <t>Dominica_2018_August</t>
        </is>
      </c>
      <c r="B240" s="2" t="n"/>
      <c r="C240" s="3" t="inlineStr">
        <is>
          <t>SM.18.139</t>
        </is>
      </c>
      <c r="D240" s="4" t="inlineStr">
        <is>
          <t>Dominica</t>
        </is>
      </c>
      <c r="E240" s="4" t="inlineStr">
        <is>
          <t>DMA</t>
        </is>
      </c>
      <c r="F240" s="10" t="n">
        <v>43255</v>
      </c>
      <c r="G240" s="4" t="inlineStr">
        <is>
          <t>2013gn</t>
        </is>
      </c>
      <c r="H240" s="4" t="n">
        <v>2017</v>
      </c>
      <c r="I240" s="4" t="inlineStr">
        <is>
          <t>pv.old.dbt.mlt.oth1</t>
        </is>
      </c>
      <c r="J240" t="inlineStr">
        <is>
          <t>Concessional loans</t>
        </is>
      </c>
      <c r="L240" t="inlineStr">
        <is>
          <t>Minimum Concessionality Requirement</t>
        </is>
      </c>
      <c r="M240" t="n">
        <v>0.35</v>
      </c>
      <c r="O240" t="n">
        <v>0.003251629057932816</v>
      </c>
      <c r="P240" t="n">
        <v>0.003877035228789192</v>
      </c>
      <c r="Q240" t="n">
        <v>0.004758122371984067</v>
      </c>
      <c r="R240" t="n">
        <v>0.005721645493893468</v>
      </c>
      <c r="S240" t="n">
        <v>0.005441488153268808</v>
      </c>
      <c r="T240" t="n">
        <v>0.003062219999156712</v>
      </c>
      <c r="U240" t="n">
        <v>0.001942380125985648</v>
      </c>
      <c r="V240" t="n">
        <v>0.001594179654216984</v>
      </c>
      <c r="W240" t="n">
        <v>0.00159897435516792</v>
      </c>
      <c r="X240" t="n">
        <v>0.0016463440251726</v>
      </c>
      <c r="Y240" t="n">
        <v>0.00169029386621064</v>
      </c>
      <c r="Z240" t="n">
        <v>0.001733082963420396</v>
      </c>
      <c r="AA240" t="n">
        <v>0.001772605413174852</v>
      </c>
      <c r="AB240" t="n">
        <v>0.00180752655272418</v>
      </c>
      <c r="AC240" t="n">
        <v>0.001848861586810068</v>
      </c>
      <c r="AD240" t="n">
        <v>0.001635745987097112</v>
      </c>
      <c r="AE240" t="n">
        <v>0.001550529704244276</v>
      </c>
      <c r="AF240" t="n">
        <v>0.001601088665690796</v>
      </c>
      <c r="AG240" t="n">
        <v>0.001669056139889256</v>
      </c>
      <c r="AH240" t="n">
        <v>0.00174085364054928</v>
      </c>
      <c r="AI240" t="n">
        <v>0.001814523085925256</v>
      </c>
    </row>
    <row r="241">
      <c r="A241" t="inlineStr">
        <is>
          <t>Dominica_2018_August</t>
        </is>
      </c>
      <c r="B241" s="2" t="n"/>
      <c r="C241" s="3" t="inlineStr">
        <is>
          <t>SM.18.139</t>
        </is>
      </c>
      <c r="D241" s="4" t="inlineStr">
        <is>
          <t>Dominica</t>
        </is>
      </c>
      <c r="E241" s="4" t="inlineStr">
        <is>
          <t>DMA</t>
        </is>
      </c>
      <c r="F241" s="10" t="n">
        <v>43255</v>
      </c>
      <c r="G241" s="4" t="inlineStr">
        <is>
          <t>2013gn</t>
        </is>
      </c>
      <c r="H241" s="4" t="n">
        <v>2017</v>
      </c>
      <c r="I241" s="4" t="inlineStr">
        <is>
          <t>pv.old.dbt.mlt.oth2</t>
        </is>
      </c>
      <c r="J241" t="inlineStr">
        <is>
          <t>Multilaterals</t>
        </is>
      </c>
    </row>
    <row r="242">
      <c r="A242" t="inlineStr">
        <is>
          <t>Dominica_2018_August</t>
        </is>
      </c>
      <c r="B242" s="2" t="n"/>
      <c r="C242" s="3" t="inlineStr">
        <is>
          <t>SM.18.139</t>
        </is>
      </c>
      <c r="D242" s="4" t="inlineStr">
        <is>
          <t>Dominica</t>
        </is>
      </c>
      <c r="E242" s="4" t="inlineStr">
        <is>
          <t>DMA</t>
        </is>
      </c>
      <c r="F242" s="10" t="n">
        <v>43255</v>
      </c>
      <c r="G242" s="4" t="inlineStr">
        <is>
          <t>2013gn</t>
        </is>
      </c>
      <c r="H242" s="4" t="n">
        <v>2017</v>
      </c>
      <c r="I242" s="4" t="inlineStr">
        <is>
          <t>pv.old.dbt.mlt.oth3</t>
        </is>
      </c>
      <c r="J242" t="inlineStr">
        <is>
          <t xml:space="preserve">   IMF</t>
        </is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</row>
    <row r="243">
      <c r="A243" t="inlineStr">
        <is>
          <t>Dominica_2018_August</t>
        </is>
      </c>
      <c r="B243" s="2" t="n"/>
      <c r="C243" s="3" t="inlineStr">
        <is>
          <t>SM.18.139</t>
        </is>
      </c>
      <c r="D243" s="4" t="inlineStr">
        <is>
          <t>Dominica</t>
        </is>
      </c>
      <c r="E243" s="4" t="inlineStr">
        <is>
          <t>DMA</t>
        </is>
      </c>
      <c r="F243" s="10" t="n">
        <v>43255</v>
      </c>
      <c r="G243" s="4" t="inlineStr">
        <is>
          <t>2013gn</t>
        </is>
      </c>
      <c r="H243" s="4" t="n">
        <v>2017</v>
      </c>
      <c r="I243" s="4" t="inlineStr">
        <is>
          <t>pv.old.dbt.blt</t>
        </is>
      </c>
      <c r="J243" t="inlineStr">
        <is>
          <t xml:space="preserve">   IDA - Small Island Country</t>
        </is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</row>
    <row r="244">
      <c r="A244" t="inlineStr">
        <is>
          <t>Dominica_2018_August</t>
        </is>
      </c>
      <c r="B244" s="2" t="n"/>
      <c r="C244" s="3" t="inlineStr">
        <is>
          <t>SM.18.139</t>
        </is>
      </c>
      <c r="D244" s="4" t="inlineStr">
        <is>
          <t>Dominica</t>
        </is>
      </c>
      <c r="E244" s="4" t="inlineStr">
        <is>
          <t>DMA</t>
        </is>
      </c>
      <c r="F244" s="10" t="n">
        <v>43255</v>
      </c>
      <c r="G244" s="4" t="inlineStr">
        <is>
          <t>2013gn</t>
        </is>
      </c>
      <c r="H244" s="4" t="n">
        <v>2017</v>
      </c>
      <c r="I244" s="4" t="inlineStr">
        <is>
          <t>pv.old.dbt.pc</t>
        </is>
      </c>
      <c r="J244" t="inlineStr">
        <is>
          <t>IDA - Regular</t>
        </is>
      </c>
      <c r="O244" t="n">
        <v>0.003251629057932816</v>
      </c>
      <c r="P244" t="n">
        <v>0.003877035228789192</v>
      </c>
      <c r="Q244" t="n">
        <v>0.004758122371984067</v>
      </c>
      <c r="R244" t="n">
        <v>0.005721645493893468</v>
      </c>
      <c r="S244" t="n">
        <v>0.005441488153268808</v>
      </c>
      <c r="T244" t="n">
        <v>0.003062219999156712</v>
      </c>
      <c r="U244" t="n">
        <v>0.001942380125985648</v>
      </c>
      <c r="V244" t="n">
        <v>0.001594179654216984</v>
      </c>
      <c r="W244" t="n">
        <v>0.00159897435516792</v>
      </c>
      <c r="X244" t="n">
        <v>0.0016463440251726</v>
      </c>
      <c r="Y244" t="n">
        <v>0.00169029386621064</v>
      </c>
      <c r="Z244" t="n">
        <v>0.001733082963420396</v>
      </c>
      <c r="AA244" t="n">
        <v>0.001772605413174852</v>
      </c>
      <c r="AB244" t="n">
        <v>0.00180752655272418</v>
      </c>
      <c r="AC244" t="n">
        <v>0.001848861586810068</v>
      </c>
      <c r="AD244" t="n">
        <v>0.001635745987097112</v>
      </c>
      <c r="AE244" t="n">
        <v>0.001550529704244276</v>
      </c>
      <c r="AF244" t="n">
        <v>0.001601088665690796</v>
      </c>
      <c r="AG244" t="n">
        <v>0.001669056139889256</v>
      </c>
      <c r="AH244" t="n">
        <v>0.00174085364054928</v>
      </c>
      <c r="AI244" t="n">
        <v>0.001814523085925256</v>
      </c>
    </row>
    <row r="245">
      <c r="A245" t="inlineStr">
        <is>
          <t>Dominica_2018_August</t>
        </is>
      </c>
      <c r="B245" s="2" t="n"/>
      <c r="C245" s="3" t="inlineStr">
        <is>
          <t>SM.18.139</t>
        </is>
      </c>
      <c r="D245" s="4" t="inlineStr">
        <is>
          <t>Dominica</t>
        </is>
      </c>
      <c r="E245" s="4" t="inlineStr">
        <is>
          <t>DMA</t>
        </is>
      </c>
      <c r="F245" s="10" t="n">
        <v>43255</v>
      </c>
      <c r="G245" s="4" t="inlineStr">
        <is>
          <t>2013gn</t>
        </is>
      </c>
      <c r="H245" s="4" t="n">
        <v>2017</v>
      </c>
      <c r="I245" s="4" t="inlineStr">
        <is>
          <t>pv.old.dbt.pc1</t>
        </is>
      </c>
      <c r="J245" t="inlineStr">
        <is>
          <t>IBRD</t>
        </is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</row>
    <row r="246">
      <c r="A246" t="inlineStr">
        <is>
          <t>Dominica_2018_August</t>
        </is>
      </c>
      <c r="B246" s="2" t="n"/>
      <c r="C246" s="3" t="inlineStr">
        <is>
          <t>SM.18.139</t>
        </is>
      </c>
      <c r="D246" s="4" t="inlineStr">
        <is>
          <t>Dominica</t>
        </is>
      </c>
      <c r="E246" s="4" t="inlineStr">
        <is>
          <t>DMA</t>
        </is>
      </c>
      <c r="F246" s="10" t="n">
        <v>43255</v>
      </c>
      <c r="G246" s="4" t="inlineStr">
        <is>
          <t>2013gn</t>
        </is>
      </c>
      <c r="H246" s="4" t="n">
        <v>2017</v>
      </c>
      <c r="I246" s="4" t="inlineStr">
        <is>
          <t>pv.old.dbt.pc2</t>
        </is>
      </c>
      <c r="J246" t="inlineStr">
        <is>
          <t>Other Multilateral</t>
        </is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</row>
    <row r="247">
      <c r="A247" t="inlineStr">
        <is>
          <t>Dominica_2018_August</t>
        </is>
      </c>
      <c r="B247" s="2" t="n"/>
      <c r="C247" s="3" t="inlineStr">
        <is>
          <t>SM.18.139</t>
        </is>
      </c>
      <c r="D247" s="4" t="inlineStr">
        <is>
          <t>Dominica</t>
        </is>
      </c>
      <c r="E247" s="4" t="inlineStr">
        <is>
          <t>DMA</t>
        </is>
      </c>
      <c r="F247" s="10" t="n">
        <v>43255</v>
      </c>
      <c r="G247" s="4" t="inlineStr">
        <is>
          <t>2013gn</t>
        </is>
      </c>
      <c r="H247" s="4" t="n">
        <v>2017</v>
      </c>
      <c r="I247" s="4" t="inlineStr">
        <is>
          <t>pv.old.dbt.pc3</t>
        </is>
      </c>
      <c r="J247" t="inlineStr">
        <is>
          <t>Official Bilaterals</t>
        </is>
      </c>
    </row>
    <row r="248">
      <c r="A248" t="inlineStr">
        <is>
          <t>Dominica_2018_August</t>
        </is>
      </c>
      <c r="B248" s="2" t="n"/>
      <c r="C248" s="3" t="inlineStr">
        <is>
          <t>SM.18.139</t>
        </is>
      </c>
      <c r="D248" s="4" t="inlineStr">
        <is>
          <t>Dominica</t>
        </is>
      </c>
      <c r="E248" s="4" t="inlineStr">
        <is>
          <t>DMA</t>
        </is>
      </c>
      <c r="F248" s="10" t="n">
        <v>43255</v>
      </c>
      <c r="G248" s="4" t="inlineStr">
        <is>
          <t>2013gn</t>
        </is>
      </c>
      <c r="H248" s="4" t="n">
        <v>2017</v>
      </c>
      <c r="I248" s="4" t="inlineStr">
        <is>
          <t>pv.old.dbt.pc4</t>
        </is>
      </c>
      <c r="J248" t="inlineStr">
        <is>
          <t xml:space="preserve">   PC</t>
        </is>
      </c>
    </row>
    <row r="249">
      <c r="A249" t="inlineStr">
        <is>
          <t>Dominica_2018_August</t>
        </is>
      </c>
      <c r="B249" s="2" t="n"/>
      <c r="C249" s="3" t="inlineStr">
        <is>
          <t>SM.18.139</t>
        </is>
      </c>
      <c r="D249" s="4" t="inlineStr">
        <is>
          <t>Dominica</t>
        </is>
      </c>
      <c r="E249" s="4" t="inlineStr">
        <is>
          <t>DMA</t>
        </is>
      </c>
      <c r="F249" s="10" t="n">
        <v>43255</v>
      </c>
      <c r="G249" s="4" t="inlineStr">
        <is>
          <t>2013gn</t>
        </is>
      </c>
      <c r="H249" s="4" t="n">
        <v>2017</v>
      </c>
      <c r="I249" s="4" t="inlineStr">
        <is>
          <t>pv.old.dbt.pc5</t>
        </is>
      </c>
      <c r="J249" t="inlineStr">
        <is>
          <t>…</t>
        </is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</row>
    <row r="250">
      <c r="A250" t="inlineStr">
        <is>
          <t>Dominica_2018_August</t>
        </is>
      </c>
      <c r="B250" s="2" t="n"/>
      <c r="C250" s="3" t="inlineStr">
        <is>
          <t>SM.18.139</t>
        </is>
      </c>
      <c r="D250" s="4" t="inlineStr">
        <is>
          <t>Dominica</t>
        </is>
      </c>
      <c r="E250" s="4" t="inlineStr">
        <is>
          <t>DMA</t>
        </is>
      </c>
      <c r="F250" s="10" t="n">
        <v>43255</v>
      </c>
      <c r="G250" s="4" t="inlineStr">
        <is>
          <t>2013gn</t>
        </is>
      </c>
      <c r="H250" s="4" t="n">
        <v>2017</v>
      </c>
      <c r="I250" s="4" t="inlineStr">
        <is>
          <t>pv.old.dbt.npc</t>
        </is>
      </c>
      <c r="J250" t="inlineStr">
        <is>
          <t>AFD (France)</t>
        </is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</row>
    <row r="251">
      <c r="A251" t="inlineStr">
        <is>
          <t>Dominica_2018_August</t>
        </is>
      </c>
      <c r="B251" s="2" t="n"/>
      <c r="C251" s="3" t="inlineStr">
        <is>
          <t>SM.18.139</t>
        </is>
      </c>
      <c r="D251" s="4" t="inlineStr">
        <is>
          <t>Dominica</t>
        </is>
      </c>
      <c r="E251" s="4" t="inlineStr">
        <is>
          <t>DMA</t>
        </is>
      </c>
      <c r="F251" s="10" t="n">
        <v>43255</v>
      </c>
      <c r="G251" s="4" t="inlineStr">
        <is>
          <t>2013gn</t>
        </is>
      </c>
      <c r="H251" s="4" t="n">
        <v>2017</v>
      </c>
      <c r="I251" s="4" t="inlineStr">
        <is>
          <t>pv.old.dbt.npc.eximbk</t>
        </is>
      </c>
      <c r="J251" t="inlineStr">
        <is>
          <t xml:space="preserve">   Others Paris Club</t>
        </is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</row>
    <row r="252">
      <c r="A252" t="inlineStr">
        <is>
          <t>Dominica_2018_August</t>
        </is>
      </c>
      <c r="B252" s="2" t="n"/>
      <c r="C252" s="3" t="inlineStr">
        <is>
          <t>SM.18.139</t>
        </is>
      </c>
      <c r="D252" s="4" t="inlineStr">
        <is>
          <t>Dominica</t>
        </is>
      </c>
      <c r="E252" s="4" t="inlineStr">
        <is>
          <t>DMA</t>
        </is>
      </c>
      <c r="F252" s="10" t="n">
        <v>43255</v>
      </c>
      <c r="G252" s="4" t="inlineStr">
        <is>
          <t>2013gn</t>
        </is>
      </c>
      <c r="H252" s="4" t="n">
        <v>2017</v>
      </c>
      <c r="I252" s="4" t="inlineStr">
        <is>
          <t>pv.old.dbt.npc2</t>
        </is>
      </c>
      <c r="J252" t="inlineStr">
        <is>
          <t xml:space="preserve">   NPC</t>
        </is>
      </c>
    </row>
    <row r="253">
      <c r="A253" t="inlineStr">
        <is>
          <t>Dominica_2018_August</t>
        </is>
      </c>
      <c r="B253" s="2" t="n"/>
      <c r="C253" s="3" t="inlineStr">
        <is>
          <t>SM.18.139</t>
        </is>
      </c>
      <c r="D253" s="4" t="inlineStr">
        <is>
          <t>Dominica</t>
        </is>
      </c>
      <c r="E253" s="4" t="inlineStr">
        <is>
          <t>DMA</t>
        </is>
      </c>
      <c r="F253" s="10" t="n">
        <v>43255</v>
      </c>
      <c r="G253" s="4" t="inlineStr">
        <is>
          <t>2013gn</t>
        </is>
      </c>
      <c r="H253" s="4" t="n">
        <v>2017</v>
      </c>
      <c r="I253" s="4" t="inlineStr">
        <is>
          <t>pv.old.dbt.npc3</t>
        </is>
      </c>
      <c r="J253" t="inlineStr">
        <is>
          <t>Taiwan</t>
        </is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</row>
    <row r="254">
      <c r="A254" t="inlineStr">
        <is>
          <t>Dominica_2018_August</t>
        </is>
      </c>
      <c r="B254" s="2" t="n"/>
      <c r="C254" s="3" t="inlineStr">
        <is>
          <t>SM.18.139</t>
        </is>
      </c>
      <c r="D254" s="4" t="inlineStr">
        <is>
          <t>Dominica</t>
        </is>
      </c>
      <c r="E254" s="4" t="inlineStr">
        <is>
          <t>DMA</t>
        </is>
      </c>
      <c r="F254" s="10" t="n">
        <v>43255</v>
      </c>
      <c r="G254" s="4" t="inlineStr">
        <is>
          <t>2013gn</t>
        </is>
      </c>
      <c r="H254" s="4" t="n">
        <v>2017</v>
      </c>
      <c r="I254" s="4" t="inlineStr">
        <is>
          <t>pv.old.dbt.npc4</t>
        </is>
      </c>
      <c r="J254" t="inlineStr">
        <is>
          <t>Kuwait</t>
        </is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</row>
    <row r="255">
      <c r="A255" t="inlineStr">
        <is>
          <t>Dominica_2018_August</t>
        </is>
      </c>
      <c r="B255" s="2" t="n"/>
      <c r="C255" s="3" t="inlineStr">
        <is>
          <t>SM.18.139</t>
        </is>
      </c>
      <c r="D255" s="4" t="inlineStr">
        <is>
          <t>Dominica</t>
        </is>
      </c>
      <c r="E255" s="4" t="inlineStr">
        <is>
          <t>DMA</t>
        </is>
      </c>
      <c r="F255" s="10" t="n">
        <v>43255</v>
      </c>
      <c r="G255" s="4" t="inlineStr">
        <is>
          <t>2013gn</t>
        </is>
      </c>
      <c r="H255" s="4" t="n">
        <v>2017</v>
      </c>
      <c r="I255" s="4" t="inlineStr">
        <is>
          <t>pv.old.dbt.npc5</t>
        </is>
      </c>
      <c r="J255" t="inlineStr">
        <is>
          <t xml:space="preserve">   Others Non Paris Club</t>
        </is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</row>
    <row r="256">
      <c r="A256" t="inlineStr">
        <is>
          <t>Dominica_2018_August</t>
        </is>
      </c>
      <c r="B256" s="2" t="n"/>
      <c r="C256" s="3" t="inlineStr">
        <is>
          <t>SM.18.139</t>
        </is>
      </c>
      <c r="D256" s="4" t="inlineStr">
        <is>
          <t>Dominica</t>
        </is>
      </c>
      <c r="E256" s="4" t="inlineStr">
        <is>
          <t>DMA</t>
        </is>
      </c>
      <c r="F256" s="10" t="n">
        <v>43255</v>
      </c>
      <c r="G256" s="4" t="inlineStr">
        <is>
          <t>2013gn</t>
        </is>
      </c>
      <c r="H256" s="4" t="n">
        <v>2017</v>
      </c>
      <c r="I256" s="4" t="inlineStr">
        <is>
          <t>pv.old.dbt.prvt</t>
        </is>
      </c>
      <c r="J256" t="inlineStr">
        <is>
          <t>Commercial</t>
        </is>
      </c>
    </row>
    <row r="257">
      <c r="A257" t="inlineStr">
        <is>
          <t>Dominica_2018_August</t>
        </is>
      </c>
      <c r="B257" s="2" t="n"/>
      <c r="C257" s="3" t="inlineStr">
        <is>
          <t>SM.18.139</t>
        </is>
      </c>
      <c r="D257" s="4" t="inlineStr">
        <is>
          <t>Dominica</t>
        </is>
      </c>
      <c r="E257" s="4" t="inlineStr">
        <is>
          <t>DMA</t>
        </is>
      </c>
      <c r="F257" s="10" t="n">
        <v>43255</v>
      </c>
      <c r="G257" s="4" t="inlineStr">
        <is>
          <t>2013gn</t>
        </is>
      </c>
      <c r="H257" s="4" t="n">
        <v>2017</v>
      </c>
      <c r="I257" s="4" t="inlineStr">
        <is>
          <t>pv.old.dbt.prvt.bnd</t>
        </is>
      </c>
      <c r="J257" t="inlineStr">
        <is>
          <t>Royal Merchant Bank</t>
        </is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</row>
    <row r="258">
      <c r="A258" t="inlineStr">
        <is>
          <t>Dominica_2018_August</t>
        </is>
      </c>
      <c r="B258" s="2" t="n"/>
      <c r="C258" s="3" t="inlineStr">
        <is>
          <t>SM.18.139</t>
        </is>
      </c>
      <c r="D258" s="4" t="inlineStr">
        <is>
          <t>Dominica</t>
        </is>
      </c>
      <c r="E258" s="4" t="inlineStr">
        <is>
          <t>DMA</t>
        </is>
      </c>
      <c r="F258" s="10" t="n">
        <v>43255</v>
      </c>
      <c r="G258" s="4" t="inlineStr">
        <is>
          <t>2013gn</t>
        </is>
      </c>
      <c r="H258" s="4" t="n">
        <v>2017</v>
      </c>
      <c r="I258" s="4" t="inlineStr">
        <is>
          <t>pv.old.dbt.prvt.cmbk</t>
        </is>
      </c>
      <c r="J258" t="inlineStr">
        <is>
          <t>…</t>
        </is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</row>
    <row r="259">
      <c r="A259" t="inlineStr">
        <is>
          <t>Dominica_2018_August</t>
        </is>
      </c>
      <c r="B259" s="2" t="n"/>
      <c r="C259" s="3" t="inlineStr">
        <is>
          <t>SM.18.139</t>
        </is>
      </c>
      <c r="D259" s="4" t="inlineStr">
        <is>
          <t>Dominica</t>
        </is>
      </c>
      <c r="E259" s="4" t="inlineStr">
        <is>
          <t>DMA</t>
        </is>
      </c>
      <c r="F259" s="10" t="n">
        <v>43255</v>
      </c>
      <c r="G259" s="4" t="inlineStr">
        <is>
          <t>2013gn</t>
        </is>
      </c>
      <c r="H259" s="4" t="n">
        <v>2017</v>
      </c>
      <c r="I259" s="4" t="inlineStr">
        <is>
          <t>pv.old.dbt.prvt.com3</t>
        </is>
      </c>
      <c r="J259" t="inlineStr">
        <is>
          <t xml:space="preserve">   Others Commercial</t>
        </is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</row>
    <row r="260">
      <c r="A260" t="inlineStr">
        <is>
          <t>Dominica_2018_August</t>
        </is>
      </c>
      <c r="B260" s="2" t="n"/>
      <c r="C260" s="3" t="inlineStr">
        <is>
          <t>SM.18.139</t>
        </is>
      </c>
      <c r="D260" s="4" t="inlineStr">
        <is>
          <t>Dominica</t>
        </is>
      </c>
      <c r="E260" s="4" t="inlineStr">
        <is>
          <t>DMA</t>
        </is>
      </c>
      <c r="F260" s="10" t="n">
        <v>43255</v>
      </c>
      <c r="G260" s="4" t="inlineStr">
        <is>
          <t>2013gn</t>
        </is>
      </c>
      <c r="H260" s="4" t="n">
        <v>2017</v>
      </c>
      <c r="I260" s="4" t="inlineStr">
        <is>
          <t>pv.old.dbt.prvt.com4</t>
        </is>
      </c>
    </row>
    <row r="261">
      <c r="A261" t="inlineStr">
        <is>
          <t>Dominica_2018_August</t>
        </is>
      </c>
      <c r="B261" s="2" t="n"/>
      <c r="C261" s="3" t="inlineStr">
        <is>
          <t>SM.18.139</t>
        </is>
      </c>
      <c r="D261" s="4" t="inlineStr">
        <is>
          <t>Dominica</t>
        </is>
      </c>
      <c r="E261" s="4" t="inlineStr">
        <is>
          <t>DMA</t>
        </is>
      </c>
      <c r="F261" s="10" t="n">
        <v>43255</v>
      </c>
      <c r="G261" s="4" t="inlineStr">
        <is>
          <t>2013gn</t>
        </is>
      </c>
      <c r="H261" s="4" t="n">
        <v>2017</v>
      </c>
      <c r="I261" s="4" t="inlineStr">
        <is>
          <t>pv.old.dbt.prvt.com5</t>
        </is>
      </c>
    </row>
    <row r="262">
      <c r="A262" t="inlineStr">
        <is>
          <t>Dominica_2018_August</t>
        </is>
      </c>
      <c r="B262" s="2" t="n"/>
      <c r="C262" s="3" t="inlineStr">
        <is>
          <t>SM.18.139</t>
        </is>
      </c>
      <c r="D262" s="4" t="inlineStr">
        <is>
          <t>Dominica</t>
        </is>
      </c>
      <c r="E262" s="4" t="inlineStr">
        <is>
          <t>DMA</t>
        </is>
      </c>
      <c r="F262" s="10" t="n">
        <v>43255</v>
      </c>
      <c r="G262" s="4" t="inlineStr">
        <is>
          <t>2013gn</t>
        </is>
      </c>
      <c r="H262" s="4" t="n">
        <v>2017</v>
      </c>
      <c r="I262" s="4" t="inlineStr">
        <is>
          <t>pv.old.dbt.lcl.iss</t>
        </is>
      </c>
    </row>
    <row r="263">
      <c r="A263" t="inlineStr">
        <is>
          <t>Dominica_2018_August</t>
        </is>
      </c>
      <c r="B263" s="2" t="n"/>
      <c r="C263" s="3" t="inlineStr">
        <is>
          <t>SM.18.139</t>
        </is>
      </c>
      <c r="D263" s="4" t="inlineStr">
        <is>
          <t>Dominica</t>
        </is>
      </c>
      <c r="E263" s="4" t="inlineStr">
        <is>
          <t>DMA</t>
        </is>
      </c>
      <c r="F263" s="10" t="n">
        <v>43255</v>
      </c>
      <c r="G263" s="4" t="inlineStr">
        <is>
          <t>2013gn</t>
        </is>
      </c>
      <c r="H263" s="4" t="n">
        <v>2017</v>
      </c>
      <c r="I263" s="5" t="n"/>
      <c r="J263" t="inlineStr">
        <is>
          <t>ENGLISH</t>
        </is>
      </c>
    </row>
    <row r="264">
      <c r="A264" t="inlineStr">
        <is>
          <t>Dominica_2018_August</t>
        </is>
      </c>
      <c r="B264" s="2" t="n"/>
      <c r="C264" s="3" t="inlineStr">
        <is>
          <t>SM.18.139</t>
        </is>
      </c>
      <c r="D264" s="4" t="inlineStr">
        <is>
          <t>Dominica</t>
        </is>
      </c>
      <c r="E264" s="4" t="inlineStr">
        <is>
          <t>DMA</t>
        </is>
      </c>
      <c r="F264" s="10" t="n">
        <v>43255</v>
      </c>
      <c r="G264" s="4" t="inlineStr">
        <is>
          <t>2013gn</t>
        </is>
      </c>
      <c r="H264" s="4" t="n">
        <v>2017</v>
      </c>
      <c r="I264" s="5" t="n"/>
      <c r="J264" t="inlineStr">
        <is>
          <t>THIS SHEET CALCULATES THE PV OF PUBLIC (PPG) EXTERNAL DEBT</t>
        </is>
      </c>
    </row>
    <row r="265">
      <c r="A265" t="inlineStr">
        <is>
          <t>Dominica_2018_August</t>
        </is>
      </c>
      <c r="B265" s="2" t="n"/>
      <c r="C265" s="3" t="inlineStr">
        <is>
          <t>SM.18.139</t>
        </is>
      </c>
      <c r="D265" s="4" t="inlineStr">
        <is>
          <t>Dominica</t>
        </is>
      </c>
      <c r="E265" s="4" t="inlineStr">
        <is>
          <t>DMA</t>
        </is>
      </c>
      <c r="F265" s="10" t="n">
        <v>43255</v>
      </c>
      <c r="G265" s="4" t="inlineStr">
        <is>
          <t>2013gn</t>
        </is>
      </c>
      <c r="H265" s="4" t="n">
        <v>2017</v>
      </c>
      <c r="I265" s="4" t="inlineStr">
        <is>
          <t>pv.out.arr</t>
        </is>
      </c>
    </row>
    <row r="266">
      <c r="A266" t="inlineStr">
        <is>
          <t>Dominica_2018_August</t>
        </is>
      </c>
      <c r="B266" s="2" t="n"/>
      <c r="C266" s="3" t="inlineStr">
        <is>
          <t>SM.18.139</t>
        </is>
      </c>
      <c r="D266" s="4" t="inlineStr">
        <is>
          <t>Dominica</t>
        </is>
      </c>
      <c r="E266" s="4" t="inlineStr">
        <is>
          <t>DMA</t>
        </is>
      </c>
      <c r="F266" s="10" t="n">
        <v>43255</v>
      </c>
      <c r="G266" s="4" t="inlineStr">
        <is>
          <t>2013gn</t>
        </is>
      </c>
      <c r="H266" s="4" t="n">
        <v>2017</v>
      </c>
      <c r="I266" s="5" t="n"/>
      <c r="J266" t="inlineStr">
        <is>
          <t>Enter information for PPG debt in yellow sells in same unit as data_input (e.g., billion US)</t>
        </is>
      </c>
    </row>
    <row r="267">
      <c r="A267" t="inlineStr">
        <is>
          <t>Dominica_2018_August</t>
        </is>
      </c>
      <c r="B267" s="2" t="n"/>
      <c r="C267" s="3" t="inlineStr">
        <is>
          <t>SM.18.139</t>
        </is>
      </c>
      <c r="D267" s="4" t="inlineStr">
        <is>
          <t>Dominica</t>
        </is>
      </c>
      <c r="E267" s="4" t="inlineStr">
        <is>
          <t>DMA</t>
        </is>
      </c>
      <c r="F267" s="10" t="n">
        <v>43255</v>
      </c>
      <c r="G267" s="4" t="inlineStr">
        <is>
          <t>2013gn</t>
        </is>
      </c>
      <c r="H267" s="4" t="n">
        <v>2017</v>
      </c>
      <c r="I267" s="4" t="inlineStr">
        <is>
          <t>pv.new.dbt.mlg.trm</t>
        </is>
      </c>
    </row>
    <row r="268">
      <c r="A268" t="inlineStr">
        <is>
          <t>Dominica_2018_August</t>
        </is>
      </c>
      <c r="B268" s="2" t="n"/>
      <c r="C268" s="3" t="inlineStr">
        <is>
          <t>SM.18.139</t>
        </is>
      </c>
      <c r="D268" s="4" t="inlineStr">
        <is>
          <t>Dominica</t>
        </is>
      </c>
      <c r="E268" s="4" t="inlineStr">
        <is>
          <t>DMA</t>
        </is>
      </c>
      <c r="F268" s="10" t="n">
        <v>43255</v>
      </c>
      <c r="G268" s="4" t="inlineStr">
        <is>
          <t>2013gn</t>
        </is>
      </c>
      <c r="H268" s="4" t="n">
        <v>2017</v>
      </c>
      <c r="I268" s="4" t="inlineStr">
        <is>
          <t>pv.new.dbt.mlt</t>
        </is>
      </c>
      <c r="J268" t="inlineStr">
        <is>
          <t>A. INPUT</t>
        </is>
      </c>
    </row>
    <row r="269">
      <c r="A269" t="inlineStr">
        <is>
          <t>Dominica_2018_August</t>
        </is>
      </c>
      <c r="B269" s="2" t="n"/>
      <c r="C269" s="3" t="inlineStr">
        <is>
          <t>SM.18.139</t>
        </is>
      </c>
      <c r="D269" s="4" t="inlineStr">
        <is>
          <t>Dominica</t>
        </is>
      </c>
      <c r="E269" s="4" t="inlineStr">
        <is>
          <t>DMA</t>
        </is>
      </c>
      <c r="F269" s="10" t="n">
        <v>43255</v>
      </c>
      <c r="G269" s="4" t="inlineStr">
        <is>
          <t>2013gn</t>
        </is>
      </c>
      <c r="H269" s="4" t="n">
        <v>2017</v>
      </c>
      <c r="I269" s="4" t="inlineStr">
        <is>
          <t>pv.new.dbt.mlt.imf</t>
        </is>
      </c>
    </row>
    <row r="270">
      <c r="A270" t="inlineStr">
        <is>
          <t>Dominica_2018_August</t>
        </is>
      </c>
      <c r="B270" s="2" t="n"/>
      <c r="C270" s="3" t="inlineStr">
        <is>
          <t>SM.18.139</t>
        </is>
      </c>
      <c r="D270" s="4" t="inlineStr">
        <is>
          <t>Dominica</t>
        </is>
      </c>
      <c r="E270" s="4" t="inlineStr">
        <is>
          <t>DMA</t>
        </is>
      </c>
      <c r="F270" s="10" t="n">
        <v>43255</v>
      </c>
      <c r="G270" s="4" t="inlineStr">
        <is>
          <t>2013gn</t>
        </is>
      </c>
      <c r="H270" s="4" t="n">
        <v>2017</v>
      </c>
      <c r="I270" s="4" t="inlineStr">
        <is>
          <t>pv.new.dbt.mlt.ida.reg</t>
        </is>
      </c>
      <c r="J270" t="inlineStr">
        <is>
          <t>Assumptions on new external debt</t>
        </is>
      </c>
      <c r="S270" t="inlineStr">
        <is>
          <t>Assumptions on the terms on additional financing resulting from the stress tests</t>
        </is>
      </c>
    </row>
    <row r="271">
      <c r="A271" t="inlineStr">
        <is>
          <t>Dominica_2018_August</t>
        </is>
      </c>
      <c r="B271" s="2" t="n"/>
      <c r="C271" s="3" t="inlineStr">
        <is>
          <t>SM.18.139</t>
        </is>
      </c>
      <c r="D271" s="4" t="inlineStr">
        <is>
          <t>Dominica</t>
        </is>
      </c>
      <c r="E271" s="4" t="inlineStr">
        <is>
          <t>DMA</t>
        </is>
      </c>
      <c r="F271" s="10" t="n">
        <v>43255</v>
      </c>
      <c r="G271" s="4" t="inlineStr">
        <is>
          <t>2013gn</t>
        </is>
      </c>
      <c r="H271" s="4" t="n">
        <v>2017</v>
      </c>
      <c r="I271" s="4" t="inlineStr">
        <is>
          <t>pv.new.dbt.mlt.ida.bld</t>
        </is>
      </c>
    </row>
    <row r="272">
      <c r="A272" t="inlineStr">
        <is>
          <t>Dominica_2018_August</t>
        </is>
      </c>
      <c r="B272" s="2" t="n"/>
      <c r="C272" s="3" t="inlineStr">
        <is>
          <t>SM.18.139</t>
        </is>
      </c>
      <c r="D272" s="4" t="inlineStr">
        <is>
          <t>Dominica</t>
        </is>
      </c>
      <c r="E272" s="4" t="inlineStr">
        <is>
          <t>DMA</t>
        </is>
      </c>
      <c r="F272" s="10" t="n">
        <v>43255</v>
      </c>
      <c r="G272" s="4" t="inlineStr">
        <is>
          <t>2013gn</t>
        </is>
      </c>
      <c r="H272" s="4" t="n">
        <v>2017</v>
      </c>
      <c r="I272" s="4" t="inlineStr">
        <is>
          <t>pv.new.dbt.mlt.afdb</t>
        </is>
      </c>
      <c r="K272" t="inlineStr">
        <is>
          <t>Loan</t>
        </is>
      </c>
      <c r="M272" t="inlineStr">
        <is>
          <t>Discount</t>
        </is>
      </c>
      <c r="N272" t="inlineStr">
        <is>
          <t>Interest</t>
        </is>
      </c>
      <c r="O272" t="inlineStr">
        <is>
          <t>Grace</t>
        </is>
      </c>
      <c r="P272" t="inlineStr">
        <is>
          <t>Loan</t>
        </is>
      </c>
      <c r="Q272" t="inlineStr">
        <is>
          <t xml:space="preserve">Grant </t>
        </is>
      </c>
      <c r="S272" t="inlineStr">
        <is>
          <t>Shares of marginal debt*</t>
        </is>
      </c>
    </row>
    <row r="273">
      <c r="A273" t="inlineStr">
        <is>
          <t>Dominica_2018_August</t>
        </is>
      </c>
      <c r="B273" s="2" t="n"/>
      <c r="C273" s="3" t="inlineStr">
        <is>
          <t>SM.18.139</t>
        </is>
      </c>
      <c r="D273" s="4" t="inlineStr">
        <is>
          <t>Dominica</t>
        </is>
      </c>
      <c r="E273" s="4" t="inlineStr">
        <is>
          <t>DMA</t>
        </is>
      </c>
      <c r="F273" s="10" t="n">
        <v>43255</v>
      </c>
      <c r="G273" s="4" t="inlineStr">
        <is>
          <t>2013gn</t>
        </is>
      </c>
      <c r="H273" s="4" t="n">
        <v>2017</v>
      </c>
      <c r="I273" s="4" t="inlineStr">
        <is>
          <t>pv.new.dbt.mlt2</t>
        </is>
      </c>
      <c r="K273" t="inlineStr">
        <is>
          <t>Currency</t>
        </is>
      </c>
      <c r="M273" t="inlineStr">
        <is>
          <t>rate</t>
        </is>
      </c>
      <c r="N273" t="inlineStr">
        <is>
          <t>rate</t>
        </is>
      </c>
      <c r="O273" t="inlineStr">
        <is>
          <t>period</t>
        </is>
      </c>
      <c r="P273" t="inlineStr">
        <is>
          <t>Maturity</t>
        </is>
      </c>
      <c r="Q273" t="inlineStr">
        <is>
          <t>Element, %</t>
        </is>
      </c>
      <c r="S273" t="inlineStr">
        <is>
          <t>Forex</t>
        </is>
      </c>
    </row>
    <row r="274">
      <c r="A274" t="inlineStr">
        <is>
          <t>Dominica_2018_August</t>
        </is>
      </c>
      <c r="B274" s="2" t="n"/>
      <c r="C274" s="3" t="inlineStr">
        <is>
          <t>SM.18.139</t>
        </is>
      </c>
      <c r="D274" s="4" t="inlineStr">
        <is>
          <t>Dominica</t>
        </is>
      </c>
      <c r="E274" s="4" t="inlineStr">
        <is>
          <t>DMA</t>
        </is>
      </c>
      <c r="F274" s="10" t="n">
        <v>43255</v>
      </c>
      <c r="G274" s="4" t="inlineStr">
        <is>
          <t>2013gn</t>
        </is>
      </c>
      <c r="H274" s="4" t="n">
        <v>2017</v>
      </c>
      <c r="I274" s="4" t="inlineStr">
        <is>
          <t>pv.new.dbt.mlt3</t>
        </is>
      </c>
      <c r="J274" t="inlineStr">
        <is>
          <t>Multilaterals</t>
        </is>
      </c>
      <c r="S274" t="inlineStr">
        <is>
          <t>Domestic medium and long-term</t>
        </is>
      </c>
    </row>
    <row r="275">
      <c r="A275" t="inlineStr">
        <is>
          <t>Dominica_2018_August</t>
        </is>
      </c>
      <c r="B275" s="2" t="n"/>
      <c r="C275" s="3" t="inlineStr">
        <is>
          <t>SM.18.139</t>
        </is>
      </c>
      <c r="D275" s="4" t="inlineStr">
        <is>
          <t>Dominica</t>
        </is>
      </c>
      <c r="E275" s="4" t="inlineStr">
        <is>
          <t>DMA</t>
        </is>
      </c>
      <c r="F275" s="10" t="n">
        <v>43255</v>
      </c>
      <c r="G275" s="4" t="inlineStr">
        <is>
          <t>2013gn</t>
        </is>
      </c>
      <c r="H275" s="4" t="n">
        <v>2017</v>
      </c>
      <c r="I275" s="4" t="inlineStr">
        <is>
          <t>pv.new.dbt.mlt.oth</t>
        </is>
      </c>
      <c r="J275" t="inlineStr">
        <is>
          <t xml:space="preserve">   IMF</t>
        </is>
      </c>
      <c r="K275" t="inlineStr">
        <is>
          <t>SDR</t>
        </is>
      </c>
      <c r="S275" t="inlineStr">
        <is>
          <t>Domestic short-term</t>
        </is>
      </c>
    </row>
    <row r="276">
      <c r="A276" t="inlineStr">
        <is>
          <t>Dominica_2018_August</t>
        </is>
      </c>
      <c r="B276" s="2" t="n"/>
      <c r="C276" s="3" t="inlineStr">
        <is>
          <t>SM.18.139</t>
        </is>
      </c>
      <c r="D276" s="4" t="inlineStr">
        <is>
          <t>Dominica</t>
        </is>
      </c>
      <c r="E276" s="4" t="inlineStr">
        <is>
          <t>DMA</t>
        </is>
      </c>
      <c r="F276" s="10" t="n">
        <v>43255</v>
      </c>
      <c r="G276" s="4" t="inlineStr">
        <is>
          <t>2013gn</t>
        </is>
      </c>
      <c r="H276" s="4" t="n">
        <v>2017</v>
      </c>
      <c r="I276" s="4" t="inlineStr">
        <is>
          <t>pv.new.dbt.mlt.oth1</t>
        </is>
      </c>
      <c r="J276" t="inlineStr">
        <is>
          <t xml:space="preserve">   IDA - Small Island Country</t>
        </is>
      </c>
      <c r="K276" t="inlineStr">
        <is>
          <t>SDR</t>
        </is>
      </c>
      <c r="S276" t="inlineStr">
        <is>
          <t>Terms of marginal debt</t>
        </is>
      </c>
    </row>
    <row r="277">
      <c r="A277" t="inlineStr">
        <is>
          <t>Dominica_2018_August</t>
        </is>
      </c>
      <c r="B277" s="2" t="n"/>
      <c r="C277" s="3" t="inlineStr">
        <is>
          <t>SM.18.139</t>
        </is>
      </c>
      <c r="D277" s="4" t="inlineStr">
        <is>
          <t>Dominica</t>
        </is>
      </c>
      <c r="E277" s="4" t="inlineStr">
        <is>
          <t>DMA</t>
        </is>
      </c>
      <c r="F277" s="10" t="n">
        <v>43255</v>
      </c>
      <c r="G277" s="4" t="inlineStr">
        <is>
          <t>2013gn</t>
        </is>
      </c>
      <c r="H277" s="4" t="n">
        <v>2017</v>
      </c>
      <c r="I277" s="4" t="inlineStr">
        <is>
          <t>pv.new.dbt.mlt.oth2</t>
        </is>
      </c>
      <c r="J277" t="inlineStr">
        <is>
          <t>IDA - Regular</t>
        </is>
      </c>
      <c r="S277" t="inlineStr">
        <is>
          <t>Forex debt</t>
        </is>
      </c>
    </row>
    <row r="278">
      <c r="A278" t="inlineStr">
        <is>
          <t>Dominica_2018_August</t>
        </is>
      </c>
      <c r="B278" s="2" t="n"/>
      <c r="C278" s="3" t="inlineStr">
        <is>
          <t>SM.18.139</t>
        </is>
      </c>
      <c r="D278" s="4" t="inlineStr">
        <is>
          <t>Dominica</t>
        </is>
      </c>
      <c r="E278" s="4" t="inlineStr">
        <is>
          <t>DMA</t>
        </is>
      </c>
      <c r="F278" s="10" t="n">
        <v>43255</v>
      </c>
      <c r="G278" s="4" t="inlineStr">
        <is>
          <t>2013gn</t>
        </is>
      </c>
      <c r="H278" s="4" t="n">
        <v>2017</v>
      </c>
      <c r="I278" s="4" t="inlineStr">
        <is>
          <t>pv.new.dbt.mlt.oth3</t>
        </is>
      </c>
      <c r="J278" t="inlineStr">
        <is>
          <t>Descriptor</t>
        </is>
      </c>
      <c r="S278" t="inlineStr">
        <is>
          <t>Avg. nominal interest rate on new borrowing in USD</t>
        </is>
      </c>
    </row>
    <row r="279">
      <c r="A279" t="inlineStr">
        <is>
          <t>Dominica_2018_August</t>
        </is>
      </c>
      <c r="B279" s="2" t="n"/>
      <c r="C279" s="3" t="inlineStr">
        <is>
          <t>SM.18.139</t>
        </is>
      </c>
      <c r="D279" s="4" t="inlineStr">
        <is>
          <t>Dominica</t>
        </is>
      </c>
      <c r="E279" s="4" t="inlineStr">
        <is>
          <t>DMA</t>
        </is>
      </c>
      <c r="F279" s="10" t="n">
        <v>43255</v>
      </c>
      <c r="G279" s="4" t="inlineStr">
        <is>
          <t>2013gn</t>
        </is>
      </c>
      <c r="H279" s="4" t="n">
        <v>2017</v>
      </c>
      <c r="I279" s="4" t="inlineStr">
        <is>
          <t>pv.new.dbt.blt</t>
        </is>
      </c>
      <c r="J279" t="inlineStr">
        <is>
          <t xml:space="preserve">   Others Multilateral</t>
        </is>
      </c>
      <c r="K279" t="inlineStr">
        <is>
          <t>Euro</t>
        </is>
      </c>
      <c r="S279" t="inlineStr">
        <is>
          <t>USD Discount rate</t>
        </is>
      </c>
    </row>
    <row r="280">
      <c r="A280" t="inlineStr">
        <is>
          <t>Dominica_2018_August</t>
        </is>
      </c>
      <c r="B280" s="2" t="n"/>
      <c r="C280" s="3" t="inlineStr">
        <is>
          <t>SM.18.139</t>
        </is>
      </c>
      <c r="D280" s="4" t="inlineStr">
        <is>
          <t>Dominica</t>
        </is>
      </c>
      <c r="E280" s="4" t="inlineStr">
        <is>
          <t>DMA</t>
        </is>
      </c>
      <c r="F280" s="10" t="n">
        <v>43255</v>
      </c>
      <c r="G280" s="4" t="inlineStr">
        <is>
          <t>2013gn</t>
        </is>
      </c>
      <c r="H280" s="4" t="n">
        <v>2017</v>
      </c>
      <c r="I280" s="4" t="inlineStr">
        <is>
          <t>pv.new.dbt.pc</t>
        </is>
      </c>
      <c r="J280" t="inlineStr">
        <is>
          <t>Official Bilaterals</t>
        </is>
      </c>
      <c r="S280" t="inlineStr">
        <is>
          <t>Avg. maturity (incl. grace period)</t>
        </is>
      </c>
    </row>
    <row r="281">
      <c r="A281" t="inlineStr">
        <is>
          <t>Dominica_2018_August</t>
        </is>
      </c>
      <c r="B281" s="2" t="n"/>
      <c r="C281" s="3" t="inlineStr">
        <is>
          <t>SM.18.139</t>
        </is>
      </c>
      <c r="D281" s="4" t="inlineStr">
        <is>
          <t>Dominica</t>
        </is>
      </c>
      <c r="E281" s="4" t="inlineStr">
        <is>
          <t>DMA</t>
        </is>
      </c>
      <c r="F281" s="10" t="n">
        <v>43255</v>
      </c>
      <c r="G281" s="4" t="inlineStr">
        <is>
          <t>2013gn</t>
        </is>
      </c>
      <c r="H281" s="4" t="n">
        <v>2017</v>
      </c>
      <c r="I281" s="4" t="inlineStr">
        <is>
          <t>pv.new.dbt.pc1</t>
        </is>
      </c>
      <c r="J281" t="inlineStr">
        <is>
          <t xml:space="preserve">   Paris Club</t>
        </is>
      </c>
      <c r="K281" t="inlineStr">
        <is>
          <t>Euro</t>
        </is>
      </c>
      <c r="S281" t="inlineStr">
        <is>
          <t>Avg. grace period (minimum 1)</t>
        </is>
      </c>
    </row>
    <row r="282">
      <c r="A282" t="inlineStr">
        <is>
          <t>Dominica_2018_August</t>
        </is>
      </c>
      <c r="B282" s="2" t="n"/>
      <c r="C282" s="3" t="inlineStr">
        <is>
          <t>SM.18.139</t>
        </is>
      </c>
      <c r="D282" s="4" t="inlineStr">
        <is>
          <t>Dominica</t>
        </is>
      </c>
      <c r="E282" s="4" t="inlineStr">
        <is>
          <t>DMA</t>
        </is>
      </c>
      <c r="F282" s="10" t="n">
        <v>43255</v>
      </c>
      <c r="G282" s="4" t="inlineStr">
        <is>
          <t>2013gn</t>
        </is>
      </c>
      <c r="H282" s="4" t="n">
        <v>2017</v>
      </c>
      <c r="I282" s="4" t="inlineStr">
        <is>
          <t>pv.new.dbt.pc2</t>
        </is>
      </c>
      <c r="J282" t="inlineStr">
        <is>
          <t>Descriptor</t>
        </is>
      </c>
      <c r="S282" t="inlineStr">
        <is>
          <t>Domestic MLT debt</t>
        </is>
      </c>
    </row>
    <row r="283">
      <c r="A283" t="inlineStr">
        <is>
          <t>Dominica_2018_August</t>
        </is>
      </c>
      <c r="B283" s="2" t="n"/>
      <c r="C283" s="3" t="inlineStr">
        <is>
          <t>SM.18.139</t>
        </is>
      </c>
      <c r="D283" s="4" t="inlineStr">
        <is>
          <t>Dominica</t>
        </is>
      </c>
      <c r="E283" s="4" t="inlineStr">
        <is>
          <t>DMA</t>
        </is>
      </c>
      <c r="F283" s="10" t="n">
        <v>43255</v>
      </c>
      <c r="G283" s="4" t="inlineStr">
        <is>
          <t>2013gn</t>
        </is>
      </c>
      <c r="H283" s="4" t="n">
        <v>2017</v>
      </c>
      <c r="I283" s="4" t="inlineStr">
        <is>
          <t>pv.new.dbt.pc3</t>
        </is>
      </c>
      <c r="J283" t="inlineStr">
        <is>
          <t>Descriptor</t>
        </is>
      </c>
      <c r="S283" t="inlineStr">
        <is>
          <t>Avg. real interest rate on new borrowing</t>
        </is>
      </c>
    </row>
    <row r="284">
      <c r="A284" t="inlineStr">
        <is>
          <t>Dominica_2018_August</t>
        </is>
      </c>
      <c r="B284" s="2" t="n"/>
      <c r="C284" s="3" t="inlineStr">
        <is>
          <t>SM.18.139</t>
        </is>
      </c>
      <c r="D284" s="4" t="inlineStr">
        <is>
          <t>Dominica</t>
        </is>
      </c>
      <c r="E284" s="4" t="inlineStr">
        <is>
          <t>DMA</t>
        </is>
      </c>
      <c r="F284" s="10" t="n">
        <v>43255</v>
      </c>
      <c r="G284" s="4" t="inlineStr">
        <is>
          <t>2013gn</t>
        </is>
      </c>
      <c r="H284" s="4" t="n">
        <v>2017</v>
      </c>
      <c r="I284" s="4" t="inlineStr">
        <is>
          <t>pv.new.dbt.pc4</t>
        </is>
      </c>
      <c r="J284" t="inlineStr">
        <is>
          <t xml:space="preserve">   Others Paris Club</t>
        </is>
      </c>
      <c r="S284" t="inlineStr">
        <is>
          <t>Avg. maturity (incl. grace period)</t>
        </is>
      </c>
    </row>
    <row r="285">
      <c r="A285" t="inlineStr">
        <is>
          <t>Dominica_2018_August</t>
        </is>
      </c>
      <c r="B285" s="2" t="n"/>
      <c r="C285" s="3" t="inlineStr">
        <is>
          <t>SM.18.139</t>
        </is>
      </c>
      <c r="D285" s="4" t="inlineStr">
        <is>
          <t>Dominica</t>
        </is>
      </c>
      <c r="E285" s="4" t="inlineStr">
        <is>
          <t>DMA</t>
        </is>
      </c>
      <c r="F285" s="10" t="n">
        <v>43255</v>
      </c>
      <c r="G285" s="4" t="inlineStr">
        <is>
          <t>2013gn</t>
        </is>
      </c>
      <c r="H285" s="4" t="n">
        <v>2017</v>
      </c>
      <c r="I285" s="4" t="inlineStr">
        <is>
          <t>pv.new.dbt.pc5</t>
        </is>
      </c>
      <c r="J285" t="inlineStr">
        <is>
          <t xml:space="preserve">   Non-Paris Club</t>
        </is>
      </c>
      <c r="K285" t="inlineStr">
        <is>
          <t>USD</t>
        </is>
      </c>
      <c r="S285" t="inlineStr">
        <is>
          <t>Avg. grace period (minimum 1)</t>
        </is>
      </c>
    </row>
    <row r="286">
      <c r="A286" t="inlineStr">
        <is>
          <t>Dominica_2018_August</t>
        </is>
      </c>
      <c r="B286" s="2" t="n"/>
      <c r="C286" s="3" t="inlineStr">
        <is>
          <t>SM.18.139</t>
        </is>
      </c>
      <c r="D286" s="4" t="inlineStr">
        <is>
          <t>Dominica</t>
        </is>
      </c>
      <c r="E286" s="4" t="inlineStr">
        <is>
          <t>DMA</t>
        </is>
      </c>
      <c r="F286" s="10" t="n">
        <v>43255</v>
      </c>
      <c r="G286" s="4" t="inlineStr">
        <is>
          <t>2013gn</t>
        </is>
      </c>
      <c r="H286" s="4" t="n">
        <v>2017</v>
      </c>
      <c r="I286" s="4" t="inlineStr">
        <is>
          <t>pv.new.dbt.npc</t>
        </is>
      </c>
      <c r="J286" t="inlineStr">
        <is>
          <t>Descriptor</t>
        </is>
      </c>
      <c r="S286" t="inlineStr">
        <is>
          <t>Domestic short-term debt</t>
        </is>
      </c>
    </row>
    <row r="287">
      <c r="A287" t="inlineStr">
        <is>
          <t>Dominica_2018_August</t>
        </is>
      </c>
      <c r="B287" s="2" t="n"/>
      <c r="C287" s="3" t="inlineStr">
        <is>
          <t>SM.18.139</t>
        </is>
      </c>
      <c r="D287" s="4" t="inlineStr">
        <is>
          <t>Dominica</t>
        </is>
      </c>
      <c r="E287" s="4" t="inlineStr">
        <is>
          <t>DMA</t>
        </is>
      </c>
      <c r="F287" s="10" t="n">
        <v>43255</v>
      </c>
      <c r="G287" s="4" t="inlineStr">
        <is>
          <t>2013gn</t>
        </is>
      </c>
      <c r="H287" s="4" t="n">
        <v>2017</v>
      </c>
      <c r="I287" s="4" t="inlineStr">
        <is>
          <t>pv.new.dbt.npc.eximbk</t>
        </is>
      </c>
      <c r="J287" t="inlineStr">
        <is>
          <t>Descriptor</t>
        </is>
      </c>
      <c r="S287" t="inlineStr">
        <is>
          <t>Avg. real interest rate</t>
        </is>
      </c>
    </row>
    <row r="288">
      <c r="A288" t="inlineStr">
        <is>
          <t>Dominica_2018_August</t>
        </is>
      </c>
      <c r="B288" s="2" t="n"/>
      <c r="C288" s="3" t="inlineStr">
        <is>
          <t>SM.18.139</t>
        </is>
      </c>
      <c r="D288" s="4" t="inlineStr">
        <is>
          <t>Dominica</t>
        </is>
      </c>
      <c r="E288" s="4" t="inlineStr">
        <is>
          <t>DMA</t>
        </is>
      </c>
      <c r="F288" s="10" t="n">
        <v>43255</v>
      </c>
      <c r="G288" s="4" t="inlineStr">
        <is>
          <t>2013gn</t>
        </is>
      </c>
      <c r="H288" s="4" t="n">
        <v>2017</v>
      </c>
      <c r="I288" s="4" t="inlineStr">
        <is>
          <t>pv.new.dbt.npc2</t>
        </is>
      </c>
      <c r="J288" t="inlineStr">
        <is>
          <t xml:space="preserve">   Others Non Paris Club</t>
        </is>
      </c>
    </row>
    <row r="289">
      <c r="A289" t="inlineStr">
        <is>
          <t>Dominica_2018_August</t>
        </is>
      </c>
      <c r="B289" s="2" t="n"/>
      <c r="C289" s="3" t="inlineStr">
        <is>
          <t>SM.18.139</t>
        </is>
      </c>
      <c r="D289" s="4" t="inlineStr">
        <is>
          <t>Dominica</t>
        </is>
      </c>
      <c r="E289" s="4" t="inlineStr">
        <is>
          <t>DMA</t>
        </is>
      </c>
      <c r="F289" s="10" t="n">
        <v>43255</v>
      </c>
      <c r="G289" s="4" t="inlineStr">
        <is>
          <t>2013gn</t>
        </is>
      </c>
      <c r="H289" s="4" t="n">
        <v>2017</v>
      </c>
      <c r="I289" s="4" t="inlineStr">
        <is>
          <t>pv.new.dbt.npc3</t>
        </is>
      </c>
      <c r="J289" t="inlineStr">
        <is>
          <t>Commercial</t>
        </is>
      </c>
      <c r="K289" t="inlineStr">
        <is>
          <t>USD</t>
        </is>
      </c>
      <c r="S289" t="inlineStr">
        <is>
          <t>* Note: This model is not designed for the assumption of zero domestic debt accumulation to cover the additional financing generated by the shocks under the stress tests</t>
        </is>
      </c>
    </row>
    <row r="290">
      <c r="A290" t="inlineStr">
        <is>
          <t>Dominica_2018_August</t>
        </is>
      </c>
      <c r="B290" s="2" t="n"/>
      <c r="C290" s="3" t="inlineStr">
        <is>
          <t>SM.18.139</t>
        </is>
      </c>
      <c r="D290" s="4" t="inlineStr">
        <is>
          <t>Dominica</t>
        </is>
      </c>
      <c r="E290" s="4" t="inlineStr">
        <is>
          <t>DMA</t>
        </is>
      </c>
      <c r="F290" s="10" t="n">
        <v>43255</v>
      </c>
      <c r="G290" s="4" t="inlineStr">
        <is>
          <t>2013gn</t>
        </is>
      </c>
      <c r="H290" s="4" t="n">
        <v>2017</v>
      </c>
      <c r="I290" s="4" t="inlineStr">
        <is>
          <t>pv.new.dbt.npc4</t>
        </is>
      </c>
      <c r="J290" t="inlineStr">
        <is>
          <t>Descriptor</t>
        </is>
      </c>
    </row>
    <row r="291">
      <c r="A291" t="inlineStr">
        <is>
          <t>Dominica_2018_August</t>
        </is>
      </c>
      <c r="B291" s="2" t="n"/>
      <c r="C291" s="3" t="inlineStr">
        <is>
          <t>SM.18.139</t>
        </is>
      </c>
      <c r="D291" s="4" t="inlineStr">
        <is>
          <t>Dominica</t>
        </is>
      </c>
      <c r="E291" s="4" t="inlineStr">
        <is>
          <t>DMA</t>
        </is>
      </c>
      <c r="F291" s="10" t="n">
        <v>43255</v>
      </c>
      <c r="G291" s="4" t="inlineStr">
        <is>
          <t>2013gn</t>
        </is>
      </c>
      <c r="H291" s="4" t="n">
        <v>2017</v>
      </c>
      <c r="I291" s="4" t="inlineStr">
        <is>
          <t>pv.new.dbt.npc5</t>
        </is>
      </c>
      <c r="J291" t="inlineStr">
        <is>
          <t>Descriptor</t>
        </is>
      </c>
    </row>
    <row r="292">
      <c r="A292" t="inlineStr">
        <is>
          <t>Dominica_2018_August</t>
        </is>
      </c>
      <c r="B292" s="2" t="n"/>
      <c r="C292" s="3" t="inlineStr">
        <is>
          <t>SM.18.139</t>
        </is>
      </c>
      <c r="D292" s="4" t="inlineStr">
        <is>
          <t>Dominica</t>
        </is>
      </c>
      <c r="E292" s="4" t="inlineStr">
        <is>
          <t>DMA</t>
        </is>
      </c>
      <c r="F292" s="10" t="n">
        <v>43255</v>
      </c>
      <c r="G292" s="4" t="inlineStr">
        <is>
          <t>2013gn</t>
        </is>
      </c>
      <c r="H292" s="4" t="n">
        <v>2017</v>
      </c>
      <c r="I292" s="4" t="inlineStr">
        <is>
          <t>pv.new.dbt.prvt</t>
        </is>
      </c>
      <c r="J292" t="inlineStr">
        <is>
          <t xml:space="preserve">   Others Commercial</t>
        </is>
      </c>
    </row>
    <row r="293">
      <c r="A293" t="inlineStr">
        <is>
          <t>Dominica_2018_August</t>
        </is>
      </c>
      <c r="B293" s="2" t="n"/>
      <c r="C293" s="3" t="inlineStr">
        <is>
          <t>SM.18.139</t>
        </is>
      </c>
      <c r="D293" s="4" t="inlineStr">
        <is>
          <t>Dominica</t>
        </is>
      </c>
      <c r="E293" s="4" t="inlineStr">
        <is>
          <t>DMA</t>
        </is>
      </c>
      <c r="F293" s="10" t="n">
        <v>43255</v>
      </c>
      <c r="G293" s="4" t="inlineStr">
        <is>
          <t>2013gn</t>
        </is>
      </c>
      <c r="H293" s="4" t="n">
        <v>2017</v>
      </c>
      <c r="I293" s="4" t="inlineStr">
        <is>
          <t>pv.new.dbt.prvt.bnd</t>
        </is>
      </c>
      <c r="N293" t="inlineStr">
        <is>
          <t>minimum 1</t>
        </is>
      </c>
    </row>
    <row r="294">
      <c r="A294" t="inlineStr">
        <is>
          <t>Dominica_2018_August</t>
        </is>
      </c>
      <c r="B294" s="2" t="n"/>
      <c r="C294" s="3" t="inlineStr">
        <is>
          <t>SM.18.139</t>
        </is>
      </c>
      <c r="D294" s="4" t="inlineStr">
        <is>
          <t>Dominica</t>
        </is>
      </c>
      <c r="E294" s="4" t="inlineStr">
        <is>
          <t>DMA</t>
        </is>
      </c>
      <c r="F294" s="10" t="n">
        <v>43255</v>
      </c>
      <c r="G294" s="4" t="inlineStr">
        <is>
          <t>2013gn</t>
        </is>
      </c>
      <c r="H294" s="4" t="n">
        <v>2017</v>
      </c>
      <c r="I294" s="4" t="inlineStr">
        <is>
          <t>pv.new.dbt.prvt.cmbk</t>
        </is>
      </c>
      <c r="J294" t="inlineStr">
        <is>
          <t>1. Old MLT debt (excluding arrears): debt service due 1/</t>
        </is>
      </c>
    </row>
    <row r="295">
      <c r="A295" t="inlineStr">
        <is>
          <t>Dominica_2018_August</t>
        </is>
      </c>
      <c r="B295" s="2" t="n"/>
      <c r="C295" s="3" t="inlineStr">
        <is>
          <t>SM.18.139</t>
        </is>
      </c>
      <c r="D295" s="4" t="inlineStr">
        <is>
          <t>Dominica</t>
        </is>
      </c>
      <c r="E295" s="4" t="inlineStr">
        <is>
          <t>DMA</t>
        </is>
      </c>
      <c r="F295" s="10" t="n">
        <v>43255</v>
      </c>
      <c r="G295" s="4" t="inlineStr">
        <is>
          <t>2013gn</t>
        </is>
      </c>
      <c r="H295" s="4" t="n">
        <v>2017</v>
      </c>
      <c r="I295" s="4" t="inlineStr">
        <is>
          <t>pv.new.dbt.prvt.com3</t>
        </is>
      </c>
    </row>
    <row r="296">
      <c r="A296" t="inlineStr">
        <is>
          <t>Dominica_2018_August</t>
        </is>
      </c>
      <c r="B296" s="2" t="n"/>
      <c r="C296" s="3" t="inlineStr">
        <is>
          <t>SM.18.139</t>
        </is>
      </c>
      <c r="D296" s="4" t="inlineStr">
        <is>
          <t>Dominica</t>
        </is>
      </c>
      <c r="E296" s="4" t="inlineStr">
        <is>
          <t>DMA</t>
        </is>
      </c>
      <c r="F296" s="10" t="n">
        <v>43255</v>
      </c>
      <c r="G296" s="4" t="inlineStr">
        <is>
          <t>2013gn</t>
        </is>
      </c>
      <c r="H296" s="4" t="n">
        <v>2017</v>
      </c>
      <c r="I296" s="4" t="inlineStr">
        <is>
          <t>pv.new.dbt.prvt.com4</t>
        </is>
      </c>
      <c r="J296" t="inlineStr">
        <is>
          <t>Multilaterals</t>
        </is>
      </c>
    </row>
    <row r="297">
      <c r="A297" t="inlineStr">
        <is>
          <t>Dominica_2018_August</t>
        </is>
      </c>
      <c r="B297" s="2" t="n"/>
      <c r="C297" s="3" t="inlineStr">
        <is>
          <t>SM.18.139</t>
        </is>
      </c>
      <c r="D297" s="4" t="inlineStr">
        <is>
          <t>Dominica</t>
        </is>
      </c>
      <c r="E297" s="4" t="inlineStr">
        <is>
          <t>DMA</t>
        </is>
      </c>
      <c r="F297" s="10" t="n">
        <v>43255</v>
      </c>
      <c r="G297" s="4" t="inlineStr">
        <is>
          <t>2013gn</t>
        </is>
      </c>
      <c r="H297" s="4" t="n">
        <v>2017</v>
      </c>
      <c r="I297" s="4" t="inlineStr">
        <is>
          <t>pv.new.dbt.prvt.com5</t>
        </is>
      </c>
      <c r="J297" t="inlineStr">
        <is>
          <t xml:space="preserve">   IMF</t>
        </is>
      </c>
    </row>
    <row r="298">
      <c r="A298" t="inlineStr">
        <is>
          <t>Dominica_2018_August</t>
        </is>
      </c>
      <c r="B298" s="2" t="n"/>
      <c r="C298" s="3" t="inlineStr">
        <is>
          <t>SM.18.139</t>
        </is>
      </c>
      <c r="D298" s="4" t="inlineStr">
        <is>
          <t>Dominica</t>
        </is>
      </c>
      <c r="E298" s="4" t="inlineStr">
        <is>
          <t>DMA</t>
        </is>
      </c>
      <c r="F298" s="10" t="n">
        <v>43255</v>
      </c>
      <c r="G298" s="4" t="inlineStr">
        <is>
          <t>2013gn</t>
        </is>
      </c>
      <c r="H298" s="4" t="n">
        <v>2017</v>
      </c>
      <c r="I298" s="4" t="inlineStr">
        <is>
          <t>pv.new.dbt.lcl.iss.nres</t>
        </is>
      </c>
      <c r="J298" t="inlineStr">
        <is>
          <t xml:space="preserve">   IDA - Small Island Country</t>
        </is>
      </c>
    </row>
    <row r="299">
      <c r="A299" t="inlineStr">
        <is>
          <t>Dominica_2018_August</t>
        </is>
      </c>
      <c r="B299" s="2" t="n"/>
      <c r="C299" s="3" t="inlineStr">
        <is>
          <t>SM.18.139</t>
        </is>
      </c>
      <c r="D299" s="4" t="inlineStr">
        <is>
          <t>Dominica</t>
        </is>
      </c>
      <c r="E299" s="4" t="inlineStr">
        <is>
          <t>DMA</t>
        </is>
      </c>
      <c r="F299" s="10" t="n">
        <v>43255</v>
      </c>
      <c r="G299" s="4" t="inlineStr">
        <is>
          <t>2013gn</t>
        </is>
      </c>
      <c r="H299" s="4" t="n">
        <v>2017</v>
      </c>
      <c r="I299" s="4" t="inlineStr">
        <is>
          <t>pn.new.dbt.lcl.nres.lc</t>
        </is>
      </c>
      <c r="J299" t="inlineStr">
        <is>
          <t>IDA - Regular</t>
        </is>
      </c>
    </row>
    <row r="300">
      <c r="A300" t="inlineStr">
        <is>
          <t>Dominica_2018_August</t>
        </is>
      </c>
      <c r="B300" s="2" t="n"/>
      <c r="C300" s="3" t="inlineStr">
        <is>
          <t>SM.18.139</t>
        </is>
      </c>
      <c r="D300" s="4" t="inlineStr">
        <is>
          <t>Dominica</t>
        </is>
      </c>
      <c r="E300" s="4" t="inlineStr">
        <is>
          <t>DMA</t>
        </is>
      </c>
      <c r="F300" s="10" t="n">
        <v>43255</v>
      </c>
      <c r="G300" s="4" t="inlineStr">
        <is>
          <t>2013gn</t>
        </is>
      </c>
      <c r="H300" s="4" t="n">
        <v>2017</v>
      </c>
      <c r="I300" s="4" t="inlineStr">
        <is>
          <t>pn.new.dbt.lcl.nres.bnd.1to3.lc</t>
        </is>
      </c>
      <c r="J300" t="inlineStr">
        <is>
          <t>IBRD</t>
        </is>
      </c>
    </row>
    <row r="301">
      <c r="A301" t="inlineStr">
        <is>
          <t>Dominica_2018_August</t>
        </is>
      </c>
      <c r="B301" s="2" t="n"/>
      <c r="C301" s="3" t="inlineStr">
        <is>
          <t>SM.18.139</t>
        </is>
      </c>
      <c r="D301" s="4" t="inlineStr">
        <is>
          <t>Dominica</t>
        </is>
      </c>
      <c r="E301" s="4" t="inlineStr">
        <is>
          <t>DMA</t>
        </is>
      </c>
      <c r="F301" s="10" t="n">
        <v>43255</v>
      </c>
      <c r="G301" s="4" t="inlineStr">
        <is>
          <t>2013gn</t>
        </is>
      </c>
      <c r="H301" s="4" t="n">
        <v>2017</v>
      </c>
      <c r="I301" s="4" t="inlineStr">
        <is>
          <t>pn.new.dbt.lcl.nres.bnd.4to7.lc</t>
        </is>
      </c>
      <c r="J301" t="inlineStr">
        <is>
          <t>Other Multilateral</t>
        </is>
      </c>
    </row>
    <row r="302">
      <c r="A302" t="inlineStr">
        <is>
          <t>Dominica_2018_August</t>
        </is>
      </c>
      <c r="B302" s="2" t="n"/>
      <c r="C302" s="3" t="inlineStr">
        <is>
          <t>SM.18.139</t>
        </is>
      </c>
      <c r="D302" s="4" t="inlineStr">
        <is>
          <t>Dominica</t>
        </is>
      </c>
      <c r="E302" s="4" t="inlineStr">
        <is>
          <t>DMA</t>
        </is>
      </c>
      <c r="F302" s="10" t="n">
        <v>43255</v>
      </c>
      <c r="G302" s="4" t="inlineStr">
        <is>
          <t>2013gn</t>
        </is>
      </c>
      <c r="H302" s="4" t="n">
        <v>2017</v>
      </c>
      <c r="I302" s="4" t="inlineStr">
        <is>
          <t>pn.new.dbt.lcl.nres.bnd.byd7.lc</t>
        </is>
      </c>
      <c r="J302" t="inlineStr">
        <is>
          <t>Official Bilaterals</t>
        </is>
      </c>
    </row>
    <row r="303">
      <c r="A303" t="inlineStr">
        <is>
          <t>Dominica_2018_August</t>
        </is>
      </c>
      <c r="B303" s="2" t="n"/>
      <c r="C303" s="3" t="inlineStr">
        <is>
          <t>SM.18.139</t>
        </is>
      </c>
      <c r="D303" s="4" t="inlineStr">
        <is>
          <t>Dominica</t>
        </is>
      </c>
      <c r="E303" s="4" t="inlineStr">
        <is>
          <t>DMA</t>
        </is>
      </c>
      <c r="F303" s="10" t="n">
        <v>43255</v>
      </c>
      <c r="G303" s="4" t="inlineStr">
        <is>
          <t>2013gn</t>
        </is>
      </c>
      <c r="H303" s="4" t="n">
        <v>2017</v>
      </c>
      <c r="I303" s="4" t="inlineStr">
        <is>
          <t>pn.new.dbt.lcl.nres.fx</t>
        </is>
      </c>
      <c r="J303" t="inlineStr">
        <is>
          <t xml:space="preserve">   PC</t>
        </is>
      </c>
    </row>
    <row r="304">
      <c r="A304" t="inlineStr">
        <is>
          <t>Dominica_2018_August</t>
        </is>
      </c>
      <c r="B304" s="2" t="n"/>
      <c r="C304" s="3" t="inlineStr">
        <is>
          <t>SM.18.139</t>
        </is>
      </c>
      <c r="D304" s="4" t="inlineStr">
        <is>
          <t>Dominica</t>
        </is>
      </c>
      <c r="E304" s="4" t="inlineStr">
        <is>
          <t>DMA</t>
        </is>
      </c>
      <c r="F304" s="10" t="n">
        <v>43255</v>
      </c>
      <c r="G304" s="4" t="inlineStr">
        <is>
          <t>2013gn</t>
        </is>
      </c>
      <c r="H304" s="4" t="n">
        <v>2017</v>
      </c>
      <c r="I304" s="4" t="inlineStr">
        <is>
          <t>pn.new.dbt.lcl.nres.bnd.1to3.fx</t>
        </is>
      </c>
      <c r="J304" t="inlineStr">
        <is>
          <t>…</t>
        </is>
      </c>
    </row>
    <row r="305">
      <c r="A305" t="inlineStr">
        <is>
          <t>Dominica_2018_August</t>
        </is>
      </c>
      <c r="B305" s="2" t="n"/>
      <c r="C305" s="3" t="inlineStr">
        <is>
          <t>SM.18.139</t>
        </is>
      </c>
      <c r="D305" s="4" t="inlineStr">
        <is>
          <t>Dominica</t>
        </is>
      </c>
      <c r="E305" s="4" t="inlineStr">
        <is>
          <t>DMA</t>
        </is>
      </c>
      <c r="F305" s="10" t="n">
        <v>43255</v>
      </c>
      <c r="G305" s="4" t="inlineStr">
        <is>
          <t>2013gn</t>
        </is>
      </c>
      <c r="H305" s="4" t="n">
        <v>2017</v>
      </c>
      <c r="I305" s="4" t="inlineStr">
        <is>
          <t>pn.new.dbt.lcl.nres.bnd.4to7.fx</t>
        </is>
      </c>
      <c r="J305" t="inlineStr">
        <is>
          <t>…</t>
        </is>
      </c>
    </row>
    <row r="306">
      <c r="A306" t="inlineStr">
        <is>
          <t>Dominica_2018_August</t>
        </is>
      </c>
      <c r="B306" s="2" t="n"/>
      <c r="C306" s="3" t="inlineStr">
        <is>
          <t>SM.18.139</t>
        </is>
      </c>
      <c r="D306" s="4" t="inlineStr">
        <is>
          <t>Dominica</t>
        </is>
      </c>
      <c r="E306" s="4" t="inlineStr">
        <is>
          <t>DMA</t>
        </is>
      </c>
      <c r="F306" s="10" t="n">
        <v>43255</v>
      </c>
      <c r="G306" s="4" t="inlineStr">
        <is>
          <t>2013gn</t>
        </is>
      </c>
      <c r="H306" s="4" t="n">
        <v>2017</v>
      </c>
      <c r="I306" s="4" t="inlineStr">
        <is>
          <t>pn.new.dbt.lcl.nres.bnd.byd7.fx</t>
        </is>
      </c>
      <c r="J306" t="inlineStr">
        <is>
          <t xml:space="preserve">   Others Paris Club</t>
        </is>
      </c>
    </row>
    <row r="307">
      <c r="A307" t="inlineStr">
        <is>
          <t>Dominica_2018_August</t>
        </is>
      </c>
      <c r="B307" s="2" t="n"/>
      <c r="C307" s="3" t="inlineStr">
        <is>
          <t>SM.18.139</t>
        </is>
      </c>
      <c r="D307" s="4" t="inlineStr">
        <is>
          <t>Dominica</t>
        </is>
      </c>
      <c r="E307" s="4" t="inlineStr">
        <is>
          <t>DMA</t>
        </is>
      </c>
      <c r="F307" s="10" t="n">
        <v>43255</v>
      </c>
      <c r="G307" s="4" t="inlineStr">
        <is>
          <t>2013gn</t>
        </is>
      </c>
      <c r="H307" s="4" t="n">
        <v>2017</v>
      </c>
      <c r="I307" s="5" t="n"/>
      <c r="J307" t="inlineStr">
        <is>
          <t xml:space="preserve">   NPC</t>
        </is>
      </c>
    </row>
    <row r="308">
      <c r="A308" t="inlineStr">
        <is>
          <t>Dominica_2018_August</t>
        </is>
      </c>
      <c r="B308" s="2" t="n"/>
      <c r="C308" s="3" t="inlineStr">
        <is>
          <t>SM.18.139</t>
        </is>
      </c>
      <c r="D308" s="4" t="inlineStr">
        <is>
          <t>Dominica</t>
        </is>
      </c>
      <c r="E308" s="4" t="inlineStr">
        <is>
          <t>DMA</t>
        </is>
      </c>
      <c r="F308" s="10" t="n">
        <v>43255</v>
      </c>
      <c r="G308" s="4" t="inlineStr">
        <is>
          <t>2013gn</t>
        </is>
      </c>
      <c r="H308" s="4" t="n">
        <v>2017</v>
      </c>
      <c r="I308" s="4" t="inlineStr">
        <is>
          <t>pn.new.dbt.lcl.fx</t>
        </is>
      </c>
      <c r="J308" t="inlineStr">
        <is>
          <t>…</t>
        </is>
      </c>
    </row>
    <row r="309">
      <c r="A309" t="inlineStr">
        <is>
          <t>Dominica_2018_August</t>
        </is>
      </c>
      <c r="B309" s="2" t="n"/>
      <c r="C309" s="3" t="inlineStr">
        <is>
          <t>SM.18.139</t>
        </is>
      </c>
      <c r="D309" s="4" t="inlineStr">
        <is>
          <t>Dominica</t>
        </is>
      </c>
      <c r="E309" s="4" t="inlineStr">
        <is>
          <t>DMA</t>
        </is>
      </c>
      <c r="F309" s="10" t="n">
        <v>43255</v>
      </c>
      <c r="G309" s="4" t="inlineStr">
        <is>
          <t>2013gn</t>
        </is>
      </c>
      <c r="H309" s="4" t="n">
        <v>2017</v>
      </c>
      <c r="I309" s="4" t="inlineStr">
        <is>
          <t>pn.new.dbt.lcl.fx.bnd.1to3.fx</t>
        </is>
      </c>
      <c r="J309" t="inlineStr">
        <is>
          <t>…</t>
        </is>
      </c>
    </row>
    <row r="310">
      <c r="A310" t="inlineStr">
        <is>
          <t>Dominica_2018_August</t>
        </is>
      </c>
      <c r="B310" s="2" t="n"/>
      <c r="C310" s="3" t="inlineStr">
        <is>
          <t>SM.18.139</t>
        </is>
      </c>
      <c r="D310" s="4" t="inlineStr">
        <is>
          <t>Dominica</t>
        </is>
      </c>
      <c r="E310" s="4" t="inlineStr">
        <is>
          <t>DMA</t>
        </is>
      </c>
      <c r="F310" s="10" t="n">
        <v>43255</v>
      </c>
      <c r="G310" s="4" t="inlineStr">
        <is>
          <t>2013gn</t>
        </is>
      </c>
      <c r="H310" s="4" t="n">
        <v>2017</v>
      </c>
      <c r="I310" s="4" t="inlineStr">
        <is>
          <t>pn.new.dbt.lcl.fx.bnd.4to7.fx</t>
        </is>
      </c>
      <c r="J310" t="inlineStr">
        <is>
          <t xml:space="preserve">   Others Non Paris Club</t>
        </is>
      </c>
    </row>
    <row r="311">
      <c r="A311" t="inlineStr">
        <is>
          <t>Dominica_2018_August</t>
        </is>
      </c>
      <c r="B311" s="2" t="n"/>
      <c r="C311" s="3" t="inlineStr">
        <is>
          <t>SM.18.139</t>
        </is>
      </c>
      <c r="D311" s="4" t="inlineStr">
        <is>
          <t>Dominica</t>
        </is>
      </c>
      <c r="E311" s="4" t="inlineStr">
        <is>
          <t>DMA</t>
        </is>
      </c>
      <c r="F311" s="10" t="n">
        <v>43255</v>
      </c>
      <c r="G311" s="4" t="inlineStr">
        <is>
          <t>2013gn</t>
        </is>
      </c>
      <c r="H311" s="4" t="n">
        <v>2017</v>
      </c>
      <c r="I311" s="4" t="inlineStr">
        <is>
          <t>pn.new.dbt.lcl.fx.bnd.byd7.fx</t>
        </is>
      </c>
      <c r="J311" t="inlineStr">
        <is>
          <t>Commercial</t>
        </is>
      </c>
    </row>
    <row r="312">
      <c r="A312" t="inlineStr">
        <is>
          <t>Dominica_2018_August</t>
        </is>
      </c>
      <c r="B312" s="2" t="n"/>
      <c r="C312" s="3" t="inlineStr">
        <is>
          <t>SM.18.139</t>
        </is>
      </c>
      <c r="D312" s="4" t="inlineStr">
        <is>
          <t>Dominica</t>
        </is>
      </c>
      <c r="E312" s="4" t="inlineStr">
        <is>
          <t>DMA</t>
        </is>
      </c>
      <c r="F312" s="10" t="n">
        <v>43255</v>
      </c>
      <c r="G312" s="4" t="inlineStr">
        <is>
          <t>2013gn</t>
        </is>
      </c>
      <c r="H312" s="4" t="n">
        <v>2017</v>
      </c>
      <c r="I312" s="5" t="n"/>
      <c r="J312" t="inlineStr">
        <is>
          <t>…</t>
        </is>
      </c>
    </row>
    <row r="313">
      <c r="A313" t="inlineStr">
        <is>
          <t>Dominica_2018_August</t>
        </is>
      </c>
      <c r="B313" s="2" t="n"/>
      <c r="C313" s="3" t="inlineStr">
        <is>
          <t>SM.18.139</t>
        </is>
      </c>
      <c r="D313" s="4" t="inlineStr">
        <is>
          <t>Dominica</t>
        </is>
      </c>
      <c r="E313" s="4" t="inlineStr">
        <is>
          <t>DMA</t>
        </is>
      </c>
      <c r="F313" s="10" t="n">
        <v>43255</v>
      </c>
      <c r="G313" s="4" t="inlineStr">
        <is>
          <t>2013gn</t>
        </is>
      </c>
      <c r="H313" s="4" t="n">
        <v>2017</v>
      </c>
      <c r="I313" s="4" t="inlineStr">
        <is>
          <t>nom.val.dbt.mlg.trm</t>
        </is>
      </c>
      <c r="J313" t="inlineStr">
        <is>
          <t>…</t>
        </is>
      </c>
    </row>
    <row r="314">
      <c r="A314" t="inlineStr">
        <is>
          <t>Dominica_2018_August</t>
        </is>
      </c>
      <c r="B314" s="2" t="n"/>
      <c r="C314" s="3" t="inlineStr">
        <is>
          <t>SM.18.139</t>
        </is>
      </c>
      <c r="D314" s="4" t="inlineStr">
        <is>
          <t>Dominica</t>
        </is>
      </c>
      <c r="E314" s="4" t="inlineStr">
        <is>
          <t>DMA</t>
        </is>
      </c>
      <c r="F314" s="10" t="n">
        <v>43255</v>
      </c>
      <c r="G314" s="4" t="inlineStr">
        <is>
          <t>2013gn</t>
        </is>
      </c>
      <c r="H314" s="4" t="n">
        <v>2017</v>
      </c>
      <c r="I314" s="4" t="inlineStr">
        <is>
          <t>nom.val.dbt.mlt</t>
        </is>
      </c>
      <c r="J314" t="inlineStr">
        <is>
          <t xml:space="preserve">   Others Commercial</t>
        </is>
      </c>
    </row>
    <row r="315">
      <c r="A315" t="inlineStr">
        <is>
          <t>Dominica_2018_August</t>
        </is>
      </c>
      <c r="B315" s="2" t="n"/>
      <c r="C315" s="3" t="inlineStr">
        <is>
          <t>SM.18.139</t>
        </is>
      </c>
      <c r="D315" s="4" t="inlineStr">
        <is>
          <t>Dominica</t>
        </is>
      </c>
      <c r="E315" s="4" t="inlineStr">
        <is>
          <t>DMA</t>
        </is>
      </c>
      <c r="F315" s="10" t="n">
        <v>43255</v>
      </c>
      <c r="G315" s="4" t="inlineStr">
        <is>
          <t>2013gn</t>
        </is>
      </c>
      <c r="H315" s="4" t="n">
        <v>2017</v>
      </c>
      <c r="I315" s="4" t="inlineStr">
        <is>
          <t>nom.val.dbt.mlt.imf</t>
        </is>
      </c>
      <c r="J315" t="inlineStr">
        <is>
          <t>If the Breakdown is not available insert total debt service here</t>
        </is>
      </c>
    </row>
    <row r="316">
      <c r="A316" t="inlineStr">
        <is>
          <t>Dominica_2018_August</t>
        </is>
      </c>
      <c r="B316" s="2" t="n"/>
      <c r="C316" s="3" t="inlineStr">
        <is>
          <t>SM.18.139</t>
        </is>
      </c>
      <c r="D316" s="4" t="inlineStr">
        <is>
          <t>Dominica</t>
        </is>
      </c>
      <c r="E316" s="4" t="inlineStr">
        <is>
          <t>DMA</t>
        </is>
      </c>
      <c r="F316" s="10" t="n">
        <v>43255</v>
      </c>
      <c r="G316" s="4" t="inlineStr">
        <is>
          <t>2013gn</t>
        </is>
      </c>
      <c r="H316" s="4" t="n">
        <v>2017</v>
      </c>
      <c r="I316" s="4" t="inlineStr">
        <is>
          <t>nom.val.dbt.mlt.ida.reg</t>
        </is>
      </c>
      <c r="J316" t="inlineStr">
        <is>
          <t>Total</t>
        </is>
      </c>
    </row>
    <row r="317">
      <c r="A317" t="inlineStr">
        <is>
          <t>Dominica_2018_August</t>
        </is>
      </c>
      <c r="B317" s="2" t="n"/>
      <c r="C317" s="3" t="inlineStr">
        <is>
          <t>SM.18.139</t>
        </is>
      </c>
      <c r="D317" s="4" t="inlineStr">
        <is>
          <t>Dominica</t>
        </is>
      </c>
      <c r="E317" s="4" t="inlineStr">
        <is>
          <t>DMA</t>
        </is>
      </c>
      <c r="F317" s="10" t="n">
        <v>43255</v>
      </c>
      <c r="G317" s="4" t="inlineStr">
        <is>
          <t>2013gn</t>
        </is>
      </c>
      <c r="H317" s="4" t="n">
        <v>2017</v>
      </c>
      <c r="I317" s="4" t="inlineStr">
        <is>
          <t>nom.val.dbt.mlt.ida.bld</t>
        </is>
      </c>
      <c r="J317" t="inlineStr">
        <is>
          <t xml:space="preserve">    of which: principal</t>
        </is>
      </c>
    </row>
    <row r="318">
      <c r="A318" t="inlineStr">
        <is>
          <t>Dominica_2018_August</t>
        </is>
      </c>
      <c r="B318" s="2" t="n"/>
      <c r="C318" s="3" t="inlineStr">
        <is>
          <t>SM.18.139</t>
        </is>
      </c>
      <c r="D318" s="4" t="inlineStr">
        <is>
          <t>Dominica</t>
        </is>
      </c>
      <c r="E318" s="4" t="inlineStr">
        <is>
          <t>DMA</t>
        </is>
      </c>
      <c r="F318" s="10" t="n">
        <v>43255</v>
      </c>
      <c r="G318" s="4" t="inlineStr">
        <is>
          <t>2013gn</t>
        </is>
      </c>
      <c r="H318" s="4" t="n">
        <v>2017</v>
      </c>
      <c r="I318" s="4" t="inlineStr">
        <is>
          <t>nom.val.dbt.mlt.afdb</t>
        </is>
      </c>
      <c r="J318" t="inlineStr">
        <is>
          <t xml:space="preserve">    of which: interest</t>
        </is>
      </c>
    </row>
    <row r="319">
      <c r="A319" t="inlineStr">
        <is>
          <t>Dominica_2018_August</t>
        </is>
      </c>
      <c r="B319" s="2" t="n"/>
      <c r="C319" s="3" t="inlineStr">
        <is>
          <t>SM.18.139</t>
        </is>
      </c>
      <c r="D319" s="4" t="inlineStr">
        <is>
          <t>Dominica</t>
        </is>
      </c>
      <c r="E319" s="4" t="inlineStr">
        <is>
          <t>DMA</t>
        </is>
      </c>
      <c r="F319" s="10" t="n">
        <v>43255</v>
      </c>
      <c r="G319" s="4" t="inlineStr">
        <is>
          <t>2013gn</t>
        </is>
      </c>
      <c r="H319" s="4" t="n">
        <v>2017</v>
      </c>
      <c r="I319" s="4" t="inlineStr">
        <is>
          <t>nom.val.dbt.mlt2</t>
        </is>
      </c>
    </row>
    <row r="320">
      <c r="A320" t="inlineStr">
        <is>
          <t>Dominica_2018_August</t>
        </is>
      </c>
      <c r="B320" s="2" t="n"/>
      <c r="C320" s="3" t="inlineStr">
        <is>
          <t>SM.18.139</t>
        </is>
      </c>
      <c r="D320" s="4" t="inlineStr">
        <is>
          <t>Dominica</t>
        </is>
      </c>
      <c r="E320" s="4" t="inlineStr">
        <is>
          <t>DMA</t>
        </is>
      </c>
      <c r="F320" s="10" t="n">
        <v>43255</v>
      </c>
      <c r="G320" s="4" t="inlineStr">
        <is>
          <t>2013gn</t>
        </is>
      </c>
      <c r="H320" s="4" t="n">
        <v>2017</v>
      </c>
      <c r="I320" s="4" t="inlineStr">
        <is>
          <t>nom.val.dbt.mlt3</t>
        </is>
      </c>
      <c r="J320" t="inlineStr">
        <is>
          <t>2. Stock of outstanding arrears</t>
        </is>
      </c>
    </row>
    <row r="321">
      <c r="A321" t="inlineStr">
        <is>
          <t>Dominica_2018_August</t>
        </is>
      </c>
      <c r="B321" s="2" t="n"/>
      <c r="C321" s="3" t="inlineStr">
        <is>
          <t>SM.18.139</t>
        </is>
      </c>
      <c r="D321" s="4" t="inlineStr">
        <is>
          <t>Dominica</t>
        </is>
      </c>
      <c r="E321" s="4" t="inlineStr">
        <is>
          <t>DMA</t>
        </is>
      </c>
      <c r="F321" s="10" t="n">
        <v>43255</v>
      </c>
      <c r="G321" s="4" t="inlineStr">
        <is>
          <t>2013gn</t>
        </is>
      </c>
      <c r="H321" s="4" t="n">
        <v>2017</v>
      </c>
      <c r="I321" s="4" t="inlineStr">
        <is>
          <t>nom.val.dbt.mlt.oth</t>
        </is>
      </c>
    </row>
    <row r="322">
      <c r="A322" t="inlineStr">
        <is>
          <t>Dominica_2018_August</t>
        </is>
      </c>
      <c r="B322" s="2" t="n"/>
      <c r="C322" s="3" t="inlineStr">
        <is>
          <t>SM.18.139</t>
        </is>
      </c>
      <c r="D322" s="4" t="inlineStr">
        <is>
          <t>Dominica</t>
        </is>
      </c>
      <c r="E322" s="4" t="inlineStr">
        <is>
          <t>DMA</t>
        </is>
      </c>
      <c r="F322" s="10" t="n">
        <v>43255</v>
      </c>
      <c r="G322" s="4" t="inlineStr">
        <is>
          <t>2013gn</t>
        </is>
      </c>
      <c r="H322" s="4" t="n">
        <v>2017</v>
      </c>
      <c r="I322" s="4" t="inlineStr">
        <is>
          <t>nom.val.dbt.mlt.oth1</t>
        </is>
      </c>
      <c r="J322" t="inlineStr">
        <is>
          <t>Evolution of old MLT debt, excluding arrears (nominal)</t>
        </is>
      </c>
    </row>
    <row r="323">
      <c r="A323" t="inlineStr">
        <is>
          <t>Dominica_2018_August</t>
        </is>
      </c>
      <c r="B323" s="2" t="n"/>
      <c r="C323" s="3" t="inlineStr">
        <is>
          <t>SM.18.139</t>
        </is>
      </c>
      <c r="D323" s="4" t="inlineStr">
        <is>
          <t>Dominica</t>
        </is>
      </c>
      <c r="E323" s="4" t="inlineStr">
        <is>
          <t>DMA</t>
        </is>
      </c>
      <c r="F323" s="10" t="n">
        <v>43255</v>
      </c>
      <c r="G323" s="4" t="inlineStr">
        <is>
          <t>2013gn</t>
        </is>
      </c>
      <c r="H323" s="4" t="n">
        <v>2017</v>
      </c>
      <c r="I323" s="4" t="inlineStr">
        <is>
          <t>nom.val.dbt.mlt.oth2</t>
        </is>
      </c>
      <c r="J323" t="inlineStr">
        <is>
          <t>Check</t>
        </is>
      </c>
    </row>
    <row r="324">
      <c r="A324" t="inlineStr">
        <is>
          <t>Dominica_2018_August</t>
        </is>
      </c>
      <c r="B324" s="2" t="n"/>
      <c r="C324" s="3" t="inlineStr">
        <is>
          <t>SM.18.139</t>
        </is>
      </c>
      <c r="D324" s="4" t="inlineStr">
        <is>
          <t>Dominica</t>
        </is>
      </c>
      <c r="E324" s="4" t="inlineStr">
        <is>
          <t>DMA</t>
        </is>
      </c>
      <c r="F324" s="10" t="n">
        <v>43255</v>
      </c>
      <c r="G324" s="4" t="inlineStr">
        <is>
          <t>2013gn</t>
        </is>
      </c>
      <c r="H324" s="4" t="n">
        <v>2017</v>
      </c>
      <c r="I324" s="4" t="inlineStr">
        <is>
          <t>nom.val.dbt.mlt.oth3</t>
        </is>
      </c>
    </row>
    <row r="325">
      <c r="A325" t="inlineStr">
        <is>
          <t>Dominica_2018_August</t>
        </is>
      </c>
      <c r="B325" s="2" t="n"/>
      <c r="C325" s="3" t="inlineStr">
        <is>
          <t>SM.18.139</t>
        </is>
      </c>
      <c r="D325" s="4" t="inlineStr">
        <is>
          <t>Dominica</t>
        </is>
      </c>
      <c r="E325" s="4" t="inlineStr">
        <is>
          <t>DMA</t>
        </is>
      </c>
      <c r="F325" s="10" t="n">
        <v>43255</v>
      </c>
      <c r="G325" s="4" t="inlineStr">
        <is>
          <t>2013gn</t>
        </is>
      </c>
      <c r="H325" s="4" t="n">
        <v>2017</v>
      </c>
      <c r="I325" s="4" t="inlineStr">
        <is>
          <t>nom.val.dbt.blt</t>
        </is>
      </c>
      <c r="J325" t="inlineStr">
        <is>
          <t>3. NEW MLT DEBT: Disbursements (including for refinancing/clearance of arrears)</t>
        </is>
      </c>
    </row>
    <row r="326">
      <c r="A326" t="inlineStr">
        <is>
          <t>Dominica_2018_August</t>
        </is>
      </c>
      <c r="B326" s="2" t="n"/>
      <c r="C326" s="3" t="inlineStr">
        <is>
          <t>SM.18.139</t>
        </is>
      </c>
      <c r="D326" s="4" t="inlineStr">
        <is>
          <t>Dominica</t>
        </is>
      </c>
      <c r="E326" s="4" t="inlineStr">
        <is>
          <t>DMA</t>
        </is>
      </c>
      <c r="F326" s="10" t="n">
        <v>43255</v>
      </c>
      <c r="G326" s="4" t="inlineStr">
        <is>
          <t>2013gn</t>
        </is>
      </c>
      <c r="H326" s="4" t="n">
        <v>2017</v>
      </c>
      <c r="I326" s="4" t="inlineStr">
        <is>
          <t>nom.val.dbt.pc</t>
        </is>
      </c>
      <c r="J326" t="inlineStr">
        <is>
          <t>Multilaterals</t>
        </is>
      </c>
    </row>
    <row r="327">
      <c r="A327" t="inlineStr">
        <is>
          <t>Dominica_2018_August</t>
        </is>
      </c>
      <c r="B327" s="2" t="n"/>
      <c r="C327" s="3" t="inlineStr">
        <is>
          <t>SM.18.139</t>
        </is>
      </c>
      <c r="D327" s="4" t="inlineStr">
        <is>
          <t>Dominica</t>
        </is>
      </c>
      <c r="E327" s="4" t="inlineStr">
        <is>
          <t>DMA</t>
        </is>
      </c>
      <c r="F327" s="10" t="n">
        <v>43255</v>
      </c>
      <c r="G327" s="4" t="inlineStr">
        <is>
          <t>2013gn</t>
        </is>
      </c>
      <c r="H327" s="4" t="n">
        <v>2017</v>
      </c>
      <c r="I327" s="4" t="inlineStr">
        <is>
          <t>nom.val.dbt.pc1</t>
        </is>
      </c>
      <c r="J327" t="inlineStr">
        <is>
          <t xml:space="preserve">   IMF</t>
        </is>
      </c>
    </row>
    <row r="328">
      <c r="A328" t="inlineStr">
        <is>
          <t>Dominica_2018_August</t>
        </is>
      </c>
      <c r="B328" s="2" t="n"/>
      <c r="C328" s="3" t="inlineStr">
        <is>
          <t>SM.18.139</t>
        </is>
      </c>
      <c r="D328" s="4" t="inlineStr">
        <is>
          <t>Dominica</t>
        </is>
      </c>
      <c r="E328" s="4" t="inlineStr">
        <is>
          <t>DMA</t>
        </is>
      </c>
      <c r="F328" s="10" t="n">
        <v>43255</v>
      </c>
      <c r="G328" s="4" t="inlineStr">
        <is>
          <t>2013gn</t>
        </is>
      </c>
      <c r="H328" s="4" t="n">
        <v>2017</v>
      </c>
      <c r="I328" s="4" t="inlineStr">
        <is>
          <t>nom.val.dbt.pc2</t>
        </is>
      </c>
      <c r="J328" t="inlineStr">
        <is>
          <t xml:space="preserve">   IDA - Small Island Country</t>
        </is>
      </c>
    </row>
    <row r="329">
      <c r="A329" t="inlineStr">
        <is>
          <t>Dominica_2018_August</t>
        </is>
      </c>
      <c r="B329" s="2" t="n"/>
      <c r="C329" s="3" t="inlineStr">
        <is>
          <t>SM.18.139</t>
        </is>
      </c>
      <c r="D329" s="4" t="inlineStr">
        <is>
          <t>Dominica</t>
        </is>
      </c>
      <c r="E329" s="4" t="inlineStr">
        <is>
          <t>DMA</t>
        </is>
      </c>
      <c r="F329" s="10" t="n">
        <v>43255</v>
      </c>
      <c r="G329" s="4" t="inlineStr">
        <is>
          <t>2013gn</t>
        </is>
      </c>
      <c r="H329" s="4" t="n">
        <v>2017</v>
      </c>
      <c r="I329" s="4" t="inlineStr">
        <is>
          <t>nom.val.dbt.pc3</t>
        </is>
      </c>
      <c r="J329" t="inlineStr">
        <is>
          <t>IDA - Regular</t>
        </is>
      </c>
    </row>
    <row r="330">
      <c r="A330" t="inlineStr">
        <is>
          <t>Dominica_2018_August</t>
        </is>
      </c>
      <c r="B330" s="2" t="n"/>
      <c r="C330" s="3" t="inlineStr">
        <is>
          <t>SM.18.139</t>
        </is>
      </c>
      <c r="D330" s="4" t="inlineStr">
        <is>
          <t>Dominica</t>
        </is>
      </c>
      <c r="E330" s="4" t="inlineStr">
        <is>
          <t>DMA</t>
        </is>
      </c>
      <c r="F330" s="10" t="n">
        <v>43255</v>
      </c>
      <c r="G330" s="4" t="inlineStr">
        <is>
          <t>2013gn</t>
        </is>
      </c>
      <c r="H330" s="4" t="n">
        <v>2017</v>
      </c>
      <c r="I330" s="4" t="inlineStr">
        <is>
          <t>nom.val.dbt.pc4</t>
        </is>
      </c>
      <c r="J330" t="inlineStr">
        <is>
          <t>IBRD</t>
        </is>
      </c>
    </row>
    <row r="331">
      <c r="A331" t="inlineStr">
        <is>
          <t>Dominica_2018_August</t>
        </is>
      </c>
      <c r="B331" s="2" t="n"/>
      <c r="C331" s="3" t="inlineStr">
        <is>
          <t>SM.18.139</t>
        </is>
      </c>
      <c r="D331" s="4" t="inlineStr">
        <is>
          <t>Dominica</t>
        </is>
      </c>
      <c r="E331" s="4" t="inlineStr">
        <is>
          <t>DMA</t>
        </is>
      </c>
      <c r="F331" s="10" t="n">
        <v>43255</v>
      </c>
      <c r="G331" s="4" t="inlineStr">
        <is>
          <t>2013gn</t>
        </is>
      </c>
      <c r="H331" s="4" t="n">
        <v>2017</v>
      </c>
      <c r="I331" s="4" t="inlineStr">
        <is>
          <t>nom.val.dbt.pc5</t>
        </is>
      </c>
      <c r="J331" t="inlineStr">
        <is>
          <t>Other Multilateral</t>
        </is>
      </c>
    </row>
    <row r="332">
      <c r="A332" t="inlineStr">
        <is>
          <t>Dominica_2018_August</t>
        </is>
      </c>
      <c r="B332" s="2" t="n"/>
      <c r="C332" s="3" t="inlineStr">
        <is>
          <t>SM.18.139</t>
        </is>
      </c>
      <c r="D332" s="4" t="inlineStr">
        <is>
          <t>Dominica</t>
        </is>
      </c>
      <c r="E332" s="4" t="inlineStr">
        <is>
          <t>DMA</t>
        </is>
      </c>
      <c r="F332" s="10" t="n">
        <v>43255</v>
      </c>
      <c r="G332" s="4" t="inlineStr">
        <is>
          <t>2013gn</t>
        </is>
      </c>
      <c r="H332" s="4" t="n">
        <v>2017</v>
      </c>
      <c r="I332" s="4" t="inlineStr">
        <is>
          <t>nom.val.dbt.npc</t>
        </is>
      </c>
      <c r="J332" t="inlineStr">
        <is>
          <t>Official Bilaterals</t>
        </is>
      </c>
    </row>
    <row r="333">
      <c r="A333" t="inlineStr">
        <is>
          <t>Dominica_2018_August</t>
        </is>
      </c>
      <c r="B333" s="2" t="n"/>
      <c r="C333" s="3" t="inlineStr">
        <is>
          <t>SM.18.139</t>
        </is>
      </c>
      <c r="D333" s="4" t="inlineStr">
        <is>
          <t>Dominica</t>
        </is>
      </c>
      <c r="E333" s="4" t="inlineStr">
        <is>
          <t>DMA</t>
        </is>
      </c>
      <c r="F333" s="10" t="n">
        <v>43255</v>
      </c>
      <c r="G333" s="4" t="inlineStr">
        <is>
          <t>2013gn</t>
        </is>
      </c>
      <c r="H333" s="4" t="n">
        <v>2017</v>
      </c>
      <c r="I333" s="4" t="inlineStr">
        <is>
          <t>nom.val.dbt.npc.eximbk</t>
        </is>
      </c>
      <c r="J333" t="inlineStr">
        <is>
          <t xml:space="preserve">   PC</t>
        </is>
      </c>
    </row>
    <row r="334">
      <c r="A334" t="inlineStr">
        <is>
          <t>Dominica_2018_August</t>
        </is>
      </c>
      <c r="B334" s="2" t="n"/>
      <c r="C334" s="3" t="inlineStr">
        <is>
          <t>SM.18.139</t>
        </is>
      </c>
      <c r="D334" s="4" t="inlineStr">
        <is>
          <t>Dominica</t>
        </is>
      </c>
      <c r="E334" s="4" t="inlineStr">
        <is>
          <t>DMA</t>
        </is>
      </c>
      <c r="F334" s="10" t="n">
        <v>43255</v>
      </c>
      <c r="G334" s="4" t="inlineStr">
        <is>
          <t>2013gn</t>
        </is>
      </c>
      <c r="H334" s="4" t="n">
        <v>2017</v>
      </c>
      <c r="I334" s="4" t="inlineStr">
        <is>
          <t>nom.val.dbt.npc2</t>
        </is>
      </c>
      <c r="J334" t="inlineStr">
        <is>
          <t>…</t>
        </is>
      </c>
    </row>
    <row r="335">
      <c r="A335" t="inlineStr">
        <is>
          <t>Dominica_2018_August</t>
        </is>
      </c>
      <c r="B335" s="2" t="n"/>
      <c r="C335" s="3" t="inlineStr">
        <is>
          <t>SM.18.139</t>
        </is>
      </c>
      <c r="D335" s="4" t="inlineStr">
        <is>
          <t>Dominica</t>
        </is>
      </c>
      <c r="E335" s="4" t="inlineStr">
        <is>
          <t>DMA</t>
        </is>
      </c>
      <c r="F335" s="10" t="n">
        <v>43255</v>
      </c>
      <c r="G335" s="4" t="inlineStr">
        <is>
          <t>2013gn</t>
        </is>
      </c>
      <c r="H335" s="4" t="n">
        <v>2017</v>
      </c>
      <c r="I335" s="4" t="inlineStr">
        <is>
          <t>nom.val.dbt.npc3</t>
        </is>
      </c>
      <c r="J335" t="inlineStr">
        <is>
          <t>…</t>
        </is>
      </c>
    </row>
    <row r="336">
      <c r="A336" t="inlineStr">
        <is>
          <t>Dominica_2018_August</t>
        </is>
      </c>
      <c r="B336" s="2" t="n"/>
      <c r="C336" s="3" t="inlineStr">
        <is>
          <t>SM.18.139</t>
        </is>
      </c>
      <c r="D336" s="4" t="inlineStr">
        <is>
          <t>Dominica</t>
        </is>
      </c>
      <c r="E336" s="4" t="inlineStr">
        <is>
          <t>DMA</t>
        </is>
      </c>
      <c r="F336" s="10" t="n">
        <v>43255</v>
      </c>
      <c r="G336" s="4" t="inlineStr">
        <is>
          <t>2013gn</t>
        </is>
      </c>
      <c r="H336" s="4" t="n">
        <v>2017</v>
      </c>
      <c r="I336" s="4" t="inlineStr">
        <is>
          <t>nom.val.dbt.npc4</t>
        </is>
      </c>
      <c r="J336" t="inlineStr">
        <is>
          <t xml:space="preserve">   Others Paris Club</t>
        </is>
      </c>
    </row>
    <row r="337">
      <c r="A337" t="inlineStr">
        <is>
          <t>Dominica_2018_August</t>
        </is>
      </c>
      <c r="B337" s="2" t="n"/>
      <c r="C337" s="3" t="inlineStr">
        <is>
          <t>SM.18.139</t>
        </is>
      </c>
      <c r="D337" s="4" t="inlineStr">
        <is>
          <t>Dominica</t>
        </is>
      </c>
      <c r="E337" s="4" t="inlineStr">
        <is>
          <t>DMA</t>
        </is>
      </c>
      <c r="F337" s="10" t="n">
        <v>43255</v>
      </c>
      <c r="G337" s="4" t="inlineStr">
        <is>
          <t>2013gn</t>
        </is>
      </c>
      <c r="H337" s="4" t="n">
        <v>2017</v>
      </c>
      <c r="I337" s="4" t="inlineStr">
        <is>
          <t>nom.val.dbt.npc5</t>
        </is>
      </c>
      <c r="J337" t="inlineStr">
        <is>
          <t xml:space="preserve">   NPC</t>
        </is>
      </c>
    </row>
    <row r="338">
      <c r="A338" t="inlineStr">
        <is>
          <t>Dominica_2018_August</t>
        </is>
      </c>
      <c r="B338" s="2" t="n"/>
      <c r="C338" s="3" t="inlineStr">
        <is>
          <t>SM.18.139</t>
        </is>
      </c>
      <c r="D338" s="4" t="inlineStr">
        <is>
          <t>Dominica</t>
        </is>
      </c>
      <c r="E338" s="4" t="inlineStr">
        <is>
          <t>DMA</t>
        </is>
      </c>
      <c r="F338" s="10" t="n">
        <v>43255</v>
      </c>
      <c r="G338" s="4" t="inlineStr">
        <is>
          <t>2013gn</t>
        </is>
      </c>
      <c r="H338" s="4" t="n">
        <v>2017</v>
      </c>
      <c r="I338" s="4" t="inlineStr">
        <is>
          <t>nom.val.dbt.prvt</t>
        </is>
      </c>
      <c r="J338" t="inlineStr">
        <is>
          <t>…</t>
        </is>
      </c>
    </row>
    <row r="339">
      <c r="A339" t="inlineStr">
        <is>
          <t>Dominica_2018_August</t>
        </is>
      </c>
      <c r="B339" s="2" t="n"/>
      <c r="C339" s="3" t="inlineStr">
        <is>
          <t>SM.18.139</t>
        </is>
      </c>
      <c r="D339" s="4" t="inlineStr">
        <is>
          <t>Dominica</t>
        </is>
      </c>
      <c r="E339" s="4" t="inlineStr">
        <is>
          <t>DMA</t>
        </is>
      </c>
      <c r="F339" s="10" t="n">
        <v>43255</v>
      </c>
      <c r="G339" s="4" t="inlineStr">
        <is>
          <t>2013gn</t>
        </is>
      </c>
      <c r="H339" s="4" t="n">
        <v>2017</v>
      </c>
      <c r="I339" s="4" t="inlineStr">
        <is>
          <t>nom.val.dbt.prvt.bnd</t>
        </is>
      </c>
      <c r="J339" t="inlineStr">
        <is>
          <t>…</t>
        </is>
      </c>
    </row>
    <row r="340">
      <c r="A340" t="inlineStr">
        <is>
          <t>Dominica_2018_August</t>
        </is>
      </c>
      <c r="B340" s="2" t="n"/>
      <c r="C340" s="3" t="inlineStr">
        <is>
          <t>SM.18.139</t>
        </is>
      </c>
      <c r="D340" s="4" t="inlineStr">
        <is>
          <t>Dominica</t>
        </is>
      </c>
      <c r="E340" s="4" t="inlineStr">
        <is>
          <t>DMA</t>
        </is>
      </c>
      <c r="F340" s="10" t="n">
        <v>43255</v>
      </c>
      <c r="G340" s="4" t="inlineStr">
        <is>
          <t>2013gn</t>
        </is>
      </c>
      <c r="H340" s="4" t="n">
        <v>2017</v>
      </c>
      <c r="I340" s="4" t="inlineStr">
        <is>
          <t>nom.val.dbt.prvt.cmbk</t>
        </is>
      </c>
      <c r="J340" t="inlineStr">
        <is>
          <t xml:space="preserve">   Others Non Paris Club</t>
        </is>
      </c>
    </row>
    <row r="341">
      <c r="A341" t="inlineStr">
        <is>
          <t>Dominica_2018_August</t>
        </is>
      </c>
      <c r="B341" s="2" t="n"/>
      <c r="C341" s="3" t="inlineStr">
        <is>
          <t>SM.18.139</t>
        </is>
      </c>
      <c r="D341" s="4" t="inlineStr">
        <is>
          <t>Dominica</t>
        </is>
      </c>
      <c r="E341" s="4" t="inlineStr">
        <is>
          <t>DMA</t>
        </is>
      </c>
      <c r="F341" s="10" t="n">
        <v>43255</v>
      </c>
      <c r="G341" s="4" t="inlineStr">
        <is>
          <t>2013gn</t>
        </is>
      </c>
      <c r="H341" s="4" t="n">
        <v>2017</v>
      </c>
      <c r="I341" s="4" t="inlineStr">
        <is>
          <t>nom.val.dbt.prvt.com3</t>
        </is>
      </c>
      <c r="J341" t="inlineStr">
        <is>
          <t>Commercial</t>
        </is>
      </c>
    </row>
    <row r="342">
      <c r="A342" t="inlineStr">
        <is>
          <t>Dominica_2018_August</t>
        </is>
      </c>
      <c r="B342" s="2" t="n"/>
      <c r="C342" s="3" t="inlineStr">
        <is>
          <t>SM.18.139</t>
        </is>
      </c>
      <c r="D342" s="4" t="inlineStr">
        <is>
          <t>Dominica</t>
        </is>
      </c>
      <c r="E342" s="4" t="inlineStr">
        <is>
          <t>DMA</t>
        </is>
      </c>
      <c r="F342" s="10" t="n">
        <v>43255</v>
      </c>
      <c r="G342" s="4" t="inlineStr">
        <is>
          <t>2013gn</t>
        </is>
      </c>
      <c r="H342" s="4" t="n">
        <v>2017</v>
      </c>
      <c r="I342" s="4" t="inlineStr">
        <is>
          <t>nom.val.dbt.prvt.com4</t>
        </is>
      </c>
      <c r="J342" t="inlineStr">
        <is>
          <t>…</t>
        </is>
      </c>
    </row>
    <row r="343">
      <c r="A343" t="inlineStr">
        <is>
          <t>Dominica_2018_August</t>
        </is>
      </c>
      <c r="B343" s="2" t="n"/>
      <c r="C343" s="3" t="inlineStr">
        <is>
          <t>SM.18.139</t>
        </is>
      </c>
      <c r="D343" s="4" t="inlineStr">
        <is>
          <t>Dominica</t>
        </is>
      </c>
      <c r="E343" s="4" t="inlineStr">
        <is>
          <t>DMA</t>
        </is>
      </c>
      <c r="F343" s="10" t="n">
        <v>43255</v>
      </c>
      <c r="G343" s="4" t="inlineStr">
        <is>
          <t>2013gn</t>
        </is>
      </c>
      <c r="H343" s="4" t="n">
        <v>2017</v>
      </c>
      <c r="I343" s="4" t="inlineStr">
        <is>
          <t>nom.val.dbt.prvt.com5</t>
        </is>
      </c>
      <c r="J343" t="inlineStr">
        <is>
          <t>…</t>
        </is>
      </c>
    </row>
    <row r="344">
      <c r="A344" t="inlineStr">
        <is>
          <t>Dominica_2018_August</t>
        </is>
      </c>
      <c r="B344" s="2" t="n"/>
      <c r="C344" s="3" t="inlineStr">
        <is>
          <t>SM.18.139</t>
        </is>
      </c>
      <c r="D344" s="4" t="inlineStr">
        <is>
          <t>Dominica</t>
        </is>
      </c>
      <c r="E344" s="4" t="inlineStr">
        <is>
          <t>DMA</t>
        </is>
      </c>
      <c r="F344" s="10" t="n">
        <v>43255</v>
      </c>
      <c r="G344" s="4" t="inlineStr">
        <is>
          <t>2013gn</t>
        </is>
      </c>
      <c r="H344" s="4" t="n">
        <v>2017</v>
      </c>
      <c r="I344" s="4" t="inlineStr">
        <is>
          <t>nom.val.dbt.lcl.iss.nres</t>
        </is>
      </c>
      <c r="J344" t="inlineStr">
        <is>
          <t xml:space="preserve">   Others Commercial</t>
        </is>
      </c>
    </row>
    <row r="345">
      <c r="A345" t="inlineStr">
        <is>
          <t>Dominica_2018_August</t>
        </is>
      </c>
      <c r="B345" s="2" t="n"/>
      <c r="C345" s="3" t="inlineStr">
        <is>
          <t>SM.18.139</t>
        </is>
      </c>
      <c r="D345" s="4" t="inlineStr">
        <is>
          <t>Dominica</t>
        </is>
      </c>
      <c r="E345" s="4" t="inlineStr">
        <is>
          <t>DMA</t>
        </is>
      </c>
      <c r="F345" s="10" t="n">
        <v>43255</v>
      </c>
      <c r="G345" s="4" t="inlineStr">
        <is>
          <t>2013gn</t>
        </is>
      </c>
      <c r="H345" s="4" t="n">
        <v>2017</v>
      </c>
      <c r="I345" s="4" t="inlineStr">
        <is>
          <t>pn.new.dbt.lcl.nres.lc</t>
        </is>
      </c>
    </row>
    <row r="346">
      <c r="A346" t="inlineStr">
        <is>
          <t>Dominica_2018_August</t>
        </is>
      </c>
      <c r="B346" s="2" t="n"/>
      <c r="C346" s="3" t="inlineStr">
        <is>
          <t>SM.18.139</t>
        </is>
      </c>
      <c r="D346" s="4" t="inlineStr">
        <is>
          <t>Dominica</t>
        </is>
      </c>
      <c r="E346" s="4" t="inlineStr">
        <is>
          <t>DMA</t>
        </is>
      </c>
      <c r="F346" s="10" t="n">
        <v>43255</v>
      </c>
      <c r="G346" s="4" t="inlineStr">
        <is>
          <t>2013gn</t>
        </is>
      </c>
      <c r="H346" s="4" t="n">
        <v>2017</v>
      </c>
      <c r="I346" s="4" t="inlineStr">
        <is>
          <t>pn.new.dbt.lcl.nres.bnd.1to3.lc</t>
        </is>
      </c>
      <c r="J346" t="inlineStr">
        <is>
          <t>Total new MLT disbursements</t>
        </is>
      </c>
    </row>
    <row r="347">
      <c r="A347" t="inlineStr">
        <is>
          <t>Dominica_2018_August</t>
        </is>
      </c>
      <c r="B347" s="2" t="n"/>
      <c r="C347" s="3" t="inlineStr">
        <is>
          <t>SM.18.139</t>
        </is>
      </c>
      <c r="D347" s="4" t="inlineStr">
        <is>
          <t>Dominica</t>
        </is>
      </c>
      <c r="E347" s="4" t="inlineStr">
        <is>
          <t>DMA</t>
        </is>
      </c>
      <c r="F347" s="10" t="n">
        <v>43255</v>
      </c>
      <c r="G347" s="4" t="inlineStr">
        <is>
          <t>2013gn</t>
        </is>
      </c>
      <c r="H347" s="4" t="n">
        <v>2017</v>
      </c>
      <c r="I347" s="4" t="inlineStr">
        <is>
          <t>pn.new.dbt.lcl.nres.bnd.4to7.lc</t>
        </is>
      </c>
      <c r="J347" t="inlineStr">
        <is>
          <t>Terms of residual financing under stress tests</t>
        </is>
      </c>
    </row>
    <row r="348">
      <c r="A348" t="inlineStr">
        <is>
          <t>Dominica_2018_August</t>
        </is>
      </c>
      <c r="B348" s="2" t="n"/>
      <c r="C348" s="3" t="inlineStr">
        <is>
          <t>SM.18.139</t>
        </is>
      </c>
      <c r="D348" s="4" t="inlineStr">
        <is>
          <t>Dominica</t>
        </is>
      </c>
      <c r="E348" s="4" t="inlineStr">
        <is>
          <t>DMA</t>
        </is>
      </c>
      <c r="F348" s="10" t="n">
        <v>43255</v>
      </c>
      <c r="G348" s="4" t="inlineStr">
        <is>
          <t>2013gn</t>
        </is>
      </c>
      <c r="H348" s="4" t="n">
        <v>2017</v>
      </c>
      <c r="I348" s="4" t="inlineStr">
        <is>
          <t>pn.new.dbt.lcl.nres.bnd.byd7.lc</t>
        </is>
      </c>
      <c r="J348" t="inlineStr">
        <is>
          <t>Average interest rate on new debt</t>
        </is>
      </c>
      <c r="L348" t="n">
        <v>1.507444713250269</v>
      </c>
    </row>
    <row r="349">
      <c r="A349" t="inlineStr">
        <is>
          <t>Dominica_2018_August</t>
        </is>
      </c>
      <c r="B349" s="2" t="n"/>
      <c r="C349" s="3" t="inlineStr">
        <is>
          <t>SM.18.139</t>
        </is>
      </c>
      <c r="D349" s="4" t="inlineStr">
        <is>
          <t>Dominica</t>
        </is>
      </c>
      <c r="E349" s="4" t="inlineStr">
        <is>
          <t>DMA</t>
        </is>
      </c>
      <c r="F349" s="10" t="n">
        <v>43255</v>
      </c>
      <c r="G349" s="4" t="inlineStr">
        <is>
          <t>2013gn</t>
        </is>
      </c>
      <c r="H349" s="4" t="n">
        <v>2017</v>
      </c>
      <c r="I349" s="4" t="inlineStr">
        <is>
          <t>pn.new.dbt.lcl.nres.fx</t>
        </is>
      </c>
      <c r="J349" t="inlineStr">
        <is>
          <t>Average grace period on new debt</t>
        </is>
      </c>
      <c r="L349" t="n">
        <v>8</v>
      </c>
    </row>
    <row r="350">
      <c r="A350" t="inlineStr">
        <is>
          <t>Dominica_2018_August</t>
        </is>
      </c>
      <c r="B350" s="2" t="n"/>
      <c r="C350" s="3" t="inlineStr">
        <is>
          <t>SM.18.139</t>
        </is>
      </c>
      <c r="D350" s="4" t="inlineStr">
        <is>
          <t>Dominica</t>
        </is>
      </c>
      <c r="E350" s="4" t="inlineStr">
        <is>
          <t>DMA</t>
        </is>
      </c>
      <c r="F350" s="10" t="n">
        <v>43255</v>
      </c>
      <c r="G350" s="4" t="inlineStr">
        <is>
          <t>2013gn</t>
        </is>
      </c>
      <c r="H350" s="4" t="n">
        <v>2017</v>
      </c>
      <c r="I350" s="4" t="inlineStr">
        <is>
          <t>pn.new.dbt.lcl.nres.bnd.1to3.fx</t>
        </is>
      </c>
      <c r="J350" t="inlineStr">
        <is>
          <t>Average maturity of new debt</t>
        </is>
      </c>
      <c r="L350" t="n">
        <v>31</v>
      </c>
    </row>
    <row r="351">
      <c r="A351" t="inlineStr">
        <is>
          <t>Dominica_2018_August</t>
        </is>
      </c>
      <c r="B351" s="2" t="n"/>
      <c r="C351" s="3" t="inlineStr">
        <is>
          <t>SM.18.139</t>
        </is>
      </c>
      <c r="D351" s="4" t="inlineStr">
        <is>
          <t>Dominica</t>
        </is>
      </c>
      <c r="E351" s="4" t="inlineStr">
        <is>
          <t>DMA</t>
        </is>
      </c>
      <c r="F351" s="10" t="n">
        <v>43255</v>
      </c>
      <c r="G351" s="4" t="inlineStr">
        <is>
          <t>2013gn</t>
        </is>
      </c>
      <c r="H351" s="4" t="n">
        <v>2017</v>
      </c>
      <c r="I351" s="4" t="inlineStr">
        <is>
          <t>pn.new.dbt.lcl.nres.bnd.4to7.fx</t>
        </is>
      </c>
    </row>
    <row r="352">
      <c r="A352" t="inlineStr">
        <is>
          <t>Dominica_2018_August</t>
        </is>
      </c>
      <c r="B352" s="2" t="n"/>
      <c r="C352" s="3" t="inlineStr">
        <is>
          <t>SM.18.139</t>
        </is>
      </c>
      <c r="D352" s="4" t="inlineStr">
        <is>
          <t>Dominica</t>
        </is>
      </c>
      <c r="E352" s="4" t="inlineStr">
        <is>
          <t>DMA</t>
        </is>
      </c>
      <c r="F352" s="10" t="n">
        <v>43255</v>
      </c>
      <c r="G352" s="4" t="inlineStr">
        <is>
          <t>2013gn</t>
        </is>
      </c>
      <c r="H352" s="4" t="n">
        <v>2017</v>
      </c>
      <c r="I352" s="4" t="inlineStr">
        <is>
          <t>pn.new.dbt.lcl.nres.bnd.byd7.fx</t>
        </is>
      </c>
      <c r="J352" t="inlineStr">
        <is>
          <t>Average grace period on new debt (rounded down)</t>
        </is>
      </c>
    </row>
    <row r="353">
      <c r="A353" t="inlineStr">
        <is>
          <t>Dominica_2018_August</t>
        </is>
      </c>
      <c r="B353" s="2" t="n"/>
      <c r="C353" s="3" t="inlineStr">
        <is>
          <t>SM.18.139</t>
        </is>
      </c>
      <c r="D353" s="4" t="inlineStr">
        <is>
          <t>Dominica</t>
        </is>
      </c>
      <c r="E353" s="4" t="inlineStr">
        <is>
          <t>DMA</t>
        </is>
      </c>
      <c r="F353" s="10" t="n">
        <v>43255</v>
      </c>
      <c r="G353" s="4" t="inlineStr">
        <is>
          <t>2013gn</t>
        </is>
      </c>
      <c r="H353" s="4" t="n">
        <v>2017</v>
      </c>
      <c r="I353" s="5" t="n"/>
      <c r="J353" t="inlineStr">
        <is>
          <t>Average maturity of new debt (rounded down)</t>
        </is>
      </c>
    </row>
    <row r="354">
      <c r="A354" t="inlineStr">
        <is>
          <t>Dominica_2018_August</t>
        </is>
      </c>
      <c r="B354" s="2" t="n"/>
      <c r="C354" s="3" t="inlineStr">
        <is>
          <t>SM.18.139</t>
        </is>
      </c>
      <c r="D354" s="4" t="inlineStr">
        <is>
          <t>Dominica</t>
        </is>
      </c>
      <c r="E354" s="4" t="inlineStr">
        <is>
          <t>DMA</t>
        </is>
      </c>
      <c r="F354" s="10" t="n">
        <v>43255</v>
      </c>
      <c r="G354" s="4" t="inlineStr">
        <is>
          <t>2013gn</t>
        </is>
      </c>
      <c r="H354" s="4" t="n">
        <v>2017</v>
      </c>
      <c r="I354" s="4" t="inlineStr">
        <is>
          <t>pn.new.dbt.lcl.fx</t>
        </is>
      </c>
    </row>
    <row r="355">
      <c r="A355" t="inlineStr">
        <is>
          <t>Dominica_2018_August</t>
        </is>
      </c>
      <c r="B355" s="2" t="n"/>
      <c r="C355" s="3" t="inlineStr">
        <is>
          <t>SM.18.139</t>
        </is>
      </c>
      <c r="D355" s="4" t="inlineStr">
        <is>
          <t>Dominica</t>
        </is>
      </c>
      <c r="E355" s="4" t="inlineStr">
        <is>
          <t>DMA</t>
        </is>
      </c>
      <c r="F355" s="10" t="n">
        <v>43255</v>
      </c>
      <c r="G355" s="4" t="inlineStr">
        <is>
          <t>2013gn</t>
        </is>
      </c>
      <c r="H355" s="4" t="n">
        <v>2017</v>
      </c>
      <c r="I355" s="4" t="inlineStr">
        <is>
          <t>pn.new.dbt.lcl.fx.bnd.1to3.fx</t>
        </is>
      </c>
      <c r="J355" t="inlineStr">
        <is>
          <t>B. OUTPUT</t>
        </is>
      </c>
    </row>
    <row r="356">
      <c r="A356" t="inlineStr">
        <is>
          <t>Dominica_2018_August</t>
        </is>
      </c>
      <c r="B356" s="2" t="n"/>
      <c r="C356" s="3" t="inlineStr">
        <is>
          <t>SM.18.139</t>
        </is>
      </c>
      <c r="D356" s="4" t="inlineStr">
        <is>
          <t>Dominica</t>
        </is>
      </c>
      <c r="E356" s="4" t="inlineStr">
        <is>
          <t>DMA</t>
        </is>
      </c>
      <c r="F356" s="10" t="n">
        <v>43255</v>
      </c>
      <c r="G356" s="4" t="inlineStr">
        <is>
          <t>2013gn</t>
        </is>
      </c>
      <c r="H356" s="4" t="n">
        <v>2017</v>
      </c>
      <c r="I356" s="4" t="inlineStr">
        <is>
          <t>pn.new.dbt.lcl.fx.bnd.4to7.fx</t>
        </is>
      </c>
    </row>
    <row r="357">
      <c r="A357" t="inlineStr">
        <is>
          <t>Dominica_2018_August</t>
        </is>
      </c>
      <c r="B357" s="2" t="n"/>
      <c r="C357" s="3" t="inlineStr">
        <is>
          <t>SM.18.139</t>
        </is>
      </c>
      <c r="D357" s="4" t="inlineStr">
        <is>
          <t>Dominica</t>
        </is>
      </c>
      <c r="E357" s="4" t="inlineStr">
        <is>
          <t>DMA</t>
        </is>
      </c>
      <c r="F357" s="10" t="n">
        <v>43255</v>
      </c>
      <c r="G357" s="4" t="inlineStr">
        <is>
          <t>2013gn</t>
        </is>
      </c>
      <c r="H357" s="4" t="n">
        <v>2017</v>
      </c>
      <c r="I357" s="4" t="inlineStr">
        <is>
          <t>pn.new.dbt.lcl.fx.bnd.byd7.fx</t>
        </is>
      </c>
      <c r="J357" t="inlineStr">
        <is>
          <t>New debt: Debt service</t>
        </is>
      </c>
    </row>
    <row r="358">
      <c r="A358" t="inlineStr">
        <is>
          <t>Dominica_2018_August</t>
        </is>
      </c>
      <c r="B358" s="2" t="n"/>
      <c r="C358" s="3" t="inlineStr">
        <is>
          <t>SM.18.139</t>
        </is>
      </c>
      <c r="D358" s="4" t="inlineStr">
        <is>
          <t>Dominica</t>
        </is>
      </c>
      <c r="E358" s="4" t="inlineStr">
        <is>
          <t>DMA</t>
        </is>
      </c>
      <c r="F358" s="10" t="n">
        <v>43255</v>
      </c>
      <c r="G358" s="4" t="inlineStr">
        <is>
          <t>2013gn</t>
        </is>
      </c>
      <c r="H358" s="4" t="n">
        <v>2017</v>
      </c>
      <c r="I358" s="5" t="n"/>
    </row>
    <row r="359">
      <c r="A359" t="inlineStr">
        <is>
          <t>Dominica_2018_August</t>
        </is>
      </c>
      <c r="B359" s="2" t="n"/>
      <c r="C359" s="3" t="inlineStr">
        <is>
          <t>SM.18.139</t>
        </is>
      </c>
      <c r="D359" s="4" t="inlineStr">
        <is>
          <t>Dominica</t>
        </is>
      </c>
      <c r="E359" s="4" t="inlineStr">
        <is>
          <t>DMA</t>
        </is>
      </c>
      <c r="F359" s="10" t="n">
        <v>43255</v>
      </c>
      <c r="G359" s="4" t="inlineStr">
        <is>
          <t>2013gn</t>
        </is>
      </c>
      <c r="H359" s="4" t="n">
        <v>2017</v>
      </c>
      <c r="I359" s="4" t="inlineStr">
        <is>
          <t>sht.trm.dbt</t>
        </is>
      </c>
      <c r="J359" t="inlineStr">
        <is>
          <t>Total new debt service</t>
        </is>
      </c>
    </row>
    <row r="360">
      <c r="A360" t="inlineStr">
        <is>
          <t>Dominica_2018_August</t>
        </is>
      </c>
      <c r="B360" s="2" t="n"/>
      <c r="C360" s="3" t="inlineStr">
        <is>
          <t>SM.18.139</t>
        </is>
      </c>
      <c r="D360" s="4" t="inlineStr">
        <is>
          <t>Dominica</t>
        </is>
      </c>
      <c r="E360" s="4" t="inlineStr">
        <is>
          <t>DMA</t>
        </is>
      </c>
      <c r="F360" s="10" t="n">
        <v>43255</v>
      </c>
      <c r="G360" s="4" t="inlineStr">
        <is>
          <t>2013gn</t>
        </is>
      </c>
      <c r="H360" s="4" t="n">
        <v>2017</v>
      </c>
      <c r="I360" s="4" t="inlineStr">
        <is>
          <t>sht.trm.dbt.int</t>
        </is>
      </c>
    </row>
    <row r="361">
      <c r="A361" t="inlineStr">
        <is>
          <t>Dominica_2018_August</t>
        </is>
      </c>
      <c r="B361" s="2" t="n"/>
      <c r="C361" s="3" t="inlineStr">
        <is>
          <t>SM.18.139</t>
        </is>
      </c>
      <c r="D361" s="4" t="inlineStr">
        <is>
          <t>Dominica</t>
        </is>
      </c>
      <c r="E361" s="4" t="inlineStr">
        <is>
          <t>DMA</t>
        </is>
      </c>
      <c r="F361" s="10" t="n">
        <v>43255</v>
      </c>
      <c r="G361" s="4" t="inlineStr">
        <is>
          <t>2013gn</t>
        </is>
      </c>
      <c r="H361" s="4" t="n">
        <v>2017</v>
      </c>
      <c r="I361" s="5" t="n"/>
      <c r="J361" t="inlineStr">
        <is>
          <t>Interest</t>
        </is>
      </c>
    </row>
    <row r="362">
      <c r="A362" t="inlineStr">
        <is>
          <t>Dominica_2018_August</t>
        </is>
      </c>
      <c r="B362" s="2" t="n"/>
      <c r="C362" s="3" t="inlineStr">
        <is>
          <t>SM.18.139</t>
        </is>
      </c>
      <c r="D362" s="4" t="inlineStr">
        <is>
          <t>Dominica</t>
        </is>
      </c>
      <c r="E362" s="4" t="inlineStr">
        <is>
          <t>DMA</t>
        </is>
      </c>
      <c r="F362" s="10" t="n">
        <v>43255</v>
      </c>
      <c r="G362" s="4" t="inlineStr">
        <is>
          <t>2013gn</t>
        </is>
      </c>
      <c r="H362" s="4" t="n">
        <v>2017</v>
      </c>
      <c r="I362" s="4" t="inlineStr">
        <is>
          <t>sht.trm.dbt.lcl.iss</t>
        </is>
      </c>
      <c r="J362" t="inlineStr">
        <is>
          <t>Multilaterals</t>
        </is>
      </c>
    </row>
    <row r="363">
      <c r="A363" t="inlineStr">
        <is>
          <t>Dominica_2018_August</t>
        </is>
      </c>
      <c r="B363" s="2" t="n"/>
      <c r="C363" s="3" t="inlineStr">
        <is>
          <t>SM.18.139</t>
        </is>
      </c>
      <c r="D363" s="4" t="inlineStr">
        <is>
          <t>Dominica</t>
        </is>
      </c>
      <c r="E363" s="4" t="inlineStr">
        <is>
          <t>DMA</t>
        </is>
      </c>
      <c r="F363" s="10" t="n">
        <v>43255</v>
      </c>
      <c r="G363" s="4" t="inlineStr">
        <is>
          <t>2013gn</t>
        </is>
      </c>
      <c r="H363" s="4" t="n">
        <v>2017</v>
      </c>
      <c r="I363" s="4" t="inlineStr">
        <is>
          <t>sht.trm.dbt.lcl.amt</t>
        </is>
      </c>
      <c r="J363" t="inlineStr">
        <is>
          <t xml:space="preserve">   IMF</t>
        </is>
      </c>
    </row>
    <row r="364">
      <c r="A364" t="inlineStr">
        <is>
          <t>Dominica_2018_August</t>
        </is>
      </c>
      <c r="B364" s="2" t="n"/>
      <c r="C364" s="3" t="inlineStr">
        <is>
          <t>SM.18.139</t>
        </is>
      </c>
      <c r="D364" s="4" t="inlineStr">
        <is>
          <t>Dominica</t>
        </is>
      </c>
      <c r="E364" s="4" t="inlineStr">
        <is>
          <t>DMA</t>
        </is>
      </c>
      <c r="F364" s="10" t="n">
        <v>43255</v>
      </c>
      <c r="G364" s="4" t="inlineStr">
        <is>
          <t>2013gn</t>
        </is>
      </c>
      <c r="H364" s="4" t="n">
        <v>2017</v>
      </c>
      <c r="I364" s="4" t="inlineStr">
        <is>
          <t>sht.trm.dbt.lcl.int</t>
        </is>
      </c>
      <c r="J364" t="inlineStr">
        <is>
          <t xml:space="preserve">   IDA - Small Island Country</t>
        </is>
      </c>
    </row>
    <row r="365">
      <c r="A365" t="inlineStr">
        <is>
          <t>Dominica_2018_August</t>
        </is>
      </c>
      <c r="B365" s="2" t="n"/>
      <c r="C365" s="3" t="inlineStr">
        <is>
          <t>SM.18.139</t>
        </is>
      </c>
      <c r="D365" s="4" t="inlineStr">
        <is>
          <t>Dominica</t>
        </is>
      </c>
      <c r="E365" s="4" t="inlineStr">
        <is>
          <t>DMA</t>
        </is>
      </c>
      <c r="F365" s="10" t="n">
        <v>43255</v>
      </c>
      <c r="G365" s="4" t="inlineStr">
        <is>
          <t>2013gn</t>
        </is>
      </c>
      <c r="H365" s="4" t="n">
        <v>2017</v>
      </c>
      <c r="I365" s="5" t="n"/>
      <c r="J365" t="inlineStr">
        <is>
          <t>IDA - Regular</t>
        </is>
      </c>
    </row>
    <row r="366">
      <c r="A366" t="inlineStr">
        <is>
          <t>Dominica_2018_August</t>
        </is>
      </c>
      <c r="B366" s="2" t="n"/>
      <c r="C366" s="3" t="inlineStr">
        <is>
          <t>SM.18.139</t>
        </is>
      </c>
      <c r="D366" s="4" t="inlineStr">
        <is>
          <t>Dominica</t>
        </is>
      </c>
      <c r="E366" s="4" t="inlineStr">
        <is>
          <t>DMA</t>
        </is>
      </c>
      <c r="F366" s="10" t="n">
        <v>43255</v>
      </c>
      <c r="G366" s="4" t="inlineStr">
        <is>
          <t>2013gn</t>
        </is>
      </c>
      <c r="H366" s="4" t="n">
        <v>2017</v>
      </c>
      <c r="I366" s="4" t="inlineStr">
        <is>
          <t>sht.trm.dbt.tot</t>
        </is>
      </c>
      <c r="J366" t="inlineStr">
        <is>
          <t>IBRD</t>
        </is>
      </c>
    </row>
    <row r="367">
      <c r="A367" t="inlineStr">
        <is>
          <t>Dominica_2018_August</t>
        </is>
      </c>
      <c r="B367" s="2" t="n"/>
      <c r="C367" s="3" t="inlineStr">
        <is>
          <t>SM.18.139</t>
        </is>
      </c>
      <c r="D367" s="4" t="inlineStr">
        <is>
          <t>Dominica</t>
        </is>
      </c>
      <c r="E367" s="4" t="inlineStr">
        <is>
          <t>DMA</t>
        </is>
      </c>
      <c r="F367" s="10" t="n">
        <v>43255</v>
      </c>
      <c r="G367" s="4" t="inlineStr">
        <is>
          <t>2013gn</t>
        </is>
      </c>
      <c r="H367" s="4" t="n">
        <v>2017</v>
      </c>
      <c r="I367" s="4" t="inlineStr">
        <is>
          <t>sht.trm.dbt.tot.amt</t>
        </is>
      </c>
      <c r="J367" t="inlineStr">
        <is>
          <t>Other Multilateral</t>
        </is>
      </c>
    </row>
    <row r="368">
      <c r="A368" t="inlineStr">
        <is>
          <t>Dominica_2018_August</t>
        </is>
      </c>
      <c r="B368" s="2" t="n"/>
      <c r="C368" s="3" t="inlineStr">
        <is>
          <t>SM.18.139</t>
        </is>
      </c>
      <c r="D368" s="4" t="inlineStr">
        <is>
          <t>Dominica</t>
        </is>
      </c>
      <c r="E368" s="4" t="inlineStr">
        <is>
          <t>DMA</t>
        </is>
      </c>
      <c r="F368" s="10" t="n">
        <v>43255</v>
      </c>
      <c r="G368" s="4" t="inlineStr">
        <is>
          <t>2013gn</t>
        </is>
      </c>
      <c r="H368" s="4" t="n">
        <v>2017</v>
      </c>
      <c r="I368" s="4" t="inlineStr">
        <is>
          <t>sht.trm.dbt.tot.int</t>
        </is>
      </c>
      <c r="J368" t="inlineStr">
        <is>
          <t>Official Bilaterals</t>
        </is>
      </c>
    </row>
    <row r="369">
      <c r="A369" t="inlineStr">
        <is>
          <t>Dominica_2018_August</t>
        </is>
      </c>
      <c r="B369" s="2" t="n"/>
      <c r="C369" s="3" t="inlineStr">
        <is>
          <t>SM.18.139</t>
        </is>
      </c>
      <c r="D369" s="4" t="inlineStr">
        <is>
          <t>Dominica</t>
        </is>
      </c>
      <c r="E369" s="4" t="inlineStr">
        <is>
          <t>DMA</t>
        </is>
      </c>
      <c r="F369" s="10" t="n">
        <v>43255</v>
      </c>
      <c r="G369" s="4" t="inlineStr">
        <is>
          <t>2013gn</t>
        </is>
      </c>
      <c r="H369" s="4" t="n">
        <v>2017</v>
      </c>
      <c r="I369" s="5" t="n"/>
      <c r="J369" t="inlineStr">
        <is>
          <t xml:space="preserve">   PC</t>
        </is>
      </c>
    </row>
    <row r="370">
      <c r="A370" t="inlineStr">
        <is>
          <t>Dominica_2018_August</t>
        </is>
      </c>
      <c r="B370" s="2" t="n"/>
      <c r="C370" s="3" t="inlineStr">
        <is>
          <t>SM.18.139</t>
        </is>
      </c>
      <c r="D370" s="4" t="inlineStr">
        <is>
          <t>Dominica</t>
        </is>
      </c>
      <c r="E370" s="4" t="inlineStr">
        <is>
          <t>DMA</t>
        </is>
      </c>
      <c r="F370" s="10" t="n">
        <v>43255</v>
      </c>
      <c r="G370" s="4" t="inlineStr">
        <is>
          <t>2013gn</t>
        </is>
      </c>
      <c r="H370" s="4" t="n">
        <v>2017</v>
      </c>
      <c r="I370" s="4" t="inlineStr">
        <is>
          <t>pv.net.use.sdr</t>
        </is>
      </c>
      <c r="J370" t="inlineStr">
        <is>
          <t>…</t>
        </is>
      </c>
    </row>
    <row r="371">
      <c r="A371" t="inlineStr">
        <is>
          <t>Dominica_2018_August</t>
        </is>
      </c>
      <c r="B371" s="2" t="n"/>
      <c r="C371" s="3" t="inlineStr">
        <is>
          <t>SM.18.139</t>
        </is>
      </c>
      <c r="D371" s="4" t="inlineStr">
        <is>
          <t>Dominica</t>
        </is>
      </c>
      <c r="E371" s="4" t="inlineStr">
        <is>
          <t>DMA</t>
        </is>
      </c>
      <c r="F371" s="10" t="n">
        <v>43255</v>
      </c>
      <c r="G371" s="4" t="inlineStr">
        <is>
          <t>2013gn</t>
        </is>
      </c>
      <c r="H371" s="4" t="n">
        <v>2017</v>
      </c>
      <c r="I371" s="4" t="inlineStr">
        <is>
          <t>tot.pv.dbt</t>
        </is>
      </c>
      <c r="J371" t="inlineStr">
        <is>
          <t>…</t>
        </is>
      </c>
    </row>
    <row r="372">
      <c r="A372" t="inlineStr">
        <is>
          <t>Dominica_2018_August</t>
        </is>
      </c>
      <c r="B372" s="2" t="n"/>
      <c r="C372" s="3" t="inlineStr">
        <is>
          <t>SM.18.139</t>
        </is>
      </c>
      <c r="D372" s="4" t="inlineStr">
        <is>
          <t>Dominica</t>
        </is>
      </c>
      <c r="E372" s="4" t="inlineStr">
        <is>
          <t>DMA</t>
        </is>
      </c>
      <c r="F372" s="10" t="n">
        <v>43255</v>
      </c>
      <c r="G372" s="4" t="inlineStr">
        <is>
          <t>2013gn</t>
        </is>
      </c>
      <c r="H372" s="4" t="n">
        <v>2017</v>
      </c>
      <c r="I372" s="5" t="n"/>
      <c r="J372" t="inlineStr">
        <is>
          <t xml:space="preserve">   Others Paris Club</t>
        </is>
      </c>
    </row>
    <row r="373">
      <c r="A373" t="inlineStr">
        <is>
          <t>Dominica_2018_August</t>
        </is>
      </c>
      <c r="B373" s="2" t="n"/>
      <c r="C373" s="3" t="inlineStr">
        <is>
          <t>SM.18.139</t>
        </is>
      </c>
      <c r="D373" s="4" t="inlineStr">
        <is>
          <t>Dominica</t>
        </is>
      </c>
      <c r="E373" s="4" t="inlineStr">
        <is>
          <t>DMA</t>
        </is>
      </c>
      <c r="F373" s="10" t="n">
        <v>43255</v>
      </c>
      <c r="G373" s="4" t="inlineStr">
        <is>
          <t>2013gn</t>
        </is>
      </c>
      <c r="H373" s="4" t="n">
        <v>2017</v>
      </c>
      <c r="I373" s="4" t="inlineStr">
        <is>
          <t>nom.ppg.dbt.delta</t>
        </is>
      </c>
      <c r="J373" t="inlineStr">
        <is>
          <t xml:space="preserve">   NPC</t>
        </is>
      </c>
    </row>
    <row r="374">
      <c r="A374" t="inlineStr">
        <is>
          <t>Dominica_2018_August</t>
        </is>
      </c>
      <c r="B374" s="2" t="n"/>
      <c r="C374" s="3" t="inlineStr">
        <is>
          <t>SM.18.139</t>
        </is>
      </c>
      <c r="D374" s="4" t="inlineStr">
        <is>
          <t>Dominica</t>
        </is>
      </c>
      <c r="E374" s="4" t="inlineStr">
        <is>
          <t>DMA</t>
        </is>
      </c>
      <c r="F374" s="10" t="n">
        <v>43255</v>
      </c>
      <c r="G374" s="4" t="inlineStr">
        <is>
          <t>2013gn</t>
        </is>
      </c>
      <c r="H374" s="4" t="n">
        <v>2017</v>
      </c>
      <c r="I374" s="4" t="inlineStr">
        <is>
          <t>tot.pub.tds</t>
        </is>
      </c>
      <c r="J374" t="inlineStr">
        <is>
          <t>…</t>
        </is>
      </c>
    </row>
    <row r="375">
      <c r="A375" t="inlineStr">
        <is>
          <t>Dominica_2018_August</t>
        </is>
      </c>
      <c r="B375" s="2" t="n"/>
      <c r="C375" s="3" t="inlineStr">
        <is>
          <t>SM.18.139</t>
        </is>
      </c>
      <c r="D375" s="4" t="inlineStr">
        <is>
          <t>Dominica</t>
        </is>
      </c>
      <c r="E375" s="4" t="inlineStr">
        <is>
          <t>DMA</t>
        </is>
      </c>
      <c r="F375" s="10" t="n">
        <v>43255</v>
      </c>
      <c r="G375" s="4" t="inlineStr">
        <is>
          <t>2013gn</t>
        </is>
      </c>
      <c r="H375" s="4" t="n">
        <v>2017</v>
      </c>
      <c r="I375" s="4" t="inlineStr">
        <is>
          <t>tot.pub.amt</t>
        </is>
      </c>
      <c r="J375" t="inlineStr">
        <is>
          <t>…</t>
        </is>
      </c>
    </row>
    <row r="376">
      <c r="A376" t="inlineStr">
        <is>
          <t>Dominica_2018_August</t>
        </is>
      </c>
      <c r="B376" s="2" t="n"/>
      <c r="C376" s="3" t="inlineStr">
        <is>
          <t>SM.18.139</t>
        </is>
      </c>
      <c r="D376" s="4" t="inlineStr">
        <is>
          <t>Dominica</t>
        </is>
      </c>
      <c r="E376" s="4" t="inlineStr">
        <is>
          <t>DMA</t>
        </is>
      </c>
      <c r="F376" s="10" t="n">
        <v>43255</v>
      </c>
      <c r="G376" s="4" t="inlineStr">
        <is>
          <t>2013gn</t>
        </is>
      </c>
      <c r="H376" s="4" t="n">
        <v>2017</v>
      </c>
      <c r="I376" s="4" t="inlineStr">
        <is>
          <t>tot.pub.int</t>
        </is>
      </c>
      <c r="J376" t="inlineStr">
        <is>
          <t xml:space="preserve">   Others Non Paris Club</t>
        </is>
      </c>
    </row>
    <row r="377">
      <c r="A377" t="inlineStr">
        <is>
          <t>Dominica_2018_August</t>
        </is>
      </c>
      <c r="B377" s="2" t="n"/>
      <c r="C377" s="3" t="inlineStr">
        <is>
          <t>SM.18.139</t>
        </is>
      </c>
      <c r="D377" s="4" t="inlineStr">
        <is>
          <t>Dominica</t>
        </is>
      </c>
      <c r="E377" s="4" t="inlineStr">
        <is>
          <t>DMA</t>
        </is>
      </c>
      <c r="F377" s="10" t="n">
        <v>43255</v>
      </c>
      <c r="G377" s="4" t="inlineStr">
        <is>
          <t>2013gn</t>
        </is>
      </c>
      <c r="H377" s="4" t="n">
        <v>2017</v>
      </c>
      <c r="I377" s="5" t="n"/>
      <c r="J377" t="inlineStr">
        <is>
          <t>Commercial</t>
        </is>
      </c>
    </row>
    <row r="378">
      <c r="A378" t="inlineStr">
        <is>
          <t>Dominica_2018_August</t>
        </is>
      </c>
      <c r="B378" s="2" t="n"/>
      <c r="C378" s="3" t="inlineStr">
        <is>
          <t>SM.18.139</t>
        </is>
      </c>
      <c r="D378" s="4" t="inlineStr">
        <is>
          <t>Dominica</t>
        </is>
      </c>
      <c r="E378" s="4" t="inlineStr">
        <is>
          <t>DMA</t>
        </is>
      </c>
      <c r="F378" s="10" t="n">
        <v>43255</v>
      </c>
      <c r="G378" s="4" t="inlineStr">
        <is>
          <t>2013gn</t>
        </is>
      </c>
      <c r="H378" s="4" t="n">
        <v>2017</v>
      </c>
      <c r="I378" s="4" t="inlineStr">
        <is>
          <t>ext.dbt.out</t>
        </is>
      </c>
      <c r="J378" t="inlineStr">
        <is>
          <t>…</t>
        </is>
      </c>
    </row>
    <row r="379">
      <c r="A379" t="inlineStr">
        <is>
          <t>Dominica_2018_August</t>
        </is>
      </c>
      <c r="B379" s="2" t="n"/>
      <c r="C379" s="3" t="inlineStr">
        <is>
          <t>SM.18.139</t>
        </is>
      </c>
      <c r="D379" s="4" t="inlineStr">
        <is>
          <t>Dominica</t>
        </is>
      </c>
      <c r="E379" s="4" t="inlineStr">
        <is>
          <t>DMA</t>
        </is>
      </c>
      <c r="F379" s="10" t="n">
        <v>43255</v>
      </c>
      <c r="G379" s="4" t="inlineStr">
        <is>
          <t>2013gn</t>
        </is>
      </c>
      <c r="H379" s="4" t="n">
        <v>2017</v>
      </c>
      <c r="I379" s="4" t="inlineStr">
        <is>
          <t>ext.dbt.out.fx</t>
        </is>
      </c>
      <c r="J379" t="inlineStr">
        <is>
          <t>…</t>
        </is>
      </c>
    </row>
    <row r="380">
      <c r="A380" t="inlineStr">
        <is>
          <t>Dominica_2018_August</t>
        </is>
      </c>
      <c r="B380" s="2" t="n"/>
      <c r="C380" s="3" t="inlineStr">
        <is>
          <t>SM.18.139</t>
        </is>
      </c>
      <c r="D380" s="4" t="inlineStr">
        <is>
          <t>Dominica</t>
        </is>
      </c>
      <c r="E380" s="4" t="inlineStr">
        <is>
          <t>DMA</t>
        </is>
      </c>
      <c r="F380" s="10" t="n">
        <v>43255</v>
      </c>
      <c r="G380" s="4" t="inlineStr">
        <is>
          <t>2013gn</t>
        </is>
      </c>
      <c r="H380" s="4" t="n">
        <v>2017</v>
      </c>
      <c r="I380" s="5" t="n"/>
      <c r="J380" t="inlineStr">
        <is>
          <t xml:space="preserve">   Others Commercial</t>
        </is>
      </c>
    </row>
    <row r="381">
      <c r="A381" t="inlineStr">
        <is>
          <t>Dominica_2018_August</t>
        </is>
      </c>
      <c r="B381" s="2" t="n"/>
      <c r="C381" s="3" t="inlineStr">
        <is>
          <t>SM.18.139</t>
        </is>
      </c>
      <c r="D381" s="4" t="inlineStr">
        <is>
          <t>Dominica</t>
        </is>
      </c>
      <c r="E381" s="4" t="inlineStr">
        <is>
          <t>DMA</t>
        </is>
      </c>
      <c r="F381" s="10" t="n">
        <v>43255</v>
      </c>
      <c r="G381" s="4" t="inlineStr">
        <is>
          <t>2013gn</t>
        </is>
      </c>
      <c r="H381" s="4" t="n">
        <v>2017</v>
      </c>
      <c r="I381" s="5" t="n"/>
    </row>
    <row r="382">
      <c r="A382" t="inlineStr">
        <is>
          <t>Dominica_2018_August</t>
        </is>
      </c>
      <c r="B382" s="2" t="n"/>
      <c r="C382" s="3" t="inlineStr">
        <is>
          <t>SM.18.139</t>
        </is>
      </c>
      <c r="D382" s="4" t="inlineStr">
        <is>
          <t>Dominica</t>
        </is>
      </c>
      <c r="E382" s="4" t="inlineStr">
        <is>
          <t>DMA</t>
        </is>
      </c>
      <c r="F382" s="10" t="n">
        <v>43255</v>
      </c>
      <c r="G382" s="4" t="inlineStr">
        <is>
          <t>2013gn</t>
        </is>
      </c>
      <c r="H382" s="4" t="n">
        <v>2017</v>
      </c>
      <c r="I382" s="4" t="inlineStr">
        <is>
          <t>xcg.rat.eop</t>
        </is>
      </c>
      <c r="J382" t="inlineStr">
        <is>
          <t>Amortization</t>
        </is>
      </c>
    </row>
    <row r="383">
      <c r="A383" t="inlineStr">
        <is>
          <t>Dominica_2018_August</t>
        </is>
      </c>
      <c r="B383" s="2" t="n"/>
      <c r="C383" s="3" t="inlineStr">
        <is>
          <t>SM.18.139</t>
        </is>
      </c>
      <c r="D383" s="4" t="inlineStr">
        <is>
          <t>Dominica</t>
        </is>
      </c>
      <c r="E383" s="4" t="inlineStr">
        <is>
          <t>DMA</t>
        </is>
      </c>
      <c r="F383" s="10" t="n">
        <v>43255</v>
      </c>
      <c r="G383" s="4" t="inlineStr">
        <is>
          <t>2013gn</t>
        </is>
      </c>
      <c r="H383" s="4" t="n">
        <v>2017</v>
      </c>
      <c r="I383" s="4" t="inlineStr">
        <is>
          <t>xcg.rat.pa</t>
        </is>
      </c>
      <c r="J383" t="inlineStr">
        <is>
          <t>Multilaterals</t>
        </is>
      </c>
    </row>
    <row r="384">
      <c r="A384" t="inlineStr">
        <is>
          <t>Dominica_2018_August</t>
        </is>
      </c>
      <c r="B384" s="2" t="n"/>
      <c r="C384" s="3" t="inlineStr">
        <is>
          <t>SM.18.139</t>
        </is>
      </c>
      <c r="D384" s="4" t="inlineStr">
        <is>
          <t>Dominica</t>
        </is>
      </c>
      <c r="E384" s="4" t="inlineStr">
        <is>
          <t>DMA</t>
        </is>
      </c>
      <c r="F384" s="10" t="n">
        <v>43255</v>
      </c>
      <c r="G384" s="4" t="inlineStr">
        <is>
          <t>2013gn</t>
        </is>
      </c>
      <c r="H384" s="4" t="n">
        <v>2017</v>
      </c>
      <c r="I384" s="5" t="n"/>
      <c r="J384" t="inlineStr">
        <is>
          <t xml:space="preserve">   IMF</t>
        </is>
      </c>
    </row>
    <row r="385">
      <c r="A385" t="inlineStr">
        <is>
          <t>Dominica_2018_August</t>
        </is>
      </c>
      <c r="B385" s="2" t="n"/>
      <c r="C385" s="3" t="inlineStr">
        <is>
          <t>SM.18.139</t>
        </is>
      </c>
      <c r="D385" s="4" t="inlineStr">
        <is>
          <t>Dominica</t>
        </is>
      </c>
      <c r="E385" s="4" t="inlineStr">
        <is>
          <t>DMA</t>
        </is>
      </c>
      <c r="F385" s="10" t="n">
        <v>43255</v>
      </c>
      <c r="G385" s="4" t="inlineStr">
        <is>
          <t>2013gn</t>
        </is>
      </c>
      <c r="H385" s="4" t="n">
        <v>2017</v>
      </c>
      <c r="I385" s="5" t="n"/>
      <c r="J385" t="inlineStr">
        <is>
          <t xml:space="preserve">   IDA - Small Island Country</t>
        </is>
      </c>
    </row>
    <row r="386">
      <c r="A386" t="inlineStr">
        <is>
          <t>Dominica_2018_August</t>
        </is>
      </c>
      <c r="B386" s="2" t="n"/>
      <c r="C386" s="3" t="inlineStr">
        <is>
          <t>SM.18.139</t>
        </is>
      </c>
      <c r="D386" s="4" t="inlineStr">
        <is>
          <t>Dominica</t>
        </is>
      </c>
      <c r="E386" s="4" t="inlineStr">
        <is>
          <t>DMA</t>
        </is>
      </c>
      <c r="F386" s="10" t="n">
        <v>43255</v>
      </c>
      <c r="G386" s="4" t="inlineStr">
        <is>
          <t>2013gn</t>
        </is>
      </c>
      <c r="H386" s="4" t="n">
        <v>2017</v>
      </c>
      <c r="I386" s="5" t="n"/>
      <c r="J386" t="inlineStr">
        <is>
          <t>IDA - Regular</t>
        </is>
      </c>
    </row>
    <row r="387">
      <c r="A387" t="inlineStr">
        <is>
          <t>Dominica_2018_August</t>
        </is>
      </c>
      <c r="B387" s="2" t="n"/>
      <c r="C387" s="3" t="inlineStr">
        <is>
          <t>SM.18.139</t>
        </is>
      </c>
      <c r="D387" s="4" t="inlineStr">
        <is>
          <t>Dominica</t>
        </is>
      </c>
      <c r="E387" s="4" t="inlineStr">
        <is>
          <t>DMA</t>
        </is>
      </c>
      <c r="F387" s="10" t="n">
        <v>43255</v>
      </c>
      <c r="G387" s="4" t="inlineStr">
        <is>
          <t>2013gn</t>
        </is>
      </c>
      <c r="H387" s="4" t="n">
        <v>2017</v>
      </c>
      <c r="I387" s="4" t="inlineStr">
        <is>
          <t>pv.new.dis.ppg</t>
        </is>
      </c>
      <c r="J387" t="inlineStr">
        <is>
          <t>IBRD</t>
        </is>
      </c>
    </row>
    <row r="388">
      <c r="A388" t="inlineStr">
        <is>
          <t>Dominica_2018_August</t>
        </is>
      </c>
      <c r="B388" s="2" t="n"/>
      <c r="C388" s="3" t="inlineStr">
        <is>
          <t>SM.18.139</t>
        </is>
      </c>
      <c r="D388" s="4" t="inlineStr">
        <is>
          <t>Dominica</t>
        </is>
      </c>
      <c r="E388" s="4" t="inlineStr">
        <is>
          <t>DMA</t>
        </is>
      </c>
      <c r="F388" s="10" t="n">
        <v>43255</v>
      </c>
      <c r="G388" s="4" t="inlineStr">
        <is>
          <t>2013gn</t>
        </is>
      </c>
      <c r="H388" s="4" t="n">
        <v>2017</v>
      </c>
      <c r="I388" s="4" t="inlineStr">
        <is>
          <t>new.dis.grt.lmt</t>
        </is>
      </c>
      <c r="J388" t="inlineStr">
        <is>
          <t>Other Multilateral</t>
        </is>
      </c>
    </row>
    <row r="389">
      <c r="A389" t="inlineStr">
        <is>
          <t>Dominica_2018_August</t>
        </is>
      </c>
      <c r="B389" s="2" t="n"/>
      <c r="C389" s="3" t="inlineStr">
        <is>
          <t>SM.18.139</t>
        </is>
      </c>
      <c r="D389" s="4" t="inlineStr">
        <is>
          <t>Dominica</t>
        </is>
      </c>
      <c r="E389" s="4" t="inlineStr">
        <is>
          <t>DMA</t>
        </is>
      </c>
      <c r="F389" s="10" t="n">
        <v>43255</v>
      </c>
      <c r="G389" s="4" t="inlineStr">
        <is>
          <t>2013gn</t>
        </is>
      </c>
      <c r="H389" s="4" t="n">
        <v>2017</v>
      </c>
      <c r="I389" s="4" t="inlineStr">
        <is>
          <t>new.dis.grt.ipct</t>
        </is>
      </c>
      <c r="J389" t="inlineStr">
        <is>
          <t>Official Bilaterals</t>
        </is>
      </c>
    </row>
    <row r="390">
      <c r="A390" t="inlineStr">
        <is>
          <t>Dominica_2018_August</t>
        </is>
      </c>
      <c r="B390" s="2" t="n"/>
      <c r="C390" s="3" t="inlineStr">
        <is>
          <t>SM.18.139</t>
        </is>
      </c>
      <c r="D390" s="4" t="inlineStr">
        <is>
          <t>Dominica</t>
        </is>
      </c>
      <c r="E390" s="4" t="inlineStr">
        <is>
          <t>DMA</t>
        </is>
      </c>
      <c r="F390" s="10" t="n">
        <v>43255</v>
      </c>
      <c r="G390" s="4" t="inlineStr">
        <is>
          <t>2013gn</t>
        </is>
      </c>
      <c r="H390" s="4" t="n">
        <v>2017</v>
      </c>
      <c r="I390" s="4" t="inlineStr">
        <is>
          <t>avg.disc.rat</t>
        </is>
      </c>
      <c r="J390" t="inlineStr">
        <is>
          <t xml:space="preserve">   PC</t>
        </is>
      </c>
    </row>
    <row r="391">
      <c r="A391" t="inlineStr">
        <is>
          <t>Dominica_2018_August</t>
        </is>
      </c>
      <c r="B391" s="2" t="n"/>
      <c r="C391" s="3" t="inlineStr">
        <is>
          <t>SM.18.139</t>
        </is>
      </c>
      <c r="D391" s="4" t="inlineStr">
        <is>
          <t>Dominica</t>
        </is>
      </c>
      <c r="E391" s="4" t="inlineStr">
        <is>
          <t>DMA</t>
        </is>
      </c>
      <c r="F391" s="10" t="n">
        <v>43255</v>
      </c>
      <c r="G391" s="4" t="inlineStr">
        <is>
          <t>2013gn</t>
        </is>
      </c>
      <c r="H391" s="4" t="n">
        <v>2017</v>
      </c>
      <c r="I391" s="5" t="n"/>
      <c r="J391" t="inlineStr">
        <is>
          <t>…</t>
        </is>
      </c>
    </row>
    <row r="392">
      <c r="A392" t="inlineStr">
        <is>
          <t>Dominica_2018_August</t>
        </is>
      </c>
      <c r="B392" s="2" t="n"/>
      <c r="C392" s="3" t="inlineStr">
        <is>
          <t>SM.18.139</t>
        </is>
      </c>
      <c r="D392" s="4" t="inlineStr">
        <is>
          <t>Dominica</t>
        </is>
      </c>
      <c r="E392" s="4" t="inlineStr">
        <is>
          <t>DMA</t>
        </is>
      </c>
      <c r="F392" s="10" t="n">
        <v>43255</v>
      </c>
      <c r="G392" s="4" t="inlineStr">
        <is>
          <t>2013gn</t>
        </is>
      </c>
      <c r="H392" s="4" t="n">
        <v>2017</v>
      </c>
      <c r="I392" s="5" t="n"/>
      <c r="J392" t="inlineStr">
        <is>
          <t>…</t>
        </is>
      </c>
    </row>
    <row r="393">
      <c r="A393" t="inlineStr">
        <is>
          <t>Dominica_2018_August</t>
        </is>
      </c>
      <c r="B393" s="2" t="n"/>
      <c r="C393" s="3" t="inlineStr">
        <is>
          <t>SM.18.139</t>
        </is>
      </c>
      <c r="D393" s="4" t="inlineStr">
        <is>
          <t>Dominica</t>
        </is>
      </c>
      <c r="E393" s="4" t="inlineStr">
        <is>
          <t>DMA</t>
        </is>
      </c>
      <c r="F393" s="10" t="n">
        <v>43255</v>
      </c>
      <c r="G393" s="4" t="inlineStr">
        <is>
          <t>2013gn</t>
        </is>
      </c>
      <c r="H393" s="4" t="n">
        <v>2017</v>
      </c>
      <c r="I393" s="5" t="n"/>
      <c r="J393" t="inlineStr">
        <is>
          <t xml:space="preserve">   Others Paris Club</t>
        </is>
      </c>
    </row>
    <row r="394">
      <c r="A394" t="inlineStr">
        <is>
          <t>Dominica_2018_August</t>
        </is>
      </c>
      <c r="B394" s="2" t="n"/>
      <c r="C394" s="3" t="inlineStr">
        <is>
          <t>SM.18.139</t>
        </is>
      </c>
      <c r="D394" s="4" t="inlineStr">
        <is>
          <t>Dominica</t>
        </is>
      </c>
      <c r="E394" s="4" t="inlineStr">
        <is>
          <t>DMA</t>
        </is>
      </c>
      <c r="F394" s="10" t="n">
        <v>43255</v>
      </c>
      <c r="G394" s="4" t="inlineStr">
        <is>
          <t>2013gn</t>
        </is>
      </c>
      <c r="H394" s="4" t="n">
        <v>2017</v>
      </c>
      <c r="I394" s="5" t="n"/>
      <c r="J394" t="inlineStr">
        <is>
          <t xml:space="preserve">   NPC</t>
        </is>
      </c>
    </row>
    <row r="395">
      <c r="A395" t="inlineStr">
        <is>
          <t>Dominica_2018_August</t>
        </is>
      </c>
      <c r="B395" s="2" t="n"/>
      <c r="C395" s="3" t="inlineStr">
        <is>
          <t>SM.18.139</t>
        </is>
      </c>
      <c r="D395" s="4" t="inlineStr">
        <is>
          <t>Dominica</t>
        </is>
      </c>
      <c r="E395" s="4" t="inlineStr">
        <is>
          <t>DMA</t>
        </is>
      </c>
      <c r="F395" s="10" t="n">
        <v>43255</v>
      </c>
      <c r="G395" s="4" t="inlineStr">
        <is>
          <t>2013gn</t>
        </is>
      </c>
      <c r="H395" s="4" t="n">
        <v>2017</v>
      </c>
      <c r="I395" s="5" t="n"/>
      <c r="J395" t="inlineStr">
        <is>
          <t>…</t>
        </is>
      </c>
    </row>
    <row r="396">
      <c r="A396" t="inlineStr">
        <is>
          <t>Dominica_2018_August</t>
        </is>
      </c>
      <c r="B396" s="2" t="n"/>
      <c r="C396" s="3" t="inlineStr">
        <is>
          <t>SM.18.139</t>
        </is>
      </c>
      <c r="D396" s="4" t="inlineStr">
        <is>
          <t>Dominica</t>
        </is>
      </c>
      <c r="E396" s="4" t="inlineStr">
        <is>
          <t>DMA</t>
        </is>
      </c>
      <c r="F396" s="10" t="n">
        <v>43255</v>
      </c>
      <c r="G396" s="4" t="inlineStr">
        <is>
          <t>2013gn</t>
        </is>
      </c>
      <c r="H396" s="4" t="n">
        <v>2017</v>
      </c>
      <c r="I396" s="5" t="n"/>
      <c r="J396" t="inlineStr">
        <is>
          <t>…</t>
        </is>
      </c>
    </row>
    <row r="397">
      <c r="A397" t="inlineStr">
        <is>
          <t>Dominica_2018_August</t>
        </is>
      </c>
      <c r="B397" s="2" t="n"/>
      <c r="C397" s="3" t="inlineStr">
        <is>
          <t>SM.18.139</t>
        </is>
      </c>
      <c r="D397" s="4" t="inlineStr">
        <is>
          <t>Dominica</t>
        </is>
      </c>
      <c r="E397" s="4" t="inlineStr">
        <is>
          <t>DMA</t>
        </is>
      </c>
      <c r="F397" s="10" t="n">
        <v>43255</v>
      </c>
      <c r="G397" s="4" t="inlineStr">
        <is>
          <t>2013gn</t>
        </is>
      </c>
      <c r="H397" s="4" t="n">
        <v>2017</v>
      </c>
      <c r="I397" s="4" t="inlineStr">
        <is>
          <t>css.loan</t>
        </is>
      </c>
      <c r="J397" t="inlineStr">
        <is>
          <t xml:space="preserve">   Others Non Paris Club</t>
        </is>
      </c>
    </row>
    <row r="398">
      <c r="A398" t="inlineStr">
        <is>
          <t>Dominica_2018_August</t>
        </is>
      </c>
      <c r="B398" s="2" t="n"/>
      <c r="C398" s="3" t="inlineStr">
        <is>
          <t>SM.18.139</t>
        </is>
      </c>
      <c r="D398" s="4" t="inlineStr">
        <is>
          <t>Dominica</t>
        </is>
      </c>
      <c r="E398" s="4" t="inlineStr">
        <is>
          <t>DMA</t>
        </is>
      </c>
      <c r="F398" s="10" t="n">
        <v>43255</v>
      </c>
      <c r="G398" s="4" t="inlineStr">
        <is>
          <t>2013gn</t>
        </is>
      </c>
      <c r="H398" s="4" t="n">
        <v>2017</v>
      </c>
      <c r="I398" s="4" t="inlineStr">
        <is>
          <t>css.loan.mlt</t>
        </is>
      </c>
      <c r="J398" t="inlineStr">
        <is>
          <t>Commercial</t>
        </is>
      </c>
    </row>
    <row r="399">
      <c r="A399" t="inlineStr">
        <is>
          <t>Dominica_2018_August</t>
        </is>
      </c>
      <c r="B399" s="2" t="n"/>
      <c r="C399" s="3" t="inlineStr">
        <is>
          <t>SM.18.139</t>
        </is>
      </c>
      <c r="D399" s="4" t="inlineStr">
        <is>
          <t>Dominica</t>
        </is>
      </c>
      <c r="E399" s="4" t="inlineStr">
        <is>
          <t>DMA</t>
        </is>
      </c>
      <c r="F399" s="10" t="n">
        <v>43255</v>
      </c>
      <c r="G399" s="4" t="inlineStr">
        <is>
          <t>2013gn</t>
        </is>
      </c>
      <c r="H399" s="4" t="n">
        <v>2017</v>
      </c>
      <c r="I399" s="4" t="inlineStr">
        <is>
          <t>css.loan.mlt.imf</t>
        </is>
      </c>
      <c r="J399" t="inlineStr">
        <is>
          <t>…</t>
        </is>
      </c>
    </row>
    <row r="400">
      <c r="A400" t="inlineStr">
        <is>
          <t>Dominica_2018_August</t>
        </is>
      </c>
      <c r="B400" s="2" t="n"/>
      <c r="C400" s="3" t="inlineStr">
        <is>
          <t>SM.18.139</t>
        </is>
      </c>
      <c r="D400" s="4" t="inlineStr">
        <is>
          <t>Dominica</t>
        </is>
      </c>
      <c r="E400" s="4" t="inlineStr">
        <is>
          <t>DMA</t>
        </is>
      </c>
      <c r="F400" s="10" t="n">
        <v>43255</v>
      </c>
      <c r="G400" s="4" t="inlineStr">
        <is>
          <t>2013gn</t>
        </is>
      </c>
      <c r="H400" s="4" t="n">
        <v>2017</v>
      </c>
      <c r="I400" s="4" t="inlineStr">
        <is>
          <t>css.loan.mlt.ida.reg</t>
        </is>
      </c>
      <c r="J400" t="inlineStr">
        <is>
          <t>…</t>
        </is>
      </c>
    </row>
    <row r="401">
      <c r="A401" t="inlineStr">
        <is>
          <t>Dominica_2018_August</t>
        </is>
      </c>
      <c r="B401" s="2" t="n"/>
      <c r="C401" s="3" t="inlineStr">
        <is>
          <t>SM.18.139</t>
        </is>
      </c>
      <c r="D401" s="4" t="inlineStr">
        <is>
          <t>Dominica</t>
        </is>
      </c>
      <c r="E401" s="4" t="inlineStr">
        <is>
          <t>DMA</t>
        </is>
      </c>
      <c r="F401" s="10" t="n">
        <v>43255</v>
      </c>
      <c r="G401" s="4" t="inlineStr">
        <is>
          <t>2013gn</t>
        </is>
      </c>
      <c r="H401" s="4" t="n">
        <v>2017</v>
      </c>
      <c r="I401" s="4" t="inlineStr">
        <is>
          <t>css.loan.mlt.ida.bld</t>
        </is>
      </c>
      <c r="J401" t="inlineStr">
        <is>
          <t xml:space="preserve">   Others Commercial</t>
        </is>
      </c>
    </row>
    <row r="402">
      <c r="A402" t="inlineStr">
        <is>
          <t>Dominica_2018_August</t>
        </is>
      </c>
      <c r="B402" s="2" t="n"/>
      <c r="C402" s="3" t="inlineStr">
        <is>
          <t>SM.18.139</t>
        </is>
      </c>
      <c r="D402" s="4" t="inlineStr">
        <is>
          <t>Dominica</t>
        </is>
      </c>
      <c r="E402" s="4" t="inlineStr">
        <is>
          <t>DMA</t>
        </is>
      </c>
      <c r="F402" s="10" t="n">
        <v>43255</v>
      </c>
      <c r="G402" s="4" t="inlineStr">
        <is>
          <t>2013gn</t>
        </is>
      </c>
      <c r="H402" s="4" t="n">
        <v>2017</v>
      </c>
      <c r="I402" s="4" t="inlineStr">
        <is>
          <t>css.loan.mlt.afdb</t>
        </is>
      </c>
    </row>
    <row r="403">
      <c r="A403" t="inlineStr">
        <is>
          <t>Dominica_2018_August</t>
        </is>
      </c>
      <c r="B403" s="2" t="n"/>
      <c r="C403" s="3" t="inlineStr">
        <is>
          <t>SM.18.139</t>
        </is>
      </c>
      <c r="D403" s="4" t="inlineStr">
        <is>
          <t>Dominica</t>
        </is>
      </c>
      <c r="E403" s="4" t="inlineStr">
        <is>
          <t>DMA</t>
        </is>
      </c>
      <c r="F403" s="10" t="n">
        <v>43255</v>
      </c>
      <c r="G403" s="4" t="inlineStr">
        <is>
          <t>2013gn</t>
        </is>
      </c>
      <c r="H403" s="4" t="n">
        <v>2017</v>
      </c>
      <c r="I403" s="4" t="inlineStr">
        <is>
          <t>css.loan.mlt2</t>
        </is>
      </c>
      <c r="J403" t="inlineStr">
        <is>
          <t>PV of old MLT debt</t>
        </is>
      </c>
    </row>
    <row r="404">
      <c r="A404" t="inlineStr">
        <is>
          <t>Dominica_2018_August</t>
        </is>
      </c>
      <c r="B404" s="2" t="n"/>
      <c r="C404" s="3" t="inlineStr">
        <is>
          <t>SM.18.139</t>
        </is>
      </c>
      <c r="D404" s="4" t="inlineStr">
        <is>
          <t>Dominica</t>
        </is>
      </c>
      <c r="E404" s="4" t="inlineStr">
        <is>
          <t>DMA</t>
        </is>
      </c>
      <c r="F404" s="10" t="n">
        <v>43255</v>
      </c>
      <c r="G404" s="4" t="inlineStr">
        <is>
          <t>2013gn</t>
        </is>
      </c>
      <c r="H404" s="4" t="n">
        <v>2017</v>
      </c>
      <c r="I404" s="4" t="inlineStr">
        <is>
          <t>css.loan.mlt3</t>
        </is>
      </c>
      <c r="J404" t="inlineStr">
        <is>
          <t>Multilaterals</t>
        </is>
      </c>
    </row>
    <row r="405">
      <c r="A405" t="inlineStr">
        <is>
          <t>Dominica_2018_August</t>
        </is>
      </c>
      <c r="B405" s="2" t="n"/>
      <c r="C405" s="3" t="inlineStr">
        <is>
          <t>SM.18.139</t>
        </is>
      </c>
      <c r="D405" s="4" t="inlineStr">
        <is>
          <t>Dominica</t>
        </is>
      </c>
      <c r="E405" s="4" t="inlineStr">
        <is>
          <t>DMA</t>
        </is>
      </c>
      <c r="F405" s="10" t="n">
        <v>43255</v>
      </c>
      <c r="G405" s="4" t="inlineStr">
        <is>
          <t>2013gn</t>
        </is>
      </c>
      <c r="H405" s="4" t="n">
        <v>2017</v>
      </c>
      <c r="I405" s="4" t="inlineStr">
        <is>
          <t>css.loan.blt</t>
        </is>
      </c>
      <c r="J405" t="inlineStr">
        <is>
          <t xml:space="preserve">   IMF</t>
        </is>
      </c>
    </row>
    <row r="406">
      <c r="A406" t="inlineStr">
        <is>
          <t>Dominica_2018_August</t>
        </is>
      </c>
      <c r="B406" s="2" t="n"/>
      <c r="C406" s="3" t="inlineStr">
        <is>
          <t>SM.18.139</t>
        </is>
      </c>
      <c r="D406" s="4" t="inlineStr">
        <is>
          <t>Dominica</t>
        </is>
      </c>
      <c r="E406" s="4" t="inlineStr">
        <is>
          <t>DMA</t>
        </is>
      </c>
      <c r="F406" s="10" t="n">
        <v>43255</v>
      </c>
      <c r="G406" s="4" t="inlineStr">
        <is>
          <t>2013gn</t>
        </is>
      </c>
      <c r="H406" s="4" t="n">
        <v>2017</v>
      </c>
      <c r="I406" s="4" t="inlineStr">
        <is>
          <t>css.loan.pc</t>
        </is>
      </c>
      <c r="J406" t="inlineStr">
        <is>
          <t xml:space="preserve">   IDA - Small Island Country</t>
        </is>
      </c>
    </row>
    <row r="407">
      <c r="A407" t="inlineStr">
        <is>
          <t>Dominica_2018_August</t>
        </is>
      </c>
      <c r="B407" s="2" t="n"/>
      <c r="C407" s="3" t="inlineStr">
        <is>
          <t>SM.18.139</t>
        </is>
      </c>
      <c r="D407" s="4" t="inlineStr">
        <is>
          <t>Dominica</t>
        </is>
      </c>
      <c r="E407" s="4" t="inlineStr">
        <is>
          <t>DMA</t>
        </is>
      </c>
      <c r="F407" s="10" t="n">
        <v>43255</v>
      </c>
      <c r="G407" s="4" t="inlineStr">
        <is>
          <t>2013gn</t>
        </is>
      </c>
      <c r="H407" s="4" t="n">
        <v>2017</v>
      </c>
      <c r="I407" s="4" t="inlineStr">
        <is>
          <t>css.loan.pc1</t>
        </is>
      </c>
      <c r="J407" t="inlineStr">
        <is>
          <t>IDA - Regular</t>
        </is>
      </c>
    </row>
    <row r="408">
      <c r="A408" t="inlineStr">
        <is>
          <t>Dominica_2018_August</t>
        </is>
      </c>
      <c r="B408" s="2" t="n"/>
      <c r="C408" s="3" t="inlineStr">
        <is>
          <t>SM.18.139</t>
        </is>
      </c>
      <c r="D408" s="4" t="inlineStr">
        <is>
          <t>Dominica</t>
        </is>
      </c>
      <c r="E408" s="4" t="inlineStr">
        <is>
          <t>DMA</t>
        </is>
      </c>
      <c r="F408" s="10" t="n">
        <v>43255</v>
      </c>
      <c r="G408" s="4" t="inlineStr">
        <is>
          <t>2013gn</t>
        </is>
      </c>
      <c r="H408" s="4" t="n">
        <v>2017</v>
      </c>
      <c r="I408" s="4" t="inlineStr">
        <is>
          <t>css.loan.pc2</t>
        </is>
      </c>
      <c r="J408" t="inlineStr">
        <is>
          <t>IBRD</t>
        </is>
      </c>
    </row>
    <row r="409">
      <c r="A409" t="inlineStr">
        <is>
          <t>Dominica_2018_August</t>
        </is>
      </c>
      <c r="B409" s="2" t="n"/>
      <c r="C409" s="3" t="inlineStr">
        <is>
          <t>SM.18.139</t>
        </is>
      </c>
      <c r="D409" s="4" t="inlineStr">
        <is>
          <t>Dominica</t>
        </is>
      </c>
      <c r="E409" s="4" t="inlineStr">
        <is>
          <t>DMA</t>
        </is>
      </c>
      <c r="F409" s="10" t="n">
        <v>43255</v>
      </c>
      <c r="G409" s="4" t="inlineStr">
        <is>
          <t>2013gn</t>
        </is>
      </c>
      <c r="H409" s="4" t="n">
        <v>2017</v>
      </c>
      <c r="I409" s="4" t="inlineStr">
        <is>
          <t>css.loan.pc3</t>
        </is>
      </c>
      <c r="J409" t="inlineStr">
        <is>
          <t>Other Multilateral</t>
        </is>
      </c>
    </row>
    <row r="410">
      <c r="A410" t="inlineStr">
        <is>
          <t>Dominica_2018_August</t>
        </is>
      </c>
      <c r="B410" s="2" t="n"/>
      <c r="C410" s="3" t="inlineStr">
        <is>
          <t>SM.18.139</t>
        </is>
      </c>
      <c r="D410" s="4" t="inlineStr">
        <is>
          <t>Dominica</t>
        </is>
      </c>
      <c r="E410" s="4" t="inlineStr">
        <is>
          <t>DMA</t>
        </is>
      </c>
      <c r="F410" s="10" t="n">
        <v>43255</v>
      </c>
      <c r="G410" s="4" t="inlineStr">
        <is>
          <t>2013gn</t>
        </is>
      </c>
      <c r="H410" s="4" t="n">
        <v>2017</v>
      </c>
      <c r="I410" s="4" t="inlineStr">
        <is>
          <t>css.loan.pc4</t>
        </is>
      </c>
      <c r="J410" t="inlineStr">
        <is>
          <t>Official Bilaterals</t>
        </is>
      </c>
    </row>
    <row r="411">
      <c r="A411" t="inlineStr">
        <is>
          <t>Dominica_2018_August</t>
        </is>
      </c>
      <c r="B411" s="2" t="n"/>
      <c r="C411" s="3" t="inlineStr">
        <is>
          <t>SM.18.139</t>
        </is>
      </c>
      <c r="D411" s="4" t="inlineStr">
        <is>
          <t>Dominica</t>
        </is>
      </c>
      <c r="E411" s="4" t="inlineStr">
        <is>
          <t>DMA</t>
        </is>
      </c>
      <c r="F411" s="10" t="n">
        <v>43255</v>
      </c>
      <c r="G411" s="4" t="inlineStr">
        <is>
          <t>2013gn</t>
        </is>
      </c>
      <c r="H411" s="4" t="n">
        <v>2017</v>
      </c>
      <c r="I411" s="4" t="inlineStr">
        <is>
          <t>css.loan.pc5</t>
        </is>
      </c>
      <c r="J411" t="inlineStr">
        <is>
          <t xml:space="preserve">   PC</t>
        </is>
      </c>
    </row>
    <row r="412">
      <c r="A412" t="inlineStr">
        <is>
          <t>Dominica_2018_August</t>
        </is>
      </c>
      <c r="B412" s="2" t="n"/>
      <c r="C412" s="3" t="inlineStr">
        <is>
          <t>SM.18.139</t>
        </is>
      </c>
      <c r="D412" s="4" t="inlineStr">
        <is>
          <t>Dominica</t>
        </is>
      </c>
      <c r="E412" s="4" t="inlineStr">
        <is>
          <t>DMA</t>
        </is>
      </c>
      <c r="F412" s="10" t="n">
        <v>43255</v>
      </c>
      <c r="G412" s="4" t="inlineStr">
        <is>
          <t>2013gn</t>
        </is>
      </c>
      <c r="H412" s="4" t="n">
        <v>2017</v>
      </c>
      <c r="I412" s="4" t="inlineStr">
        <is>
          <t>css.loan.npc</t>
        </is>
      </c>
      <c r="J412" t="inlineStr">
        <is>
          <t>…</t>
        </is>
      </c>
    </row>
    <row r="413">
      <c r="A413" t="inlineStr">
        <is>
          <t>Dominica_2018_August</t>
        </is>
      </c>
      <c r="B413" s="2" t="n"/>
      <c r="C413" s="3" t="inlineStr">
        <is>
          <t>SM.18.139</t>
        </is>
      </c>
      <c r="D413" s="4" t="inlineStr">
        <is>
          <t>Dominica</t>
        </is>
      </c>
      <c r="E413" s="4" t="inlineStr">
        <is>
          <t>DMA</t>
        </is>
      </c>
      <c r="F413" s="10" t="n">
        <v>43255</v>
      </c>
      <c r="G413" s="4" t="inlineStr">
        <is>
          <t>2013gn</t>
        </is>
      </c>
      <c r="H413" s="4" t="n">
        <v>2017</v>
      </c>
      <c r="I413" s="4" t="inlineStr">
        <is>
          <t>css.loan.npc.eximbk</t>
        </is>
      </c>
      <c r="J413" t="inlineStr">
        <is>
          <t>…</t>
        </is>
      </c>
    </row>
    <row r="414">
      <c r="A414" t="inlineStr">
        <is>
          <t>Dominica_2018_August</t>
        </is>
      </c>
      <c r="B414" s="2" t="n"/>
      <c r="C414" s="3" t="inlineStr">
        <is>
          <t>SM.18.139</t>
        </is>
      </c>
      <c r="D414" s="4" t="inlineStr">
        <is>
          <t>Dominica</t>
        </is>
      </c>
      <c r="E414" s="4" t="inlineStr">
        <is>
          <t>DMA</t>
        </is>
      </c>
      <c r="F414" s="10" t="n">
        <v>43255</v>
      </c>
      <c r="G414" s="4" t="inlineStr">
        <is>
          <t>2013gn</t>
        </is>
      </c>
      <c r="H414" s="4" t="n">
        <v>2017</v>
      </c>
      <c r="I414" s="4" t="inlineStr">
        <is>
          <t>css.loan.npc2</t>
        </is>
      </c>
      <c r="J414" t="inlineStr">
        <is>
          <t xml:space="preserve">   Others Paris Club</t>
        </is>
      </c>
    </row>
    <row r="415">
      <c r="A415" t="inlineStr">
        <is>
          <t>Dominica_2018_August</t>
        </is>
      </c>
      <c r="B415" s="2" t="n"/>
      <c r="C415" s="3" t="inlineStr">
        <is>
          <t>SM.18.139</t>
        </is>
      </c>
      <c r="D415" s="4" t="inlineStr">
        <is>
          <t>Dominica</t>
        </is>
      </c>
      <c r="E415" s="4" t="inlineStr">
        <is>
          <t>DMA</t>
        </is>
      </c>
      <c r="F415" s="10" t="n">
        <v>43255</v>
      </c>
      <c r="G415" s="4" t="inlineStr">
        <is>
          <t>2013gn</t>
        </is>
      </c>
      <c r="H415" s="4" t="n">
        <v>2017</v>
      </c>
      <c r="I415" s="4" t="inlineStr">
        <is>
          <t>css.loan.npc3</t>
        </is>
      </c>
      <c r="J415" t="inlineStr">
        <is>
          <t xml:space="preserve">   NPC</t>
        </is>
      </c>
    </row>
    <row r="416">
      <c r="A416" t="inlineStr">
        <is>
          <t>Dominica_2018_August</t>
        </is>
      </c>
      <c r="B416" s="2" t="n"/>
      <c r="C416" s="3" t="inlineStr">
        <is>
          <t>SM.18.139</t>
        </is>
      </c>
      <c r="D416" s="4" t="inlineStr">
        <is>
          <t>Dominica</t>
        </is>
      </c>
      <c r="E416" s="4" t="inlineStr">
        <is>
          <t>DMA</t>
        </is>
      </c>
      <c r="F416" s="10" t="n">
        <v>43255</v>
      </c>
      <c r="G416" s="4" t="inlineStr">
        <is>
          <t>2013gn</t>
        </is>
      </c>
      <c r="H416" s="4" t="n">
        <v>2017</v>
      </c>
      <c r="I416" s="4" t="inlineStr">
        <is>
          <t>css.loan.npc4</t>
        </is>
      </c>
      <c r="J416" t="inlineStr">
        <is>
          <t>…</t>
        </is>
      </c>
      <c r="K416" t="n">
        <v>0</v>
      </c>
    </row>
    <row r="417">
      <c r="A417" t="inlineStr">
        <is>
          <t>Dominica_2018_August</t>
        </is>
      </c>
      <c r="B417" s="2" t="n"/>
      <c r="C417" s="3" t="inlineStr">
        <is>
          <t>SM.18.139</t>
        </is>
      </c>
      <c r="D417" s="4" t="inlineStr">
        <is>
          <t>Dominica</t>
        </is>
      </c>
      <c r="E417" s="4" t="inlineStr">
        <is>
          <t>DMA</t>
        </is>
      </c>
      <c r="F417" s="10" t="n">
        <v>43255</v>
      </c>
      <c r="G417" s="4" t="inlineStr">
        <is>
          <t>2013gn</t>
        </is>
      </c>
      <c r="H417" s="4" t="n">
        <v>2017</v>
      </c>
      <c r="I417" s="4" t="inlineStr">
        <is>
          <t>css.loan.npc5</t>
        </is>
      </c>
      <c r="J417" t="inlineStr">
        <is>
          <t>…</t>
        </is>
      </c>
    </row>
    <row r="418">
      <c r="A418" t="inlineStr">
        <is>
          <t>Dominica_2018_August</t>
        </is>
      </c>
      <c r="B418" s="2" t="n"/>
      <c r="C418" s="3" t="inlineStr">
        <is>
          <t>SM.18.139</t>
        </is>
      </c>
      <c r="D418" s="4" t="inlineStr">
        <is>
          <t>Dominica</t>
        </is>
      </c>
      <c r="E418" s="4" t="inlineStr">
        <is>
          <t>DMA</t>
        </is>
      </c>
      <c r="F418" s="10" t="n">
        <v>43255</v>
      </c>
      <c r="G418" s="4" t="inlineStr">
        <is>
          <t>2013gn</t>
        </is>
      </c>
      <c r="H418" s="4" t="n">
        <v>2017</v>
      </c>
      <c r="I418" s="4" t="inlineStr">
        <is>
          <t>css.loan.prvt</t>
        </is>
      </c>
      <c r="J418" t="inlineStr">
        <is>
          <t xml:space="preserve">   Others Non Paris Club</t>
        </is>
      </c>
    </row>
    <row r="419">
      <c r="A419" t="inlineStr">
        <is>
          <t>Dominica_2018_August</t>
        </is>
      </c>
      <c r="B419" s="2" t="n"/>
      <c r="C419" s="3" t="inlineStr">
        <is>
          <t>SM.18.139</t>
        </is>
      </c>
      <c r="D419" s="4" t="inlineStr">
        <is>
          <t>Dominica</t>
        </is>
      </c>
      <c r="E419" s="4" t="inlineStr">
        <is>
          <t>DMA</t>
        </is>
      </c>
      <c r="F419" s="10" t="n">
        <v>43255</v>
      </c>
      <c r="G419" s="4" t="inlineStr">
        <is>
          <t>2013gn</t>
        </is>
      </c>
      <c r="H419" s="4" t="n">
        <v>2017</v>
      </c>
      <c r="I419" s="4" t="inlineStr">
        <is>
          <t>css.loan.prvt.bnd</t>
        </is>
      </c>
      <c r="J419" t="inlineStr">
        <is>
          <t>Commercial</t>
        </is>
      </c>
    </row>
    <row r="420">
      <c r="A420" t="inlineStr">
        <is>
          <t>Dominica_2018_August</t>
        </is>
      </c>
      <c r="B420" s="2" t="n"/>
      <c r="C420" s="3" t="inlineStr">
        <is>
          <t>SM.18.139</t>
        </is>
      </c>
      <c r="D420" s="4" t="inlineStr">
        <is>
          <t>Dominica</t>
        </is>
      </c>
      <c r="E420" s="4" t="inlineStr">
        <is>
          <t>DMA</t>
        </is>
      </c>
      <c r="F420" s="10" t="n">
        <v>43255</v>
      </c>
      <c r="G420" s="4" t="inlineStr">
        <is>
          <t>2013gn</t>
        </is>
      </c>
      <c r="H420" s="4" t="n">
        <v>2017</v>
      </c>
      <c r="I420" s="4" t="inlineStr">
        <is>
          <t>css.loan.prvt.cmbk</t>
        </is>
      </c>
      <c r="J420" t="inlineStr">
        <is>
          <t>…</t>
        </is>
      </c>
    </row>
    <row r="421">
      <c r="A421" t="inlineStr">
        <is>
          <t>Dominica_2018_August</t>
        </is>
      </c>
      <c r="B421" s="2" t="n"/>
      <c r="C421" s="3" t="inlineStr">
        <is>
          <t>SM.18.139</t>
        </is>
      </c>
      <c r="D421" s="4" t="inlineStr">
        <is>
          <t>Dominica</t>
        </is>
      </c>
      <c r="E421" s="4" t="inlineStr">
        <is>
          <t>DMA</t>
        </is>
      </c>
      <c r="F421" s="10" t="n">
        <v>43255</v>
      </c>
      <c r="G421" s="4" t="inlineStr">
        <is>
          <t>2013gn</t>
        </is>
      </c>
      <c r="H421" s="4" t="n">
        <v>2017</v>
      </c>
      <c r="I421" s="4" t="inlineStr">
        <is>
          <t>css.loan.prvt.com3</t>
        </is>
      </c>
      <c r="J421" t="inlineStr">
        <is>
          <t>…</t>
        </is>
      </c>
    </row>
    <row r="422">
      <c r="A422" t="inlineStr">
        <is>
          <t>Dominica_2018_August</t>
        </is>
      </c>
      <c r="B422" s="2" t="n"/>
      <c r="C422" s="3" t="inlineStr">
        <is>
          <t>SM.18.139</t>
        </is>
      </c>
      <c r="D422" s="4" t="inlineStr">
        <is>
          <t>Dominica</t>
        </is>
      </c>
      <c r="E422" s="4" t="inlineStr">
        <is>
          <t>DMA</t>
        </is>
      </c>
      <c r="F422" s="10" t="n">
        <v>43255</v>
      </c>
      <c r="G422" s="4" t="inlineStr">
        <is>
          <t>2013gn</t>
        </is>
      </c>
      <c r="H422" s="4" t="n">
        <v>2017</v>
      </c>
      <c r="I422" s="4" t="inlineStr">
        <is>
          <t>css.loan.prvt.com4</t>
        </is>
      </c>
      <c r="J422" t="inlineStr">
        <is>
          <t xml:space="preserve">   Others Commercial</t>
        </is>
      </c>
    </row>
    <row r="423">
      <c r="A423" t="inlineStr">
        <is>
          <t>Dominica_2018_August</t>
        </is>
      </c>
      <c r="B423" s="2" t="n"/>
      <c r="C423" s="3" t="inlineStr">
        <is>
          <t>SM.18.139</t>
        </is>
      </c>
      <c r="D423" s="4" t="inlineStr">
        <is>
          <t>Dominica</t>
        </is>
      </c>
      <c r="E423" s="4" t="inlineStr">
        <is>
          <t>DMA</t>
        </is>
      </c>
      <c r="F423" s="10" t="n">
        <v>43255</v>
      </c>
      <c r="G423" s="4" t="inlineStr">
        <is>
          <t>2013gn</t>
        </is>
      </c>
      <c r="H423" s="4" t="n">
        <v>2017</v>
      </c>
      <c r="I423" s="4" t="inlineStr">
        <is>
          <t>css.loan.prvt.com5</t>
        </is>
      </c>
    </row>
    <row r="424">
      <c r="A424" t="inlineStr">
        <is>
          <t>Dominica_2018_August</t>
        </is>
      </c>
      <c r="C424" t="inlineStr">
        <is>
          <t>SM.18.139</t>
        </is>
      </c>
      <c r="D424" t="inlineStr">
        <is>
          <t>Dominica</t>
        </is>
      </c>
      <c r="E424" t="inlineStr">
        <is>
          <t>DMA</t>
        </is>
      </c>
      <c r="F424" s="11" t="n">
        <v>43255</v>
      </c>
      <c r="G424" t="inlineStr">
        <is>
          <t>2013gn</t>
        </is>
      </c>
      <c r="H424" t="n">
        <v>2017</v>
      </c>
      <c r="I424" s="5" t="n"/>
      <c r="J424" t="inlineStr">
        <is>
          <t>PV of existing arrears</t>
        </is>
      </c>
    </row>
    <row r="426">
      <c r="J426" t="inlineStr">
        <is>
          <t>PV of new MLT debt</t>
        </is>
      </c>
    </row>
    <row r="427">
      <c r="J427" t="inlineStr">
        <is>
          <t>Multilaterals</t>
        </is>
      </c>
    </row>
    <row r="428">
      <c r="J428" t="inlineStr">
        <is>
          <t xml:space="preserve">   IMF</t>
        </is>
      </c>
    </row>
    <row r="429">
      <c r="J429" t="inlineStr">
        <is>
          <t xml:space="preserve">   IDA - Small Island Country</t>
        </is>
      </c>
    </row>
    <row r="430">
      <c r="J430" t="inlineStr">
        <is>
          <t>IDA - Regular</t>
        </is>
      </c>
    </row>
    <row r="431">
      <c r="J431" t="inlineStr">
        <is>
          <t>IBRD</t>
        </is>
      </c>
    </row>
    <row r="432">
      <c r="J432" t="inlineStr">
        <is>
          <t>Other Multilateral</t>
        </is>
      </c>
    </row>
    <row r="433">
      <c r="J433" t="inlineStr">
        <is>
          <t>Official Bilaterals</t>
        </is>
      </c>
    </row>
    <row r="434">
      <c r="J434" t="inlineStr">
        <is>
          <t xml:space="preserve">   PC</t>
        </is>
      </c>
    </row>
    <row r="435">
      <c r="J435" t="inlineStr">
        <is>
          <t>…</t>
        </is>
      </c>
    </row>
    <row r="436">
      <c r="J436" t="inlineStr">
        <is>
          <t>…</t>
        </is>
      </c>
    </row>
    <row r="437">
      <c r="J437" t="inlineStr">
        <is>
          <t xml:space="preserve">   Others Paris Club</t>
        </is>
      </c>
    </row>
    <row r="438">
      <c r="J438" t="inlineStr">
        <is>
          <t xml:space="preserve">   NPC</t>
        </is>
      </c>
    </row>
    <row r="439">
      <c r="J439" t="inlineStr">
        <is>
          <t>…</t>
        </is>
      </c>
    </row>
    <row r="440">
      <c r="J440" t="inlineStr">
        <is>
          <t>…</t>
        </is>
      </c>
    </row>
    <row r="441">
      <c r="J441" t="inlineStr">
        <is>
          <t xml:space="preserve">   Others Non Paris Club</t>
        </is>
      </c>
    </row>
    <row r="442">
      <c r="J442" t="inlineStr">
        <is>
          <t>Commercial</t>
        </is>
      </c>
    </row>
    <row r="443">
      <c r="J443" t="inlineStr">
        <is>
          <t>…</t>
        </is>
      </c>
    </row>
    <row r="444">
      <c r="J444" t="inlineStr">
        <is>
          <t>…</t>
        </is>
      </c>
    </row>
    <row r="445">
      <c r="J445" t="inlineStr">
        <is>
          <t xml:space="preserve">   Others Commercial</t>
        </is>
      </c>
    </row>
    <row r="447">
      <c r="J447" t="inlineStr">
        <is>
          <t>Nominal value of new MLT debt</t>
        </is>
      </c>
    </row>
    <row r="448">
      <c r="J448" t="inlineStr">
        <is>
          <t>Multilaterals</t>
        </is>
      </c>
    </row>
    <row r="449">
      <c r="J449" t="inlineStr">
        <is>
          <t xml:space="preserve">   IMF</t>
        </is>
      </c>
    </row>
    <row r="450">
      <c r="J450" t="inlineStr">
        <is>
          <t xml:space="preserve">   IDA - Small Island Country</t>
        </is>
      </c>
    </row>
    <row r="451">
      <c r="J451" t="inlineStr">
        <is>
          <t>IDA - Regular</t>
        </is>
      </c>
    </row>
    <row r="452">
      <c r="J452" t="inlineStr">
        <is>
          <t>IBRD</t>
        </is>
      </c>
    </row>
    <row r="453">
      <c r="J453" t="inlineStr">
        <is>
          <t>Other Multilateral</t>
        </is>
      </c>
    </row>
    <row r="454">
      <c r="J454" t="inlineStr">
        <is>
          <t>Official Bilaterals</t>
        </is>
      </c>
    </row>
    <row r="455">
      <c r="J455" t="inlineStr">
        <is>
          <t xml:space="preserve">   PC</t>
        </is>
      </c>
    </row>
    <row r="456">
      <c r="J456" t="inlineStr">
        <is>
          <t>…</t>
        </is>
      </c>
    </row>
    <row r="457">
      <c r="J457" t="inlineStr">
        <is>
          <t>…</t>
        </is>
      </c>
    </row>
    <row r="458">
      <c r="J458" t="inlineStr">
        <is>
          <t xml:space="preserve">   Others Paris Club</t>
        </is>
      </c>
    </row>
    <row r="459">
      <c r="J459" t="inlineStr">
        <is>
          <t xml:space="preserve">   NPC</t>
        </is>
      </c>
    </row>
    <row r="460">
      <c r="J460" t="inlineStr">
        <is>
          <t>…</t>
        </is>
      </c>
    </row>
    <row r="461">
      <c r="J461" t="inlineStr">
        <is>
          <t>…</t>
        </is>
      </c>
    </row>
    <row r="462">
      <c r="J462" t="inlineStr">
        <is>
          <t xml:space="preserve">   Others Non Paris Club</t>
        </is>
      </c>
    </row>
    <row r="463">
      <c r="J463" t="inlineStr">
        <is>
          <t>Commercial</t>
        </is>
      </c>
    </row>
    <row r="464">
      <c r="J464" t="inlineStr">
        <is>
          <t>…</t>
        </is>
      </c>
    </row>
    <row r="465">
      <c r="J465" t="inlineStr">
        <is>
          <t>…</t>
        </is>
      </c>
    </row>
    <row r="466">
      <c r="J466" t="inlineStr">
        <is>
          <t xml:space="preserve">   Others Commercial</t>
        </is>
      </c>
    </row>
    <row r="468">
      <c r="J468" t="inlineStr">
        <is>
          <t>Nominal value (=PV) of ST debt</t>
        </is>
      </c>
    </row>
    <row r="469">
      <c r="J469" t="inlineStr">
        <is>
          <t>Interest</t>
        </is>
      </c>
    </row>
    <row r="471">
      <c r="J471" t="inlineStr">
        <is>
          <t>Total PV of debt</t>
        </is>
      </c>
    </row>
    <row r="473">
      <c r="J473" t="inlineStr">
        <is>
          <t>Nominal PPG debt check</t>
        </is>
      </c>
    </row>
    <row r="474">
      <c r="J474" t="inlineStr">
        <is>
          <t>Total public debt service</t>
        </is>
      </c>
    </row>
    <row r="475">
      <c r="J475" t="inlineStr">
        <is>
          <t xml:space="preserve">    of which: principal</t>
        </is>
      </c>
    </row>
    <row r="476">
      <c r="J476" t="inlineStr">
        <is>
          <t xml:space="preserve">    of which: interest</t>
        </is>
      </c>
    </row>
    <row r="479">
      <c r="J479" t="inlineStr">
        <is>
          <t>Calculation of grant implicit in new borrowing and average discount rates</t>
        </is>
      </c>
    </row>
    <row r="481">
      <c r="J481" t="inlineStr">
        <is>
          <t>PV of new disbursements PPG</t>
        </is>
      </c>
    </row>
    <row r="482">
      <c r="J482" t="inlineStr">
        <is>
          <t>Grant element of new disbursement (percent)</t>
        </is>
      </c>
    </row>
    <row r="483">
      <c r="J483" t="inlineStr">
        <is>
          <t>Grant implicit in new disbursements (US billion)</t>
        </is>
      </c>
    </row>
    <row r="484">
      <c r="J484" t="inlineStr">
        <is>
          <t>Average discount rate</t>
        </is>
      </c>
    </row>
    <row r="487">
      <c r="J487" t="inlineStr">
        <is>
          <t xml:space="preserve">1/ After rescheduling if a rescheduling has been agreed or is imminent. For HIPCs that have reached their decision or completion points, </t>
        </is>
      </c>
    </row>
    <row r="488">
      <c r="J488" t="inlineStr">
        <is>
          <t>enter debt service due after HIPC assistance (including additional bilateral assistance for completion point cases).</t>
        </is>
      </c>
    </row>
    <row r="492">
      <c r="J492" t="inlineStr">
        <is>
          <t>French</t>
        </is>
      </c>
    </row>
    <row r="493">
      <c r="J493" t="inlineStr">
        <is>
          <t xml:space="preserve">CETTE FEUILLE CALCULE LA VA DE LA DETTE EXTÉRIEURE PUBLIQUE (CGE) </t>
        </is>
      </c>
    </row>
    <row r="495">
      <c r="J495" t="inlineStr">
        <is>
          <t>Inscrire les données de dette CGE dans les blocs jaunes en utilisant les mêmes unités que dans data_input (par ex., milliards de dollars)</t>
        </is>
      </c>
    </row>
    <row r="497">
      <c r="J497" t="inlineStr">
        <is>
          <t xml:space="preserve">A. DONNÉES A SAISIR </t>
        </is>
      </c>
    </row>
    <row r="499">
      <c r="J499" t="inlineStr">
        <is>
          <t xml:space="preserve">Hypothèses sur la nouvelle dette extérieure </t>
        </is>
      </c>
      <c r="S499" t="inlineStr">
        <is>
          <t xml:space="preserve">Hypothèses sur les conditions du financement additionnel résultant des tests de résistance </t>
        </is>
      </c>
    </row>
    <row r="501">
      <c r="K501" t="inlineStr">
        <is>
          <t>Loan</t>
        </is>
      </c>
      <c r="M501" t="inlineStr">
        <is>
          <t xml:space="preserve">Taux </t>
        </is>
      </c>
      <c r="N501" t="inlineStr">
        <is>
          <t>Taux</t>
        </is>
      </c>
      <c r="O501" t="inlineStr">
        <is>
          <t xml:space="preserve">Différé </t>
        </is>
      </c>
      <c r="P501" t="inlineStr">
        <is>
          <t xml:space="preserve">Échéance </t>
        </is>
      </c>
      <c r="Q501" t="inlineStr">
        <is>
          <t xml:space="preserve">Élément </t>
        </is>
      </c>
      <c r="S501" t="inlineStr">
        <is>
          <t>Parts de dette marginale*</t>
        </is>
      </c>
    </row>
    <row r="502">
      <c r="K502" t="inlineStr">
        <is>
          <t>Currency</t>
        </is>
      </c>
      <c r="M502" t="inlineStr">
        <is>
          <t xml:space="preserve">d'actualisation </t>
        </is>
      </c>
      <c r="N502" t="inlineStr">
        <is>
          <t xml:space="preserve"> d'intérêt </t>
        </is>
      </c>
      <c r="O502" t="inlineStr">
        <is>
          <t xml:space="preserve">d'amortissement </t>
        </is>
      </c>
      <c r="P502" t="inlineStr">
        <is>
          <t xml:space="preserve">crédit </t>
        </is>
      </c>
      <c r="Q502" t="inlineStr">
        <is>
          <t>don, %</t>
        </is>
      </c>
      <c r="S502" t="inlineStr">
        <is>
          <t xml:space="preserve">Devises </t>
        </is>
      </c>
    </row>
    <row r="503">
      <c r="J503" t="inlineStr">
        <is>
          <t xml:space="preserve">Multilatéraux </t>
        </is>
      </c>
      <c r="S503" t="inlineStr">
        <is>
          <t xml:space="preserve">Intérieure moyen et long terme </t>
        </is>
      </c>
    </row>
    <row r="504">
      <c r="J504" t="inlineStr">
        <is>
          <t xml:space="preserve">   FMI</t>
        </is>
      </c>
      <c r="K504" t="inlineStr">
        <is>
          <t>SDR</t>
        </is>
      </c>
      <c r="S504" t="inlineStr">
        <is>
          <t xml:space="preserve">Intérieure court terme </t>
        </is>
      </c>
    </row>
    <row r="505">
      <c r="J505" t="inlineStr">
        <is>
          <t xml:space="preserve">   IDA</t>
        </is>
      </c>
      <c r="K505" t="inlineStr">
        <is>
          <t>SDR</t>
        </is>
      </c>
      <c r="S505" t="inlineStr">
        <is>
          <t>Conditions de dette marginale</t>
        </is>
      </c>
    </row>
    <row r="506">
      <c r="J506" t="inlineStr">
        <is>
          <t xml:space="preserve">Intitulé </t>
        </is>
      </c>
      <c r="S506" t="inlineStr">
        <is>
          <t xml:space="preserve">Devises </t>
        </is>
      </c>
    </row>
    <row r="507">
      <c r="J507" t="inlineStr">
        <is>
          <t xml:space="preserve">Intitulé </t>
        </is>
      </c>
      <c r="S507" t="inlineStr">
        <is>
          <t>Taux d'intérêt nominal moyen sur les nouveaux emprunts en dollars EU</t>
        </is>
      </c>
    </row>
    <row r="508">
      <c r="J508" t="inlineStr">
        <is>
          <t xml:space="preserve">   Autres multilatéraux </t>
        </is>
      </c>
      <c r="K508" t="inlineStr">
        <is>
          <t>Euro</t>
        </is>
      </c>
      <c r="S508" t="inlineStr">
        <is>
          <t>Taux d'actualisation dollar EU</t>
        </is>
      </c>
    </row>
    <row r="509">
      <c r="J509" t="inlineStr">
        <is>
          <t xml:space="preserve">Bilatéraux officiels </t>
        </is>
      </c>
      <c r="S509" t="inlineStr">
        <is>
          <t xml:space="preserve">Échéance moyenne (différé d'amortissement compris) </t>
        </is>
      </c>
    </row>
    <row r="510">
      <c r="J510" t="inlineStr">
        <is>
          <t xml:space="preserve">   Club de Paris </t>
        </is>
      </c>
      <c r="K510" t="inlineStr">
        <is>
          <t>Euro</t>
        </is>
      </c>
      <c r="S510" t="inlineStr">
        <is>
          <t>Différé d'amortissement moyen (minimum 1)</t>
        </is>
      </c>
    </row>
    <row r="511">
      <c r="J511" t="inlineStr">
        <is>
          <t xml:space="preserve">Intitulé </t>
        </is>
      </c>
      <c r="S511" t="inlineStr">
        <is>
          <t xml:space="preserve">Dette intérieure à MLT </t>
        </is>
      </c>
    </row>
    <row r="512">
      <c r="J512" t="inlineStr">
        <is>
          <t xml:space="preserve">Intitulé </t>
        </is>
      </c>
      <c r="S512" t="inlineStr">
        <is>
          <t xml:space="preserve">Taux d'intérêt réel moyen sur les nouveaux emprunts </t>
        </is>
      </c>
    </row>
    <row r="513">
      <c r="J513" t="inlineStr">
        <is>
          <t xml:space="preserve">   Autres Club de Paris</t>
        </is>
      </c>
      <c r="S513" t="inlineStr">
        <is>
          <t xml:space="preserve">Échéance moyenne (différé d'amortissement compris) </t>
        </is>
      </c>
    </row>
    <row r="514">
      <c r="J514" t="inlineStr">
        <is>
          <t xml:space="preserve">   Hors Club de Paris </t>
        </is>
      </c>
      <c r="K514" t="inlineStr">
        <is>
          <t>USD</t>
        </is>
      </c>
      <c r="S514" t="inlineStr">
        <is>
          <t>Différé d'amortissement moyen (minimum 1)</t>
        </is>
      </c>
    </row>
    <row r="515">
      <c r="J515" t="inlineStr">
        <is>
          <t xml:space="preserve">Intitulé </t>
        </is>
      </c>
      <c r="S515" t="inlineStr">
        <is>
          <t xml:space="preserve">Dette intérieure à court terme </t>
        </is>
      </c>
    </row>
    <row r="516">
      <c r="J516" t="inlineStr">
        <is>
          <t xml:space="preserve">Intitulé </t>
        </is>
      </c>
      <c r="S516" t="inlineStr">
        <is>
          <t>Taux d'intérêt réel moyen</t>
        </is>
      </c>
    </row>
    <row r="517">
      <c r="J517" t="inlineStr">
        <is>
          <t xml:space="preserve">   Autres hors Club de Paris </t>
        </is>
      </c>
    </row>
    <row r="518">
      <c r="J518" t="inlineStr">
        <is>
          <t>Commerciaux</t>
        </is>
      </c>
      <c r="K518" t="inlineStr">
        <is>
          <t>USD</t>
        </is>
      </c>
      <c r="S518" t="inlineStr">
        <is>
          <t>* Note : Ce modèle ne se prête pas à l'hypothèse d'une accumulation de dette intérieure nulle pour couvrir le financement additionnel résultant des chocs  liés aux tests de résistance.</t>
        </is>
      </c>
    </row>
    <row r="519">
      <c r="J519" t="inlineStr">
        <is>
          <t xml:space="preserve">Intitulé </t>
        </is>
      </c>
    </row>
    <row r="520">
      <c r="J520" t="inlineStr">
        <is>
          <t xml:space="preserve">Intitulé </t>
        </is>
      </c>
    </row>
    <row r="521">
      <c r="J521" t="inlineStr">
        <is>
          <t xml:space="preserve">   Autres commerciaux </t>
        </is>
      </c>
    </row>
    <row r="522">
      <c r="N522" t="inlineStr">
        <is>
          <t>minimum 1</t>
        </is>
      </c>
    </row>
    <row r="523">
      <c r="J523" t="inlineStr">
        <is>
          <t>1. Ancienne dette MLT (hors arriérés) : service de la dette exigible 1/</t>
        </is>
      </c>
    </row>
    <row r="525">
      <c r="J525" t="inlineStr">
        <is>
          <t xml:space="preserve">Multilatéraux </t>
        </is>
      </c>
    </row>
    <row r="526">
      <c r="J526" t="inlineStr">
        <is>
          <t xml:space="preserve">   FMI</t>
        </is>
      </c>
    </row>
    <row r="527">
      <c r="J527" t="inlineStr">
        <is>
          <t xml:space="preserve">   IDA</t>
        </is>
      </c>
    </row>
    <row r="528">
      <c r="J528" t="inlineStr">
        <is>
          <t>IDA - Regular</t>
        </is>
      </c>
    </row>
    <row r="529">
      <c r="J529" t="inlineStr">
        <is>
          <t>IBRD</t>
        </is>
      </c>
    </row>
    <row r="530">
      <c r="J530" t="inlineStr">
        <is>
          <t xml:space="preserve"> Autres multilatéraux </t>
        </is>
      </c>
    </row>
    <row r="531">
      <c r="J531" t="inlineStr">
        <is>
          <t xml:space="preserve">Bilatéraux officiels </t>
        </is>
      </c>
    </row>
    <row r="532">
      <c r="J532" t="inlineStr">
        <is>
          <t xml:space="preserve">   CP</t>
        </is>
      </c>
    </row>
    <row r="533">
      <c r="J533" t="inlineStr">
        <is>
          <t>Descriptor</t>
        </is>
      </c>
    </row>
    <row r="534">
      <c r="J534" t="inlineStr">
        <is>
          <t>Descriptor</t>
        </is>
      </c>
    </row>
    <row r="535">
      <c r="J535" t="inlineStr">
        <is>
          <t xml:space="preserve">   Autres Club de Paris</t>
        </is>
      </c>
    </row>
    <row r="536">
      <c r="J536" t="inlineStr">
        <is>
          <t xml:space="preserve">   HCP</t>
        </is>
      </c>
    </row>
    <row r="537">
      <c r="J537" t="inlineStr">
        <is>
          <t>Descriptor</t>
        </is>
      </c>
    </row>
    <row r="538">
      <c r="J538" t="inlineStr">
        <is>
          <t>Descriptor</t>
        </is>
      </c>
    </row>
    <row r="539">
      <c r="J539" t="inlineStr">
        <is>
          <t xml:space="preserve">   Autres hors Club de Paris </t>
        </is>
      </c>
    </row>
    <row r="540">
      <c r="J540" t="inlineStr">
        <is>
          <t>Commerciaux</t>
        </is>
      </c>
    </row>
    <row r="541">
      <c r="J541" t="inlineStr">
        <is>
          <t>Descriptor</t>
        </is>
      </c>
    </row>
    <row r="542">
      <c r="J542" t="inlineStr">
        <is>
          <t>Descriptor</t>
        </is>
      </c>
    </row>
    <row r="543">
      <c r="J543" t="inlineStr">
        <is>
          <t xml:space="preserve">   Autres commerciaux </t>
        </is>
      </c>
    </row>
    <row r="544">
      <c r="J544" t="inlineStr">
        <is>
          <t>Si données ventilées non disponibles, inscrire ici le total du service de la dette exigible</t>
        </is>
      </c>
    </row>
    <row r="545">
      <c r="J545" t="inlineStr">
        <is>
          <t>Total</t>
        </is>
      </c>
    </row>
    <row r="546">
      <c r="J546" t="inlineStr">
        <is>
          <t xml:space="preserve">    dont : principal</t>
        </is>
      </c>
    </row>
    <row r="547">
      <c r="J547" t="inlineStr">
        <is>
          <t xml:space="preserve">    dont : intérêts</t>
        </is>
      </c>
    </row>
    <row r="549">
      <c r="J549" t="inlineStr">
        <is>
          <t xml:space="preserve">2. Stock de l'encours des arriérés </t>
        </is>
      </c>
    </row>
    <row r="551">
      <c r="J551" t="inlineStr">
        <is>
          <t>Évolution de l'ancienne dette MLT, hors arriérés (nominal)</t>
        </is>
      </c>
    </row>
    <row r="552">
      <c r="J552" t="inlineStr">
        <is>
          <t>Check</t>
        </is>
      </c>
    </row>
    <row r="554">
      <c r="J554" t="inlineStr">
        <is>
          <t xml:space="preserve">3. NOUVELLE DETTE MLT : décaissements (y compris pour refinancement/apurement des arriérés) </t>
        </is>
      </c>
    </row>
    <row r="555">
      <c r="J555" t="inlineStr">
        <is>
          <t xml:space="preserve">Multilatéraux </t>
        </is>
      </c>
    </row>
    <row r="556">
      <c r="J556" t="inlineStr">
        <is>
          <t xml:space="preserve">   FMI</t>
        </is>
      </c>
    </row>
    <row r="557">
      <c r="J557" t="inlineStr">
        <is>
          <t xml:space="preserve">   IDA</t>
        </is>
      </c>
    </row>
    <row r="558">
      <c r="J558" t="inlineStr">
        <is>
          <t>IDA - Regular</t>
        </is>
      </c>
    </row>
    <row r="559">
      <c r="J559" t="inlineStr">
        <is>
          <t>IBRD</t>
        </is>
      </c>
    </row>
    <row r="560">
      <c r="J560" t="inlineStr">
        <is>
          <t xml:space="preserve"> Autres multilatéraux </t>
        </is>
      </c>
    </row>
    <row r="561">
      <c r="J561" t="inlineStr">
        <is>
          <t xml:space="preserve">Bilatéraux officiels </t>
        </is>
      </c>
    </row>
    <row r="562">
      <c r="J562" t="inlineStr">
        <is>
          <t xml:space="preserve">   CP</t>
        </is>
      </c>
    </row>
    <row r="563">
      <c r="J563" t="inlineStr">
        <is>
          <t>Descriptor</t>
        </is>
      </c>
    </row>
    <row r="564">
      <c r="J564" t="inlineStr">
        <is>
          <t>Descriptor</t>
        </is>
      </c>
    </row>
    <row r="565">
      <c r="J565" t="inlineStr">
        <is>
          <t xml:space="preserve">   Autres Club de Paris</t>
        </is>
      </c>
    </row>
    <row r="566">
      <c r="J566" t="inlineStr">
        <is>
          <t xml:space="preserve">   HCP</t>
        </is>
      </c>
    </row>
    <row r="567">
      <c r="J567" t="inlineStr">
        <is>
          <t>Descriptor</t>
        </is>
      </c>
    </row>
    <row r="568">
      <c r="J568" t="inlineStr">
        <is>
          <t>Descriptor</t>
        </is>
      </c>
    </row>
    <row r="569">
      <c r="J569" t="inlineStr">
        <is>
          <t xml:space="preserve">   Autres hors Club de Paris </t>
        </is>
      </c>
    </row>
    <row r="570">
      <c r="J570" t="inlineStr">
        <is>
          <t>Commerciaux</t>
        </is>
      </c>
    </row>
    <row r="571">
      <c r="J571" t="inlineStr">
        <is>
          <t>Descriptor</t>
        </is>
      </c>
    </row>
    <row r="572">
      <c r="J572" t="inlineStr">
        <is>
          <t>Descriptor</t>
        </is>
      </c>
    </row>
    <row r="573">
      <c r="J573" t="inlineStr">
        <is>
          <t xml:space="preserve">   Autres commerciaux </t>
        </is>
      </c>
    </row>
    <row r="575">
      <c r="J575" t="inlineStr">
        <is>
          <t xml:space="preserve">Total nouveaux décaissements MLT </t>
        </is>
      </c>
    </row>
    <row r="576">
      <c r="J576" t="inlineStr">
        <is>
          <t xml:space="preserve">Conditions du financement résiduel selon tests de résistance </t>
        </is>
      </c>
    </row>
    <row r="577">
      <c r="J577" t="inlineStr">
        <is>
          <t xml:space="preserve">Taux d'intérêt moyen sur nouvelle dette </t>
        </is>
      </c>
      <c r="L577" t="n">
        <v>1.507444713250269</v>
      </c>
    </row>
    <row r="578">
      <c r="J578" t="inlineStr">
        <is>
          <t xml:space="preserve">Différé d'amortissement moyen sur nouvelle dette </t>
        </is>
      </c>
      <c r="L578" t="n">
        <v>8</v>
      </c>
    </row>
    <row r="579">
      <c r="J579" t="inlineStr">
        <is>
          <t xml:space="preserve">Échéance moyenne de la nouvelle dette </t>
        </is>
      </c>
      <c r="L579" t="n">
        <v>31</v>
      </c>
    </row>
    <row r="581">
      <c r="J581" t="inlineStr">
        <is>
          <t xml:space="preserve">Différé d'amortissement moyen sur nouvelle dette (arrondi vers le bas) </t>
        </is>
      </c>
    </row>
    <row r="582">
      <c r="J582" t="inlineStr">
        <is>
          <t xml:space="preserve">Échéance moyenne de la nouvelle dette  (arrondi vers le bas) </t>
        </is>
      </c>
    </row>
    <row r="584">
      <c r="J584" t="inlineStr">
        <is>
          <t xml:space="preserve">B. RÉSULTATS </t>
        </is>
      </c>
    </row>
    <row r="586">
      <c r="J586" t="inlineStr">
        <is>
          <t xml:space="preserve">Nouvelle dette : service de la dette </t>
        </is>
      </c>
    </row>
    <row r="588">
      <c r="J588" t="inlineStr">
        <is>
          <t xml:space="preserve">Total service de la nouvelle dette </t>
        </is>
      </c>
    </row>
    <row r="590">
      <c r="J590" t="inlineStr">
        <is>
          <t>Intérêts</t>
        </is>
      </c>
    </row>
    <row r="591">
      <c r="J591" t="inlineStr">
        <is>
          <t xml:space="preserve">Multilatéraux </t>
        </is>
      </c>
    </row>
    <row r="592">
      <c r="J592" t="inlineStr">
        <is>
          <t xml:space="preserve">   FMI</t>
        </is>
      </c>
    </row>
    <row r="593">
      <c r="J593" t="inlineStr">
        <is>
          <t xml:space="preserve">   IDA</t>
        </is>
      </c>
    </row>
    <row r="594">
      <c r="J594" t="inlineStr">
        <is>
          <t>IDA - Regular</t>
        </is>
      </c>
    </row>
    <row r="595">
      <c r="J595" t="inlineStr">
        <is>
          <t>IBRD</t>
        </is>
      </c>
    </row>
    <row r="596">
      <c r="J596" t="inlineStr">
        <is>
          <t xml:space="preserve"> Autres multilatéraux </t>
        </is>
      </c>
    </row>
    <row r="597">
      <c r="J597" t="inlineStr">
        <is>
          <t xml:space="preserve">Bilatéraux officiels </t>
        </is>
      </c>
    </row>
    <row r="598">
      <c r="J598" t="inlineStr">
        <is>
          <t xml:space="preserve">   CP</t>
        </is>
      </c>
    </row>
    <row r="599">
      <c r="J599" t="inlineStr">
        <is>
          <t>Descriptor</t>
        </is>
      </c>
    </row>
    <row r="600">
      <c r="J600" t="inlineStr">
        <is>
          <t>Descriptor</t>
        </is>
      </c>
    </row>
    <row r="601">
      <c r="J601" t="inlineStr">
        <is>
          <t xml:space="preserve">   Autres Club de Paris</t>
        </is>
      </c>
    </row>
    <row r="602">
      <c r="J602" t="inlineStr">
        <is>
          <t xml:space="preserve">   HCP</t>
        </is>
      </c>
    </row>
    <row r="603">
      <c r="J603" t="inlineStr">
        <is>
          <t>Descriptor</t>
        </is>
      </c>
    </row>
    <row r="604">
      <c r="J604" t="inlineStr">
        <is>
          <t>Descriptor</t>
        </is>
      </c>
    </row>
    <row r="605">
      <c r="J605" t="inlineStr">
        <is>
          <t xml:space="preserve">   Autres hors Club de Paris </t>
        </is>
      </c>
    </row>
    <row r="606">
      <c r="J606" t="inlineStr">
        <is>
          <t>Commerciaux</t>
        </is>
      </c>
    </row>
    <row r="607">
      <c r="J607" t="inlineStr">
        <is>
          <t>Descriptor</t>
        </is>
      </c>
    </row>
    <row r="608">
      <c r="J608" t="inlineStr">
        <is>
          <t>Descriptor</t>
        </is>
      </c>
    </row>
    <row r="609">
      <c r="J609" t="inlineStr">
        <is>
          <t xml:space="preserve">   Autres commerciaux </t>
        </is>
      </c>
    </row>
    <row r="611">
      <c r="J611" t="inlineStr">
        <is>
          <t xml:space="preserve">Amortissement </t>
        </is>
      </c>
    </row>
    <row r="612">
      <c r="J612" t="inlineStr">
        <is>
          <t xml:space="preserve">Multilatéraux </t>
        </is>
      </c>
    </row>
    <row r="613">
      <c r="J613" t="inlineStr">
        <is>
          <t xml:space="preserve">   FMI</t>
        </is>
      </c>
    </row>
    <row r="614">
      <c r="J614" t="inlineStr">
        <is>
          <t xml:space="preserve">   IDA</t>
        </is>
      </c>
    </row>
    <row r="615">
      <c r="J615" t="inlineStr">
        <is>
          <t>IDA - Regular</t>
        </is>
      </c>
    </row>
    <row r="616">
      <c r="J616" t="inlineStr">
        <is>
          <t>IBRD</t>
        </is>
      </c>
    </row>
    <row r="617">
      <c r="J617" t="inlineStr">
        <is>
          <t xml:space="preserve"> Autres multilatéraux </t>
        </is>
      </c>
    </row>
    <row r="618">
      <c r="J618" t="inlineStr">
        <is>
          <t xml:space="preserve">Bilatéraux officiels </t>
        </is>
      </c>
    </row>
    <row r="619">
      <c r="J619" t="inlineStr">
        <is>
          <t xml:space="preserve">   CP</t>
        </is>
      </c>
    </row>
    <row r="620">
      <c r="J620" t="inlineStr">
        <is>
          <t>Descriptor</t>
        </is>
      </c>
    </row>
    <row r="621">
      <c r="J621" t="inlineStr">
        <is>
          <t>Descriptor</t>
        </is>
      </c>
    </row>
    <row r="622">
      <c r="J622" t="inlineStr">
        <is>
          <t xml:space="preserve">   Autres Club de Paris</t>
        </is>
      </c>
    </row>
    <row r="623">
      <c r="J623" t="inlineStr">
        <is>
          <t xml:space="preserve">   HCP</t>
        </is>
      </c>
    </row>
    <row r="624">
      <c r="J624" t="inlineStr">
        <is>
          <t>Descriptor</t>
        </is>
      </c>
    </row>
    <row r="625">
      <c r="J625" t="inlineStr">
        <is>
          <t>Descriptor</t>
        </is>
      </c>
    </row>
    <row r="626">
      <c r="J626" t="inlineStr">
        <is>
          <t xml:space="preserve">   Autres hors Club de Paris </t>
        </is>
      </c>
    </row>
    <row r="627">
      <c r="J627" t="inlineStr">
        <is>
          <t>Commerciaux</t>
        </is>
      </c>
    </row>
    <row r="628">
      <c r="J628" t="inlineStr">
        <is>
          <t>Descriptor</t>
        </is>
      </c>
    </row>
    <row r="629">
      <c r="J629" t="inlineStr">
        <is>
          <t>Descriptor</t>
        </is>
      </c>
    </row>
    <row r="630">
      <c r="J630" t="inlineStr">
        <is>
          <t xml:space="preserve">   Autres commerciaux </t>
        </is>
      </c>
    </row>
    <row r="632">
      <c r="J632" t="inlineStr">
        <is>
          <t xml:space="preserve">VA de l'ancienne dette MLT </t>
        </is>
      </c>
    </row>
    <row r="633">
      <c r="J633" t="inlineStr">
        <is>
          <t xml:space="preserve">Multilatéraux </t>
        </is>
      </c>
    </row>
    <row r="634">
      <c r="J634" t="inlineStr">
        <is>
          <t xml:space="preserve">   FMI</t>
        </is>
      </c>
    </row>
    <row r="635">
      <c r="J635" t="inlineStr">
        <is>
          <t xml:space="preserve">   IDA</t>
        </is>
      </c>
    </row>
    <row r="636">
      <c r="J636" t="inlineStr">
        <is>
          <t>IDA - Regular</t>
        </is>
      </c>
    </row>
    <row r="637">
      <c r="J637" t="inlineStr">
        <is>
          <t>IBRD</t>
        </is>
      </c>
    </row>
    <row r="638">
      <c r="J638" t="inlineStr">
        <is>
          <t xml:space="preserve"> Autres multilatéraux </t>
        </is>
      </c>
    </row>
    <row r="639">
      <c r="J639" t="inlineStr">
        <is>
          <t xml:space="preserve">Bilatéraux officiels </t>
        </is>
      </c>
    </row>
    <row r="640">
      <c r="J640" t="inlineStr">
        <is>
          <t xml:space="preserve">   CP</t>
        </is>
      </c>
    </row>
    <row r="641">
      <c r="J641" t="inlineStr">
        <is>
          <t>Descriptor</t>
        </is>
      </c>
    </row>
    <row r="642">
      <c r="J642" t="inlineStr">
        <is>
          <t>Descriptor</t>
        </is>
      </c>
    </row>
    <row r="643">
      <c r="J643" t="inlineStr">
        <is>
          <t xml:space="preserve">   Autres Club de Paris</t>
        </is>
      </c>
    </row>
    <row r="644">
      <c r="J644" t="inlineStr">
        <is>
          <t xml:space="preserve">   HCP</t>
        </is>
      </c>
    </row>
    <row r="645">
      <c r="J645" t="inlineStr">
        <is>
          <t>Descriptor</t>
        </is>
      </c>
      <c r="K645" t="n">
        <v>0</v>
      </c>
    </row>
    <row r="646">
      <c r="J646" t="inlineStr">
        <is>
          <t>Descriptor</t>
        </is>
      </c>
    </row>
    <row r="647">
      <c r="J647" t="inlineStr">
        <is>
          <t xml:space="preserve">   Autres hors Club de Paris </t>
        </is>
      </c>
    </row>
    <row r="648">
      <c r="J648" t="inlineStr">
        <is>
          <t>Commerciaux</t>
        </is>
      </c>
    </row>
    <row r="649">
      <c r="J649" t="inlineStr">
        <is>
          <t>Descriptor</t>
        </is>
      </c>
    </row>
    <row r="650">
      <c r="J650" t="inlineStr">
        <is>
          <t>Descriptor</t>
        </is>
      </c>
    </row>
    <row r="651">
      <c r="J651" t="inlineStr">
        <is>
          <t xml:space="preserve">   Autres commerciaux </t>
        </is>
      </c>
    </row>
    <row r="653">
      <c r="J653" t="inlineStr">
        <is>
          <t xml:space="preserve">VA des arriérés existants </t>
        </is>
      </c>
    </row>
    <row r="655">
      <c r="J655" t="inlineStr">
        <is>
          <t xml:space="preserve">VA de la nouvelle dette MLT </t>
        </is>
      </c>
    </row>
    <row r="656">
      <c r="J656" t="inlineStr">
        <is>
          <t xml:space="preserve">Multilatéraux </t>
        </is>
      </c>
    </row>
    <row r="657">
      <c r="J657" t="inlineStr">
        <is>
          <t xml:space="preserve">   FMI</t>
        </is>
      </c>
    </row>
    <row r="658">
      <c r="J658" t="inlineStr">
        <is>
          <t xml:space="preserve">   IDA</t>
        </is>
      </c>
    </row>
    <row r="659">
      <c r="J659" t="inlineStr">
        <is>
          <t>IDA - Regular</t>
        </is>
      </c>
    </row>
    <row r="660">
      <c r="J660" t="inlineStr">
        <is>
          <t>IBRD</t>
        </is>
      </c>
    </row>
    <row r="661">
      <c r="J661" t="inlineStr">
        <is>
          <t xml:space="preserve"> Autres multilatéraux </t>
        </is>
      </c>
    </row>
    <row r="662">
      <c r="J662" t="inlineStr">
        <is>
          <t xml:space="preserve">Bilatéraux officiels </t>
        </is>
      </c>
    </row>
    <row r="663">
      <c r="J663" t="inlineStr">
        <is>
          <t xml:space="preserve">   CP</t>
        </is>
      </c>
    </row>
    <row r="664">
      <c r="J664" t="inlineStr">
        <is>
          <t>Descriptor</t>
        </is>
      </c>
    </row>
    <row r="665">
      <c r="J665" t="inlineStr">
        <is>
          <t>Descriptor</t>
        </is>
      </c>
    </row>
    <row r="666">
      <c r="J666" t="inlineStr">
        <is>
          <t xml:space="preserve">   Autres Club de Paris</t>
        </is>
      </c>
    </row>
    <row r="667">
      <c r="J667" t="inlineStr">
        <is>
          <t xml:space="preserve">   HCP</t>
        </is>
      </c>
    </row>
    <row r="668">
      <c r="J668" t="inlineStr">
        <is>
          <t>Descriptor</t>
        </is>
      </c>
    </row>
    <row r="669">
      <c r="J669" t="inlineStr">
        <is>
          <t>Descriptor</t>
        </is>
      </c>
    </row>
    <row r="670">
      <c r="J670" t="inlineStr">
        <is>
          <t xml:space="preserve">   Autres hors Club de Paris </t>
        </is>
      </c>
    </row>
    <row r="671">
      <c r="J671" t="inlineStr">
        <is>
          <t>Commerciaux</t>
        </is>
      </c>
    </row>
    <row r="672">
      <c r="J672" t="inlineStr">
        <is>
          <t>Descriptor</t>
        </is>
      </c>
    </row>
    <row r="673">
      <c r="J673" t="inlineStr">
        <is>
          <t>Descriptor</t>
        </is>
      </c>
    </row>
    <row r="674">
      <c r="J674" t="inlineStr">
        <is>
          <t xml:space="preserve">   Autres commerciaux </t>
        </is>
      </c>
    </row>
    <row r="676">
      <c r="J676" t="inlineStr">
        <is>
          <t xml:space="preserve">Valeur nominale de la nouvelle dette MLT </t>
        </is>
      </c>
    </row>
    <row r="677">
      <c r="J677" t="inlineStr">
        <is>
          <t xml:space="preserve">Multilatéraux </t>
        </is>
      </c>
    </row>
    <row r="678">
      <c r="J678" t="inlineStr">
        <is>
          <t xml:space="preserve">   FMI</t>
        </is>
      </c>
    </row>
    <row r="679">
      <c r="J679" t="inlineStr">
        <is>
          <t xml:space="preserve">   IDA</t>
        </is>
      </c>
    </row>
    <row r="680">
      <c r="J680" t="inlineStr">
        <is>
          <t>IDA - Regular</t>
        </is>
      </c>
    </row>
    <row r="681">
      <c r="J681" t="inlineStr">
        <is>
          <t>IBRD</t>
        </is>
      </c>
    </row>
    <row r="682">
      <c r="J682" t="inlineStr">
        <is>
          <t xml:space="preserve"> Autres multilatéraux </t>
        </is>
      </c>
    </row>
    <row r="683">
      <c r="J683" t="inlineStr">
        <is>
          <t xml:space="preserve">Bilatéraux officiels </t>
        </is>
      </c>
    </row>
    <row r="684">
      <c r="J684" t="inlineStr">
        <is>
          <t xml:space="preserve">   CP</t>
        </is>
      </c>
    </row>
    <row r="685">
      <c r="J685" t="inlineStr">
        <is>
          <t>Descriptor</t>
        </is>
      </c>
    </row>
    <row r="686">
      <c r="J686" t="inlineStr">
        <is>
          <t>Descriptor</t>
        </is>
      </c>
    </row>
    <row r="687">
      <c r="J687" t="inlineStr">
        <is>
          <t xml:space="preserve">   Autres Club de Paris</t>
        </is>
      </c>
    </row>
    <row r="688">
      <c r="J688" t="inlineStr">
        <is>
          <t xml:space="preserve">   HCP</t>
        </is>
      </c>
    </row>
    <row r="689">
      <c r="J689" t="inlineStr">
        <is>
          <t>Descriptor</t>
        </is>
      </c>
    </row>
    <row r="690">
      <c r="J690" t="inlineStr">
        <is>
          <t>Descriptor</t>
        </is>
      </c>
    </row>
    <row r="691">
      <c r="J691" t="inlineStr">
        <is>
          <t xml:space="preserve">   Autres hors Club de Paris </t>
        </is>
      </c>
    </row>
    <row r="692">
      <c r="J692" t="inlineStr">
        <is>
          <t>Commerciaux</t>
        </is>
      </c>
    </row>
    <row r="693">
      <c r="J693" t="inlineStr">
        <is>
          <t>Descriptor</t>
        </is>
      </c>
    </row>
    <row r="694">
      <c r="J694" t="inlineStr">
        <is>
          <t>Descriptor</t>
        </is>
      </c>
    </row>
    <row r="695">
      <c r="J695" t="inlineStr">
        <is>
          <t xml:space="preserve">   Autres commerciaux </t>
        </is>
      </c>
    </row>
    <row r="697">
      <c r="J697" t="inlineStr">
        <is>
          <t xml:space="preserve">Valeur nominale (=VA) de la dette CT </t>
        </is>
      </c>
    </row>
    <row r="698">
      <c r="J698" t="inlineStr">
        <is>
          <t xml:space="preserve">Intérêts </t>
        </is>
      </c>
    </row>
    <row r="700">
      <c r="J700" t="inlineStr">
        <is>
          <t xml:space="preserve">Total VA de la dette </t>
        </is>
      </c>
    </row>
    <row r="702">
      <c r="J702" t="inlineStr">
        <is>
          <t>Vérification dette CGE nominale</t>
        </is>
      </c>
    </row>
    <row r="703">
      <c r="J703" t="inlineStr">
        <is>
          <t xml:space="preserve">Total service dette publique </t>
        </is>
      </c>
    </row>
    <row r="704">
      <c r="J704" t="inlineStr">
        <is>
          <t xml:space="preserve">    dont : principal</t>
        </is>
      </c>
    </row>
    <row r="705">
      <c r="J705" t="inlineStr">
        <is>
          <t xml:space="preserve">    dont : intérêts </t>
        </is>
      </c>
    </row>
    <row r="708">
      <c r="J708" t="inlineStr">
        <is>
          <t xml:space="preserve">Calcul de l'élément don implicite des nouveaux emprunts et taux d'actualisation moyens </t>
        </is>
      </c>
    </row>
    <row r="710">
      <c r="J710" t="inlineStr">
        <is>
          <t xml:space="preserve">VA des nouveaux décaissements CGE </t>
        </is>
      </c>
    </row>
    <row r="711">
      <c r="J711" t="inlineStr">
        <is>
          <t xml:space="preserve">Élément don nouveau décaissement (pourcentage) </t>
        </is>
      </c>
    </row>
    <row r="712">
      <c r="J712" t="inlineStr">
        <is>
          <t xml:space="preserve">Élément don implicite dans nouveaux décaissements (milliards dollars EU) </t>
        </is>
      </c>
    </row>
    <row r="713">
      <c r="J713" t="inlineStr">
        <is>
          <t xml:space="preserve">Taux d'actualisation moyen </t>
        </is>
      </c>
    </row>
    <row r="716">
      <c r="J716" t="inlineStr">
        <is>
          <t xml:space="preserve">1/ Après rééchelonnement si un rééchelonnement a été convenu ou est imminent. Pour les PPTE qui ont atteint leur point de décision ou d'achèvement, </t>
        </is>
      </c>
    </row>
    <row r="717">
      <c r="J717" t="inlineStr">
        <is>
          <t xml:space="preserve">inscrire le service de la dette exigible après assistance PPTE (y compris assistance bilatérale additionnelle dans le cas du point d'achèvement) </t>
        </is>
      </c>
    </row>
    <row r="721">
      <c r="J721" t="inlineStr">
        <is>
          <t>Portuguese</t>
        </is>
      </c>
    </row>
    <row r="722">
      <c r="J722" t="inlineStr">
        <is>
          <t>ESTA FOLHA CALCULA O VA DA DÍVIDA EXTERNA PÚBLICA (PGP)</t>
        </is>
      </c>
    </row>
    <row r="724">
      <c r="J724" t="inlineStr">
        <is>
          <t>Insira a informação sobre a dívida PGP nos blocos amarelos nas mesmas unidades que na folha Data_Input (ex., mil milhões de USD)</t>
        </is>
      </c>
    </row>
    <row r="726">
      <c r="J726" t="inlineStr">
        <is>
          <t>A. ENTRADA</t>
        </is>
      </c>
    </row>
    <row r="728">
      <c r="J728" t="inlineStr">
        <is>
          <t>Pressupostos sobre a nova dívida externa</t>
        </is>
      </c>
      <c r="S728" t="inlineStr">
        <is>
          <t>Pressupostos sobre as condições do financiamento adicional resultantes dos testes de estresse</t>
        </is>
      </c>
    </row>
    <row r="730">
      <c r="K730" t="inlineStr">
        <is>
          <t>Loan</t>
        </is>
      </c>
      <c r="M730" t="inlineStr">
        <is>
          <t>Taxa de</t>
        </is>
      </c>
      <c r="N730" t="inlineStr">
        <is>
          <t>Taxa de</t>
        </is>
      </c>
      <c r="O730" t="inlineStr">
        <is>
          <t>Prazo de</t>
        </is>
      </c>
      <c r="P730" t="inlineStr">
        <is>
          <t>Vencimento</t>
        </is>
      </c>
      <c r="Q730" t="inlineStr">
        <is>
          <t>Elemento de</t>
        </is>
      </c>
      <c r="S730" t="inlineStr">
        <is>
          <t>Parcela da dívida marginal*</t>
        </is>
      </c>
    </row>
    <row r="731">
      <c r="K731" t="inlineStr">
        <is>
          <t>Currency</t>
        </is>
      </c>
      <c r="M731" t="inlineStr">
        <is>
          <t>desconto</t>
        </is>
      </c>
      <c r="N731" t="inlineStr">
        <is>
          <t>juro</t>
        </is>
      </c>
      <c r="O731" t="inlineStr">
        <is>
          <t>carência</t>
        </is>
      </c>
      <c r="P731" t="inlineStr">
        <is>
          <t>do empr.</t>
        </is>
      </c>
      <c r="Q731" t="inlineStr">
        <is>
          <t>donativo, %</t>
        </is>
      </c>
      <c r="S731" t="inlineStr">
        <is>
          <t>Em moeda estrangeira</t>
        </is>
      </c>
      <c r="AS731" t="inlineStr">
        <is>
          <t xml:space="preserve">*Este modelo nao é construido para incluir a suposição de zero acumulação da deuda domestica para cobrir financiamento addicional gerado pelos choques nas testes do stress. </t>
        </is>
      </c>
    </row>
    <row r="732">
      <c r="J732" t="inlineStr">
        <is>
          <t>Multilaterais</t>
        </is>
      </c>
      <c r="S732" t="inlineStr">
        <is>
          <t>Interna de médio e longo prazo</t>
        </is>
      </c>
    </row>
    <row r="733">
      <c r="J733" t="inlineStr">
        <is>
          <t xml:space="preserve">   FMI</t>
        </is>
      </c>
      <c r="K733" t="inlineStr">
        <is>
          <t>SDR</t>
        </is>
      </c>
      <c r="S733" t="inlineStr">
        <is>
          <t>Interna de curto prazo</t>
        </is>
      </c>
    </row>
    <row r="734">
      <c r="J734" t="inlineStr">
        <is>
          <t xml:space="preserve">   IDA</t>
        </is>
      </c>
      <c r="K734" t="inlineStr">
        <is>
          <t>SDR</t>
        </is>
      </c>
      <c r="S734" t="inlineStr">
        <is>
          <t>Condições da dívida marginal</t>
        </is>
      </c>
    </row>
    <row r="735">
      <c r="J735" t="inlineStr">
        <is>
          <t>Descritor</t>
        </is>
      </c>
      <c r="S735" t="inlineStr">
        <is>
          <t>Dívida em moeda estrangeira</t>
        </is>
      </c>
    </row>
    <row r="736">
      <c r="J736" t="inlineStr">
        <is>
          <t>Descritor</t>
        </is>
      </c>
      <c r="S736" t="inlineStr">
        <is>
          <t>Taxa de juro nominal média sobre o novo endividamento em USD</t>
        </is>
      </c>
    </row>
    <row r="737">
      <c r="J737" t="inlineStr">
        <is>
          <t xml:space="preserve">   Outros Multilaterais</t>
        </is>
      </c>
      <c r="K737" t="inlineStr">
        <is>
          <t>Euro</t>
        </is>
      </c>
      <c r="S737" t="inlineStr">
        <is>
          <t>Taxa de desconto em USD</t>
        </is>
      </c>
    </row>
    <row r="738">
      <c r="J738" t="inlineStr">
        <is>
          <t>Oficiais Bilaterais</t>
        </is>
      </c>
      <c r="S738" t="inlineStr">
        <is>
          <t>Vencimento médio (incl. prazo de carência)</t>
        </is>
      </c>
    </row>
    <row r="739">
      <c r="J739" t="inlineStr">
        <is>
          <t xml:space="preserve">   Clube de Paris</t>
        </is>
      </c>
      <c r="K739" t="inlineStr">
        <is>
          <t>Euro</t>
        </is>
      </c>
      <c r="S739" t="inlineStr">
        <is>
          <t>Prazo médio de carência (mínimo 1)</t>
        </is>
      </c>
    </row>
    <row r="740">
      <c r="J740" t="inlineStr">
        <is>
          <t>Descritor</t>
        </is>
      </c>
      <c r="S740" t="inlineStr">
        <is>
          <t>Dívida interna de MLP</t>
        </is>
      </c>
    </row>
    <row r="741">
      <c r="J741" t="inlineStr">
        <is>
          <t>Descritor</t>
        </is>
      </c>
      <c r="S741" t="inlineStr">
        <is>
          <t>Taxa de juro real média sobre o novo endividamento</t>
        </is>
      </c>
    </row>
    <row r="742">
      <c r="J742" t="inlineStr">
        <is>
          <t xml:space="preserve">   Outros Clube de Paris</t>
        </is>
      </c>
      <c r="S742" t="inlineStr">
        <is>
          <t>Vencimento médio (incl. prazo de carência)</t>
        </is>
      </c>
    </row>
    <row r="743">
      <c r="J743" t="inlineStr">
        <is>
          <t xml:space="preserve">   Fora do Clube de Paris</t>
        </is>
      </c>
      <c r="K743" t="inlineStr">
        <is>
          <t>USD</t>
        </is>
      </c>
      <c r="S743" t="inlineStr">
        <is>
          <t>Prazo médio de carência (mínimo 1)</t>
        </is>
      </c>
    </row>
    <row r="744">
      <c r="J744" t="inlineStr">
        <is>
          <t>Descritor</t>
        </is>
      </c>
      <c r="S744" t="inlineStr">
        <is>
          <t>Dívida interna de curto prazo</t>
        </is>
      </c>
    </row>
    <row r="745">
      <c r="J745" t="inlineStr">
        <is>
          <t>Descritor</t>
        </is>
      </c>
      <c r="S745" t="inlineStr">
        <is>
          <t>Taxa de juro real média</t>
        </is>
      </c>
    </row>
    <row r="746">
      <c r="J746" t="inlineStr">
        <is>
          <t xml:space="preserve">   Outros fora do Clube de Paris</t>
        </is>
      </c>
    </row>
    <row r="747">
      <c r="J747" t="inlineStr">
        <is>
          <t>Comerciais</t>
        </is>
      </c>
      <c r="K747" t="inlineStr">
        <is>
          <t>USD</t>
        </is>
      </c>
      <c r="S747" t="inlineStr">
        <is>
          <t>* Obs.: O desenho deste modelo não comporta o pressuposto de acumulação zero de dívida interna para cobrir o financiamento adicional gerado pelos choques nos exercícios de testes de estresse</t>
        </is>
      </c>
    </row>
    <row r="748">
      <c r="J748" t="inlineStr">
        <is>
          <t>Descritor</t>
        </is>
      </c>
    </row>
    <row r="749">
      <c r="J749" t="inlineStr">
        <is>
          <t>Descritor</t>
        </is>
      </c>
    </row>
    <row r="750">
      <c r="J750" t="inlineStr">
        <is>
          <t xml:space="preserve">   Outros Comerciais</t>
        </is>
      </c>
    </row>
    <row r="751">
      <c r="N751" t="inlineStr">
        <is>
          <t>mínimo 1</t>
        </is>
      </c>
    </row>
    <row r="752">
      <c r="J752" t="inlineStr">
        <is>
          <t>1. Dívida antiga MLP (excl. atrasados): serviço da dívida devido 1/</t>
        </is>
      </c>
    </row>
    <row r="754">
      <c r="J754" t="inlineStr">
        <is>
          <t>Multilaterais</t>
        </is>
      </c>
    </row>
    <row r="755">
      <c r="J755" t="inlineStr">
        <is>
          <t xml:space="preserve">   FMI</t>
        </is>
      </c>
    </row>
    <row r="756">
      <c r="J756" t="inlineStr">
        <is>
          <t xml:space="preserve">   IDA</t>
        </is>
      </c>
    </row>
    <row r="757">
      <c r="J757" t="inlineStr">
        <is>
          <t>IDA - Regular</t>
        </is>
      </c>
    </row>
    <row r="758">
      <c r="J758" t="inlineStr">
        <is>
          <t>IBRD</t>
        </is>
      </c>
    </row>
    <row r="759">
      <c r="J759" t="inlineStr">
        <is>
          <t xml:space="preserve">   Outros Multilaterais</t>
        </is>
      </c>
    </row>
    <row r="760">
      <c r="J760" t="inlineStr">
        <is>
          <t>Oficiais Bilaterais</t>
        </is>
      </c>
    </row>
    <row r="761">
      <c r="J761" t="inlineStr">
        <is>
          <t xml:space="preserve">   Clube de Paris</t>
        </is>
      </c>
    </row>
    <row r="762">
      <c r="J762" t="inlineStr">
        <is>
          <t>Descriptor</t>
        </is>
      </c>
    </row>
    <row r="763">
      <c r="J763" t="inlineStr">
        <is>
          <t>Descriptor</t>
        </is>
      </c>
    </row>
    <row r="764">
      <c r="J764" t="inlineStr">
        <is>
          <t xml:space="preserve">   Outros Clube de Paris</t>
        </is>
      </c>
    </row>
    <row r="765">
      <c r="J765" t="inlineStr">
        <is>
          <t xml:space="preserve">   Fora do Clube de Paris</t>
        </is>
      </c>
    </row>
    <row r="766">
      <c r="J766" t="inlineStr">
        <is>
          <t>Descriptor</t>
        </is>
      </c>
    </row>
    <row r="767">
      <c r="J767" t="inlineStr">
        <is>
          <t>Descriptor</t>
        </is>
      </c>
    </row>
    <row r="768">
      <c r="J768" t="inlineStr">
        <is>
          <t xml:space="preserve">   Outros fora do Clube de Paris</t>
        </is>
      </c>
    </row>
    <row r="769">
      <c r="J769" t="inlineStr">
        <is>
          <t>Comerciais</t>
        </is>
      </c>
    </row>
    <row r="770">
      <c r="J770" t="inlineStr">
        <is>
          <t>Descriptor</t>
        </is>
      </c>
    </row>
    <row r="771">
      <c r="J771" t="inlineStr">
        <is>
          <t>Descriptor</t>
        </is>
      </c>
    </row>
    <row r="772">
      <c r="J772" t="inlineStr">
        <is>
          <t xml:space="preserve">   Outros Comerciais</t>
        </is>
      </c>
    </row>
    <row r="773">
      <c r="J773" t="inlineStr">
        <is>
          <t>Se a desagregação não estiver disponível, insira aqui o total do serviço da dívida</t>
        </is>
      </c>
    </row>
    <row r="774">
      <c r="J774" t="inlineStr">
        <is>
          <t>Total</t>
        </is>
      </c>
    </row>
    <row r="775">
      <c r="J775" t="inlineStr">
        <is>
          <t xml:space="preserve">    d/q: capital</t>
        </is>
      </c>
    </row>
    <row r="776">
      <c r="J776" t="inlineStr">
        <is>
          <t xml:space="preserve">    d/q: juros</t>
        </is>
      </c>
    </row>
    <row r="778">
      <c r="J778" t="inlineStr">
        <is>
          <t>2. Stock de atrasados pendentes</t>
        </is>
      </c>
    </row>
    <row r="780">
      <c r="J780" t="inlineStr">
        <is>
          <t>Evolução da dívida de MLP antiga, excl. atrasados (nominal)</t>
        </is>
      </c>
    </row>
    <row r="781">
      <c r="J781" t="inlineStr">
        <is>
          <t>Verificação</t>
        </is>
      </c>
    </row>
    <row r="783">
      <c r="J783" t="inlineStr">
        <is>
          <t>3. NOVA DÍVIDA DE MLP: Desembolsos (incl. para refinanciamento/regularização de atrasados)</t>
        </is>
      </c>
    </row>
    <row r="784">
      <c r="J784" t="inlineStr">
        <is>
          <t>Multilaterais</t>
        </is>
      </c>
    </row>
    <row r="785">
      <c r="J785" t="inlineStr">
        <is>
          <t xml:space="preserve">   FMI</t>
        </is>
      </c>
    </row>
    <row r="786">
      <c r="J786" t="inlineStr">
        <is>
          <t xml:space="preserve">   IDA</t>
        </is>
      </c>
    </row>
    <row r="787">
      <c r="J787" t="inlineStr">
        <is>
          <t>IDA - Regular</t>
        </is>
      </c>
    </row>
    <row r="788">
      <c r="J788" t="inlineStr">
        <is>
          <t>IBRD</t>
        </is>
      </c>
    </row>
    <row r="789">
      <c r="J789" t="inlineStr">
        <is>
          <t xml:space="preserve">   Outros Multilaterais</t>
        </is>
      </c>
    </row>
    <row r="790">
      <c r="J790" t="inlineStr">
        <is>
          <t>Oficiais Bilaterais</t>
        </is>
      </c>
    </row>
    <row r="791">
      <c r="J791" t="inlineStr">
        <is>
          <t xml:space="preserve">   Clube de Paris</t>
        </is>
      </c>
    </row>
    <row r="792">
      <c r="J792" t="inlineStr">
        <is>
          <t>Descriptor</t>
        </is>
      </c>
    </row>
    <row r="793">
      <c r="J793" t="inlineStr">
        <is>
          <t>Descriptor</t>
        </is>
      </c>
    </row>
    <row r="794">
      <c r="J794" t="inlineStr">
        <is>
          <t xml:space="preserve">   Outros Clube de Paris</t>
        </is>
      </c>
    </row>
    <row r="795">
      <c r="J795" t="inlineStr">
        <is>
          <t xml:space="preserve">   Fora do Clube de Paris</t>
        </is>
      </c>
    </row>
    <row r="796">
      <c r="J796" t="inlineStr">
        <is>
          <t>Descriptor</t>
        </is>
      </c>
    </row>
    <row r="797">
      <c r="J797" t="inlineStr">
        <is>
          <t>Descriptor</t>
        </is>
      </c>
    </row>
    <row r="798">
      <c r="J798" t="inlineStr">
        <is>
          <t xml:space="preserve">   Outros fora do Clube de Paris</t>
        </is>
      </c>
    </row>
    <row r="799">
      <c r="J799" t="inlineStr">
        <is>
          <t>Comerciais</t>
        </is>
      </c>
    </row>
    <row r="800">
      <c r="J800" t="inlineStr">
        <is>
          <t>Descriptor</t>
        </is>
      </c>
    </row>
    <row r="801">
      <c r="J801" t="inlineStr">
        <is>
          <t>Descriptor</t>
        </is>
      </c>
    </row>
    <row r="802">
      <c r="J802" t="inlineStr">
        <is>
          <t xml:space="preserve">   Outros Comerciais</t>
        </is>
      </c>
    </row>
    <row r="804">
      <c r="J804" t="inlineStr">
        <is>
          <t>Total dos novos desembolsos de MLP</t>
        </is>
      </c>
    </row>
    <row r="805">
      <c r="J805" t="inlineStr">
        <is>
          <t>Condições do financiamento residual nos testes de estresse</t>
        </is>
      </c>
    </row>
    <row r="806">
      <c r="J806" t="inlineStr">
        <is>
          <t>Taxa de juro média sobre nova dívida</t>
        </is>
      </c>
      <c r="L806" t="n">
        <v>1.507444713250269</v>
      </c>
    </row>
    <row r="807">
      <c r="J807" t="inlineStr">
        <is>
          <t>Prazo médio de carência sobre a nova dívida</t>
        </is>
      </c>
      <c r="L807" t="n">
        <v>8</v>
      </c>
    </row>
    <row r="808">
      <c r="J808" t="inlineStr">
        <is>
          <t>Prazo médio de vencimento da nova dívida</t>
        </is>
      </c>
      <c r="L808" t="n">
        <v>31</v>
      </c>
    </row>
    <row r="810">
      <c r="J810" t="inlineStr">
        <is>
          <t>Prazo médio de carência sobre a nova dívida (arredondado para baixo)</t>
        </is>
      </c>
    </row>
    <row r="811">
      <c r="J811" t="inlineStr">
        <is>
          <t>Prazo médio de vencimento da nova dívida (arredondado para baixo)</t>
        </is>
      </c>
    </row>
    <row r="813">
      <c r="J813" t="inlineStr">
        <is>
          <t>B. SAÍDA</t>
        </is>
      </c>
    </row>
    <row r="815">
      <c r="J815" t="inlineStr">
        <is>
          <t>Nova dívida: Serviço da dívida</t>
        </is>
      </c>
    </row>
    <row r="817">
      <c r="J817" t="inlineStr">
        <is>
          <t>Total do novo serviço da dívida</t>
        </is>
      </c>
    </row>
    <row r="819">
      <c r="J819" t="inlineStr">
        <is>
          <t>Juros</t>
        </is>
      </c>
    </row>
    <row r="820">
      <c r="J820" t="inlineStr">
        <is>
          <t>Multilaterais</t>
        </is>
      </c>
    </row>
    <row r="821">
      <c r="J821" t="inlineStr">
        <is>
          <t xml:space="preserve">   FMI</t>
        </is>
      </c>
    </row>
    <row r="822">
      <c r="J822" t="inlineStr">
        <is>
          <t xml:space="preserve">   IDA</t>
        </is>
      </c>
    </row>
    <row r="823">
      <c r="J823" t="inlineStr">
        <is>
          <t>IDA - Regular</t>
        </is>
      </c>
    </row>
    <row r="824">
      <c r="J824" t="inlineStr">
        <is>
          <t>IBRD</t>
        </is>
      </c>
    </row>
    <row r="825">
      <c r="J825" t="inlineStr">
        <is>
          <t xml:space="preserve">   Outros Multilaterais</t>
        </is>
      </c>
    </row>
    <row r="826">
      <c r="J826" t="inlineStr">
        <is>
          <t>Oficiais Bilaterais</t>
        </is>
      </c>
    </row>
    <row r="827">
      <c r="J827" t="inlineStr">
        <is>
          <t xml:space="preserve">   Clube de Paris</t>
        </is>
      </c>
    </row>
    <row r="828">
      <c r="J828" t="inlineStr">
        <is>
          <t>Descriptor</t>
        </is>
      </c>
    </row>
    <row r="829">
      <c r="J829" t="inlineStr">
        <is>
          <t>Descriptor</t>
        </is>
      </c>
    </row>
    <row r="830">
      <c r="J830" t="inlineStr">
        <is>
          <t xml:space="preserve">   Outros Clube de Paris</t>
        </is>
      </c>
    </row>
    <row r="831">
      <c r="J831" t="inlineStr">
        <is>
          <t xml:space="preserve">   Fora do Clube de Paris</t>
        </is>
      </c>
    </row>
    <row r="832">
      <c r="J832" t="inlineStr">
        <is>
          <t>Descriptor</t>
        </is>
      </c>
    </row>
    <row r="833">
      <c r="J833" t="inlineStr">
        <is>
          <t>Descriptor</t>
        </is>
      </c>
    </row>
    <row r="834">
      <c r="J834" t="inlineStr">
        <is>
          <t xml:space="preserve">   Outros fora do Clube de Paris</t>
        </is>
      </c>
    </row>
    <row r="835">
      <c r="J835" t="inlineStr">
        <is>
          <t>Comerciais</t>
        </is>
      </c>
    </row>
    <row r="836">
      <c r="J836" t="inlineStr">
        <is>
          <t>Descriptor</t>
        </is>
      </c>
    </row>
    <row r="837">
      <c r="J837" t="inlineStr">
        <is>
          <t>Descriptor</t>
        </is>
      </c>
    </row>
    <row r="838">
      <c r="J838" t="inlineStr">
        <is>
          <t xml:space="preserve">   Outros Comerciais</t>
        </is>
      </c>
    </row>
    <row r="840">
      <c r="J840" t="inlineStr">
        <is>
          <t>Amortização</t>
        </is>
      </c>
    </row>
    <row r="841">
      <c r="J841" t="inlineStr">
        <is>
          <t>Multilaterais</t>
        </is>
      </c>
    </row>
    <row r="842">
      <c r="J842" t="inlineStr">
        <is>
          <t xml:space="preserve">   FMI</t>
        </is>
      </c>
    </row>
    <row r="843">
      <c r="J843" t="inlineStr">
        <is>
          <t xml:space="preserve">   IDA</t>
        </is>
      </c>
    </row>
    <row r="844">
      <c r="J844" t="inlineStr">
        <is>
          <t>IDA - Regular</t>
        </is>
      </c>
    </row>
    <row r="845">
      <c r="J845" t="inlineStr">
        <is>
          <t>IBRD</t>
        </is>
      </c>
    </row>
    <row r="846">
      <c r="J846" t="inlineStr">
        <is>
          <t xml:space="preserve">   Outros Multilaterais</t>
        </is>
      </c>
    </row>
    <row r="847">
      <c r="J847" t="inlineStr">
        <is>
          <t>Oficiais Bilaterais</t>
        </is>
      </c>
    </row>
    <row r="848">
      <c r="J848" t="inlineStr">
        <is>
          <t xml:space="preserve">   Clube de Paris</t>
        </is>
      </c>
    </row>
    <row r="849">
      <c r="J849" t="inlineStr">
        <is>
          <t>Descriptor</t>
        </is>
      </c>
    </row>
    <row r="850">
      <c r="J850" t="inlineStr">
        <is>
          <t>Descriptor</t>
        </is>
      </c>
    </row>
    <row r="851">
      <c r="J851" t="inlineStr">
        <is>
          <t xml:space="preserve">   Outros Clube de Paris</t>
        </is>
      </c>
    </row>
    <row r="852">
      <c r="J852" t="inlineStr">
        <is>
          <t xml:space="preserve">   Fora do Clube de Paris</t>
        </is>
      </c>
    </row>
    <row r="853">
      <c r="J853" t="inlineStr">
        <is>
          <t>Descriptor</t>
        </is>
      </c>
    </row>
    <row r="854">
      <c r="J854" t="inlineStr">
        <is>
          <t>Descriptor</t>
        </is>
      </c>
    </row>
    <row r="855">
      <c r="J855" t="inlineStr">
        <is>
          <t xml:space="preserve">   Outros fora do Clube de Paris</t>
        </is>
      </c>
    </row>
    <row r="856">
      <c r="J856" t="inlineStr">
        <is>
          <t>Comerciais</t>
        </is>
      </c>
    </row>
    <row r="857">
      <c r="J857" t="inlineStr">
        <is>
          <t>Descriptor</t>
        </is>
      </c>
    </row>
    <row r="858">
      <c r="J858" t="inlineStr">
        <is>
          <t>Descriptor</t>
        </is>
      </c>
    </row>
    <row r="859">
      <c r="J859" t="inlineStr">
        <is>
          <t xml:space="preserve">   Outros Comerciais</t>
        </is>
      </c>
    </row>
    <row r="861">
      <c r="J861" t="inlineStr">
        <is>
          <t>VA da dívida antiga de MLP</t>
        </is>
      </c>
    </row>
    <row r="862">
      <c r="J862" t="inlineStr">
        <is>
          <t>Multilaterais</t>
        </is>
      </c>
    </row>
    <row r="863">
      <c r="J863" t="inlineStr">
        <is>
          <t xml:space="preserve">   FMI</t>
        </is>
      </c>
    </row>
    <row r="864">
      <c r="J864" t="inlineStr">
        <is>
          <t xml:space="preserve">   IDA</t>
        </is>
      </c>
    </row>
    <row r="865">
      <c r="J865" t="inlineStr">
        <is>
          <t>IDA - Regular</t>
        </is>
      </c>
    </row>
    <row r="866">
      <c r="J866" t="inlineStr">
        <is>
          <t>IBRD</t>
        </is>
      </c>
    </row>
    <row r="867">
      <c r="J867" t="inlineStr">
        <is>
          <t xml:space="preserve">   Outros Multilaterais</t>
        </is>
      </c>
    </row>
    <row r="868">
      <c r="J868" t="inlineStr">
        <is>
          <t>Oficiais Bilaterais</t>
        </is>
      </c>
    </row>
    <row r="869">
      <c r="J869" t="inlineStr">
        <is>
          <t xml:space="preserve">   Clube de Paris</t>
        </is>
      </c>
    </row>
    <row r="870">
      <c r="J870" t="inlineStr">
        <is>
          <t>Descriptor</t>
        </is>
      </c>
    </row>
    <row r="871">
      <c r="J871" t="inlineStr">
        <is>
          <t>Descriptor</t>
        </is>
      </c>
    </row>
    <row r="872">
      <c r="J872" t="inlineStr">
        <is>
          <t xml:space="preserve">   Outros Clube de Paris</t>
        </is>
      </c>
    </row>
    <row r="873">
      <c r="J873" t="inlineStr">
        <is>
          <t xml:space="preserve">   Fora do Clube de Paris</t>
        </is>
      </c>
    </row>
    <row r="874">
      <c r="J874" t="inlineStr">
        <is>
          <t>Descriptor</t>
        </is>
      </c>
      <c r="K874" t="n">
        <v>0</v>
      </c>
    </row>
    <row r="875">
      <c r="J875" t="inlineStr">
        <is>
          <t>Descriptor</t>
        </is>
      </c>
    </row>
    <row r="876">
      <c r="J876" t="inlineStr">
        <is>
          <t xml:space="preserve">   Outros fora do Clube de Paris</t>
        </is>
      </c>
    </row>
    <row r="877">
      <c r="J877" t="inlineStr">
        <is>
          <t>Comerciais</t>
        </is>
      </c>
    </row>
    <row r="878">
      <c r="J878" t="inlineStr">
        <is>
          <t>Descriptor</t>
        </is>
      </c>
    </row>
    <row r="879">
      <c r="J879" t="inlineStr">
        <is>
          <t>Descriptor</t>
        </is>
      </c>
    </row>
    <row r="880">
      <c r="J880" t="inlineStr">
        <is>
          <t xml:space="preserve">   Outros Comerciais</t>
        </is>
      </c>
    </row>
    <row r="882">
      <c r="J882" t="inlineStr">
        <is>
          <t>VA dos atrasados existentes</t>
        </is>
      </c>
    </row>
    <row r="884">
      <c r="J884" t="inlineStr">
        <is>
          <t>VA da nova dívida MLP</t>
        </is>
      </c>
    </row>
    <row r="885">
      <c r="J885" t="inlineStr">
        <is>
          <t>Multilaterais</t>
        </is>
      </c>
    </row>
    <row r="886">
      <c r="J886" t="inlineStr">
        <is>
          <t xml:space="preserve">   FMI</t>
        </is>
      </c>
    </row>
    <row r="887">
      <c r="J887" t="inlineStr">
        <is>
          <t xml:space="preserve">   IDA</t>
        </is>
      </c>
    </row>
    <row r="888">
      <c r="J888" t="inlineStr">
        <is>
          <t>IDA - Regular</t>
        </is>
      </c>
    </row>
    <row r="889">
      <c r="J889" t="inlineStr">
        <is>
          <t>IBRD</t>
        </is>
      </c>
    </row>
    <row r="890">
      <c r="J890" t="inlineStr">
        <is>
          <t xml:space="preserve">   Outros Multilaterais</t>
        </is>
      </c>
    </row>
    <row r="891">
      <c r="J891" t="inlineStr">
        <is>
          <t>Oficiais Bilaterais</t>
        </is>
      </c>
    </row>
    <row r="892">
      <c r="J892" t="inlineStr">
        <is>
          <t xml:space="preserve">   Clube de Paris</t>
        </is>
      </c>
    </row>
    <row r="893">
      <c r="J893" t="inlineStr">
        <is>
          <t>Descriptor</t>
        </is>
      </c>
    </row>
    <row r="894">
      <c r="J894" t="inlineStr">
        <is>
          <t>Descriptor</t>
        </is>
      </c>
    </row>
    <row r="895">
      <c r="J895" t="inlineStr">
        <is>
          <t xml:space="preserve">   Outros Clube de Paris</t>
        </is>
      </c>
    </row>
    <row r="896">
      <c r="J896" t="inlineStr">
        <is>
          <t xml:space="preserve">   Fora do Clube de Paris</t>
        </is>
      </c>
    </row>
    <row r="897">
      <c r="J897" t="inlineStr">
        <is>
          <t>Descriptor</t>
        </is>
      </c>
    </row>
    <row r="898">
      <c r="J898" t="inlineStr">
        <is>
          <t>Descriptor</t>
        </is>
      </c>
    </row>
    <row r="899">
      <c r="J899" t="inlineStr">
        <is>
          <t xml:space="preserve">   Outros fora do Clube de Paris</t>
        </is>
      </c>
    </row>
    <row r="900">
      <c r="J900" t="inlineStr">
        <is>
          <t>Comerciais</t>
        </is>
      </c>
    </row>
    <row r="901">
      <c r="J901" t="inlineStr">
        <is>
          <t>Descriptor</t>
        </is>
      </c>
    </row>
    <row r="902">
      <c r="J902" t="inlineStr">
        <is>
          <t>Descriptor</t>
        </is>
      </c>
    </row>
    <row r="903">
      <c r="J903" t="inlineStr">
        <is>
          <t xml:space="preserve">   Outros Comerciais</t>
        </is>
      </c>
    </row>
    <row r="905">
      <c r="J905" t="inlineStr">
        <is>
          <t>Valor nominal da nova dívida de MLP</t>
        </is>
      </c>
    </row>
    <row r="906">
      <c r="J906" t="inlineStr">
        <is>
          <t>Multilaterais</t>
        </is>
      </c>
    </row>
    <row r="907">
      <c r="J907" t="inlineStr">
        <is>
          <t xml:space="preserve">   FMI</t>
        </is>
      </c>
    </row>
    <row r="908">
      <c r="J908" t="inlineStr">
        <is>
          <t xml:space="preserve">   IDA</t>
        </is>
      </c>
    </row>
    <row r="909">
      <c r="J909" t="inlineStr">
        <is>
          <t>IDA - Regular</t>
        </is>
      </c>
    </row>
    <row r="910">
      <c r="J910" t="inlineStr">
        <is>
          <t>IBRD</t>
        </is>
      </c>
    </row>
    <row r="911">
      <c r="J911" t="inlineStr">
        <is>
          <t xml:space="preserve">   Outros Multilaterais</t>
        </is>
      </c>
    </row>
    <row r="912">
      <c r="J912" t="inlineStr">
        <is>
          <t>Oficiais Bilaterais</t>
        </is>
      </c>
    </row>
    <row r="913">
      <c r="J913" t="inlineStr">
        <is>
          <t xml:space="preserve">   Clube de Paris</t>
        </is>
      </c>
    </row>
    <row r="914">
      <c r="J914" t="inlineStr">
        <is>
          <t>Descriptor</t>
        </is>
      </c>
    </row>
    <row r="915">
      <c r="J915" t="inlineStr">
        <is>
          <t>Descriptor</t>
        </is>
      </c>
    </row>
    <row r="916">
      <c r="J916" t="inlineStr">
        <is>
          <t xml:space="preserve">   Outros Clube de Paris</t>
        </is>
      </c>
    </row>
    <row r="917">
      <c r="J917" t="inlineStr">
        <is>
          <t xml:space="preserve">   Fora do Clube de Paris</t>
        </is>
      </c>
    </row>
    <row r="918">
      <c r="J918" t="inlineStr">
        <is>
          <t>Descriptor</t>
        </is>
      </c>
    </row>
    <row r="919">
      <c r="J919" t="inlineStr">
        <is>
          <t>Descriptor</t>
        </is>
      </c>
    </row>
    <row r="920">
      <c r="J920" t="inlineStr">
        <is>
          <t xml:space="preserve">   Outros fora do Clube de Paris</t>
        </is>
      </c>
    </row>
    <row r="921">
      <c r="J921" t="inlineStr">
        <is>
          <t>Comerciais</t>
        </is>
      </c>
    </row>
    <row r="922">
      <c r="J922" t="inlineStr">
        <is>
          <t>Descriptor</t>
        </is>
      </c>
    </row>
    <row r="923">
      <c r="J923" t="inlineStr">
        <is>
          <t>Descriptor</t>
        </is>
      </c>
    </row>
    <row r="924">
      <c r="J924" t="inlineStr">
        <is>
          <t xml:space="preserve">   Outros Comerciais</t>
        </is>
      </c>
    </row>
    <row r="926">
      <c r="J926" t="inlineStr">
        <is>
          <t>Valor nominal (=VA) da dívida de CP</t>
        </is>
      </c>
    </row>
    <row r="927">
      <c r="J927" t="inlineStr">
        <is>
          <t>Juros</t>
        </is>
      </c>
    </row>
    <row r="929">
      <c r="J929" t="inlineStr">
        <is>
          <t>Total do VA da dívida</t>
        </is>
      </c>
    </row>
    <row r="931">
      <c r="J931" t="inlineStr">
        <is>
          <t>Verificação - Dívida nominal PGP</t>
        </is>
      </c>
    </row>
    <row r="932">
      <c r="J932" t="inlineStr">
        <is>
          <t>Total do serviço da dívida pública</t>
        </is>
      </c>
    </row>
    <row r="933">
      <c r="J933" t="inlineStr">
        <is>
          <t xml:space="preserve">    d/q: capital</t>
        </is>
      </c>
    </row>
    <row r="934">
      <c r="J934" t="inlineStr">
        <is>
          <t xml:space="preserve">    d/q: juros</t>
        </is>
      </c>
    </row>
    <row r="937">
      <c r="J937" t="inlineStr">
        <is>
          <t>Cálculo do donativo implícito no novo endividamento e taxas médias de desconto</t>
        </is>
      </c>
    </row>
    <row r="939">
      <c r="J939" t="inlineStr">
        <is>
          <t>VA dos novos desembolsos PGP</t>
        </is>
      </c>
    </row>
    <row r="940">
      <c r="J940" t="inlineStr">
        <is>
          <t>Elemento de donativo dos novos desembolsos (%)</t>
        </is>
      </c>
    </row>
    <row r="941">
      <c r="J941" t="inlineStr">
        <is>
          <t>Donativo implícito dos novos desembolsos (mil milhões de USD)</t>
        </is>
      </c>
    </row>
    <row r="942">
      <c r="J942" t="inlineStr">
        <is>
          <t>Taxa média de desconto</t>
        </is>
      </c>
    </row>
    <row r="945">
      <c r="J945" t="inlineStr">
        <is>
          <t xml:space="preserve">1/ Após o reescalonamento se este tiver sido acordado ou estiver iminente. Para os PPMEs que tiverem alcançado o ponto de decisão ou conclusão, </t>
        </is>
      </c>
    </row>
    <row r="946">
      <c r="J946" t="inlineStr">
        <is>
          <t>inserir o serviço da dívida devido após a assistência HIPC (incl. assistência bilateral adicional no ponto de conclusão).</t>
        </is>
      </c>
    </row>
    <row r="950">
      <c r="J950" t="inlineStr">
        <is>
          <t>Español</t>
        </is>
      </c>
    </row>
    <row r="951">
      <c r="J951" t="inlineStr">
        <is>
          <t xml:space="preserve">EN ESTA HOJA SE CALCULA EL VA DE LA DEUDA EXTERNA PÚBLICA Y CON GARANTÍA PÚBLICA (PGP) </t>
        </is>
      </c>
    </row>
    <row r="953">
      <c r="J953" t="inlineStr">
        <is>
          <t>Ingrese información sobre deuda PGP en los bloques de color amarillo en la misma unidad que en data_input (p. ej., miles de millones de dólares de EE.UU.)</t>
        </is>
      </c>
    </row>
    <row r="955">
      <c r="J955" t="inlineStr">
        <is>
          <t>A. INGRESO DE DATOS</t>
        </is>
      </c>
    </row>
    <row r="957">
      <c r="J957" t="inlineStr">
        <is>
          <t>Supuestos sobre nueva deuda externa</t>
        </is>
      </c>
      <c r="S957" t="inlineStr">
        <is>
          <t>Supuestos sobre las condiciones del financiamiento adicional resultante de las pruebas de tensión</t>
        </is>
      </c>
    </row>
    <row r="959">
      <c r="K959" t="inlineStr">
        <is>
          <t>Loan</t>
        </is>
      </c>
      <c r="M959" t="inlineStr">
        <is>
          <t>Tasa de</t>
        </is>
      </c>
      <c r="N959" t="inlineStr">
        <is>
          <t>Tasa de</t>
        </is>
      </c>
      <c r="O959" t="inlineStr">
        <is>
          <t>Período</t>
        </is>
      </c>
      <c r="P959" t="inlineStr">
        <is>
          <t>Vencimiento del</t>
        </is>
      </c>
      <c r="Q959" t="inlineStr">
        <is>
          <t>Componente</t>
        </is>
      </c>
      <c r="S959" t="inlineStr">
        <is>
          <t>Proporciones de deuda marginal*</t>
        </is>
      </c>
    </row>
    <row r="960">
      <c r="K960" t="inlineStr">
        <is>
          <t>Currency</t>
        </is>
      </c>
      <c r="M960" t="inlineStr">
        <is>
          <t>descuento</t>
        </is>
      </c>
      <c r="N960" t="inlineStr">
        <is>
          <t>interés</t>
        </is>
      </c>
      <c r="O960" t="inlineStr">
        <is>
          <t>de gracia</t>
        </is>
      </c>
      <c r="P960" t="inlineStr">
        <is>
          <t>préstamo</t>
        </is>
      </c>
      <c r="Q960" t="inlineStr">
        <is>
          <t>donaciones, %</t>
        </is>
      </c>
      <c r="S960" t="inlineStr">
        <is>
          <t>Moneda extranjera</t>
        </is>
      </c>
    </row>
    <row r="961">
      <c r="J961" t="inlineStr">
        <is>
          <t>Multilaterales</t>
        </is>
      </c>
      <c r="S961" t="inlineStr">
        <is>
          <t>Interna a mediano y largo plazo</t>
        </is>
      </c>
    </row>
    <row r="962">
      <c r="J962" t="inlineStr">
        <is>
          <t xml:space="preserve">   FMI</t>
        </is>
      </c>
      <c r="K962" t="inlineStr">
        <is>
          <t>SDR</t>
        </is>
      </c>
      <c r="N962" t="n">
        <v>0.005</v>
      </c>
      <c r="O962" t="n">
        <v>5</v>
      </c>
      <c r="P962" t="n">
        <v>10</v>
      </c>
      <c r="Q962" t="n">
        <v>100</v>
      </c>
      <c r="S962" t="inlineStr">
        <is>
          <t>Interna a corto plazo</t>
        </is>
      </c>
    </row>
    <row r="963">
      <c r="J963" t="inlineStr">
        <is>
          <t xml:space="preserve">   AIF</t>
        </is>
      </c>
      <c r="K963" t="inlineStr">
        <is>
          <t>SDR</t>
        </is>
      </c>
      <c r="M963" t="n">
        <v>0.05</v>
      </c>
      <c r="N963" t="n">
        <v>0.0075</v>
      </c>
      <c r="O963" t="n">
        <v>10</v>
      </c>
      <c r="P963" t="n">
        <v>40</v>
      </c>
      <c r="Q963" t="n">
        <v>0</v>
      </c>
      <c r="S963" t="inlineStr">
        <is>
          <t>Condiciones de la deuda marginal</t>
        </is>
      </c>
    </row>
    <row r="964">
      <c r="J964" t="inlineStr">
        <is>
          <t>Descriptor</t>
        </is>
      </c>
      <c r="M964" t="n">
        <v>0.05</v>
      </c>
      <c r="N964" t="n">
        <v>0.03</v>
      </c>
      <c r="O964" t="n">
        <v>5</v>
      </c>
      <c r="P964" t="n">
        <v>15</v>
      </c>
      <c r="Q964" t="n">
        <v>2013</v>
      </c>
      <c r="S964" t="inlineStr">
        <is>
          <t>Deuda en moneda extranjera</t>
        </is>
      </c>
    </row>
    <row r="965">
      <c r="J965" t="inlineStr">
        <is>
          <t>Descriptor</t>
        </is>
      </c>
      <c r="M965" t="n">
        <v>0.05</v>
      </c>
      <c r="N965" t="n">
        <v>0.03</v>
      </c>
      <c r="O965" t="n">
        <v>6</v>
      </c>
      <c r="P965" t="n">
        <v>15</v>
      </c>
      <c r="Q965" t="n">
        <v>0</v>
      </c>
      <c r="S965" t="inlineStr">
        <is>
          <t>Tasa de interés nominal media del endeudamiento nuevo en dólares de EE.UU.</t>
        </is>
      </c>
    </row>
    <row r="966">
      <c r="J966" t="inlineStr">
        <is>
          <t xml:space="preserve">   Otros multilateralas</t>
        </is>
      </c>
      <c r="K966" t="inlineStr">
        <is>
          <t>Euro</t>
        </is>
      </c>
      <c r="M966" t="n">
        <v>0.05</v>
      </c>
      <c r="N966" t="n">
        <v>0.03</v>
      </c>
      <c r="O966" t="n">
        <v>5</v>
      </c>
      <c r="P966" t="n">
        <v>15</v>
      </c>
      <c r="Q966" t="n">
        <v>0</v>
      </c>
      <c r="S966" t="inlineStr">
        <is>
          <t>Tasa de descuento dólares de EE.UU.</t>
        </is>
      </c>
    </row>
    <row r="967">
      <c r="J967" t="inlineStr">
        <is>
          <t>Bilaterales oficiales</t>
        </is>
      </c>
      <c r="S967" t="inlineStr">
        <is>
          <t>Vencimiento med. (incl. período de gracia)</t>
        </is>
      </c>
    </row>
    <row r="968">
      <c r="J968" t="inlineStr">
        <is>
          <t xml:space="preserve">  Club de París</t>
        </is>
      </c>
      <c r="K968" t="inlineStr">
        <is>
          <t>Euro</t>
        </is>
      </c>
      <c r="S968" t="inlineStr">
        <is>
          <t>Período de gracia med. (mínimo 1)</t>
        </is>
      </c>
    </row>
    <row r="969">
      <c r="J969" t="inlineStr">
        <is>
          <t>Descriptor</t>
        </is>
      </c>
      <c r="M969" t="n">
        <v>0.05</v>
      </c>
      <c r="N969" t="n">
        <v>0.03</v>
      </c>
      <c r="O969" t="n">
        <v>7</v>
      </c>
      <c r="P969" t="n">
        <v>20</v>
      </c>
      <c r="Q969" t="n">
        <v>0</v>
      </c>
      <c r="S969" t="inlineStr">
        <is>
          <t>Deuda interna a MLP</t>
        </is>
      </c>
    </row>
    <row r="970">
      <c r="J970" t="inlineStr">
        <is>
          <t>Descriptor</t>
        </is>
      </c>
      <c r="M970" t="n">
        <v>0.05</v>
      </c>
      <c r="N970" t="n">
        <v>0.03</v>
      </c>
      <c r="O970" t="n">
        <v>7</v>
      </c>
      <c r="P970" t="n">
        <v>20</v>
      </c>
      <c r="Q970" t="n">
        <v>0</v>
      </c>
      <c r="S970" t="inlineStr">
        <is>
          <t>Tasa de interés real med. del endeudamiento nuevo</t>
        </is>
      </c>
    </row>
    <row r="971">
      <c r="J971" t="inlineStr">
        <is>
          <t xml:space="preserve">   Otros Club de París</t>
        </is>
      </c>
      <c r="M971" t="n">
        <v>0.05</v>
      </c>
      <c r="N971" t="n">
        <v>0.03</v>
      </c>
      <c r="O971" t="n">
        <v>7</v>
      </c>
      <c r="P971" t="n">
        <v>20</v>
      </c>
      <c r="Q971" t="n">
        <v>0</v>
      </c>
      <c r="S971" t="inlineStr">
        <is>
          <t>Vencimiento med. (incl. período de gracia)</t>
        </is>
      </c>
    </row>
    <row r="972">
      <c r="J972" t="inlineStr">
        <is>
          <t xml:space="preserve">   Distintos del Club de París</t>
        </is>
      </c>
      <c r="K972" t="inlineStr">
        <is>
          <t>USD</t>
        </is>
      </c>
      <c r="S972" t="inlineStr">
        <is>
          <t>Período de gracia med. (mínimo 1)</t>
        </is>
      </c>
    </row>
    <row r="973">
      <c r="J973" t="inlineStr">
        <is>
          <t>Descriptor</t>
        </is>
      </c>
      <c r="M973" t="n">
        <v>0.05</v>
      </c>
      <c r="N973" t="n">
        <v>0.0124</v>
      </c>
      <c r="O973" t="n">
        <v>6</v>
      </c>
      <c r="P973" t="n">
        <v>23.2</v>
      </c>
      <c r="Q973" t="n">
        <v>0</v>
      </c>
      <c r="S973" t="inlineStr">
        <is>
          <t>Deuda interna a corto plazo</t>
        </is>
      </c>
    </row>
    <row r="974">
      <c r="J974" t="inlineStr">
        <is>
          <t>Descriptor</t>
        </is>
      </c>
      <c r="M974" t="n">
        <v>0.05</v>
      </c>
      <c r="N974" t="n">
        <v>0.0124</v>
      </c>
      <c r="O974" t="n">
        <v>6</v>
      </c>
      <c r="P974" t="n">
        <v>23.2</v>
      </c>
      <c r="Q974" t="n">
        <v>0</v>
      </c>
      <c r="S974" t="inlineStr">
        <is>
          <t>Tasa de interés real med.</t>
        </is>
      </c>
    </row>
    <row r="975">
      <c r="J975" t="inlineStr">
        <is>
          <t xml:space="preserve">   Otros distintos del Club de París</t>
        </is>
      </c>
      <c r="M975" t="n">
        <v>0.05</v>
      </c>
      <c r="N975" t="n">
        <v>0.0124</v>
      </c>
      <c r="O975" t="n">
        <v>6</v>
      </c>
      <c r="P975" t="n">
        <v>23.2</v>
      </c>
      <c r="Q975" t="n">
        <v>0</v>
      </c>
    </row>
    <row r="976">
      <c r="J976" t="inlineStr">
        <is>
          <t>Comerciales</t>
        </is>
      </c>
      <c r="K976" t="inlineStr">
        <is>
          <t>USD</t>
        </is>
      </c>
      <c r="S976" t="inlineStr">
        <is>
          <t>* Nota: Este modelo no está diseñado para el supuesto de una acumulación de deuda interna igual a cero para cubrir el financiamiento adicional generado por los shocks en las pruebas de tensión.</t>
        </is>
      </c>
    </row>
    <row r="977">
      <c r="J977" t="inlineStr">
        <is>
          <t>Descriptor</t>
        </is>
      </c>
      <c r="M977" t="n">
        <v>0.05</v>
      </c>
      <c r="N977" t="n">
        <v>0.08</v>
      </c>
      <c r="O977" t="n">
        <v>1</v>
      </c>
      <c r="P977" t="n">
        <v>6</v>
      </c>
      <c r="Q977" t="n">
        <v>0</v>
      </c>
    </row>
    <row r="978">
      <c r="J978" t="inlineStr">
        <is>
          <t>Descriptor</t>
        </is>
      </c>
      <c r="M978" t="n">
        <v>0.05</v>
      </c>
      <c r="N978" t="n">
        <v>0.08</v>
      </c>
      <c r="O978" t="n">
        <v>1</v>
      </c>
      <c r="P978" t="n">
        <v>6</v>
      </c>
      <c r="Q978" t="n">
        <v>0</v>
      </c>
    </row>
    <row r="979">
      <c r="J979" t="inlineStr">
        <is>
          <t xml:space="preserve">   Otros comerciales</t>
        </is>
      </c>
      <c r="M979" t="n">
        <v>0.05</v>
      </c>
      <c r="N979" t="n">
        <v>0.08</v>
      </c>
      <c r="O979" t="n">
        <v>1</v>
      </c>
      <c r="P979" t="n">
        <v>6</v>
      </c>
      <c r="Q979" t="n">
        <v>0</v>
      </c>
    </row>
    <row r="980">
      <c r="N980" t="inlineStr">
        <is>
          <t>minimum 1</t>
        </is>
      </c>
    </row>
    <row r="981">
      <c r="J981" t="inlineStr">
        <is>
          <t>1. Deuda a MLP vieja (excluidos atrasos): servicio de la deuda vencido 1/</t>
        </is>
      </c>
    </row>
    <row r="983">
      <c r="J983" t="inlineStr">
        <is>
          <t>Multilaterales</t>
        </is>
      </c>
    </row>
    <row r="984">
      <c r="J984" t="inlineStr">
        <is>
          <t xml:space="preserve">   FMI</t>
        </is>
      </c>
    </row>
    <row r="985">
      <c r="J985" t="inlineStr">
        <is>
          <t xml:space="preserve">   AIF</t>
        </is>
      </c>
    </row>
    <row r="986">
      <c r="J986" t="inlineStr">
        <is>
          <t>IDA - Regular</t>
        </is>
      </c>
    </row>
    <row r="987">
      <c r="J987" t="inlineStr">
        <is>
          <t>IBRD</t>
        </is>
      </c>
    </row>
    <row r="988">
      <c r="J988" t="inlineStr">
        <is>
          <t xml:space="preserve">   Otros multilateralas</t>
        </is>
      </c>
    </row>
    <row r="989">
      <c r="J989" t="inlineStr">
        <is>
          <t>Bilaterales oficiales</t>
        </is>
      </c>
    </row>
    <row r="990">
      <c r="J990" t="inlineStr">
        <is>
          <t xml:space="preserve">  Club de París</t>
        </is>
      </c>
    </row>
    <row r="991">
      <c r="J991" t="inlineStr">
        <is>
          <t>…</t>
        </is>
      </c>
    </row>
    <row r="992">
      <c r="J992" t="inlineStr">
        <is>
          <t>…</t>
        </is>
      </c>
    </row>
    <row r="993">
      <c r="J993" t="inlineStr">
        <is>
          <t xml:space="preserve">   Otros Club de París</t>
        </is>
      </c>
    </row>
    <row r="994">
      <c r="J994" t="inlineStr">
        <is>
          <t xml:space="preserve">   Distintos del Club de París</t>
        </is>
      </c>
    </row>
    <row r="995">
      <c r="J995" t="inlineStr">
        <is>
          <t>…</t>
        </is>
      </c>
    </row>
    <row r="996">
      <c r="J996" t="inlineStr">
        <is>
          <t>…</t>
        </is>
      </c>
    </row>
    <row r="997">
      <c r="J997" t="inlineStr">
        <is>
          <t xml:space="preserve">   Otros distintos del Club de París</t>
        </is>
      </c>
    </row>
    <row r="998">
      <c r="J998" t="inlineStr">
        <is>
          <t>Comerciales</t>
        </is>
      </c>
    </row>
    <row r="999">
      <c r="J999" t="inlineStr">
        <is>
          <t>…</t>
        </is>
      </c>
    </row>
    <row r="1000">
      <c r="J1000" t="inlineStr">
        <is>
          <t>…</t>
        </is>
      </c>
    </row>
    <row r="1001">
      <c r="J1001" t="inlineStr">
        <is>
          <t xml:space="preserve">   Otros comerciales</t>
        </is>
      </c>
    </row>
    <row r="1002">
      <c r="J1002" t="inlineStr">
        <is>
          <t>Si el desglose no está disponible, indique aquí el total del servicio de la deuda.</t>
        </is>
      </c>
    </row>
    <row r="1003">
      <c r="J1003" t="inlineStr">
        <is>
          <t>Total</t>
        </is>
      </c>
    </row>
    <row r="1004">
      <c r="J1004" t="inlineStr">
        <is>
          <t xml:space="preserve">    del cual: principal</t>
        </is>
      </c>
    </row>
    <row r="1005">
      <c r="J1005" t="inlineStr">
        <is>
          <t xml:space="preserve">    del cual: intereses</t>
        </is>
      </c>
    </row>
    <row r="1007">
      <c r="J1007" t="inlineStr">
        <is>
          <t>2. Saldo de atrasos pendientes</t>
        </is>
      </c>
    </row>
    <row r="1009">
      <c r="J1009" t="inlineStr">
        <is>
          <t>Evolución de deuda a MLP vieja, excluidos atrasos (nominal)</t>
        </is>
      </c>
    </row>
    <row r="1010">
      <c r="J1010" t="inlineStr">
        <is>
          <t>Verificación</t>
        </is>
      </c>
    </row>
    <row r="1012">
      <c r="J1012" t="inlineStr">
        <is>
          <t>3. DEUDA A MLP NUEVA: Desembolsos (incluidos para refinanciamiento/regularización de atrasos)</t>
        </is>
      </c>
    </row>
    <row r="1013">
      <c r="J1013" t="inlineStr">
        <is>
          <t>Multilaterales</t>
        </is>
      </c>
    </row>
    <row r="1014">
      <c r="J1014" t="inlineStr">
        <is>
          <t xml:space="preserve">   FMI</t>
        </is>
      </c>
    </row>
    <row r="1015">
      <c r="J1015" t="inlineStr">
        <is>
          <t xml:space="preserve">   AIF</t>
        </is>
      </c>
    </row>
    <row r="1016">
      <c r="J1016" t="inlineStr">
        <is>
          <t>IDA - Regular</t>
        </is>
      </c>
    </row>
    <row r="1017">
      <c r="J1017" t="inlineStr">
        <is>
          <t>IBRD</t>
        </is>
      </c>
    </row>
    <row r="1018">
      <c r="J1018" t="inlineStr">
        <is>
          <t xml:space="preserve">   Otros multilateralas</t>
        </is>
      </c>
    </row>
    <row r="1019">
      <c r="J1019" t="inlineStr">
        <is>
          <t>Bilaterales oficiales</t>
        </is>
      </c>
    </row>
    <row r="1020">
      <c r="J1020" t="inlineStr">
        <is>
          <t xml:space="preserve">  Club de París</t>
        </is>
      </c>
    </row>
    <row r="1021">
      <c r="J1021" t="inlineStr">
        <is>
          <t>…</t>
        </is>
      </c>
    </row>
    <row r="1022">
      <c r="J1022" t="inlineStr">
        <is>
          <t>…</t>
        </is>
      </c>
    </row>
    <row r="1023">
      <c r="J1023" t="inlineStr">
        <is>
          <t xml:space="preserve">   Otros Club de París</t>
        </is>
      </c>
    </row>
    <row r="1024">
      <c r="J1024" t="inlineStr">
        <is>
          <t xml:space="preserve">   Distintos del Club de París</t>
        </is>
      </c>
    </row>
    <row r="1025">
      <c r="J1025" t="inlineStr">
        <is>
          <t>…</t>
        </is>
      </c>
    </row>
    <row r="1026">
      <c r="J1026" t="inlineStr">
        <is>
          <t>…</t>
        </is>
      </c>
    </row>
    <row r="1027">
      <c r="J1027" t="inlineStr">
        <is>
          <t xml:space="preserve">   Otros distintos del Club de París</t>
        </is>
      </c>
    </row>
    <row r="1028">
      <c r="J1028" t="inlineStr">
        <is>
          <t>Comerciales</t>
        </is>
      </c>
    </row>
    <row r="1029">
      <c r="J1029" t="inlineStr">
        <is>
          <t>…</t>
        </is>
      </c>
    </row>
    <row r="1030">
      <c r="J1030" t="inlineStr">
        <is>
          <t>…</t>
        </is>
      </c>
    </row>
    <row r="1031">
      <c r="J1031" t="inlineStr">
        <is>
          <t xml:space="preserve">   Otros comerciales</t>
        </is>
      </c>
    </row>
    <row r="1033">
      <c r="J1033" t="inlineStr">
        <is>
          <t>Total desembolsos a MLP nuevos</t>
        </is>
      </c>
    </row>
    <row r="1034">
      <c r="J1034" t="inlineStr">
        <is>
          <t>Términos de refinacimiento residual en pruebas de tensión</t>
        </is>
      </c>
    </row>
    <row r="1035">
      <c r="J1035" t="inlineStr">
        <is>
          <t>Tasa de interés media de la deuda nueva</t>
        </is>
      </c>
      <c r="L1035" t="n">
        <v>1.507444713250269</v>
      </c>
    </row>
    <row r="1036">
      <c r="J1036" t="inlineStr">
        <is>
          <t>Período de gracia medio de la deuda nueva</t>
        </is>
      </c>
      <c r="L1036" t="n">
        <v>8</v>
      </c>
    </row>
    <row r="1037">
      <c r="J1037" t="inlineStr">
        <is>
          <t>Vencimiento medio de la deuda nueva</t>
        </is>
      </c>
      <c r="L1037" t="n">
        <v>31</v>
      </c>
    </row>
    <row r="1039">
      <c r="J1039" t="inlineStr">
        <is>
          <t>Período de gracia nuevo de la deuda nueva (redondeado)</t>
        </is>
      </c>
    </row>
    <row r="1040">
      <c r="J1040" t="inlineStr">
        <is>
          <t>Vencimiento medio de la deuda nueva (redondeado)</t>
        </is>
      </c>
    </row>
    <row r="1042">
      <c r="J1042" t="inlineStr">
        <is>
          <t>B. RESULTADOS</t>
        </is>
      </c>
    </row>
    <row r="1044">
      <c r="J1044" t="inlineStr">
        <is>
          <t>Deuda nueva: Servicio de la deuda</t>
        </is>
      </c>
    </row>
    <row r="1046">
      <c r="J1046" t="inlineStr">
        <is>
          <t>Total servicio de la deuda nueva</t>
        </is>
      </c>
    </row>
    <row r="1048">
      <c r="J1048" t="inlineStr">
        <is>
          <t>Intereses</t>
        </is>
      </c>
    </row>
    <row r="1049">
      <c r="J1049" t="inlineStr">
        <is>
          <t>Multilaterales</t>
        </is>
      </c>
    </row>
    <row r="1050">
      <c r="J1050" t="inlineStr">
        <is>
          <t xml:space="preserve">   FMI</t>
        </is>
      </c>
    </row>
    <row r="1051">
      <c r="J1051" t="inlineStr">
        <is>
          <t xml:space="preserve">   AIF</t>
        </is>
      </c>
    </row>
    <row r="1052">
      <c r="J1052" t="inlineStr">
        <is>
          <t>IDA - Regular</t>
        </is>
      </c>
    </row>
    <row r="1053">
      <c r="J1053" t="inlineStr">
        <is>
          <t>IBRD</t>
        </is>
      </c>
    </row>
    <row r="1054">
      <c r="J1054" t="inlineStr">
        <is>
          <t xml:space="preserve">   Otros multilateralas</t>
        </is>
      </c>
    </row>
    <row r="1055">
      <c r="J1055" t="inlineStr">
        <is>
          <t>Bilaterales oficiales</t>
        </is>
      </c>
    </row>
    <row r="1056">
      <c r="J1056" t="inlineStr">
        <is>
          <t xml:space="preserve">  Club de París</t>
        </is>
      </c>
    </row>
    <row r="1057">
      <c r="J1057" t="inlineStr">
        <is>
          <t>…</t>
        </is>
      </c>
    </row>
    <row r="1058">
      <c r="J1058" t="inlineStr">
        <is>
          <t>…</t>
        </is>
      </c>
    </row>
    <row r="1059">
      <c r="J1059" t="inlineStr">
        <is>
          <t xml:space="preserve">   Otros Club de París</t>
        </is>
      </c>
    </row>
    <row r="1060">
      <c r="J1060" t="inlineStr">
        <is>
          <t xml:space="preserve">   Distintos del Club de París</t>
        </is>
      </c>
    </row>
    <row r="1061">
      <c r="J1061" t="inlineStr">
        <is>
          <t>…</t>
        </is>
      </c>
    </row>
    <row r="1062">
      <c r="J1062" t="inlineStr">
        <is>
          <t>…</t>
        </is>
      </c>
    </row>
    <row r="1063">
      <c r="J1063" t="inlineStr">
        <is>
          <t xml:space="preserve">   Otros distintos del Club de París</t>
        </is>
      </c>
    </row>
    <row r="1064">
      <c r="J1064" t="inlineStr">
        <is>
          <t>Comerciales</t>
        </is>
      </c>
    </row>
    <row r="1065">
      <c r="J1065" t="inlineStr">
        <is>
          <t>…</t>
        </is>
      </c>
    </row>
    <row r="1066">
      <c r="J1066" t="inlineStr">
        <is>
          <t>…</t>
        </is>
      </c>
    </row>
    <row r="1067">
      <c r="J1067" t="inlineStr">
        <is>
          <t xml:space="preserve">   Otros comerciales</t>
        </is>
      </c>
    </row>
    <row r="1069">
      <c r="J1069" t="inlineStr">
        <is>
          <t>Amortización</t>
        </is>
      </c>
    </row>
    <row r="1070">
      <c r="J1070" t="inlineStr">
        <is>
          <t>Multilaterales</t>
        </is>
      </c>
    </row>
    <row r="1071">
      <c r="J1071" t="inlineStr">
        <is>
          <t xml:space="preserve">   FMI</t>
        </is>
      </c>
    </row>
    <row r="1072">
      <c r="J1072" t="inlineStr">
        <is>
          <t xml:space="preserve">   AIF</t>
        </is>
      </c>
    </row>
    <row r="1073">
      <c r="J1073" t="inlineStr">
        <is>
          <t>IDA - Regular</t>
        </is>
      </c>
    </row>
    <row r="1074">
      <c r="J1074" t="inlineStr">
        <is>
          <t>IBRD</t>
        </is>
      </c>
    </row>
    <row r="1075">
      <c r="J1075" t="inlineStr">
        <is>
          <t xml:space="preserve">   Otros multilateralas</t>
        </is>
      </c>
    </row>
    <row r="1076">
      <c r="J1076" t="inlineStr">
        <is>
          <t>Bilaterales oficiales</t>
        </is>
      </c>
    </row>
    <row r="1077">
      <c r="J1077" t="inlineStr">
        <is>
          <t xml:space="preserve">  Club de París</t>
        </is>
      </c>
    </row>
    <row r="1078">
      <c r="J1078" t="inlineStr">
        <is>
          <t>…</t>
        </is>
      </c>
    </row>
    <row r="1079">
      <c r="J1079" t="inlineStr">
        <is>
          <t>…</t>
        </is>
      </c>
    </row>
    <row r="1080">
      <c r="J1080" t="inlineStr">
        <is>
          <t xml:space="preserve">   Otros Club de París</t>
        </is>
      </c>
    </row>
    <row r="1081">
      <c r="J1081" t="inlineStr">
        <is>
          <t xml:space="preserve">   Distintos del Club de París</t>
        </is>
      </c>
    </row>
    <row r="1082">
      <c r="J1082" t="inlineStr">
        <is>
          <t>…</t>
        </is>
      </c>
    </row>
    <row r="1083">
      <c r="J1083" t="inlineStr">
        <is>
          <t>…</t>
        </is>
      </c>
    </row>
    <row r="1084">
      <c r="J1084" t="inlineStr">
        <is>
          <t xml:space="preserve">   Otros distintos del Club de París</t>
        </is>
      </c>
    </row>
    <row r="1085">
      <c r="J1085" t="inlineStr">
        <is>
          <t>Comerciales</t>
        </is>
      </c>
    </row>
    <row r="1086">
      <c r="J1086" t="inlineStr">
        <is>
          <t>…</t>
        </is>
      </c>
    </row>
    <row r="1087">
      <c r="J1087" t="inlineStr">
        <is>
          <t>…</t>
        </is>
      </c>
    </row>
    <row r="1088">
      <c r="J1088" t="inlineStr">
        <is>
          <t xml:space="preserve">   Otros comerciales</t>
        </is>
      </c>
    </row>
    <row r="1090">
      <c r="J1090" t="inlineStr">
        <is>
          <t>VA  de la deuda a MLP vieja</t>
        </is>
      </c>
    </row>
    <row r="1091">
      <c r="J1091" t="inlineStr">
        <is>
          <t>Multilaterales</t>
        </is>
      </c>
    </row>
    <row r="1092">
      <c r="J1092" t="inlineStr">
        <is>
          <t xml:space="preserve">   FMI</t>
        </is>
      </c>
    </row>
    <row r="1093">
      <c r="J1093" t="inlineStr">
        <is>
          <t xml:space="preserve">   AIF</t>
        </is>
      </c>
    </row>
    <row r="1094">
      <c r="J1094" t="inlineStr">
        <is>
          <t>IDA - Regular</t>
        </is>
      </c>
    </row>
    <row r="1095">
      <c r="J1095" t="inlineStr">
        <is>
          <t>IBRD</t>
        </is>
      </c>
    </row>
    <row r="1096">
      <c r="J1096" t="inlineStr">
        <is>
          <t xml:space="preserve">   Otros multilateralas</t>
        </is>
      </c>
    </row>
    <row r="1097">
      <c r="J1097" t="inlineStr">
        <is>
          <t>Bilaterales oficiales</t>
        </is>
      </c>
    </row>
    <row r="1098">
      <c r="J1098" t="inlineStr">
        <is>
          <t xml:space="preserve">  Club de París</t>
        </is>
      </c>
    </row>
    <row r="1099">
      <c r="J1099" t="inlineStr">
        <is>
          <t>…</t>
        </is>
      </c>
    </row>
    <row r="1100">
      <c r="J1100" t="inlineStr">
        <is>
          <t>…</t>
        </is>
      </c>
    </row>
    <row r="1101">
      <c r="J1101" t="inlineStr">
        <is>
          <t xml:space="preserve">   Otros Club de París</t>
        </is>
      </c>
    </row>
    <row r="1102">
      <c r="J1102" t="inlineStr">
        <is>
          <t xml:space="preserve">   Distintos del Club de París</t>
        </is>
      </c>
    </row>
    <row r="1103">
      <c r="J1103" t="inlineStr">
        <is>
          <t>…</t>
        </is>
      </c>
      <c r="K1103" t="n">
        <v>0</v>
      </c>
    </row>
    <row r="1104">
      <c r="J1104" t="inlineStr">
        <is>
          <t>…</t>
        </is>
      </c>
    </row>
    <row r="1105">
      <c r="J1105" t="inlineStr">
        <is>
          <t xml:space="preserve">   Otros distintos del Club de París</t>
        </is>
      </c>
    </row>
    <row r="1106">
      <c r="J1106" t="inlineStr">
        <is>
          <t>Comerciales</t>
        </is>
      </c>
    </row>
    <row r="1107">
      <c r="J1107" t="inlineStr">
        <is>
          <t>…</t>
        </is>
      </c>
    </row>
    <row r="1108">
      <c r="J1108" t="inlineStr">
        <is>
          <t>…</t>
        </is>
      </c>
    </row>
    <row r="1109">
      <c r="J1109" t="inlineStr">
        <is>
          <t xml:space="preserve">   Otros comerciales</t>
        </is>
      </c>
    </row>
    <row r="1111">
      <c r="J1111" t="inlineStr">
        <is>
          <t>VA de atrasos existentes</t>
        </is>
      </c>
    </row>
    <row r="1113">
      <c r="J1113" t="inlineStr">
        <is>
          <t>VA de la deuda a MLP nueva</t>
        </is>
      </c>
    </row>
    <row r="1114">
      <c r="J1114" t="inlineStr">
        <is>
          <t>Multilaterales</t>
        </is>
      </c>
    </row>
    <row r="1115">
      <c r="J1115" t="inlineStr">
        <is>
          <t xml:space="preserve">   FMI</t>
        </is>
      </c>
    </row>
    <row r="1116">
      <c r="J1116" t="inlineStr">
        <is>
          <t xml:space="preserve">   AIF</t>
        </is>
      </c>
    </row>
    <row r="1117">
      <c r="J1117" t="inlineStr">
        <is>
          <t>IDA - Regular</t>
        </is>
      </c>
    </row>
    <row r="1118">
      <c r="J1118" t="inlineStr">
        <is>
          <t>IBRD</t>
        </is>
      </c>
    </row>
    <row r="1119">
      <c r="J1119" t="inlineStr">
        <is>
          <t xml:space="preserve">   Otros multilateralas</t>
        </is>
      </c>
    </row>
    <row r="1120">
      <c r="J1120" t="inlineStr">
        <is>
          <t>Bilaterales oficiales</t>
        </is>
      </c>
    </row>
    <row r="1121">
      <c r="J1121" t="inlineStr">
        <is>
          <t xml:space="preserve">  Club de París</t>
        </is>
      </c>
    </row>
    <row r="1122">
      <c r="J1122" t="inlineStr">
        <is>
          <t>…</t>
        </is>
      </c>
    </row>
    <row r="1123">
      <c r="J1123" t="inlineStr">
        <is>
          <t>…</t>
        </is>
      </c>
    </row>
    <row r="1124">
      <c r="J1124" t="inlineStr">
        <is>
          <t xml:space="preserve">   Otros Club de París</t>
        </is>
      </c>
    </row>
    <row r="1125">
      <c r="J1125" t="inlineStr">
        <is>
          <t xml:space="preserve">   Distintos del Club de París</t>
        </is>
      </c>
    </row>
    <row r="1126">
      <c r="J1126" t="inlineStr">
        <is>
          <t>…</t>
        </is>
      </c>
    </row>
    <row r="1127">
      <c r="J1127" t="inlineStr">
        <is>
          <t>…</t>
        </is>
      </c>
    </row>
    <row r="1128">
      <c r="J1128" t="inlineStr">
        <is>
          <t xml:space="preserve">   Otros distintos del Club de París</t>
        </is>
      </c>
    </row>
    <row r="1129">
      <c r="J1129" t="inlineStr">
        <is>
          <t>Comerciales</t>
        </is>
      </c>
    </row>
    <row r="1130">
      <c r="J1130" t="inlineStr">
        <is>
          <t>…</t>
        </is>
      </c>
    </row>
    <row r="1131">
      <c r="J1131" t="inlineStr">
        <is>
          <t>…</t>
        </is>
      </c>
    </row>
    <row r="1132">
      <c r="J1132" t="inlineStr">
        <is>
          <t xml:space="preserve">   Otros comerciales</t>
        </is>
      </c>
    </row>
    <row r="1134">
      <c r="J1134" t="inlineStr">
        <is>
          <t>Valor nominal de la deuda a MLP nueva</t>
        </is>
      </c>
    </row>
    <row r="1135">
      <c r="J1135" t="inlineStr">
        <is>
          <t>Multilaterales</t>
        </is>
      </c>
    </row>
    <row r="1136">
      <c r="J1136" t="inlineStr">
        <is>
          <t xml:space="preserve">   FMI</t>
        </is>
      </c>
    </row>
    <row r="1137">
      <c r="J1137" t="inlineStr">
        <is>
          <t xml:space="preserve">   AIF</t>
        </is>
      </c>
    </row>
    <row r="1138">
      <c r="J1138" t="inlineStr">
        <is>
          <t>IDA - Regular</t>
        </is>
      </c>
    </row>
    <row r="1139">
      <c r="J1139" t="inlineStr">
        <is>
          <t>IBRD</t>
        </is>
      </c>
    </row>
    <row r="1140">
      <c r="J1140" t="inlineStr">
        <is>
          <t xml:space="preserve">   Otros multilateralas</t>
        </is>
      </c>
    </row>
    <row r="1141">
      <c r="J1141" t="inlineStr">
        <is>
          <t>Bilaterales oficiales</t>
        </is>
      </c>
    </row>
    <row r="1142">
      <c r="J1142" t="inlineStr">
        <is>
          <t xml:space="preserve">  Club de París</t>
        </is>
      </c>
    </row>
    <row r="1143">
      <c r="J1143" t="inlineStr">
        <is>
          <t>…</t>
        </is>
      </c>
    </row>
    <row r="1144">
      <c r="J1144" t="inlineStr">
        <is>
          <t>…</t>
        </is>
      </c>
    </row>
    <row r="1145">
      <c r="J1145" t="inlineStr">
        <is>
          <t xml:space="preserve">   Otros Club de París</t>
        </is>
      </c>
    </row>
    <row r="1146">
      <c r="J1146" t="inlineStr">
        <is>
          <t xml:space="preserve">   Distintos del Club de París</t>
        </is>
      </c>
    </row>
    <row r="1147">
      <c r="J1147" t="inlineStr">
        <is>
          <t>…</t>
        </is>
      </c>
    </row>
    <row r="1148">
      <c r="J1148" t="inlineStr">
        <is>
          <t>…</t>
        </is>
      </c>
    </row>
    <row r="1149">
      <c r="J1149" t="inlineStr">
        <is>
          <t xml:space="preserve">   Otros distintos del Club de París</t>
        </is>
      </c>
    </row>
    <row r="1150">
      <c r="J1150" t="inlineStr">
        <is>
          <t>Comerciales</t>
        </is>
      </c>
    </row>
    <row r="1151">
      <c r="J1151" t="inlineStr">
        <is>
          <t>…</t>
        </is>
      </c>
    </row>
    <row r="1152">
      <c r="J1152" t="inlineStr">
        <is>
          <t>…</t>
        </is>
      </c>
    </row>
    <row r="1153">
      <c r="J1153" t="inlineStr">
        <is>
          <t xml:space="preserve">   Otros comerciales</t>
        </is>
      </c>
    </row>
    <row r="1155">
      <c r="J1155" t="inlineStr">
        <is>
          <t>Valor nominal (=VA) de la deuda a corto plazo</t>
        </is>
      </c>
    </row>
    <row r="1156">
      <c r="J1156" t="inlineStr">
        <is>
          <t>Intereses</t>
        </is>
      </c>
    </row>
    <row r="1158">
      <c r="J1158" t="inlineStr">
        <is>
          <t>Total VA de la deuda</t>
        </is>
      </c>
    </row>
    <row r="1160">
      <c r="J1160" t="inlineStr">
        <is>
          <t>Verificación deuda PGP nominal</t>
        </is>
      </c>
    </row>
    <row r="1161">
      <c r="J1161" t="inlineStr">
        <is>
          <t>Total servicio de la deuda pública</t>
        </is>
      </c>
    </row>
    <row r="1162">
      <c r="J1162" t="inlineStr">
        <is>
          <t xml:space="preserve">    del cual: principal</t>
        </is>
      </c>
    </row>
    <row r="1163">
      <c r="J1163" t="inlineStr">
        <is>
          <t xml:space="preserve">    del cual: intereses</t>
        </is>
      </c>
    </row>
    <row r="1166">
      <c r="J1166" t="inlineStr">
        <is>
          <t>Cálculo de donaciones implícitas en endeudamiento nuevo y tasas de descuento medias</t>
        </is>
      </c>
    </row>
    <row r="1168">
      <c r="J1168" t="inlineStr">
        <is>
          <t>VA de nuevos desembolsos de deuda PGP</t>
        </is>
      </c>
    </row>
    <row r="1169">
      <c r="J1169" t="inlineStr">
        <is>
          <t>Componente de donaciones de desembolso nuevo (porcentaje)</t>
        </is>
      </c>
    </row>
    <row r="1170">
      <c r="J1170" t="inlineStr">
        <is>
          <t>Donaciones implícitas en desembolsos nuevos (miles de millones de dólares de EE.UU.)</t>
        </is>
      </c>
    </row>
    <row r="1171">
      <c r="J1171" t="inlineStr">
        <is>
          <t>Tasa de descuento media</t>
        </is>
      </c>
    </row>
    <row r="1174">
      <c r="J1174" t="inlineStr">
        <is>
          <t>1/ Después de una reprogramación si esta ha sido acordada o es inminente. En el caso de PPME que han alcanzado el punto de decisión o culminación,</t>
        </is>
      </c>
    </row>
    <row r="1175">
      <c r="J1175" t="inlineStr">
        <is>
          <t>indicar el servicio de la deuda vencido después de la asistencia PPME (incluida asistencia bilateral adicional para los casos de punto de culminación).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I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s="1" t="inlineStr">
        <is>
          <t>link.staff.report</t>
        </is>
      </c>
      <c r="C1" s="1" t="inlineStr">
        <is>
          <t>dsa.vintage</t>
        </is>
      </c>
      <c r="D1" s="1" t="inlineStr">
        <is>
          <t>country.name</t>
        </is>
      </c>
      <c r="E1" s="1" t="inlineStr">
        <is>
          <t>country.code</t>
        </is>
      </c>
      <c r="F1" s="1" t="inlineStr">
        <is>
          <t>issue.date</t>
        </is>
      </c>
      <c r="G1" s="1" t="inlineStr">
        <is>
          <t>methodo.gn</t>
        </is>
      </c>
      <c r="H1" s="1" t="inlineStr">
        <is>
          <t>first.year.proj</t>
        </is>
      </c>
      <c r="I1" s="1" t="inlineStr">
        <is>
          <t>indicator</t>
        </is>
      </c>
      <c r="J1" s="1" t="inlineStr">
        <is>
          <t>description</t>
        </is>
      </c>
      <c r="K1" s="1" t="inlineStr">
        <is>
          <t>trs1</t>
        </is>
      </c>
      <c r="L1" s="1" t="inlineStr">
        <is>
          <t>trs2</t>
        </is>
      </c>
      <c r="M1" s="1" t="inlineStr">
        <is>
          <t>trs3</t>
        </is>
      </c>
      <c r="N1" t="n">
        <v>2017</v>
      </c>
      <c r="O1" t="n">
        <v>2018</v>
      </c>
      <c r="P1" t="n">
        <v>2019</v>
      </c>
      <c r="Q1" t="n">
        <v>2020</v>
      </c>
      <c r="R1" t="n">
        <v>2021</v>
      </c>
      <c r="S1" t="n">
        <v>2022</v>
      </c>
      <c r="T1" t="n">
        <v>2023</v>
      </c>
      <c r="U1" t="n">
        <v>2024</v>
      </c>
      <c r="V1" t="n">
        <v>2025</v>
      </c>
      <c r="W1" t="n">
        <v>2026</v>
      </c>
      <c r="X1" t="n">
        <v>2027</v>
      </c>
      <c r="Y1" t="n">
        <v>2028</v>
      </c>
      <c r="Z1" t="n">
        <v>2029</v>
      </c>
      <c r="AA1" t="n">
        <v>2030</v>
      </c>
      <c r="AB1" t="n">
        <v>2031</v>
      </c>
      <c r="AC1" t="n">
        <v>2032</v>
      </c>
      <c r="AD1" t="n">
        <v>2033</v>
      </c>
      <c r="AE1" t="n">
        <v>2034</v>
      </c>
      <c r="AF1" t="n">
        <v>2035</v>
      </c>
      <c r="AG1" t="n">
        <v>2036</v>
      </c>
      <c r="AH1" t="n">
        <v>2037</v>
      </c>
      <c r="AI1" t="n">
        <v>2038</v>
      </c>
      <c r="AJ1" t="n">
        <v>2039</v>
      </c>
      <c r="AK1" t="n">
        <v>2040</v>
      </c>
      <c r="AL1" t="n">
        <v>2041</v>
      </c>
      <c r="AM1" t="n">
        <v>2042</v>
      </c>
      <c r="AN1" t="n">
        <v>2043</v>
      </c>
      <c r="AO1" t="n">
        <v>2044</v>
      </c>
      <c r="AP1" t="n">
        <v>2045</v>
      </c>
      <c r="AQ1" t="n">
        <v>2046</v>
      </c>
      <c r="AR1" t="n">
        <v>2047</v>
      </c>
      <c r="AS1" t="n">
        <v>2048</v>
      </c>
      <c r="AT1" t="n">
        <v>2049</v>
      </c>
      <c r="AU1" t="n">
        <v>2050</v>
      </c>
      <c r="AV1" t="n">
        <v>2051</v>
      </c>
      <c r="AW1" t="n">
        <v>2052</v>
      </c>
      <c r="AX1" t="n">
        <v>2053</v>
      </c>
      <c r="AY1" t="n">
        <v>2054</v>
      </c>
      <c r="AZ1" t="n">
        <v>2055</v>
      </c>
      <c r="BA1" t="n">
        <v>2056</v>
      </c>
      <c r="BB1" t="n">
        <v>2057</v>
      </c>
      <c r="BC1" t="n">
        <v>2058</v>
      </c>
      <c r="BD1" t="n">
        <v>2059</v>
      </c>
      <c r="BE1" t="n">
        <v>2060</v>
      </c>
      <c r="BF1" t="n">
        <v>2061</v>
      </c>
      <c r="BG1" t="n">
        <v>2062</v>
      </c>
    </row>
    <row r="2">
      <c r="A2" t="inlineStr">
        <is>
          <t>no_year_in_pairs</t>
        </is>
      </c>
      <c r="B2" s="2" t="n"/>
      <c r="C2" s="3" t="inlineStr">
        <is>
          <t>SM.19.158, Sup. 2</t>
        </is>
      </c>
      <c r="D2" s="4" t="inlineStr">
        <is>
          <t>Dominica</t>
        </is>
      </c>
      <c r="E2" s="4" t="inlineStr">
        <is>
          <t>DMA</t>
        </is>
      </c>
      <c r="F2" s="4" t="n"/>
      <c r="G2" s="4" t="inlineStr">
        <is>
          <t>2018gn</t>
        </is>
      </c>
      <c r="H2" s="4" t="n">
        <v>2018</v>
      </c>
      <c r="I2" s="5" t="n"/>
      <c r="J2" t="inlineStr">
        <is>
          <t>THIS SHEET CALCULATES THE PV OF PUBLIC (PPG) EXTERNAL DEBT</t>
        </is>
      </c>
    </row>
    <row r="3">
      <c r="A3" t="inlineStr">
        <is>
          <t>no_year_in_pairs</t>
        </is>
      </c>
      <c r="B3" s="2" t="n"/>
      <c r="C3" s="3" t="inlineStr">
        <is>
          <t>SM.19.158, Sup. 2</t>
        </is>
      </c>
      <c r="D3" s="4" t="inlineStr">
        <is>
          <t>Dominica</t>
        </is>
      </c>
      <c r="E3" s="4" t="inlineStr">
        <is>
          <t>DMA</t>
        </is>
      </c>
      <c r="F3" s="4" t="n"/>
      <c r="G3" s="4" t="inlineStr">
        <is>
          <t>2018gn</t>
        </is>
      </c>
      <c r="H3" s="4" t="n">
        <v>2018</v>
      </c>
      <c r="I3" s="5" t="n"/>
    </row>
    <row r="4">
      <c r="A4" t="inlineStr">
        <is>
          <t>no_year_in_pairs</t>
        </is>
      </c>
      <c r="B4" s="2" t="n"/>
      <c r="C4" s="3" t="inlineStr">
        <is>
          <t>SM.19.158, Sup. 2</t>
        </is>
      </c>
      <c r="D4" s="4" t="inlineStr">
        <is>
          <t>Dominica</t>
        </is>
      </c>
      <c r="E4" s="4" t="inlineStr">
        <is>
          <t>DMA</t>
        </is>
      </c>
      <c r="F4" s="4" t="n"/>
      <c r="G4" s="4" t="inlineStr">
        <is>
          <t>2018gn</t>
        </is>
      </c>
      <c r="H4" s="4" t="n">
        <v>2018</v>
      </c>
      <c r="I4" s="5" t="n"/>
    </row>
    <row r="5">
      <c r="A5" t="inlineStr">
        <is>
          <t>no_year_in_pairs</t>
        </is>
      </c>
      <c r="B5" s="2" t="n"/>
      <c r="C5" s="3" t="inlineStr">
        <is>
          <t>SM.19.158, Sup. 2</t>
        </is>
      </c>
      <c r="D5" s="4" t="inlineStr">
        <is>
          <t>Dominica</t>
        </is>
      </c>
      <c r="E5" s="4" t="inlineStr">
        <is>
          <t>DMA</t>
        </is>
      </c>
      <c r="F5" s="4" t="n"/>
      <c r="G5" s="4" t="inlineStr">
        <is>
          <t>2018gn</t>
        </is>
      </c>
      <c r="H5" s="4" t="n">
        <v>2018</v>
      </c>
      <c r="I5" s="5" t="n"/>
      <c r="J5" t="inlineStr">
        <is>
          <t>Blue cells are populated automatically</t>
        </is>
      </c>
    </row>
    <row r="6">
      <c r="A6" t="inlineStr">
        <is>
          <t>no_year_in_pairs</t>
        </is>
      </c>
      <c r="B6" s="2" t="n"/>
      <c r="C6" s="3" t="inlineStr">
        <is>
          <t>SM.19.158, Sup. 2</t>
        </is>
      </c>
      <c r="D6" s="4" t="inlineStr">
        <is>
          <t>Dominica</t>
        </is>
      </c>
      <c r="E6" s="4" t="inlineStr">
        <is>
          <t>DMA</t>
        </is>
      </c>
      <c r="F6" s="4" t="n"/>
      <c r="G6" s="4" t="inlineStr">
        <is>
          <t>2018gn</t>
        </is>
      </c>
      <c r="H6" s="4" t="n">
        <v>2018</v>
      </c>
      <c r="I6" s="5" t="n"/>
    </row>
    <row r="7">
      <c r="A7" t="inlineStr">
        <is>
          <t>no_year_in_pairs</t>
        </is>
      </c>
      <c r="B7" s="2" t="n"/>
      <c r="C7" s="3" t="inlineStr">
        <is>
          <t>SM.19.158, Sup. 2</t>
        </is>
      </c>
      <c r="D7" s="4" t="inlineStr">
        <is>
          <t>Dominica</t>
        </is>
      </c>
      <c r="E7" s="4" t="inlineStr">
        <is>
          <t>DMA</t>
        </is>
      </c>
      <c r="F7" s="4" t="n"/>
      <c r="G7" s="4" t="inlineStr">
        <is>
          <t>2018gn</t>
        </is>
      </c>
      <c r="H7" s="4" t="n">
        <v>2018</v>
      </c>
      <c r="I7" s="5" t="n"/>
    </row>
    <row r="8">
      <c r="A8" t="inlineStr">
        <is>
          <t>no_year_in_pairs</t>
        </is>
      </c>
      <c r="B8" s="2" t="n"/>
      <c r="C8" s="3" t="inlineStr">
        <is>
          <t>SM.19.158, Sup. 2</t>
        </is>
      </c>
      <c r="D8" s="4" t="inlineStr">
        <is>
          <t>Dominica</t>
        </is>
      </c>
      <c r="E8" s="4" t="inlineStr">
        <is>
          <t>DMA</t>
        </is>
      </c>
      <c r="F8" s="4" t="n"/>
      <c r="G8" s="4" t="inlineStr">
        <is>
          <t>2018gn</t>
        </is>
      </c>
      <c r="H8" s="4" t="n">
        <v>2018</v>
      </c>
      <c r="I8" s="5" t="n"/>
      <c r="J8" t="inlineStr">
        <is>
          <t>1. Old MLT debt (excluding arrears): debt service due 1/</t>
        </is>
      </c>
    </row>
    <row r="9">
      <c r="A9" t="inlineStr">
        <is>
          <t>no_year_in_pairs</t>
        </is>
      </c>
      <c r="B9" s="2" t="n"/>
      <c r="C9" s="3" t="inlineStr">
        <is>
          <t>SM.19.158, Sup. 2</t>
        </is>
      </c>
      <c r="D9" s="4" t="inlineStr">
        <is>
          <t>Dominica</t>
        </is>
      </c>
      <c r="E9" s="4" t="inlineStr">
        <is>
          <t>DMA</t>
        </is>
      </c>
      <c r="F9" s="4" t="n"/>
      <c r="G9" s="4" t="inlineStr">
        <is>
          <t>2018gn</t>
        </is>
      </c>
      <c r="H9" s="4" t="n">
        <v>2018</v>
      </c>
      <c r="I9" s="5" t="n"/>
      <c r="M9" t="n">
        <v>2016</v>
      </c>
      <c r="N9" t="n">
        <v>2017</v>
      </c>
      <c r="O9" t="n">
        <v>2018</v>
      </c>
      <c r="P9" t="n">
        <v>2019</v>
      </c>
      <c r="Q9" t="n">
        <v>2020</v>
      </c>
      <c r="R9" t="n">
        <v>2021</v>
      </c>
      <c r="S9" t="n">
        <v>2022</v>
      </c>
      <c r="T9" t="n">
        <v>2023</v>
      </c>
      <c r="U9" t="n">
        <v>2024</v>
      </c>
      <c r="V9" t="n">
        <v>2025</v>
      </c>
      <c r="W9" t="n">
        <v>2026</v>
      </c>
      <c r="X9" t="n">
        <v>2027</v>
      </c>
      <c r="Y9" t="n">
        <v>2028</v>
      </c>
      <c r="Z9" t="n">
        <v>2029</v>
      </c>
      <c r="AA9" t="n">
        <v>2030</v>
      </c>
      <c r="AB9" t="n">
        <v>2031</v>
      </c>
      <c r="AC9" t="n">
        <v>2032</v>
      </c>
      <c r="AD9" t="n">
        <v>2033</v>
      </c>
      <c r="AE9" t="n">
        <v>2034</v>
      </c>
      <c r="AF9" t="n">
        <v>2035</v>
      </c>
      <c r="AG9" t="n">
        <v>2036</v>
      </c>
      <c r="AH9" t="n">
        <v>2037</v>
      </c>
      <c r="AI9" t="n">
        <v>2038</v>
      </c>
      <c r="AJ9" t="n">
        <v>2039</v>
      </c>
      <c r="AK9" t="n">
        <v>2040</v>
      </c>
      <c r="AL9" t="n">
        <v>2041</v>
      </c>
      <c r="AM9" t="n">
        <v>2042</v>
      </c>
      <c r="AN9" t="n">
        <v>2043</v>
      </c>
      <c r="AO9" t="n">
        <v>2044</v>
      </c>
      <c r="AP9" t="n">
        <v>2045</v>
      </c>
      <c r="AQ9" t="n">
        <v>2046</v>
      </c>
      <c r="AR9" t="n">
        <v>2047</v>
      </c>
      <c r="AS9" t="n">
        <v>2048</v>
      </c>
      <c r="AT9" t="n">
        <v>2049</v>
      </c>
      <c r="AU9" t="n">
        <v>2050</v>
      </c>
      <c r="AV9" t="n">
        <v>2051</v>
      </c>
      <c r="AW9" t="n">
        <v>2052</v>
      </c>
      <c r="AX9" t="n">
        <v>2053</v>
      </c>
      <c r="AY9" t="n">
        <v>2054</v>
      </c>
      <c r="AZ9" t="n">
        <v>2055</v>
      </c>
      <c r="BA9" t="n">
        <v>2056</v>
      </c>
      <c r="BB9" t="n">
        <v>2057</v>
      </c>
      <c r="BC9" t="n">
        <v>2058</v>
      </c>
      <c r="BD9" t="n">
        <v>2059</v>
      </c>
      <c r="BE9" t="n">
        <v>2060</v>
      </c>
      <c r="BF9" t="n">
        <v>2061</v>
      </c>
      <c r="BG9" t="n">
        <v>2062</v>
      </c>
      <c r="BI9" t="inlineStr">
        <is>
          <t>Series Code</t>
        </is>
      </c>
    </row>
    <row r="10">
      <c r="A10" t="inlineStr">
        <is>
          <t>no_year_in_pairs</t>
        </is>
      </c>
      <c r="B10" s="2" t="n"/>
      <c r="C10" s="3" t="inlineStr">
        <is>
          <t>SM.19.158, Sup. 2</t>
        </is>
      </c>
      <c r="D10" s="4" t="inlineStr">
        <is>
          <t>Dominica</t>
        </is>
      </c>
      <c r="E10" s="4" t="inlineStr">
        <is>
          <t>DMA</t>
        </is>
      </c>
      <c r="F10" s="4" t="n"/>
      <c r="G10" s="4" t="inlineStr">
        <is>
          <t>2018gn</t>
        </is>
      </c>
      <c r="H10" s="4" t="n">
        <v>2018</v>
      </c>
      <c r="I10" s="5" t="n"/>
      <c r="J10" t="inlineStr">
        <is>
          <t>External debt (excluding locally-issued debt)</t>
        </is>
      </c>
    </row>
    <row r="11">
      <c r="A11" t="inlineStr">
        <is>
          <t>no_year_in_pairs</t>
        </is>
      </c>
      <c r="B11" s="2" t="n"/>
      <c r="C11" s="3" t="inlineStr">
        <is>
          <t>SM.19.158, Sup. 2</t>
        </is>
      </c>
      <c r="D11" s="4" t="inlineStr">
        <is>
          <t>Dominica</t>
        </is>
      </c>
      <c r="E11" s="4" t="inlineStr">
        <is>
          <t>DMA</t>
        </is>
      </c>
      <c r="F11" s="4" t="n"/>
      <c r="G11" s="4" t="inlineStr">
        <is>
          <t>2018gn</t>
        </is>
      </c>
      <c r="H11" s="4" t="n">
        <v>2018</v>
      </c>
      <c r="I11" s="4" t="inlineStr">
        <is>
          <t>old.tds.mlt</t>
        </is>
      </c>
      <c r="J11" t="inlineStr">
        <is>
          <t>Multilaterals</t>
        </is>
      </c>
      <c r="N11" t="n">
        <v>11.74808996296296</v>
      </c>
      <c r="O11" t="n">
        <v>3.365137592592587</v>
      </c>
      <c r="P11" t="n">
        <v>8.76125988888888</v>
      </c>
      <c r="Q11" t="n">
        <v>11.46541670370371</v>
      </c>
      <c r="R11" t="n">
        <v>11.82502218518518</v>
      </c>
      <c r="S11" t="n">
        <v>11.56775107407406</v>
      </c>
      <c r="T11" t="n">
        <v>11.45331633333333</v>
      </c>
      <c r="U11" t="n">
        <v>10.66463339473504</v>
      </c>
      <c r="V11" t="n">
        <v>9.94190113263728</v>
      </c>
      <c r="W11" t="n">
        <v>9.278963213100946</v>
      </c>
      <c r="X11" t="n">
        <v>8.670289560577233</v>
      </c>
      <c r="Y11" t="n">
        <v>8.110908163704007</v>
      </c>
      <c r="Z11" t="n">
        <v>7.596344694782744</v>
      </c>
      <c r="AA11" t="n">
        <v>7.122569016146361</v>
      </c>
      <c r="AB11" t="n">
        <v>6.685947756967452</v>
      </c>
      <c r="AC11" t="n">
        <v>6.283202243612577</v>
      </c>
      <c r="AD11" t="n">
        <v>5.911371153810885</v>
      </c>
      <c r="AE11" t="n">
        <v>5.567777341238562</v>
      </c>
      <c r="AF11" t="n">
        <v>5.24999834399474</v>
      </c>
      <c r="AG11" t="n">
        <v>4.955840149049306</v>
      </c>
      <c r="AH11" t="n">
        <v>4.683313836120155</v>
      </c>
      <c r="AI11" t="n">
        <v>4.430614769493193</v>
      </c>
      <c r="AJ11" t="n">
        <v>4.196104045826258</v>
      </c>
      <c r="AK11" t="n">
        <v>3.978291940667604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I11" t="inlineStr">
        <is>
          <t>OLD_ML</t>
        </is>
      </c>
    </row>
    <row r="12">
      <c r="A12" t="inlineStr">
        <is>
          <t>no_year_in_pairs</t>
        </is>
      </c>
      <c r="B12" s="2" t="n"/>
      <c r="C12" s="3" t="inlineStr">
        <is>
          <t>SM.19.158, Sup. 2</t>
        </is>
      </c>
      <c r="D12" s="4" t="inlineStr">
        <is>
          <t>Dominica</t>
        </is>
      </c>
      <c r="E12" s="4" t="inlineStr">
        <is>
          <t>DMA</t>
        </is>
      </c>
      <c r="F12" s="4" t="n"/>
      <c r="G12" s="4" t="inlineStr">
        <is>
          <t>2018gn</t>
        </is>
      </c>
      <c r="H12" s="4" t="n">
        <v>2018</v>
      </c>
      <c r="I12" s="4" t="inlineStr">
        <is>
          <t>old.tds.mlt.imf</t>
        </is>
      </c>
      <c r="J12" t="inlineStr">
        <is>
          <t>IMF</t>
        </is>
      </c>
      <c r="N12" t="n">
        <v>1.51015574074074</v>
      </c>
      <c r="O12" t="n">
        <v>0</v>
      </c>
      <c r="P12" t="n">
        <v>1.02453533333333</v>
      </c>
      <c r="Q12" t="n">
        <v>0.996076037037037</v>
      </c>
      <c r="R12" t="n">
        <v>1.42296574074074</v>
      </c>
      <c r="S12" t="n">
        <v>0.853779444444444</v>
      </c>
      <c r="T12" t="n">
        <v>0.853779444444444</v>
      </c>
      <c r="U12" t="n">
        <v>0.7399421855144031</v>
      </c>
      <c r="V12" t="n">
        <v>0.6412832277311391</v>
      </c>
      <c r="W12" t="n">
        <v>0.5557787976142661</v>
      </c>
      <c r="X12" t="n">
        <v>0.481674958146673</v>
      </c>
      <c r="Y12" t="n">
        <v>0.417451630579517</v>
      </c>
      <c r="Z12" t="n">
        <v>0.361791413329885</v>
      </c>
      <c r="AA12" t="n">
        <v>0.313552558358741</v>
      </c>
      <c r="AB12" t="n">
        <v>0.271745550698481</v>
      </c>
      <c r="AC12" t="n">
        <v>0.235512810710136</v>
      </c>
      <c r="AD12" t="n">
        <v>0.204111102706265</v>
      </c>
      <c r="AE12" t="n">
        <v>0.176896289090802</v>
      </c>
      <c r="AF12" t="n">
        <v>0.15331011728024</v>
      </c>
      <c r="AG12" t="n">
        <v>0.132868768368657</v>
      </c>
      <c r="AH12" t="n">
        <v>0.115152932637404</v>
      </c>
      <c r="AI12" t="n">
        <v>0.09979920833015329</v>
      </c>
      <c r="AJ12" t="n">
        <v>0.0864926472579489</v>
      </c>
      <c r="AK12" t="n">
        <v>0.074960294323574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I12" t="inlineStr">
        <is>
          <t>OLD_IMF</t>
        </is>
      </c>
    </row>
    <row r="13">
      <c r="A13" t="inlineStr">
        <is>
          <t>no_year_in_pairs</t>
        </is>
      </c>
      <c r="B13" s="2" t="n"/>
      <c r="C13" s="3" t="inlineStr">
        <is>
          <t>SM.19.158, Sup. 2</t>
        </is>
      </c>
      <c r="D13" s="4" t="inlineStr">
        <is>
          <t>Dominica</t>
        </is>
      </c>
      <c r="E13" s="4" t="inlineStr">
        <is>
          <t>DMA</t>
        </is>
      </c>
      <c r="F13" s="4" t="n"/>
      <c r="G13" s="4" t="inlineStr">
        <is>
          <t>2018gn</t>
        </is>
      </c>
      <c r="H13" s="4" t="n">
        <v>2018</v>
      </c>
      <c r="I13" s="4" t="inlineStr">
        <is>
          <t>old.tds.mlt.ida.reg</t>
        </is>
      </c>
      <c r="J13" t="inlineStr">
        <is>
          <t>IDA - small economy</t>
        </is>
      </c>
      <c r="N13" t="n">
        <v>1.09493648148148</v>
      </c>
      <c r="O13" t="n">
        <v>0.177933407407407</v>
      </c>
      <c r="P13" t="n">
        <v>1.315203</v>
      </c>
      <c r="Q13" t="n">
        <v>1.39480374074074</v>
      </c>
      <c r="R13" t="n">
        <v>1.48679281481481</v>
      </c>
      <c r="S13" t="n">
        <v>1.5740227037037</v>
      </c>
      <c r="T13" t="n">
        <v>1.64848833333333</v>
      </c>
      <c r="U13" t="n">
        <v>1.62822179872917</v>
      </c>
      <c r="V13" t="n">
        <v>1.60820442113544</v>
      </c>
      <c r="W13" t="n">
        <v>1.58843313741297</v>
      </c>
      <c r="X13" t="n">
        <v>1.56890492208088</v>
      </c>
      <c r="Y13" t="n">
        <v>1.54961678685356</v>
      </c>
      <c r="Z13" t="n">
        <v>1.53056578018344</v>
      </c>
      <c r="AA13" t="n">
        <v>1.51174898680928</v>
      </c>
      <c r="AB13" t="n">
        <v>1.49316352731014</v>
      </c>
      <c r="AC13" t="n">
        <v>1.47480655766467</v>
      </c>
      <c r="AD13" t="n">
        <v>1.45667526881599</v>
      </c>
      <c r="AE13" t="n">
        <v>1.43876688624176</v>
      </c>
      <c r="AF13" t="n">
        <v>1.42107866952968</v>
      </c>
      <c r="AG13" t="n">
        <v>1.40360791195809</v>
      </c>
      <c r="AH13" t="n">
        <v>1.38635194008181</v>
      </c>
      <c r="AI13" t="n">
        <v>1.36930811332302</v>
      </c>
      <c r="AJ13" t="n">
        <v>1.3524738235672</v>
      </c>
      <c r="AK13" t="n">
        <v>1.33584649476402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I13" t="inlineStr">
        <is>
          <t>OLD_IDA1</t>
        </is>
      </c>
    </row>
    <row r="14">
      <c r="A14" t="inlineStr">
        <is>
          <t>no_year_in_pairs</t>
        </is>
      </c>
      <c r="B14" s="2" t="n"/>
      <c r="C14" s="3" t="inlineStr">
        <is>
          <t>SM.19.158, Sup. 2</t>
        </is>
      </c>
      <c r="D14" s="4" t="inlineStr">
        <is>
          <t>Dominica</t>
        </is>
      </c>
      <c r="E14" s="4" t="inlineStr">
        <is>
          <t>DMA</t>
        </is>
      </c>
      <c r="F14" s="4" t="n"/>
      <c r="G14" s="4" t="inlineStr">
        <is>
          <t>2018gn</t>
        </is>
      </c>
      <c r="H14" s="4" t="n">
        <v>2018</v>
      </c>
      <c r="I14" s="4" t="inlineStr">
        <is>
          <t>old.tds.mlt.ida.bld</t>
        </is>
      </c>
      <c r="J14" t="inlineStr">
        <is>
          <t>IDA - small economy</t>
        </is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I14" t="inlineStr">
        <is>
          <t>OLD_IDA2</t>
        </is>
      </c>
    </row>
    <row r="15">
      <c r="A15" t="inlineStr">
        <is>
          <t>no_year_in_pairs</t>
        </is>
      </c>
      <c r="B15" s="2" t="n"/>
      <c r="C15" s="3" t="inlineStr">
        <is>
          <t>SM.19.158, Sup. 2</t>
        </is>
      </c>
      <c r="D15" s="4" t="inlineStr">
        <is>
          <t>Dominica</t>
        </is>
      </c>
      <c r="E15" s="4" t="inlineStr">
        <is>
          <t>DMA</t>
        </is>
      </c>
      <c r="F15" s="4" t="n"/>
      <c r="G15" s="4" t="inlineStr">
        <is>
          <t>2018gn</t>
        </is>
      </c>
      <c r="H15" s="4" t="n">
        <v>2018</v>
      </c>
      <c r="I15" s="4" t="inlineStr">
        <is>
          <t>old.tds.mlt2</t>
        </is>
      </c>
      <c r="J15" t="inlineStr">
        <is>
          <t>CDB</t>
        </is>
      </c>
      <c r="N15" t="n">
        <v>9.142997740740741</v>
      </c>
      <c r="O15" t="n">
        <v>3.18720418518518</v>
      </c>
      <c r="P15" t="n">
        <v>6.42152155555555</v>
      </c>
      <c r="Q15" t="n">
        <v>9.07453692592593</v>
      </c>
      <c r="R15" t="n">
        <v>8.915263629629631</v>
      </c>
      <c r="S15" t="n">
        <v>9.139948925925919</v>
      </c>
      <c r="T15" t="n">
        <v>8.951048555555559</v>
      </c>
      <c r="U15" t="n">
        <v>8.29646941049147</v>
      </c>
      <c r="V15" t="n">
        <v>7.6924134837707</v>
      </c>
      <c r="W15" t="n">
        <v>7.13475127807371</v>
      </c>
      <c r="X15" t="n">
        <v>6.61970968034968</v>
      </c>
      <c r="Y15" t="n">
        <v>6.14383974627093</v>
      </c>
      <c r="Z15" t="n">
        <v>5.703987501269419</v>
      </c>
      <c r="AA15" t="n">
        <v>5.29726747097834</v>
      </c>
      <c r="AB15" t="n">
        <v>4.921038678958831</v>
      </c>
      <c r="AC15" t="n">
        <v>4.57288287523777</v>
      </c>
      <c r="AD15" t="n">
        <v>4.250584782288629</v>
      </c>
      <c r="AE15" t="n">
        <v>3.952114165906</v>
      </c>
      <c r="AF15" t="n">
        <v>3.67560955718482</v>
      </c>
      <c r="AG15" t="n">
        <v>3.41936346872256</v>
      </c>
      <c r="AH15" t="n">
        <v>3.18180896340094</v>
      </c>
      <c r="AI15" t="n">
        <v>2.96150744784002</v>
      </c>
      <c r="AJ15" t="n">
        <v>2.75713757500111</v>
      </c>
      <c r="AK15" t="n">
        <v>2.56748515158001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I15" t="inlineStr">
        <is>
          <t>OLD_MULTI1</t>
        </is>
      </c>
    </row>
    <row r="16">
      <c r="A16" t="inlineStr">
        <is>
          <t>no_year_in_pairs</t>
        </is>
      </c>
      <c r="B16" s="2" t="n"/>
      <c r="C16" s="3" t="inlineStr">
        <is>
          <t>SM.19.158, Sup. 2</t>
        </is>
      </c>
      <c r="D16" s="4" t="inlineStr">
        <is>
          <t>Dominica</t>
        </is>
      </c>
      <c r="E16" s="4" t="inlineStr">
        <is>
          <t>DMA</t>
        </is>
      </c>
      <c r="F16" s="4" t="n"/>
      <c r="G16" s="4" t="inlineStr">
        <is>
          <t>2018gn</t>
        </is>
      </c>
      <c r="H16" s="4" t="n">
        <v>2018</v>
      </c>
      <c r="I16" s="4" t="inlineStr">
        <is>
          <t>old.tds.mlt.afdb</t>
        </is>
      </c>
      <c r="J16" t="inlineStr">
        <is>
          <t>MULTI2</t>
        </is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I16" t="inlineStr">
        <is>
          <t>OLD_MULTI2</t>
        </is>
      </c>
    </row>
    <row r="17">
      <c r="A17" t="inlineStr">
        <is>
          <t>no_year_in_pairs</t>
        </is>
      </c>
      <c r="B17" s="2" t="n"/>
      <c r="C17" s="3" t="inlineStr">
        <is>
          <t>SM.19.158, Sup. 2</t>
        </is>
      </c>
      <c r="D17" s="4" t="inlineStr">
        <is>
          <t>Dominica</t>
        </is>
      </c>
      <c r="E17" s="4" t="inlineStr">
        <is>
          <t>DMA</t>
        </is>
      </c>
      <c r="F17" s="4" t="n"/>
      <c r="G17" s="4" t="inlineStr">
        <is>
          <t>2018gn</t>
        </is>
      </c>
      <c r="H17" s="4" t="n">
        <v>2018</v>
      </c>
      <c r="I17" s="4" t="inlineStr">
        <is>
          <t>old.tds.mlt3</t>
        </is>
      </c>
      <c r="J17" t="inlineStr">
        <is>
          <t>MULTI3</t>
        </is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I17" t="inlineStr">
        <is>
          <t>OLD_MULTI3</t>
        </is>
      </c>
    </row>
    <row r="18">
      <c r="A18" t="inlineStr">
        <is>
          <t>no_year_in_pairs</t>
        </is>
      </c>
      <c r="B18" s="2" t="n"/>
      <c r="C18" s="3" t="inlineStr">
        <is>
          <t>SM.19.158, Sup. 2</t>
        </is>
      </c>
      <c r="D18" s="4" t="inlineStr">
        <is>
          <t>Dominica</t>
        </is>
      </c>
      <c r="E18" s="4" t="inlineStr">
        <is>
          <t>DMA</t>
        </is>
      </c>
      <c r="F18" s="4" t="n"/>
      <c r="G18" s="4" t="inlineStr">
        <is>
          <t>2018gn</t>
        </is>
      </c>
      <c r="H18" s="4" t="n">
        <v>2018</v>
      </c>
      <c r="I18" s="4" t="inlineStr">
        <is>
          <t>old.tds.mlt.oth</t>
        </is>
      </c>
      <c r="J18" t="inlineStr">
        <is>
          <t>Other Multilaterals</t>
        </is>
      </c>
      <c r="N18" t="n">
        <v>3.15133485185185</v>
      </c>
      <c r="O18" t="n">
        <v>1.24653044444444</v>
      </c>
      <c r="P18" t="n">
        <v>2.51753096296297</v>
      </c>
      <c r="Q18" t="n">
        <v>3.93167074074074</v>
      </c>
      <c r="R18" t="n">
        <v>3.28132781481481</v>
      </c>
      <c r="S18" t="n">
        <v>3.17288440740741</v>
      </c>
      <c r="T18" t="n">
        <v>3.50853333333333</v>
      </c>
      <c r="U18" t="n">
        <v>2.1568401334553</v>
      </c>
      <c r="V18" t="n">
        <v>2.93535648474257</v>
      </c>
      <c r="W18" t="n">
        <v>3.10488450704705</v>
      </c>
      <c r="X18" t="n">
        <v>3.23322216057992</v>
      </c>
      <c r="Y18" t="n">
        <v>3.29921282149621</v>
      </c>
      <c r="Z18" t="n">
        <v>3.18656679133725</v>
      </c>
      <c r="AA18" t="n">
        <v>2.44259819376742</v>
      </c>
      <c r="AB18" t="n">
        <v>0.319109569942808</v>
      </c>
      <c r="AC18" t="n">
        <v>0.387212245505375</v>
      </c>
      <c r="AD18" t="n">
        <v>0.431828340875427</v>
      </c>
      <c r="AE18" t="n">
        <v>0.464656393211936</v>
      </c>
      <c r="AF18" t="n">
        <v>0.506057292955455</v>
      </c>
      <c r="AG18" t="n">
        <v>0.529181085250614</v>
      </c>
      <c r="AH18" t="n">
        <v>0.540261190250789</v>
      </c>
      <c r="AI18" t="n">
        <v>0.54410386928526</v>
      </c>
      <c r="AJ18" t="n">
        <v>0.5432358857360421</v>
      </c>
      <c r="AK18" t="n">
        <v>0.538635856797934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</row>
    <row r="19">
      <c r="A19" t="inlineStr">
        <is>
          <t>no_year_in_pairs</t>
        </is>
      </c>
      <c r="B19" s="2" t="n"/>
      <c r="C19" s="3" t="inlineStr">
        <is>
          <t>SM.19.158, Sup. 2</t>
        </is>
      </c>
      <c r="D19" s="4" t="inlineStr">
        <is>
          <t>Dominica</t>
        </is>
      </c>
      <c r="E19" s="4" t="inlineStr">
        <is>
          <t>DMA</t>
        </is>
      </c>
      <c r="F19" s="4" t="n"/>
      <c r="G19" s="4" t="inlineStr">
        <is>
          <t>2018gn</t>
        </is>
      </c>
      <c r="H19" s="4" t="n">
        <v>2018</v>
      </c>
      <c r="I19" s="4" t="inlineStr">
        <is>
          <t>old.tds.mlt.oth1</t>
        </is>
      </c>
      <c r="J19" t="inlineStr">
        <is>
          <t>OTH_MULTI1</t>
        </is>
      </c>
      <c r="N19" t="n">
        <v>3.15133485185185</v>
      </c>
      <c r="O19" t="n">
        <v>1.24653044444444</v>
      </c>
      <c r="P19" t="n">
        <v>2.51753096296297</v>
      </c>
      <c r="Q19" t="n">
        <v>3.93167074074074</v>
      </c>
      <c r="R19" t="n">
        <v>3.28132781481481</v>
      </c>
      <c r="S19" t="n">
        <v>3.17288440740741</v>
      </c>
      <c r="T19" t="n">
        <v>3.50853333333333</v>
      </c>
      <c r="U19" t="n">
        <v>2.1568401334553</v>
      </c>
      <c r="V19" t="n">
        <v>2.93535648474257</v>
      </c>
      <c r="W19" t="n">
        <v>3.10488450704705</v>
      </c>
      <c r="X19" t="n">
        <v>3.23322216057992</v>
      </c>
      <c r="Y19" t="n">
        <v>3.29921282149621</v>
      </c>
      <c r="Z19" t="n">
        <v>3.18656679133725</v>
      </c>
      <c r="AA19" t="n">
        <v>2.44259819376742</v>
      </c>
      <c r="AB19" t="n">
        <v>0.319109569942808</v>
      </c>
      <c r="AC19" t="n">
        <v>0.387212245505375</v>
      </c>
      <c r="AD19" t="n">
        <v>0.431828340875427</v>
      </c>
      <c r="AE19" t="n">
        <v>0.464656393211936</v>
      </c>
      <c r="AF19" t="n">
        <v>0.506057292955455</v>
      </c>
      <c r="AG19" t="n">
        <v>0.529181085250614</v>
      </c>
      <c r="AH19" t="n">
        <v>0.540261190250789</v>
      </c>
      <c r="AI19" t="n">
        <v>0.54410386928526</v>
      </c>
      <c r="AJ19" t="n">
        <v>0.5432358857360421</v>
      </c>
      <c r="AK19" t="n">
        <v>0.538635856797934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I19" t="inlineStr">
        <is>
          <t>OLD_OTH_MULTI1</t>
        </is>
      </c>
    </row>
    <row r="20">
      <c r="A20" t="inlineStr">
        <is>
          <t>no_year_in_pairs</t>
        </is>
      </c>
      <c r="B20" s="2" t="n"/>
      <c r="C20" s="3" t="inlineStr">
        <is>
          <t>SM.19.158, Sup. 2</t>
        </is>
      </c>
      <c r="D20" s="4" t="inlineStr">
        <is>
          <t>Dominica</t>
        </is>
      </c>
      <c r="E20" s="4" t="inlineStr">
        <is>
          <t>DMA</t>
        </is>
      </c>
      <c r="F20" s="4" t="n"/>
      <c r="G20" s="4" t="inlineStr">
        <is>
          <t>2018gn</t>
        </is>
      </c>
      <c r="H20" s="4" t="n">
        <v>2018</v>
      </c>
      <c r="I20" s="4" t="inlineStr">
        <is>
          <t>old.tds.mlt.oth2</t>
        </is>
      </c>
      <c r="J20" t="inlineStr">
        <is>
          <t>OTH_MULTI2</t>
        </is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I20" t="inlineStr">
        <is>
          <t>OLD_OTH_MULTI2</t>
        </is>
      </c>
    </row>
    <row r="21">
      <c r="A21" t="inlineStr">
        <is>
          <t>no_year_in_pairs</t>
        </is>
      </c>
      <c r="B21" s="2" t="n"/>
      <c r="C21" s="3" t="inlineStr">
        <is>
          <t>SM.19.158, Sup. 2</t>
        </is>
      </c>
      <c r="D21" s="4" t="inlineStr">
        <is>
          <t>Dominica</t>
        </is>
      </c>
      <c r="E21" s="4" t="inlineStr">
        <is>
          <t>DMA</t>
        </is>
      </c>
      <c r="F21" s="4" t="n"/>
      <c r="G21" s="4" t="inlineStr">
        <is>
          <t>2018gn</t>
        </is>
      </c>
      <c r="H21" s="4" t="n">
        <v>2018</v>
      </c>
      <c r="I21" s="4" t="inlineStr">
        <is>
          <t>old.tds.mlt.oth3</t>
        </is>
      </c>
      <c r="J21" t="inlineStr">
        <is>
          <t>OTH_MULTI3</t>
        </is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I21" t="inlineStr">
        <is>
          <t>OLD_OTH_MULTI3</t>
        </is>
      </c>
    </row>
    <row r="22">
      <c r="A22" t="inlineStr">
        <is>
          <t>no_year_in_pairs</t>
        </is>
      </c>
      <c r="B22" s="2" t="n"/>
      <c r="C22" s="3" t="inlineStr">
        <is>
          <t>SM.19.158, Sup. 2</t>
        </is>
      </c>
      <c r="D22" s="4" t="inlineStr">
        <is>
          <t>Dominica</t>
        </is>
      </c>
      <c r="E22" s="4" t="inlineStr">
        <is>
          <t>DMA</t>
        </is>
      </c>
      <c r="F22" s="4" t="n"/>
      <c r="G22" s="4" t="inlineStr">
        <is>
          <t>2018gn</t>
        </is>
      </c>
      <c r="H22" s="4" t="n">
        <v>2018</v>
      </c>
      <c r="I22" s="4" t="inlineStr">
        <is>
          <t>old.tds.blt</t>
        </is>
      </c>
      <c r="J22" t="inlineStr">
        <is>
          <t>Official Bilaterals</t>
        </is>
      </c>
      <c r="N22" t="n">
        <v>9.785817138604642</v>
      </c>
      <c r="O22" t="n">
        <v>1.587388727451696</v>
      </c>
      <c r="P22" t="n">
        <v>8.226584241786158</v>
      </c>
      <c r="Q22" t="n">
        <v>8.088290872792214</v>
      </c>
      <c r="R22" t="n">
        <v>7.524840742517858</v>
      </c>
      <c r="S22" t="n">
        <v>7.336878546386275</v>
      </c>
      <c r="T22" t="n">
        <v>7.183369979426452</v>
      </c>
      <c r="U22" t="n">
        <v>6.397366602498808</v>
      </c>
      <c r="V22" t="n">
        <v>6.066855268643654</v>
      </c>
      <c r="W22" t="n">
        <v>5.704613001262476</v>
      </c>
      <c r="X22" t="n">
        <v>5.390998300337429</v>
      </c>
      <c r="Y22" t="n">
        <v>5.056719249691732</v>
      </c>
      <c r="Z22" t="n">
        <v>4.692086046172691</v>
      </c>
      <c r="AA22" t="n">
        <v>4.401833005951601</v>
      </c>
      <c r="AB22" t="n">
        <v>2.452111595505081</v>
      </c>
      <c r="AC22" t="n">
        <v>0.8324478913009892</v>
      </c>
      <c r="AD22" t="n">
        <v>0.576276980213416</v>
      </c>
      <c r="AE22" t="n">
        <v>0.3584995724845641</v>
      </c>
      <c r="AF22" t="n">
        <v>0.005615839414022855</v>
      </c>
      <c r="AG22" t="n">
        <v>0.004445721005291267</v>
      </c>
      <c r="AH22" t="n">
        <v>0.004285193198248771</v>
      </c>
      <c r="AI22" t="n">
        <v>0.003015783233358368</v>
      </c>
      <c r="AJ22" t="n">
        <v>-1.99615107819487</v>
      </c>
      <c r="AK22" t="n">
        <v>-1.99999992747132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I22" t="inlineStr">
        <is>
          <t>OLD_OB</t>
        </is>
      </c>
    </row>
    <row r="23">
      <c r="A23" t="inlineStr">
        <is>
          <t>no_year_in_pairs</t>
        </is>
      </c>
      <c r="B23" s="2" t="n"/>
      <c r="C23" s="3" t="inlineStr">
        <is>
          <t>SM.19.158, Sup. 2</t>
        </is>
      </c>
      <c r="D23" s="4" t="inlineStr">
        <is>
          <t>Dominica</t>
        </is>
      </c>
      <c r="E23" s="4" t="inlineStr">
        <is>
          <t>DMA</t>
        </is>
      </c>
      <c r="F23" s="4" t="n"/>
      <c r="G23" s="4" t="inlineStr">
        <is>
          <t>2018gn</t>
        </is>
      </c>
      <c r="H23" s="4" t="n">
        <v>2018</v>
      </c>
      <c r="I23" s="4" t="inlineStr">
        <is>
          <t>old.tds.pc</t>
        </is>
      </c>
      <c r="J23" t="inlineStr">
        <is>
          <t xml:space="preserve">   Paris Club</t>
        </is>
      </c>
      <c r="N23" t="n">
        <v>4.39346411111111</v>
      </c>
      <c r="O23" t="n">
        <v>1.2581427037037</v>
      </c>
      <c r="P23" t="n">
        <v>3.45325874074074</v>
      </c>
      <c r="Q23" t="n">
        <v>2.78387781481481</v>
      </c>
      <c r="R23" t="n">
        <v>2.71946996296296</v>
      </c>
      <c r="S23" t="n">
        <v>2.66727392592593</v>
      </c>
      <c r="T23" t="n">
        <v>2.61793955555556</v>
      </c>
      <c r="U23" t="n">
        <v>2.04121424796273</v>
      </c>
      <c r="V23" t="n">
        <v>1.59154006248636</v>
      </c>
      <c r="W23" t="n">
        <v>1.2409279295533</v>
      </c>
      <c r="X23" t="n">
        <v>0.967554736850132</v>
      </c>
      <c r="Y23" t="n">
        <v>0.754404946899796</v>
      </c>
      <c r="Z23" t="n">
        <v>0.588211500839397</v>
      </c>
      <c r="AA23" t="n">
        <v>0.458630038338935</v>
      </c>
      <c r="AB23" t="n">
        <v>0.35759503472239</v>
      </c>
      <c r="AC23" t="n">
        <v>0.278817779405034</v>
      </c>
      <c r="AD23" t="n">
        <v>0.217394948374227</v>
      </c>
      <c r="AE23" t="n">
        <v>0.169503407133798</v>
      </c>
      <c r="AF23" t="n">
        <v>0.132162247765332</v>
      </c>
      <c r="AG23" t="n">
        <v>0.103047248605436</v>
      </c>
      <c r="AH23" t="n">
        <v>0.08034620797313641</v>
      </c>
      <c r="AI23" t="n">
        <v>0.0626461475005549</v>
      </c>
      <c r="AJ23" t="n">
        <v>0.0488453642762262</v>
      </c>
      <c r="AK23" t="n">
        <v>0.03808485767231101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I23" t="inlineStr">
        <is>
          <t>OLD_PC_ALL</t>
        </is>
      </c>
    </row>
    <row r="24">
      <c r="A24" t="inlineStr">
        <is>
          <t>no_year_in_pairs</t>
        </is>
      </c>
      <c r="B24" s="2" t="n"/>
      <c r="C24" s="3" t="inlineStr">
        <is>
          <t>SM.19.158, Sup. 2</t>
        </is>
      </c>
      <c r="D24" s="4" t="inlineStr">
        <is>
          <t>Dominica</t>
        </is>
      </c>
      <c r="E24" s="4" t="inlineStr">
        <is>
          <t>DMA</t>
        </is>
      </c>
      <c r="F24" s="4" t="n"/>
      <c r="G24" s="4" t="inlineStr">
        <is>
          <t>2018gn</t>
        </is>
      </c>
      <c r="H24" s="4" t="n">
        <v>2018</v>
      </c>
      <c r="I24" s="4" t="inlineStr">
        <is>
          <t>old.tds.pc1</t>
        </is>
      </c>
      <c r="J24" t="inlineStr">
        <is>
          <t>Export Credit Agencies</t>
        </is>
      </c>
      <c r="N24" t="n">
        <v>4.39346411111111</v>
      </c>
      <c r="O24" t="n">
        <v>1.2581427037037</v>
      </c>
      <c r="P24" t="n">
        <v>3.45325874074074</v>
      </c>
      <c r="Q24" t="n">
        <v>2.78387781481481</v>
      </c>
      <c r="R24" t="n">
        <v>2.71946996296296</v>
      </c>
      <c r="S24" t="n">
        <v>2.66727392592593</v>
      </c>
      <c r="T24" t="n">
        <v>2.61793955555556</v>
      </c>
      <c r="U24" t="n">
        <v>2.04121424796273</v>
      </c>
      <c r="V24" t="n">
        <v>1.59154006248636</v>
      </c>
      <c r="W24" t="n">
        <v>1.2409279295533</v>
      </c>
      <c r="X24" t="n">
        <v>0.967554736850132</v>
      </c>
      <c r="Y24" t="n">
        <v>0.754404946899796</v>
      </c>
      <c r="Z24" t="n">
        <v>0.588211500839397</v>
      </c>
      <c r="AA24" t="n">
        <v>0.458630038338935</v>
      </c>
      <c r="AB24" t="n">
        <v>0.35759503472239</v>
      </c>
      <c r="AC24" t="n">
        <v>0.278817779405034</v>
      </c>
      <c r="AD24" t="n">
        <v>0.217394948374227</v>
      </c>
      <c r="AE24" t="n">
        <v>0.169503407133798</v>
      </c>
      <c r="AF24" t="n">
        <v>0.132162247765332</v>
      </c>
      <c r="AG24" t="n">
        <v>0.103047248605436</v>
      </c>
      <c r="AH24" t="n">
        <v>0.08034620797313641</v>
      </c>
      <c r="AI24" t="n">
        <v>0.0626461475005549</v>
      </c>
      <c r="AJ24" t="n">
        <v>0.0488453642762262</v>
      </c>
      <c r="AK24" t="n">
        <v>0.03808485767231101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I24" t="inlineStr">
        <is>
          <t>OLD_PC1</t>
        </is>
      </c>
    </row>
    <row r="25">
      <c r="A25" t="inlineStr">
        <is>
          <t>no_year_in_pairs</t>
        </is>
      </c>
      <c r="B25" s="2" t="n"/>
      <c r="C25" s="3" t="inlineStr">
        <is>
          <t>SM.19.158, Sup. 2</t>
        </is>
      </c>
      <c r="D25" s="4" t="inlineStr">
        <is>
          <t>Dominica</t>
        </is>
      </c>
      <c r="E25" s="4" t="inlineStr">
        <is>
          <t>DMA</t>
        </is>
      </c>
      <c r="F25" s="4" t="n"/>
      <c r="G25" s="4" t="inlineStr">
        <is>
          <t>2018gn</t>
        </is>
      </c>
      <c r="H25" s="4" t="n">
        <v>2018</v>
      </c>
      <c r="I25" s="4" t="inlineStr">
        <is>
          <t>old.tds.pc2</t>
        </is>
      </c>
      <c r="J25" t="inlineStr">
        <is>
          <t>PC2</t>
        </is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I25" t="inlineStr">
        <is>
          <t>OLD_PC2</t>
        </is>
      </c>
    </row>
    <row r="26">
      <c r="A26" t="inlineStr">
        <is>
          <t>no_year_in_pairs</t>
        </is>
      </c>
      <c r="B26" s="2" t="n"/>
      <c r="C26" s="3" t="inlineStr">
        <is>
          <t>SM.19.158, Sup. 2</t>
        </is>
      </c>
      <c r="D26" s="4" t="inlineStr">
        <is>
          <t>Dominica</t>
        </is>
      </c>
      <c r="E26" s="4" t="inlineStr">
        <is>
          <t>DMA</t>
        </is>
      </c>
      <c r="F26" s="4" t="n"/>
      <c r="G26" s="4" t="inlineStr">
        <is>
          <t>2018gn</t>
        </is>
      </c>
      <c r="H26" s="4" t="n">
        <v>2018</v>
      </c>
      <c r="I26" s="4" t="inlineStr">
        <is>
          <t>old.tds.pc3</t>
        </is>
      </c>
      <c r="J26" t="inlineStr">
        <is>
          <t>PC3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I26" t="inlineStr">
        <is>
          <t>OLD_PC3</t>
        </is>
      </c>
    </row>
    <row r="27">
      <c r="A27" t="inlineStr">
        <is>
          <t>no_year_in_pairs</t>
        </is>
      </c>
      <c r="B27" s="2" t="n"/>
      <c r="C27" s="3" t="inlineStr">
        <is>
          <t>SM.19.158, Sup. 2</t>
        </is>
      </c>
      <c r="D27" s="4" t="inlineStr">
        <is>
          <t>Dominica</t>
        </is>
      </c>
      <c r="E27" s="4" t="inlineStr">
        <is>
          <t>DMA</t>
        </is>
      </c>
      <c r="F27" s="4" t="n"/>
      <c r="G27" s="4" t="inlineStr">
        <is>
          <t>2018gn</t>
        </is>
      </c>
      <c r="H27" s="4" t="n">
        <v>2018</v>
      </c>
      <c r="I27" s="4" t="inlineStr">
        <is>
          <t>old.tds.pc4</t>
        </is>
      </c>
      <c r="J27" t="inlineStr">
        <is>
          <t>PC4</t>
        </is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I27" t="inlineStr">
        <is>
          <t>OLD_PC4</t>
        </is>
      </c>
    </row>
    <row r="28">
      <c r="A28" t="inlineStr">
        <is>
          <t>no_year_in_pairs</t>
        </is>
      </c>
      <c r="B28" s="2" t="n"/>
      <c r="C28" s="3" t="inlineStr">
        <is>
          <t>SM.19.158, Sup. 2</t>
        </is>
      </c>
      <c r="D28" s="4" t="inlineStr">
        <is>
          <t>Dominica</t>
        </is>
      </c>
      <c r="E28" s="4" t="inlineStr">
        <is>
          <t>DMA</t>
        </is>
      </c>
      <c r="F28" s="4" t="n"/>
      <c r="G28" s="4" t="inlineStr">
        <is>
          <t>2018gn</t>
        </is>
      </c>
      <c r="H28" s="4" t="n">
        <v>2018</v>
      </c>
      <c r="I28" s="4" t="inlineStr">
        <is>
          <t>old.tds.pc5</t>
        </is>
      </c>
      <c r="J28" t="inlineStr">
        <is>
          <t>PC5</t>
        </is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I28" t="inlineStr">
        <is>
          <t>OLD_PC5</t>
        </is>
      </c>
    </row>
    <row r="29">
      <c r="A29" t="inlineStr">
        <is>
          <t>no_year_in_pairs</t>
        </is>
      </c>
      <c r="B29" s="2" t="n"/>
      <c r="C29" s="3" t="inlineStr">
        <is>
          <t>SM.19.158, Sup. 2</t>
        </is>
      </c>
      <c r="D29" s="4" t="inlineStr">
        <is>
          <t>Dominica</t>
        </is>
      </c>
      <c r="E29" s="4" t="inlineStr">
        <is>
          <t>DMA</t>
        </is>
      </c>
      <c r="F29" s="4" t="n"/>
      <c r="G29" s="4" t="inlineStr">
        <is>
          <t>2018gn</t>
        </is>
      </c>
      <c r="H29" s="4" t="n">
        <v>2018</v>
      </c>
      <c r="I29" s="4" t="inlineStr">
        <is>
          <t>old.tds.npc</t>
        </is>
      </c>
      <c r="J29" t="inlineStr">
        <is>
          <t xml:space="preserve">   Non-Paris Club</t>
        </is>
      </c>
      <c r="N29" t="n">
        <v>5.392353027493533</v>
      </c>
      <c r="O29" t="n">
        <v>0.3292460237479954</v>
      </c>
      <c r="P29" t="n">
        <v>4.773325501045418</v>
      </c>
      <c r="Q29" t="n">
        <v>5.304413057977404</v>
      </c>
      <c r="R29" t="n">
        <v>4.805370779554898</v>
      </c>
      <c r="S29" t="n">
        <v>4.669604620460346</v>
      </c>
      <c r="T29" t="n">
        <v>4.565430423870892</v>
      </c>
      <c r="U29" t="n">
        <v>4.356152354536079</v>
      </c>
      <c r="V29" t="n">
        <v>4.475315206157294</v>
      </c>
      <c r="W29" t="n">
        <v>4.463685071709175</v>
      </c>
      <c r="X29" t="n">
        <v>4.423443563487298</v>
      </c>
      <c r="Y29" t="n">
        <v>4.302314302791936</v>
      </c>
      <c r="Z29" t="n">
        <v>4.103874545333294</v>
      </c>
      <c r="AA29" t="n">
        <v>3.943202967612666</v>
      </c>
      <c r="AB29" t="n">
        <v>2.094516560782691</v>
      </c>
      <c r="AC29" t="n">
        <v>0.5536301118959551</v>
      </c>
      <c r="AD29" t="n">
        <v>0.358882031839189</v>
      </c>
      <c r="AE29" t="n">
        <v>0.1889961653507661</v>
      </c>
      <c r="AF29" t="n">
        <v>-0.1265464083513091</v>
      </c>
      <c r="AG29" t="n">
        <v>-0.09860152760014473</v>
      </c>
      <c r="AH29" t="n">
        <v>-0.07606101477488764</v>
      </c>
      <c r="AI29" t="n">
        <v>-0.05963036426719653</v>
      </c>
      <c r="AJ29" t="n">
        <v>-2.044996442471096</v>
      </c>
      <c r="AK29" t="n">
        <v>-2.038084785143631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I29" t="inlineStr">
        <is>
          <t>OLD_NPC_ALL</t>
        </is>
      </c>
    </row>
    <row r="30">
      <c r="A30" t="inlineStr">
        <is>
          <t>no_year_in_pairs</t>
        </is>
      </c>
      <c r="B30" s="2" t="n"/>
      <c r="C30" s="3" t="inlineStr">
        <is>
          <t>SM.19.158, Sup. 2</t>
        </is>
      </c>
      <c r="D30" s="4" t="inlineStr">
        <is>
          <t>Dominica</t>
        </is>
      </c>
      <c r="E30" s="4" t="inlineStr">
        <is>
          <t>DMA</t>
        </is>
      </c>
      <c r="F30" s="4" t="n"/>
      <c r="G30" s="4" t="inlineStr">
        <is>
          <t>2018gn</t>
        </is>
      </c>
      <c r="H30" s="4" t="n">
        <v>2018</v>
      </c>
      <c r="I30" s="6" t="inlineStr">
        <is>
          <t>old.tds.npc.eximbk</t>
        </is>
      </c>
      <c r="J30" t="inlineStr">
        <is>
          <t>Export Import Bank of NPC</t>
        </is>
      </c>
      <c r="N30" t="n">
        <v>0.621019444444444</v>
      </c>
      <c r="O30" t="n">
        <v>0</v>
      </c>
      <c r="P30" t="n">
        <v>0.5880506296296301</v>
      </c>
      <c r="Q30" t="n">
        <v>0.572204</v>
      </c>
      <c r="R30" t="n">
        <v>0.0974182222222222</v>
      </c>
      <c r="S30" t="n">
        <v>0.0517803703703704</v>
      </c>
      <c r="T30" t="n">
        <v>0.0502312962962963</v>
      </c>
      <c r="U30" t="n">
        <v>0.0390673083430259</v>
      </c>
      <c r="V30" t="n">
        <v>0.0303845350151077</v>
      </c>
      <c r="W30" t="n">
        <v>0.0236315222942436</v>
      </c>
      <c r="X30" t="n">
        <v>0.0183793777217805</v>
      </c>
      <c r="Y30" t="n">
        <v>0.0142945308911465</v>
      </c>
      <c r="Z30" t="n">
        <v>0.0111175479655003</v>
      </c>
      <c r="AA30" t="n">
        <v>0.008646654703565841</v>
      </c>
      <c r="AB30" t="n">
        <v>0.006724921519988511</v>
      </c>
      <c r="AC30" t="n">
        <v>0.005230296687035989</v>
      </c>
      <c r="AD30" t="n">
        <v>0.00406785467356152</v>
      </c>
      <c r="AE30" t="n">
        <v>0.00316376730334081</v>
      </c>
      <c r="AF30" t="n">
        <v>0.00246061483335266</v>
      </c>
      <c r="AG30" t="n">
        <v>0.00191373915259877</v>
      </c>
      <c r="AH30" t="n">
        <v>0.00148840748846471</v>
      </c>
      <c r="AI30" t="n">
        <v>0.00115760648399208</v>
      </c>
      <c r="AJ30" t="n">
        <v>0.000900326545093346</v>
      </c>
      <c r="AK30" t="n">
        <v>0.000700227494411017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I30" t="inlineStr">
        <is>
          <t>OLD_NPC1</t>
        </is>
      </c>
    </row>
    <row r="31">
      <c r="A31" t="inlineStr">
        <is>
          <t>no_year_in_pairs</t>
        </is>
      </c>
      <c r="B31" s="2" t="n"/>
      <c r="C31" s="3" t="inlineStr">
        <is>
          <t>SM.19.158, Sup. 2</t>
        </is>
      </c>
      <c r="D31" s="4" t="inlineStr">
        <is>
          <t>Dominica</t>
        </is>
      </c>
      <c r="E31" s="4" t="inlineStr">
        <is>
          <t>DMA</t>
        </is>
      </c>
      <c r="F31" s="4" t="n"/>
      <c r="G31" s="4" t="inlineStr">
        <is>
          <t>2018gn</t>
        </is>
      </c>
      <c r="H31" s="4" t="n">
        <v>2018</v>
      </c>
      <c r="I31" s="4" t="inlineStr">
        <is>
          <t>old.tds.npc2</t>
        </is>
      </c>
      <c r="J31" t="inlineStr">
        <is>
          <t>NPC2</t>
        </is>
      </c>
      <c r="N31" t="n">
        <v>0.394851111111111</v>
      </c>
      <c r="O31" t="n">
        <v>0.188230592592593</v>
      </c>
      <c r="P31" t="n">
        <v>0.367191</v>
      </c>
      <c r="Q31" t="n">
        <v>0.354830777777778</v>
      </c>
      <c r="R31" t="n">
        <v>0.342470518518519</v>
      </c>
      <c r="S31" t="n">
        <v>0.330110296296296</v>
      </c>
      <c r="T31" t="n">
        <v>0.304600888888889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I31" t="inlineStr">
        <is>
          <t>OLD_NPC2</t>
        </is>
      </c>
    </row>
    <row r="32">
      <c r="A32" t="inlineStr">
        <is>
          <t>no_year_in_pairs</t>
        </is>
      </c>
      <c r="B32" s="2" t="n"/>
      <c r="C32" s="3" t="inlineStr">
        <is>
          <t>SM.19.158, Sup. 2</t>
        </is>
      </c>
      <c r="D32" s="4" t="inlineStr">
        <is>
          <t>Dominica</t>
        </is>
      </c>
      <c r="E32" s="4" t="inlineStr">
        <is>
          <t>DMA</t>
        </is>
      </c>
      <c r="F32" s="4" t="n"/>
      <c r="G32" s="4" t="inlineStr">
        <is>
          <t>2018gn</t>
        </is>
      </c>
      <c r="H32" s="4" t="n">
        <v>2018</v>
      </c>
      <c r="I32" s="4" t="inlineStr">
        <is>
          <t>old.tds.npc3</t>
        </is>
      </c>
      <c r="J32" t="inlineStr">
        <is>
          <t>NPC3</t>
        </is>
      </c>
      <c r="N32" t="n">
        <v>3.68818018518519</v>
      </c>
      <c r="O32" t="n">
        <v>0</v>
      </c>
      <c r="P32" t="n">
        <v>3.42296088888889</v>
      </c>
      <c r="Q32" t="n">
        <v>3.36477148148148</v>
      </c>
      <c r="R32" t="n">
        <v>3.30828444444444</v>
      </c>
      <c r="S32" t="n">
        <v>3.25179737037037</v>
      </c>
      <c r="T32" t="n">
        <v>3.19639362962963</v>
      </c>
      <c r="U32" t="n">
        <v>2.77020781347896</v>
      </c>
      <c r="V32" t="n">
        <v>2.40084677266394</v>
      </c>
      <c r="W32" t="n">
        <v>2.0807338704933</v>
      </c>
      <c r="X32" t="n">
        <v>1.80330268849858</v>
      </c>
      <c r="Y32" t="n">
        <v>1.56286233067146</v>
      </c>
      <c r="Z32" t="n">
        <v>1.35448068713605</v>
      </c>
      <c r="AA32" t="n">
        <v>1.1738832626648</v>
      </c>
      <c r="AB32" t="n">
        <v>1.01736549472569</v>
      </c>
      <c r="AC32" t="n">
        <v>0.881716762456308</v>
      </c>
      <c r="AD32" t="n">
        <v>0.7641545277747459</v>
      </c>
      <c r="AE32" t="n">
        <v>0.66226725767571</v>
      </c>
      <c r="AF32" t="n">
        <v>0.573964956887088</v>
      </c>
      <c r="AG32" t="n">
        <v>0.497436296172308</v>
      </c>
      <c r="AH32" t="n">
        <v>0.431111456859033</v>
      </c>
      <c r="AI32" t="n">
        <v>0.373629929430679</v>
      </c>
      <c r="AJ32" t="n">
        <v>0.323812605639058</v>
      </c>
      <c r="AK32" t="n">
        <v>0.280637591668658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I32" t="inlineStr">
        <is>
          <t>OLD_NPC3</t>
        </is>
      </c>
    </row>
    <row r="33">
      <c r="A33" t="inlineStr">
        <is>
          <t>no_year_in_pairs</t>
        </is>
      </c>
      <c r="B33" s="2" t="n"/>
      <c r="C33" s="3" t="inlineStr">
        <is>
          <t>SM.19.158, Sup. 2</t>
        </is>
      </c>
      <c r="D33" s="4" t="inlineStr">
        <is>
          <t>Dominica</t>
        </is>
      </c>
      <c r="E33" s="4" t="inlineStr">
        <is>
          <t>DMA</t>
        </is>
      </c>
      <c r="F33" s="4" t="n"/>
      <c r="G33" s="4" t="inlineStr">
        <is>
          <t>2018gn</t>
        </is>
      </c>
      <c r="H33" s="4" t="n">
        <v>2018</v>
      </c>
      <c r="I33" s="4" t="inlineStr">
        <is>
          <t>old.tds.npc4</t>
        </is>
      </c>
      <c r="J33" t="inlineStr">
        <is>
          <t>NPC4</t>
        </is>
      </c>
      <c r="N33" t="n">
        <v>0.00271510156760436</v>
      </c>
      <c r="O33" t="n">
        <v>0.00288780152577235</v>
      </c>
      <c r="P33" t="n">
        <v>0.00306672326763862</v>
      </c>
      <c r="Q33" t="n">
        <v>0.0032912801996261</v>
      </c>
      <c r="R33" t="n">
        <v>0.0034812239993471</v>
      </c>
      <c r="S33" t="n">
        <v>0.00366502786774961</v>
      </c>
      <c r="T33" t="n">
        <v>0.00382323868570689</v>
      </c>
      <c r="U33" t="n">
        <v>0.00396059277907202</v>
      </c>
      <c r="V33" t="n">
        <v>0.00408357101090654</v>
      </c>
      <c r="W33" t="n">
        <v>0.00419826970254165</v>
      </c>
      <c r="X33" t="n">
        <v>0.00431826013374694</v>
      </c>
      <c r="Y33" t="n">
        <v>0.00444377112791033</v>
      </c>
      <c r="Z33" t="n">
        <v>0.00457504140161417</v>
      </c>
      <c r="AA33" t="n">
        <v>0.0047123199971397</v>
      </c>
      <c r="AB33" t="n">
        <v>0.00485586672324195</v>
      </c>
      <c r="AC33" t="n">
        <v>0.00500404623593609</v>
      </c>
      <c r="AD33" t="n">
        <v>0.004790729552288499</v>
      </c>
      <c r="AE33" t="n">
        <v>0.0047495005844113</v>
      </c>
      <c r="AF33" t="n">
        <v>0.00466072925273613</v>
      </c>
      <c r="AG33" t="n">
        <v>0.00430245448109849</v>
      </c>
      <c r="AH33" t="n">
        <v>0.00426370321961974</v>
      </c>
      <c r="AI33" t="n">
        <v>0.00301255973656336</v>
      </c>
      <c r="AJ33" t="n">
        <v>0.00384843828061241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I33" t="inlineStr">
        <is>
          <t>OLD_NPC4</t>
        </is>
      </c>
    </row>
    <row r="34">
      <c r="A34" t="inlineStr">
        <is>
          <t>no_year_in_pairs</t>
        </is>
      </c>
      <c r="B34" s="2" t="n"/>
      <c r="C34" s="3" t="inlineStr">
        <is>
          <t>SM.19.158, Sup. 2</t>
        </is>
      </c>
      <c r="D34" s="4" t="inlineStr">
        <is>
          <t>Dominica</t>
        </is>
      </c>
      <c r="E34" s="4" t="inlineStr">
        <is>
          <t>DMA</t>
        </is>
      </c>
      <c r="F34" s="4" t="n"/>
      <c r="G34" s="4" t="inlineStr">
        <is>
          <t>2018gn</t>
        </is>
      </c>
      <c r="H34" s="4" t="n">
        <v>2018</v>
      </c>
      <c r="I34" s="4" t="inlineStr">
        <is>
          <t>old.tds.npc5</t>
        </is>
      </c>
      <c r="J34" t="inlineStr">
        <is>
          <t>NPC5</t>
        </is>
      </c>
      <c r="N34" t="n">
        <v>0.685587185185184</v>
      </c>
      <c r="O34" t="n">
        <v>0.13812762962963</v>
      </c>
      <c r="P34" t="n">
        <v>0.39205625925926</v>
      </c>
      <c r="Q34" t="n">
        <v>1.00931551851852</v>
      </c>
      <c r="R34" t="n">
        <v>1.05371637037037</v>
      </c>
      <c r="S34" t="n">
        <v>1.03225155555556</v>
      </c>
      <c r="T34" t="n">
        <v>1.01038137037037</v>
      </c>
      <c r="U34" t="n">
        <v>1.54291663993502</v>
      </c>
      <c r="V34" t="n">
        <v>2.04000032746734</v>
      </c>
      <c r="W34" t="n">
        <v>2.35512140921909</v>
      </c>
      <c r="X34" t="n">
        <v>2.59744323713319</v>
      </c>
      <c r="Y34" t="n">
        <v>2.72071367010142</v>
      </c>
      <c r="Z34" t="n">
        <v>2.73370126883013</v>
      </c>
      <c r="AA34" t="n">
        <v>2.75596073024716</v>
      </c>
      <c r="AB34" t="n">
        <v>1.06557027781377</v>
      </c>
      <c r="AC34" t="n">
        <v>-0.338320993483325</v>
      </c>
      <c r="AD34" t="n">
        <v>-0.414131080161407</v>
      </c>
      <c r="AE34" t="n">
        <v>-0.481184360212696</v>
      </c>
      <c r="AF34" t="n">
        <v>-0.707632709324486</v>
      </c>
      <c r="AG34" t="n">
        <v>-0.60225401740615</v>
      </c>
      <c r="AH34" t="n">
        <v>-0.512924582342005</v>
      </c>
      <c r="AI34" t="n">
        <v>-0.437430459918431</v>
      </c>
      <c r="AJ34" t="n">
        <v>-2.37355781293586</v>
      </c>
      <c r="AK34" t="n">
        <v>-2.3194226043067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I34" t="inlineStr">
        <is>
          <t>OLD_NPC5</t>
        </is>
      </c>
    </row>
    <row r="35">
      <c r="A35" t="inlineStr">
        <is>
          <t>no_year_in_pairs</t>
        </is>
      </c>
      <c r="B35" s="2" t="n"/>
      <c r="C35" s="3" t="inlineStr">
        <is>
          <t>SM.19.158, Sup. 2</t>
        </is>
      </c>
      <c r="D35" s="4" t="inlineStr">
        <is>
          <t>Dominica</t>
        </is>
      </c>
      <c r="E35" s="4" t="inlineStr">
        <is>
          <t>DMA</t>
        </is>
      </c>
      <c r="F35" s="4" t="n"/>
      <c r="G35" s="4" t="inlineStr">
        <is>
          <t>2018gn</t>
        </is>
      </c>
      <c r="H35" s="4" t="n">
        <v>2018</v>
      </c>
      <c r="I35" s="4" t="inlineStr">
        <is>
          <t>old.tds.prvt</t>
        </is>
      </c>
      <c r="J35" t="inlineStr">
        <is>
          <t>Commercial</t>
        </is>
      </c>
      <c r="N35" t="n">
        <v>7.71390543078761</v>
      </c>
      <c r="O35" t="n">
        <v>5.25752476493611</v>
      </c>
      <c r="P35" t="n">
        <v>14.571249869455</v>
      </c>
      <c r="Q35" t="n">
        <v>7.1871426295294</v>
      </c>
      <c r="R35" t="n">
        <v>6.002336093307529</v>
      </c>
      <c r="S35" t="n">
        <v>6.994934853381951</v>
      </c>
      <c r="T35" t="n">
        <v>5.76531139123415</v>
      </c>
      <c r="U35" t="n">
        <v>7.32730891384382</v>
      </c>
      <c r="V35" t="n">
        <v>5.87147186471566</v>
      </c>
      <c r="W35" t="n">
        <v>4.9923080581062</v>
      </c>
      <c r="X35" t="n">
        <v>4.84165976537494</v>
      </c>
      <c r="Y35" t="n">
        <v>4.78705678169756</v>
      </c>
      <c r="Z35" t="n">
        <v>4.750976922743289</v>
      </c>
      <c r="AA35" t="n">
        <v>4.492842197633091</v>
      </c>
      <c r="AB35" t="n">
        <v>3.14367753793412</v>
      </c>
      <c r="AC35" t="n">
        <v>2.30987005566272</v>
      </c>
      <c r="AD35" t="n">
        <v>4.79072976975413</v>
      </c>
      <c r="AE35" t="n">
        <v>4.74950061703114</v>
      </c>
      <c r="AF35" t="n">
        <v>4.66072925762911</v>
      </c>
      <c r="AG35" t="n">
        <v>8.49418565698427</v>
      </c>
      <c r="AH35" t="n">
        <v>3.87512614798554</v>
      </c>
      <c r="AI35" t="n">
        <v>2.6504875402378</v>
      </c>
      <c r="AJ35" t="n">
        <v>2.65048754022377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I35" t="inlineStr">
        <is>
          <t>OLD_COM_ALL</t>
        </is>
      </c>
    </row>
    <row r="36">
      <c r="A36" t="inlineStr">
        <is>
          <t>no_year_in_pairs</t>
        </is>
      </c>
      <c r="B36" s="2" t="n"/>
      <c r="C36" s="3" t="inlineStr">
        <is>
          <t>SM.19.158, Sup. 2</t>
        </is>
      </c>
      <c r="D36" s="4" t="inlineStr">
        <is>
          <t>Dominica</t>
        </is>
      </c>
      <c r="E36" s="4" t="inlineStr">
        <is>
          <t>DMA</t>
        </is>
      </c>
      <c r="F36" s="4" t="n"/>
      <c r="G36" s="4" t="inlineStr">
        <is>
          <t>2018gn</t>
        </is>
      </c>
      <c r="H36" s="4" t="n">
        <v>2018</v>
      </c>
      <c r="I36" s="4" t="inlineStr">
        <is>
          <t>old.tds.prvt.bnd</t>
        </is>
      </c>
      <c r="J36" t="inlineStr">
        <is>
          <t>Eurobond</t>
        </is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I36" t="inlineStr">
        <is>
          <t>OLD_COM1</t>
        </is>
      </c>
    </row>
    <row r="37">
      <c r="A37" t="inlineStr">
        <is>
          <t>no_year_in_pairs</t>
        </is>
      </c>
      <c r="B37" s="2" t="n"/>
      <c r="C37" s="3" t="inlineStr">
        <is>
          <t>SM.19.158, Sup. 2</t>
        </is>
      </c>
      <c r="D37" s="4" t="inlineStr">
        <is>
          <t>Dominica</t>
        </is>
      </c>
      <c r="E37" s="4" t="inlineStr">
        <is>
          <t>DMA</t>
        </is>
      </c>
      <c r="F37" s="4" t="n"/>
      <c r="G37" s="4" t="inlineStr">
        <is>
          <t>2018gn</t>
        </is>
      </c>
      <c r="H37" s="4" t="n">
        <v>2018</v>
      </c>
      <c r="I37" s="4" t="inlineStr">
        <is>
          <t>old.tds.prvt.cmbk</t>
        </is>
      </c>
      <c r="J37" t="inlineStr">
        <is>
          <t>Commecial Bank</t>
        </is>
      </c>
      <c r="N37" t="n">
        <v>7.71390543078761</v>
      </c>
      <c r="O37" t="n">
        <v>5.25752476493611</v>
      </c>
      <c r="P37" t="n">
        <v>14.571249869455</v>
      </c>
      <c r="Q37" t="n">
        <v>7.1871426295294</v>
      </c>
      <c r="R37" t="n">
        <v>6.002336093307529</v>
      </c>
      <c r="S37" t="n">
        <v>6.994934853381951</v>
      </c>
      <c r="T37" t="n">
        <v>5.76531139123415</v>
      </c>
      <c r="U37" t="n">
        <v>7.32730891384382</v>
      </c>
      <c r="V37" t="n">
        <v>5.87147186471566</v>
      </c>
      <c r="W37" t="n">
        <v>4.9923080581062</v>
      </c>
      <c r="X37" t="n">
        <v>4.84165976537494</v>
      </c>
      <c r="Y37" t="n">
        <v>4.78705678169756</v>
      </c>
      <c r="Z37" t="n">
        <v>4.750976922743289</v>
      </c>
      <c r="AA37" t="n">
        <v>4.492842197633091</v>
      </c>
      <c r="AB37" t="n">
        <v>3.14367753793412</v>
      </c>
      <c r="AC37" t="n">
        <v>2.30987005566272</v>
      </c>
      <c r="AD37" t="n">
        <v>4.79072976975413</v>
      </c>
      <c r="AE37" t="n">
        <v>4.74950061703114</v>
      </c>
      <c r="AF37" t="n">
        <v>4.66072925762911</v>
      </c>
      <c r="AG37" t="n">
        <v>8.49418565698427</v>
      </c>
      <c r="AH37" t="n">
        <v>3.87512614798554</v>
      </c>
      <c r="AI37" t="n">
        <v>2.6504875402378</v>
      </c>
      <c r="AJ37" t="n">
        <v>2.65048754022377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I37" t="inlineStr">
        <is>
          <t>OLD_COM2</t>
        </is>
      </c>
    </row>
    <row r="38">
      <c r="A38" t="inlineStr">
        <is>
          <t>no_year_in_pairs</t>
        </is>
      </c>
      <c r="B38" s="2" t="n"/>
      <c r="C38" s="3" t="inlineStr">
        <is>
          <t>SM.19.158, Sup. 2</t>
        </is>
      </c>
      <c r="D38" s="4" t="inlineStr">
        <is>
          <t>Dominica</t>
        </is>
      </c>
      <c r="E38" s="4" t="inlineStr">
        <is>
          <t>DMA</t>
        </is>
      </c>
      <c r="F38" s="4" t="n"/>
      <c r="G38" s="4" t="inlineStr">
        <is>
          <t>2018gn</t>
        </is>
      </c>
      <c r="H38" s="4" t="n">
        <v>2018</v>
      </c>
      <c r="I38" s="4" t="inlineStr">
        <is>
          <t>old.tds.prvt.com3</t>
        </is>
      </c>
      <c r="J38" t="inlineStr">
        <is>
          <t>COM3</t>
        </is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I38" t="inlineStr">
        <is>
          <t>OLD_COM3</t>
        </is>
      </c>
    </row>
    <row r="39">
      <c r="A39" t="inlineStr">
        <is>
          <t>no_year_in_pairs</t>
        </is>
      </c>
      <c r="B39" s="2" t="n"/>
      <c r="C39" s="3" t="inlineStr">
        <is>
          <t>SM.19.158, Sup. 2</t>
        </is>
      </c>
      <c r="D39" s="4" t="inlineStr">
        <is>
          <t>Dominica</t>
        </is>
      </c>
      <c r="E39" s="4" t="inlineStr">
        <is>
          <t>DMA</t>
        </is>
      </c>
      <c r="F39" s="4" t="n"/>
      <c r="G39" s="4" t="inlineStr">
        <is>
          <t>2018gn</t>
        </is>
      </c>
      <c r="H39" s="4" t="n">
        <v>2018</v>
      </c>
      <c r="I39" s="4" t="inlineStr">
        <is>
          <t>old.tds.prvt.com4</t>
        </is>
      </c>
      <c r="J39" t="inlineStr">
        <is>
          <t>COM4</t>
        </is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G39" t="n">
        <v>0</v>
      </c>
      <c r="BI39" t="inlineStr">
        <is>
          <t>OLD_COM4</t>
        </is>
      </c>
    </row>
    <row r="40">
      <c r="A40" t="inlineStr">
        <is>
          <t>no_year_in_pairs</t>
        </is>
      </c>
      <c r="B40" s="2" t="n"/>
      <c r="C40" s="3" t="inlineStr">
        <is>
          <t>SM.19.158, Sup. 2</t>
        </is>
      </c>
      <c r="D40" s="4" t="inlineStr">
        <is>
          <t>Dominica</t>
        </is>
      </c>
      <c r="E40" s="4" t="inlineStr">
        <is>
          <t>DMA</t>
        </is>
      </c>
      <c r="F40" s="4" t="n"/>
      <c r="G40" s="4" t="inlineStr">
        <is>
          <t>2018gn</t>
        </is>
      </c>
      <c r="H40" s="4" t="n">
        <v>2018</v>
      </c>
      <c r="I40" s="4" t="inlineStr">
        <is>
          <t>old.tds.prvt.com5</t>
        </is>
      </c>
      <c r="J40" t="inlineStr">
        <is>
          <t>COM5</t>
        </is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I40" t="inlineStr">
        <is>
          <t>OLD_COM5</t>
        </is>
      </c>
    </row>
    <row r="41">
      <c r="A41" t="inlineStr">
        <is>
          <t>no_year_in_pairs</t>
        </is>
      </c>
      <c r="B41" s="2" t="n"/>
      <c r="C41" s="3" t="inlineStr">
        <is>
          <t>SM.19.158, Sup. 2</t>
        </is>
      </c>
      <c r="D41" s="4" t="inlineStr">
        <is>
          <t>Dominica</t>
        </is>
      </c>
      <c r="E41" s="4" t="inlineStr">
        <is>
          <t>DMA</t>
        </is>
      </c>
      <c r="F41" s="4" t="n"/>
      <c r="G41" s="4" t="inlineStr">
        <is>
          <t>2018gn</t>
        </is>
      </c>
      <c r="H41" s="4" t="n">
        <v>2018</v>
      </c>
      <c r="I41" s="5" t="n"/>
    </row>
    <row r="42">
      <c r="A42" t="inlineStr">
        <is>
          <t>no_year_in_pairs</t>
        </is>
      </c>
      <c r="B42" s="2" t="n"/>
      <c r="C42" s="3" t="inlineStr">
        <is>
          <t>SM.19.158, Sup. 2</t>
        </is>
      </c>
      <c r="D42" s="4" t="inlineStr">
        <is>
          <t>Dominica</t>
        </is>
      </c>
      <c r="E42" s="4" t="inlineStr">
        <is>
          <t>DMA</t>
        </is>
      </c>
      <c r="F42" s="4" t="n"/>
      <c r="G42" s="4" t="inlineStr">
        <is>
          <t>2018gn</t>
        </is>
      </c>
      <c r="H42" s="4" t="n">
        <v>2018</v>
      </c>
      <c r="I42" s="4" t="inlineStr">
        <is>
          <t>old.tds.exc.lcl.iss</t>
        </is>
      </c>
      <c r="J42" t="inlineStr">
        <is>
          <t>Total external debt (excluding locally-issued debt)</t>
        </is>
      </c>
      <c r="N42" t="n">
        <v>32.39914738420706</v>
      </c>
      <c r="O42" t="n">
        <v>11.45658152942483</v>
      </c>
      <c r="P42" t="n">
        <v>34.07662496309301</v>
      </c>
      <c r="Q42" t="n">
        <v>30.67252094676606</v>
      </c>
      <c r="R42" t="n">
        <v>28.63352683582538</v>
      </c>
      <c r="S42" t="n">
        <v>29.0724488812497</v>
      </c>
      <c r="T42" t="n">
        <v>27.91053103732727</v>
      </c>
      <c r="U42" t="n">
        <v>26.54614904453297</v>
      </c>
      <c r="V42" t="n">
        <v>24.81558475073916</v>
      </c>
      <c r="W42" t="n">
        <v>23.08076877951667</v>
      </c>
      <c r="X42" t="n">
        <v>22.13616978686952</v>
      </c>
      <c r="Y42" t="n">
        <v>21.25389701658951</v>
      </c>
      <c r="Z42" t="n">
        <v>20.22597445503597</v>
      </c>
      <c r="AA42" t="n">
        <v>18.45984241349847</v>
      </c>
      <c r="AB42" t="n">
        <v>12.60084646034946</v>
      </c>
      <c r="AC42" t="n">
        <v>9.81273243608166</v>
      </c>
      <c r="AD42" t="n">
        <v>11.71020624465386</v>
      </c>
      <c r="AE42" t="n">
        <v>11.1404339239662</v>
      </c>
      <c r="AF42" t="n">
        <v>10.42240073399333</v>
      </c>
      <c r="AG42" t="n">
        <v>13.98365261228948</v>
      </c>
      <c r="AH42" t="n">
        <v>9.102986367554731</v>
      </c>
      <c r="AI42" t="n">
        <v>7.628221962249612</v>
      </c>
      <c r="AJ42" t="n">
        <v>5.3936763935912</v>
      </c>
      <c r="AK42" t="n">
        <v>2.516927869994218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</row>
    <row r="43">
      <c r="A43" t="inlineStr">
        <is>
          <t>no_year_in_pairs</t>
        </is>
      </c>
      <c r="B43" s="2" t="n"/>
      <c r="C43" s="3" t="inlineStr">
        <is>
          <t>SM.19.158, Sup. 2</t>
        </is>
      </c>
      <c r="D43" s="4" t="inlineStr">
        <is>
          <t>Dominica</t>
        </is>
      </c>
      <c r="E43" s="4" t="inlineStr">
        <is>
          <t>DMA</t>
        </is>
      </c>
      <c r="F43" s="4" t="n"/>
      <c r="G43" s="4" t="inlineStr">
        <is>
          <t>2018gn</t>
        </is>
      </c>
      <c r="H43" s="4" t="n">
        <v>2018</v>
      </c>
      <c r="I43" s="7" t="inlineStr">
        <is>
          <t>old.tds.exc.lcl.iss.amt</t>
        </is>
      </c>
      <c r="J43" t="inlineStr">
        <is>
          <t xml:space="preserve">    of which: principal</t>
        </is>
      </c>
      <c r="N43" t="n">
        <v>22.810625</v>
      </c>
      <c r="O43" t="n">
        <v>6.840511996296295</v>
      </c>
      <c r="P43" t="n">
        <v>25.62454184867725</v>
      </c>
      <c r="Q43" t="n">
        <v>21.38241914537037</v>
      </c>
      <c r="R43" t="n">
        <v>19.68211902222222</v>
      </c>
      <c r="S43" t="n">
        <v>22.14615489407407</v>
      </c>
      <c r="T43" t="n">
        <v>19.35471596814815</v>
      </c>
      <c r="U43" t="n">
        <v>18.5841842400534</v>
      </c>
      <c r="V43" t="n">
        <v>16.04512747743652</v>
      </c>
      <c r="W43" t="n">
        <v>14.31825106267867</v>
      </c>
      <c r="X43" t="n">
        <v>13.48922206360155</v>
      </c>
      <c r="Y43" t="n">
        <v>12.81966292397637</v>
      </c>
      <c r="Z43" t="n">
        <v>12.20136955206048</v>
      </c>
      <c r="AA43" t="n">
        <v>11.481216853184</v>
      </c>
      <c r="AB43" t="n">
        <v>8.039538920639297</v>
      </c>
      <c r="AC43" t="n">
        <v>5.378662174338666</v>
      </c>
      <c r="AD43" t="n">
        <v>4.848320839014741</v>
      </c>
      <c r="AE43" t="n">
        <v>4.376655116804703</v>
      </c>
      <c r="AF43" t="n">
        <v>3.787135651724259</v>
      </c>
      <c r="AG43" t="n">
        <v>3.017627604869574</v>
      </c>
      <c r="AH43" t="n">
        <v>3.318274650936581</v>
      </c>
      <c r="AI43" t="n">
        <v>3.297689642873692</v>
      </c>
      <c r="AJ43" t="n">
        <v>3.280618760760241</v>
      </c>
      <c r="AK43" t="n">
        <v>3.266493014622593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</row>
    <row r="44">
      <c r="A44" t="inlineStr">
        <is>
          <t>no_year_in_pairs</t>
        </is>
      </c>
      <c r="B44" s="2" t="n"/>
      <c r="C44" s="3" t="inlineStr">
        <is>
          <t>SM.19.158, Sup. 2</t>
        </is>
      </c>
      <c r="D44" s="4" t="inlineStr">
        <is>
          <t>Dominica</t>
        </is>
      </c>
      <c r="E44" s="4" t="inlineStr">
        <is>
          <t>DMA</t>
        </is>
      </c>
      <c r="F44" s="4" t="n"/>
      <c r="G44" s="4" t="inlineStr">
        <is>
          <t>2018gn</t>
        </is>
      </c>
      <c r="H44" s="4" t="n">
        <v>2018</v>
      </c>
      <c r="I44" s="4" t="inlineStr">
        <is>
          <t>old.tds.exc.lcl.iss.int</t>
        </is>
      </c>
      <c r="J44" t="inlineStr">
        <is>
          <t xml:space="preserve">    of which: interest</t>
        </is>
      </c>
      <c r="N44" t="n">
        <v>9.588522384207064</v>
      </c>
      <c r="O44" t="n">
        <v>4.616069533128536</v>
      </c>
      <c r="P44" t="n">
        <v>8.452083114415757</v>
      </c>
      <c r="Q44" t="n">
        <v>9.290101801395689</v>
      </c>
      <c r="R44" t="n">
        <v>8.951407813603161</v>
      </c>
      <c r="S44" t="n">
        <v>6.926293987175626</v>
      </c>
      <c r="T44" t="n">
        <v>8.555815069179122</v>
      </c>
      <c r="U44" t="n">
        <v>7.961964804479567</v>
      </c>
      <c r="V44" t="n">
        <v>8.770457273302647</v>
      </c>
      <c r="W44" t="n">
        <v>8.762517716838003</v>
      </c>
      <c r="X44" t="n">
        <v>8.646947723267969</v>
      </c>
      <c r="Y44" t="n">
        <v>8.434234092613144</v>
      </c>
      <c r="Z44" t="n">
        <v>8.024604902975494</v>
      </c>
      <c r="AA44" t="n">
        <v>6.978625560314475</v>
      </c>
      <c r="AB44" t="n">
        <v>4.561307539710162</v>
      </c>
      <c r="AC44" t="n">
        <v>4.434070261742994</v>
      </c>
      <c r="AD44" t="n">
        <v>6.861885405639117</v>
      </c>
      <c r="AE44" t="n">
        <v>6.7637788071615</v>
      </c>
      <c r="AF44" t="n">
        <v>6.635265082269068</v>
      </c>
      <c r="AG44" t="n">
        <v>10.96602500741991</v>
      </c>
      <c r="AH44" t="n">
        <v>5.784711716618149</v>
      </c>
      <c r="AI44" t="n">
        <v>4.33053231937592</v>
      </c>
      <c r="AJ44" t="n">
        <v>2.113057632830959</v>
      </c>
      <c r="AK44" t="n">
        <v>-0.7495651446283746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</row>
    <row r="45">
      <c r="A45" t="inlineStr">
        <is>
          <t>no_year_in_pairs</t>
        </is>
      </c>
      <c r="B45" s="2" t="n"/>
      <c r="C45" s="3" t="inlineStr">
        <is>
          <t>SM.19.158, Sup. 2</t>
        </is>
      </c>
      <c r="D45" s="4" t="inlineStr">
        <is>
          <t>Dominica</t>
        </is>
      </c>
      <c r="E45" s="4" t="inlineStr">
        <is>
          <t>DMA</t>
        </is>
      </c>
      <c r="F45" s="4" t="n"/>
      <c r="G45" s="4" t="inlineStr">
        <is>
          <t>2018gn</t>
        </is>
      </c>
      <c r="H45" s="4" t="n">
        <v>2018</v>
      </c>
      <c r="I45" s="5" t="n"/>
      <c r="J45" t="inlineStr">
        <is>
          <t>(hide) Evolution of debt (excluding locally-issued debt)</t>
        </is>
      </c>
      <c r="N45" t="n">
        <v>309.851196319483</v>
      </c>
      <c r="O45" t="n">
        <v>303.0106843231867</v>
      </c>
      <c r="P45" t="n">
        <v>277.3861424745094</v>
      </c>
      <c r="Q45" t="n">
        <v>256.0037233291391</v>
      </c>
      <c r="R45" t="n">
        <v>236.3216043069168</v>
      </c>
      <c r="S45" t="n">
        <v>214.1754494128428</v>
      </c>
      <c r="T45" t="n">
        <v>194.8207334446946</v>
      </c>
      <c r="U45" t="n">
        <v>176.2365492046412</v>
      </c>
      <c r="V45" t="n">
        <v>160.1914217272047</v>
      </c>
      <c r="W45" t="n">
        <v>145.873170664526</v>
      </c>
      <c r="X45" t="n">
        <v>132.3839486009245</v>
      </c>
      <c r="Y45" t="n">
        <v>119.5642856769481</v>
      </c>
      <c r="Z45" t="n">
        <v>107.3629161248876</v>
      </c>
      <c r="AA45" t="n">
        <v>95.88169927170365</v>
      </c>
      <c r="AB45" t="n">
        <v>87.84216035106435</v>
      </c>
      <c r="AC45" t="n">
        <v>82.46349817672568</v>
      </c>
      <c r="AD45" t="n">
        <v>77.61517733771093</v>
      </c>
      <c r="AE45" t="n">
        <v>73.23852222090623</v>
      </c>
      <c r="AF45" t="n">
        <v>69.45138656918198</v>
      </c>
      <c r="AG45" t="n">
        <v>66.4337589643124</v>
      </c>
      <c r="AH45" t="n">
        <v>63.11548431337582</v>
      </c>
      <c r="AI45" t="n">
        <v>59.81779467050213</v>
      </c>
      <c r="AJ45" t="n">
        <v>56.53717590974189</v>
      </c>
      <c r="AK45" t="n">
        <v>53.2706828951193</v>
      </c>
      <c r="AL45" t="n">
        <v>53.2706828951193</v>
      </c>
      <c r="AM45" t="n">
        <v>53.2706828951193</v>
      </c>
      <c r="AN45" t="n">
        <v>53.2706828951193</v>
      </c>
      <c r="AO45" t="n">
        <v>53.2706828951193</v>
      </c>
      <c r="AP45" t="n">
        <v>53.2706828951193</v>
      </c>
      <c r="AQ45" t="n">
        <v>53.2706828951193</v>
      </c>
      <c r="AR45" t="n">
        <v>53.2706828951193</v>
      </c>
      <c r="AS45" t="n">
        <v>53.2706828951193</v>
      </c>
      <c r="AT45" t="n">
        <v>53.2706828951193</v>
      </c>
      <c r="AU45" t="n">
        <v>53.2706828951193</v>
      </c>
      <c r="AV45" t="n">
        <v>53.2706828951193</v>
      </c>
      <c r="AW45" t="n">
        <v>53.2706828951193</v>
      </c>
      <c r="AX45" t="n">
        <v>53.2706828951193</v>
      </c>
      <c r="AY45" t="n">
        <v>53.2706828951193</v>
      </c>
      <c r="AZ45" t="n">
        <v>53.2706828951193</v>
      </c>
      <c r="BA45" t="n">
        <v>53.2706828951193</v>
      </c>
      <c r="BB45" t="n">
        <v>53.2706828951193</v>
      </c>
      <c r="BC45" t="n">
        <v>53.2706828951193</v>
      </c>
      <c r="BD45" t="n">
        <v>53.2706828951193</v>
      </c>
      <c r="BE45" t="n">
        <v>53.2706828951193</v>
      </c>
      <c r="BF45" t="n">
        <v>53.2706828951193</v>
      </c>
      <c r="BG45" t="n">
        <v>53.2706828951193</v>
      </c>
    </row>
    <row r="46">
      <c r="A46" t="inlineStr">
        <is>
          <t>no_year_in_pairs</t>
        </is>
      </c>
      <c r="B46" s="2" t="n"/>
      <c r="C46" s="3" t="inlineStr">
        <is>
          <t>SM.19.158, Sup. 2</t>
        </is>
      </c>
      <c r="D46" s="4" t="inlineStr">
        <is>
          <t>Dominica</t>
        </is>
      </c>
      <c r="E46" s="4" t="inlineStr">
        <is>
          <t>DMA</t>
        </is>
      </c>
      <c r="F46" s="4" t="n"/>
      <c r="G46" s="4" t="inlineStr">
        <is>
          <t>2018gn</t>
        </is>
      </c>
      <c r="H46" s="4" t="n">
        <v>2018</v>
      </c>
      <c r="I46" s="5" t="n"/>
      <c r="J46" t="inlineStr">
        <is>
          <t>check (outstanding as of end-2017 - total debt services)</t>
        </is>
      </c>
      <c r="N46" t="n">
        <v>53.27068289511931</v>
      </c>
    </row>
    <row r="47">
      <c r="A47" t="inlineStr">
        <is>
          <t>no_year_in_pairs</t>
        </is>
      </c>
      <c r="B47" s="2" t="n"/>
      <c r="C47" s="3" t="inlineStr">
        <is>
          <t>SM.19.158, Sup. 2</t>
        </is>
      </c>
      <c r="D47" s="4" t="inlineStr">
        <is>
          <t>Dominica</t>
        </is>
      </c>
      <c r="E47" s="4" t="inlineStr">
        <is>
          <t>DMA</t>
        </is>
      </c>
      <c r="F47" s="4" t="n"/>
      <c r="G47" s="4" t="inlineStr">
        <is>
          <t>2018gn</t>
        </is>
      </c>
      <c r="H47" s="4" t="n">
        <v>2018</v>
      </c>
      <c r="I47" s="5" t="n"/>
    </row>
    <row r="48">
      <c r="A48" t="inlineStr">
        <is>
          <t>no_year_in_pairs</t>
        </is>
      </c>
      <c r="B48" s="2" t="n"/>
      <c r="C48" s="3" t="inlineStr">
        <is>
          <t>SM.19.158, Sup. 2</t>
        </is>
      </c>
      <c r="D48" s="4" t="inlineStr">
        <is>
          <t>Dominica</t>
        </is>
      </c>
      <c r="E48" s="4" t="inlineStr">
        <is>
          <t>DMA</t>
        </is>
      </c>
      <c r="F48" s="4" t="n"/>
      <c r="G48" s="4" t="inlineStr">
        <is>
          <t>2018gn</t>
        </is>
      </c>
      <c r="H48" s="4" t="n">
        <v>2018</v>
      </c>
      <c r="I48" s="5" t="n"/>
      <c r="J48" t="inlineStr">
        <is>
          <t>Locally-issued debt</t>
        </is>
      </c>
    </row>
    <row r="49">
      <c r="A49" t="inlineStr">
        <is>
          <t>no_year_in_pairs</t>
        </is>
      </c>
      <c r="B49" s="2" t="n"/>
      <c r="C49" s="3" t="inlineStr">
        <is>
          <t>SM.19.158, Sup. 2</t>
        </is>
      </c>
      <c r="D49" s="4" t="inlineStr">
        <is>
          <t>Dominica</t>
        </is>
      </c>
      <c r="E49" s="4" t="inlineStr">
        <is>
          <t>DMA</t>
        </is>
      </c>
      <c r="F49" s="4" t="n"/>
      <c r="G49" s="4" t="inlineStr">
        <is>
          <t>2018gn</t>
        </is>
      </c>
      <c r="H49" s="4" t="n">
        <v>2018</v>
      </c>
      <c r="I49" s="4" t="inlineStr">
        <is>
          <t>old.tds.lcl.nres</t>
        </is>
      </c>
      <c r="J49" t="inlineStr">
        <is>
          <t>Locally-issued debt held by non-residents</t>
        </is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BI49" t="inlineStr">
        <is>
          <t>OLD_LC_NR_ALL</t>
        </is>
      </c>
    </row>
    <row r="50">
      <c r="A50" t="inlineStr">
        <is>
          <t>no_year_in_pairs</t>
        </is>
      </c>
      <c r="B50" s="2" t="n"/>
      <c r="C50" s="3" t="inlineStr">
        <is>
          <t>SM.19.158, Sup. 2</t>
        </is>
      </c>
      <c r="D50" s="4" t="inlineStr">
        <is>
          <t>Dominica</t>
        </is>
      </c>
      <c r="E50" s="4" t="inlineStr">
        <is>
          <t>DMA</t>
        </is>
      </c>
      <c r="F50" s="4" t="n"/>
      <c r="G50" s="4" t="inlineStr">
        <is>
          <t>2018gn</t>
        </is>
      </c>
      <c r="H50" s="4" t="n">
        <v>2018</v>
      </c>
      <c r="I50" s="4" t="inlineStr">
        <is>
          <t>old.tds.lcl.nres.lc</t>
        </is>
      </c>
      <c r="J50" t="inlineStr">
        <is>
          <t>Denominated in local currency (LC)</t>
        </is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</row>
    <row r="51">
      <c r="A51" t="inlineStr">
        <is>
          <t>no_year_in_pairs</t>
        </is>
      </c>
      <c r="B51" s="2" t="n"/>
      <c r="C51" s="3" t="inlineStr">
        <is>
          <t>SM.19.158, Sup. 2</t>
        </is>
      </c>
      <c r="D51" s="4" t="inlineStr">
        <is>
          <t>Dominica</t>
        </is>
      </c>
      <c r="E51" s="4" t="inlineStr">
        <is>
          <t>DMA</t>
        </is>
      </c>
      <c r="F51" s="4" t="n"/>
      <c r="G51" s="4" t="inlineStr">
        <is>
          <t>2018gn</t>
        </is>
      </c>
      <c r="H51" s="4" t="n">
        <v>2018</v>
      </c>
      <c r="I51" s="4" t="inlineStr">
        <is>
          <t>old.tds.lcl.nres.fx</t>
        </is>
      </c>
      <c r="J51" t="inlineStr">
        <is>
          <t>Denominated in foreign currency (FX)</t>
        </is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</row>
    <row r="52">
      <c r="A52" t="inlineStr">
        <is>
          <t>no_year_in_pairs</t>
        </is>
      </c>
      <c r="B52" s="2" t="n"/>
      <c r="C52" s="3" t="inlineStr">
        <is>
          <t>SM.19.158, Sup. 2</t>
        </is>
      </c>
      <c r="D52" s="4" t="inlineStr">
        <is>
          <t>Dominica</t>
        </is>
      </c>
      <c r="E52" s="4" t="inlineStr">
        <is>
          <t>DMA</t>
        </is>
      </c>
      <c r="F52" s="4" t="n"/>
      <c r="G52" s="4" t="inlineStr">
        <is>
          <t>2018gn</t>
        </is>
      </c>
      <c r="H52" s="4" t="n">
        <v>2018</v>
      </c>
      <c r="I52" s="5" t="n"/>
      <c r="J52" t="inlineStr">
        <is>
          <t>Locally-issued debt held by residents</t>
        </is>
      </c>
    </row>
    <row r="53">
      <c r="A53" t="inlineStr">
        <is>
          <t>no_year_in_pairs</t>
        </is>
      </c>
      <c r="B53" s="2" t="n"/>
      <c r="C53" s="3" t="inlineStr">
        <is>
          <t>SM.19.158, Sup. 2</t>
        </is>
      </c>
      <c r="D53" s="4" t="inlineStr">
        <is>
          <t>Dominica</t>
        </is>
      </c>
      <c r="E53" s="4" t="inlineStr">
        <is>
          <t>DMA</t>
        </is>
      </c>
      <c r="F53" s="4" t="n"/>
      <c r="G53" s="4" t="inlineStr">
        <is>
          <t>2018gn</t>
        </is>
      </c>
      <c r="H53" s="4" t="n">
        <v>2018</v>
      </c>
      <c r="I53" s="4" t="inlineStr">
        <is>
          <t>old.tds.lcl.fx</t>
        </is>
      </c>
      <c r="J53" t="inlineStr">
        <is>
          <t>Denominated in foreign currency (FX)</t>
        </is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</row>
    <row r="54">
      <c r="A54" t="inlineStr">
        <is>
          <t>no_year_in_pairs</t>
        </is>
      </c>
      <c r="B54" s="2" t="n"/>
      <c r="C54" s="3" t="inlineStr">
        <is>
          <t>SM.19.158, Sup. 2</t>
        </is>
      </c>
      <c r="D54" s="4" t="inlineStr">
        <is>
          <t>Dominica</t>
        </is>
      </c>
      <c r="E54" s="4" t="inlineStr">
        <is>
          <t>DMA</t>
        </is>
      </c>
      <c r="F54" s="4" t="n"/>
      <c r="G54" s="4" t="inlineStr">
        <is>
          <t>2018gn</t>
        </is>
      </c>
      <c r="H54" s="4" t="n">
        <v>2018</v>
      </c>
      <c r="I54" s="5" t="n"/>
      <c r="J54" t="inlineStr">
        <is>
          <t>If the Breakdown is not available insert total debt service here</t>
        </is>
      </c>
    </row>
    <row r="55">
      <c r="A55" t="inlineStr">
        <is>
          <t>no_year_in_pairs</t>
        </is>
      </c>
      <c r="B55" s="2" t="n"/>
      <c r="C55" s="3" t="inlineStr">
        <is>
          <t>SM.19.158, Sup. 2</t>
        </is>
      </c>
      <c r="D55" s="4" t="inlineStr">
        <is>
          <t>Dominica</t>
        </is>
      </c>
      <c r="E55" s="4" t="inlineStr">
        <is>
          <t>DMA</t>
        </is>
      </c>
      <c r="F55" s="4" t="n"/>
      <c r="G55" s="4" t="inlineStr">
        <is>
          <t>2018gn</t>
        </is>
      </c>
      <c r="H55" s="4" t="n">
        <v>2018</v>
      </c>
      <c r="I55" s="4" t="inlineStr">
        <is>
          <t>old.tds.lcl.incl.dom</t>
        </is>
      </c>
      <c r="J55" t="inlineStr">
        <is>
          <t>Total locally-issued debt service</t>
        </is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</row>
    <row r="56">
      <c r="A56" t="inlineStr">
        <is>
          <t>no_year_in_pairs</t>
        </is>
      </c>
      <c r="B56" s="2" t="n"/>
      <c r="C56" s="3" t="inlineStr">
        <is>
          <t>SM.19.158, Sup. 2</t>
        </is>
      </c>
      <c r="D56" s="4" t="inlineStr">
        <is>
          <t>Dominica</t>
        </is>
      </c>
      <c r="E56" s="4" t="inlineStr">
        <is>
          <t>DMA</t>
        </is>
      </c>
      <c r="F56" s="4" t="n"/>
      <c r="G56" s="4" t="inlineStr">
        <is>
          <t>2018gn</t>
        </is>
      </c>
      <c r="H56" s="4" t="n">
        <v>2018</v>
      </c>
      <c r="I56" s="4" t="inlineStr">
        <is>
          <t>old.tds.lcl.incl.dom.amt</t>
        </is>
      </c>
      <c r="J56" t="inlineStr">
        <is>
          <t xml:space="preserve">    of which: principal</t>
        </is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</row>
    <row r="57">
      <c r="A57" t="inlineStr">
        <is>
          <t>no_year_in_pairs</t>
        </is>
      </c>
      <c r="B57" s="2" t="n"/>
      <c r="C57" s="3" t="inlineStr">
        <is>
          <t>SM.19.158, Sup. 2</t>
        </is>
      </c>
      <c r="D57" s="4" t="inlineStr">
        <is>
          <t>Dominica</t>
        </is>
      </c>
      <c r="E57" s="4" t="inlineStr">
        <is>
          <t>DMA</t>
        </is>
      </c>
      <c r="F57" s="4" t="n"/>
      <c r="G57" s="4" t="inlineStr">
        <is>
          <t>2018gn</t>
        </is>
      </c>
      <c r="H57" s="4" t="n">
        <v>2018</v>
      </c>
      <c r="I57" s="4" t="inlineStr">
        <is>
          <t>old.tds.lcl.incl.dom.int</t>
        </is>
      </c>
      <c r="J57" t="inlineStr">
        <is>
          <t xml:space="preserve">    of which: interest</t>
        </is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</row>
    <row r="58">
      <c r="A58" t="inlineStr">
        <is>
          <t>no_year_in_pairs</t>
        </is>
      </c>
      <c r="B58" s="2" t="n"/>
      <c r="C58" s="3" t="inlineStr">
        <is>
          <t>SM.19.158, Sup. 2</t>
        </is>
      </c>
      <c r="D58" s="4" t="inlineStr">
        <is>
          <t>Dominica</t>
        </is>
      </c>
      <c r="E58" s="4" t="inlineStr">
        <is>
          <t>DMA</t>
        </is>
      </c>
      <c r="F58" s="4" t="n"/>
      <c r="G58" s="4" t="inlineStr">
        <is>
          <t>2018gn</t>
        </is>
      </c>
      <c r="H58" s="4" t="n">
        <v>2018</v>
      </c>
      <c r="I58" s="4" t="inlineStr">
        <is>
          <t>dbt.evol</t>
        </is>
      </c>
      <c r="J58" t="inlineStr">
        <is>
          <t>Evolution of debt</t>
        </is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</row>
    <row r="59">
      <c r="A59" t="inlineStr">
        <is>
          <t>no_year_in_pairs</t>
        </is>
      </c>
      <c r="B59" s="2" t="n"/>
      <c r="C59" s="3" t="inlineStr">
        <is>
          <t>SM.19.158, Sup. 2</t>
        </is>
      </c>
      <c r="D59" s="4" t="inlineStr">
        <is>
          <t>Dominica</t>
        </is>
      </c>
      <c r="E59" s="4" t="inlineStr">
        <is>
          <t>DMA</t>
        </is>
      </c>
      <c r="F59" s="4" t="n"/>
      <c r="G59" s="4" t="inlineStr">
        <is>
          <t>2018gn</t>
        </is>
      </c>
      <c r="H59" s="4" t="n">
        <v>2018</v>
      </c>
      <c r="I59" s="5" t="n"/>
      <c r="J59" t="inlineStr">
        <is>
          <t>Please check line 168 for domestic debt consistency</t>
        </is>
      </c>
    </row>
    <row r="60">
      <c r="A60" t="inlineStr">
        <is>
          <t>no_year_in_pairs</t>
        </is>
      </c>
      <c r="B60" s="2" t="n"/>
      <c r="C60" s="3" t="inlineStr">
        <is>
          <t>SM.19.158, Sup. 2</t>
        </is>
      </c>
      <c r="D60" s="4" t="inlineStr">
        <is>
          <t>Dominica</t>
        </is>
      </c>
      <c r="E60" s="4" t="inlineStr">
        <is>
          <t>DMA</t>
        </is>
      </c>
      <c r="F60" s="4" t="n"/>
      <c r="G60" s="4" t="inlineStr">
        <is>
          <t>2018gn</t>
        </is>
      </c>
      <c r="H60" s="4" t="n">
        <v>2018</v>
      </c>
      <c r="I60" s="5" t="n"/>
    </row>
    <row r="61">
      <c r="A61" t="inlineStr">
        <is>
          <t>no_year_in_pairs</t>
        </is>
      </c>
      <c r="B61" s="2" t="n"/>
      <c r="C61" s="3" t="inlineStr">
        <is>
          <t>SM.19.158, Sup. 2</t>
        </is>
      </c>
      <c r="D61" s="4" t="inlineStr">
        <is>
          <t>Dominica</t>
        </is>
      </c>
      <c r="E61" s="4" t="inlineStr">
        <is>
          <t>DMA</t>
        </is>
      </c>
      <c r="F61" s="4" t="n"/>
      <c r="G61" s="4" t="inlineStr">
        <is>
          <t>2018gn</t>
        </is>
      </c>
      <c r="H61" s="4" t="n">
        <v>2018</v>
      </c>
      <c r="I61" s="4" t="inlineStr">
        <is>
          <t>old.tds.inc.lcl.iss</t>
        </is>
      </c>
      <c r="J61" t="inlineStr">
        <is>
          <t>Total external debt (including locally-issued debt)</t>
        </is>
      </c>
      <c r="N61" t="n">
        <v>32.39914738420706</v>
      </c>
      <c r="O61" t="n">
        <v>11.45658152942483</v>
      </c>
      <c r="P61" t="n">
        <v>34.07662496309301</v>
      </c>
      <c r="Q61" t="n">
        <v>30.67252094676606</v>
      </c>
      <c r="R61" t="n">
        <v>28.63352683582538</v>
      </c>
      <c r="S61" t="n">
        <v>29.0724488812497</v>
      </c>
      <c r="T61" t="n">
        <v>27.91053103732727</v>
      </c>
      <c r="U61" t="n">
        <v>26.54614904453297</v>
      </c>
      <c r="V61" t="n">
        <v>24.81558475073916</v>
      </c>
      <c r="W61" t="n">
        <v>23.08076877951667</v>
      </c>
      <c r="X61" t="n">
        <v>22.13616978686952</v>
      </c>
      <c r="Y61" t="n">
        <v>21.25389701658951</v>
      </c>
      <c r="Z61" t="n">
        <v>20.22597445503597</v>
      </c>
      <c r="AA61" t="n">
        <v>18.45984241349847</v>
      </c>
      <c r="AB61" t="n">
        <v>12.60084646034946</v>
      </c>
      <c r="AC61" t="n">
        <v>9.81273243608166</v>
      </c>
      <c r="AD61" t="n">
        <v>11.71020624465386</v>
      </c>
      <c r="AE61" t="n">
        <v>11.1404339239662</v>
      </c>
      <c r="AF61" t="n">
        <v>10.42240073399333</v>
      </c>
      <c r="AG61" t="n">
        <v>13.98365261228948</v>
      </c>
      <c r="AH61" t="n">
        <v>9.102986367554731</v>
      </c>
      <c r="AI61" t="n">
        <v>7.628221962249612</v>
      </c>
      <c r="AJ61" t="n">
        <v>5.3936763935912</v>
      </c>
      <c r="AK61" t="n">
        <v>2.516927869994218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  <c r="BI61" t="inlineStr">
        <is>
          <t>OLD_TOTAL</t>
        </is>
      </c>
    </row>
    <row r="62">
      <c r="A62" t="inlineStr">
        <is>
          <t>no_year_in_pairs</t>
        </is>
      </c>
      <c r="B62" s="2" t="n"/>
      <c r="C62" s="3" t="inlineStr">
        <is>
          <t>SM.19.158, Sup. 2</t>
        </is>
      </c>
      <c r="D62" s="4" t="inlineStr">
        <is>
          <t>Dominica</t>
        </is>
      </c>
      <c r="E62" s="4" t="inlineStr">
        <is>
          <t>DMA</t>
        </is>
      </c>
      <c r="F62" s="4" t="n"/>
      <c r="G62" s="4" t="inlineStr">
        <is>
          <t>2018gn</t>
        </is>
      </c>
      <c r="H62" s="4" t="n">
        <v>2018</v>
      </c>
      <c r="I62" s="4" t="inlineStr">
        <is>
          <t>old.tds.inc.lcl.iss.amt</t>
        </is>
      </c>
      <c r="J62" t="inlineStr">
        <is>
          <t xml:space="preserve">    of which: principal</t>
        </is>
      </c>
      <c r="N62" t="n">
        <v>22.810625</v>
      </c>
      <c r="O62" t="n">
        <v>6.840511996296295</v>
      </c>
      <c r="P62" t="n">
        <v>25.62454184867725</v>
      </c>
      <c r="Q62" t="n">
        <v>21.38241914537037</v>
      </c>
      <c r="R62" t="n">
        <v>19.68211902222222</v>
      </c>
      <c r="S62" t="n">
        <v>22.14615489407407</v>
      </c>
      <c r="T62" t="n">
        <v>19.35471596814815</v>
      </c>
      <c r="U62" t="n">
        <v>18.5841842400534</v>
      </c>
      <c r="V62" t="n">
        <v>16.04512747743652</v>
      </c>
      <c r="W62" t="n">
        <v>14.31825106267867</v>
      </c>
      <c r="X62" t="n">
        <v>13.48922206360155</v>
      </c>
      <c r="Y62" t="n">
        <v>12.81966292397637</v>
      </c>
      <c r="Z62" t="n">
        <v>12.20136955206048</v>
      </c>
      <c r="AA62" t="n">
        <v>11.481216853184</v>
      </c>
      <c r="AB62" t="n">
        <v>8.039538920639297</v>
      </c>
      <c r="AC62" t="n">
        <v>5.378662174338666</v>
      </c>
      <c r="AD62" t="n">
        <v>4.848320839014741</v>
      </c>
      <c r="AE62" t="n">
        <v>4.376655116804703</v>
      </c>
      <c r="AF62" t="n">
        <v>3.787135651724259</v>
      </c>
      <c r="AG62" t="n">
        <v>3.017627604869574</v>
      </c>
      <c r="AH62" t="n">
        <v>3.318274650936581</v>
      </c>
      <c r="AI62" t="n">
        <v>3.297689642873692</v>
      </c>
      <c r="AJ62" t="n">
        <v>3.280618760760241</v>
      </c>
      <c r="AK62" t="n">
        <v>3.266493014622593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I62" t="inlineStr">
        <is>
          <t>OLD_TOTAL_P</t>
        </is>
      </c>
    </row>
    <row r="63">
      <c r="A63" t="inlineStr">
        <is>
          <t>no_year_in_pairs</t>
        </is>
      </c>
      <c r="B63" s="2" t="n"/>
      <c r="C63" s="3" t="inlineStr">
        <is>
          <t>SM.19.158, Sup. 2</t>
        </is>
      </c>
      <c r="D63" s="4" t="inlineStr">
        <is>
          <t>Dominica</t>
        </is>
      </c>
      <c r="E63" s="4" t="inlineStr">
        <is>
          <t>DMA</t>
        </is>
      </c>
      <c r="F63" s="4" t="n"/>
      <c r="G63" s="4" t="inlineStr">
        <is>
          <t>2018gn</t>
        </is>
      </c>
      <c r="H63" s="4" t="n">
        <v>2018</v>
      </c>
      <c r="I63" s="4" t="inlineStr">
        <is>
          <t>old.tds.inc.lcl.iss.int</t>
        </is>
      </c>
      <c r="J63" t="inlineStr">
        <is>
          <t xml:space="preserve">    of which: interest</t>
        </is>
      </c>
      <c r="N63" t="n">
        <v>9.588522384207064</v>
      </c>
      <c r="O63" t="n">
        <v>4.616069533128536</v>
      </c>
      <c r="P63" t="n">
        <v>8.452083114415757</v>
      </c>
      <c r="Q63" t="n">
        <v>9.290101801395689</v>
      </c>
      <c r="R63" t="n">
        <v>8.951407813603161</v>
      </c>
      <c r="S63" t="n">
        <v>6.926293987175626</v>
      </c>
      <c r="T63" t="n">
        <v>8.555815069179122</v>
      </c>
      <c r="U63" t="n">
        <v>7.961964804479567</v>
      </c>
      <c r="V63" t="n">
        <v>8.770457273302647</v>
      </c>
      <c r="W63" t="n">
        <v>8.762517716838003</v>
      </c>
      <c r="X63" t="n">
        <v>8.646947723267969</v>
      </c>
      <c r="Y63" t="n">
        <v>8.434234092613144</v>
      </c>
      <c r="Z63" t="n">
        <v>8.024604902975494</v>
      </c>
      <c r="AA63" t="n">
        <v>6.978625560314475</v>
      </c>
      <c r="AB63" t="n">
        <v>4.561307539710162</v>
      </c>
      <c r="AC63" t="n">
        <v>4.434070261742994</v>
      </c>
      <c r="AD63" t="n">
        <v>6.861885405639117</v>
      </c>
      <c r="AE63" t="n">
        <v>6.7637788071615</v>
      </c>
      <c r="AF63" t="n">
        <v>6.635265082269068</v>
      </c>
      <c r="AG63" t="n">
        <v>10.96602500741991</v>
      </c>
      <c r="AH63" t="n">
        <v>5.784711716618149</v>
      </c>
      <c r="AI63" t="n">
        <v>4.33053231937592</v>
      </c>
      <c r="AJ63" t="n">
        <v>2.113057632830959</v>
      </c>
      <c r="AK63" t="n">
        <v>-0.7495651446283746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I63" t="inlineStr">
        <is>
          <t>OLD_TOTAL_I</t>
        </is>
      </c>
    </row>
    <row r="64">
      <c r="A64" t="inlineStr">
        <is>
          <t>no_year_in_pairs</t>
        </is>
      </c>
      <c r="B64" s="2" t="n"/>
      <c r="C64" s="3" t="inlineStr">
        <is>
          <t>SM.19.158, Sup. 2</t>
        </is>
      </c>
      <c r="D64" s="4" t="inlineStr">
        <is>
          <t>Dominica</t>
        </is>
      </c>
      <c r="E64" s="4" t="inlineStr">
        <is>
          <t>DMA</t>
        </is>
      </c>
      <c r="F64" s="4" t="n"/>
      <c r="G64" s="4" t="inlineStr">
        <is>
          <t>2018gn</t>
        </is>
      </c>
      <c r="H64" s="4" t="n">
        <v>2018</v>
      </c>
      <c r="I64" s="5" t="n"/>
    </row>
    <row r="65">
      <c r="A65" t="inlineStr">
        <is>
          <t>no_year_in_pairs</t>
        </is>
      </c>
      <c r="B65" s="2" t="n"/>
      <c r="C65" s="3" t="inlineStr">
        <is>
          <t>SM.19.158, Sup. 2</t>
        </is>
      </c>
      <c r="D65" s="4" t="inlineStr">
        <is>
          <t>Dominica</t>
        </is>
      </c>
      <c r="E65" s="4" t="inlineStr">
        <is>
          <t>DMA</t>
        </is>
      </c>
      <c r="F65" s="4" t="n"/>
      <c r="G65" s="4" t="inlineStr">
        <is>
          <t>2018gn</t>
        </is>
      </c>
      <c r="H65" s="4" t="n">
        <v>2018</v>
      </c>
      <c r="I65" s="4" t="inlineStr">
        <is>
          <t>out.arr</t>
        </is>
      </c>
      <c r="J65" t="inlineStr">
        <is>
          <t>2. Stock of outstanding arrears</t>
        </is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I65" t="inlineStr">
        <is>
          <t>OLD_ARREARS</t>
        </is>
      </c>
    </row>
    <row r="66">
      <c r="A66" t="inlineStr">
        <is>
          <t>no_year_in_pairs</t>
        </is>
      </c>
      <c r="B66" s="2" t="n"/>
      <c r="C66" s="3" t="inlineStr">
        <is>
          <t>SM.19.158, Sup. 2</t>
        </is>
      </c>
      <c r="D66" s="4" t="inlineStr">
        <is>
          <t>Dominica</t>
        </is>
      </c>
      <c r="E66" s="4" t="inlineStr">
        <is>
          <t>DMA</t>
        </is>
      </c>
      <c r="F66" s="4" t="n"/>
      <c r="G66" s="4" t="inlineStr">
        <is>
          <t>2018gn</t>
        </is>
      </c>
      <c r="H66" s="4" t="n">
        <v>2018</v>
      </c>
      <c r="I66" s="5" t="n"/>
    </row>
    <row r="67">
      <c r="A67" t="inlineStr">
        <is>
          <t>no_year_in_pairs</t>
        </is>
      </c>
      <c r="B67" s="2" t="n"/>
      <c r="C67" s="3" t="inlineStr">
        <is>
          <t>SM.19.158, Sup. 2</t>
        </is>
      </c>
      <c r="D67" s="4" t="inlineStr">
        <is>
          <t>Dominica</t>
        </is>
      </c>
      <c r="E67" s="4" t="inlineStr">
        <is>
          <t>DMA</t>
        </is>
      </c>
      <c r="F67" s="4" t="n"/>
      <c r="G67" s="4" t="inlineStr">
        <is>
          <t>2018gn</t>
        </is>
      </c>
      <c r="H67" s="4" t="n">
        <v>2018</v>
      </c>
      <c r="I67" s="4" t="inlineStr">
        <is>
          <t>old.mlt.dbt.evol.exc.arr</t>
        </is>
      </c>
      <c r="J67" t="inlineStr">
        <is>
          <t>Evolution of old MLT debt, excluding arrears (nominal)</t>
        </is>
      </c>
      <c r="N67" t="n">
        <v>309.851196319483</v>
      </c>
      <c r="O67" t="n">
        <v>303.0106843231867</v>
      </c>
      <c r="P67" t="n">
        <v>277.3861424745094</v>
      </c>
      <c r="Q67" t="n">
        <v>256.0037233291391</v>
      </c>
      <c r="R67" t="n">
        <v>236.3216043069168</v>
      </c>
      <c r="S67" t="n">
        <v>214.1754494128428</v>
      </c>
      <c r="T67" t="n">
        <v>194.8207334446946</v>
      </c>
      <c r="U67" t="n">
        <v>176.2365492046412</v>
      </c>
      <c r="V67" t="n">
        <v>160.1914217272047</v>
      </c>
      <c r="W67" t="n">
        <v>145.873170664526</v>
      </c>
      <c r="X67" t="n">
        <v>132.3839486009245</v>
      </c>
      <c r="Y67" t="n">
        <v>119.5642856769481</v>
      </c>
      <c r="Z67" t="n">
        <v>107.3629161248876</v>
      </c>
      <c r="AA67" t="n">
        <v>95.88169927170365</v>
      </c>
      <c r="AB67" t="n">
        <v>87.84216035106435</v>
      </c>
      <c r="AC67" t="n">
        <v>82.46349817672568</v>
      </c>
      <c r="AD67" t="n">
        <v>77.61517733771093</v>
      </c>
      <c r="AE67" t="n">
        <v>73.23852222090623</v>
      </c>
      <c r="AF67" t="n">
        <v>69.45138656918198</v>
      </c>
      <c r="AG67" t="n">
        <v>66.4337589643124</v>
      </c>
      <c r="AH67" t="n">
        <v>63.11548431337582</v>
      </c>
      <c r="AI67" t="n">
        <v>59.81779467050213</v>
      </c>
      <c r="AJ67" t="n">
        <v>56.53717590974189</v>
      </c>
      <c r="AK67" t="n">
        <v>53.2706828951193</v>
      </c>
      <c r="AL67" t="n">
        <v>53.2706828951193</v>
      </c>
      <c r="AM67" t="n">
        <v>53.2706828951193</v>
      </c>
      <c r="AN67" t="n">
        <v>53.2706828951193</v>
      </c>
      <c r="AO67" t="n">
        <v>53.2706828951193</v>
      </c>
      <c r="AP67" t="n">
        <v>53.2706828951193</v>
      </c>
      <c r="AQ67" t="n">
        <v>53.2706828951193</v>
      </c>
      <c r="AR67" t="n">
        <v>53.2706828951193</v>
      </c>
      <c r="AS67" t="n">
        <v>53.2706828951193</v>
      </c>
      <c r="AT67" t="n">
        <v>53.2706828951193</v>
      </c>
      <c r="AU67" t="n">
        <v>53.2706828951193</v>
      </c>
      <c r="AV67" t="n">
        <v>53.2706828951193</v>
      </c>
      <c r="AW67" t="n">
        <v>53.2706828951193</v>
      </c>
      <c r="AX67" t="n">
        <v>53.2706828951193</v>
      </c>
      <c r="AY67" t="n">
        <v>53.2706828951193</v>
      </c>
      <c r="AZ67" t="n">
        <v>53.2706828951193</v>
      </c>
      <c r="BA67" t="n">
        <v>53.2706828951193</v>
      </c>
      <c r="BB67" t="n">
        <v>53.2706828951193</v>
      </c>
      <c r="BC67" t="n">
        <v>53.2706828951193</v>
      </c>
      <c r="BD67" t="n">
        <v>53.2706828951193</v>
      </c>
      <c r="BE67" t="n">
        <v>53.2706828951193</v>
      </c>
      <c r="BF67" t="n">
        <v>53.2706828951193</v>
      </c>
      <c r="BG67" t="n">
        <v>53.2706828951193</v>
      </c>
      <c r="BI67" t="inlineStr">
        <is>
          <t>OLD_MLT_CHG</t>
        </is>
      </c>
    </row>
    <row r="68">
      <c r="A68" t="inlineStr">
        <is>
          <t>no_year_in_pairs</t>
        </is>
      </c>
      <c r="B68" s="2" t="n"/>
      <c r="C68" s="3" t="inlineStr">
        <is>
          <t>SM.19.158, Sup. 2</t>
        </is>
      </c>
      <c r="D68" s="4" t="inlineStr">
        <is>
          <t>Dominica</t>
        </is>
      </c>
      <c r="E68" s="4" t="inlineStr">
        <is>
          <t>DMA</t>
        </is>
      </c>
      <c r="F68" s="4" t="n"/>
      <c r="G68" s="4" t="inlineStr">
        <is>
          <t>2018gn</t>
        </is>
      </c>
      <c r="H68" s="4" t="n">
        <v>2018</v>
      </c>
      <c r="I68" s="5" t="n"/>
    </row>
    <row r="69">
      <c r="A69" t="inlineStr">
        <is>
          <t>no_year_in_pairs</t>
        </is>
      </c>
      <c r="B69" s="2" t="n"/>
      <c r="C69" s="3" t="inlineStr">
        <is>
          <t>SM.19.158, Sup. 2</t>
        </is>
      </c>
      <c r="D69" s="4" t="inlineStr">
        <is>
          <t>Dominica</t>
        </is>
      </c>
      <c r="E69" s="4" t="inlineStr">
        <is>
          <t>DMA</t>
        </is>
      </c>
      <c r="F69" s="4" t="n"/>
      <c r="G69" s="4" t="inlineStr">
        <is>
          <t>2018gn</t>
        </is>
      </c>
      <c r="H69" s="4" t="n">
        <v>2018</v>
      </c>
      <c r="I69" s="5" t="n"/>
    </row>
    <row r="70">
      <c r="A70" t="inlineStr">
        <is>
          <t>no_year_in_pairs</t>
        </is>
      </c>
      <c r="B70" s="2" t="n"/>
      <c r="C70" s="3" t="inlineStr">
        <is>
          <t>SM.19.158, Sup. 2</t>
        </is>
      </c>
      <c r="D70" s="4" t="inlineStr">
        <is>
          <t>Dominica</t>
        </is>
      </c>
      <c r="E70" s="4" t="inlineStr">
        <is>
          <t>DMA</t>
        </is>
      </c>
      <c r="F70" s="4" t="n"/>
      <c r="G70" s="4" t="inlineStr">
        <is>
          <t>2018gn</t>
        </is>
      </c>
      <c r="H70" s="4" t="n">
        <v>2018</v>
      </c>
      <c r="I70" s="5" t="n"/>
      <c r="J70" t="inlineStr">
        <is>
          <t>3. NEW MLT DEBT: Disbursements (including for refinancing/clearance of arrears)</t>
        </is>
      </c>
    </row>
    <row r="71">
      <c r="A71" t="inlineStr">
        <is>
          <t>no_year_in_pairs</t>
        </is>
      </c>
      <c r="B71" s="2" t="n"/>
      <c r="C71" s="3" t="inlineStr">
        <is>
          <t>SM.19.158, Sup. 2</t>
        </is>
      </c>
      <c r="D71" s="4" t="inlineStr">
        <is>
          <t>Dominica</t>
        </is>
      </c>
      <c r="E71" s="4" t="inlineStr">
        <is>
          <t>DMA</t>
        </is>
      </c>
      <c r="F71" s="4" t="n"/>
      <c r="G71" s="4" t="inlineStr">
        <is>
          <t>2018gn</t>
        </is>
      </c>
      <c r="H71" s="4" t="n">
        <v>2018</v>
      </c>
      <c r="I71" s="4" t="inlineStr">
        <is>
          <t>new.dis.mlt</t>
        </is>
      </c>
      <c r="J71" t="inlineStr">
        <is>
          <t>Multilaterals</t>
        </is>
      </c>
      <c r="O71" t="n">
        <v>15</v>
      </c>
      <c r="P71" t="n">
        <v>33</v>
      </c>
      <c r="Q71" t="n">
        <v>32</v>
      </c>
      <c r="R71" t="n">
        <v>33</v>
      </c>
      <c r="S71" t="n">
        <v>19</v>
      </c>
      <c r="T71" t="n">
        <v>21.52</v>
      </c>
      <c r="U71" t="n">
        <v>21.9256796871657</v>
      </c>
      <c r="V71" t="n">
        <v>22.6996542264938</v>
      </c>
      <c r="W71" t="n">
        <v>23.5009504039322</v>
      </c>
      <c r="X71" t="n">
        <v>24.3305317527934</v>
      </c>
      <c r="Y71" t="n">
        <v>25.1893972227495</v>
      </c>
      <c r="Z71" t="n">
        <v>26.078581179832</v>
      </c>
      <c r="AA71" t="n">
        <v>26.9991523647746</v>
      </c>
      <c r="AB71" t="n">
        <v>27.9522201429585</v>
      </c>
      <c r="AC71" t="n">
        <v>28.9389303377825</v>
      </c>
      <c r="AD71" t="n">
        <v>29.9604725222658</v>
      </c>
      <c r="AE71" t="n">
        <v>31.018075073269</v>
      </c>
      <c r="AF71" t="n">
        <v>32.113010919168</v>
      </c>
      <c r="AG71" t="n">
        <v>33.2465979226196</v>
      </c>
      <c r="AH71" t="n">
        <v>33.6794597259981</v>
      </c>
      <c r="AI71" t="n">
        <v>34.8944903565267</v>
      </c>
      <c r="BI71" t="inlineStr">
        <is>
          <t>NEW_ML</t>
        </is>
      </c>
    </row>
    <row r="72">
      <c r="A72" t="inlineStr">
        <is>
          <t>no_year_in_pairs</t>
        </is>
      </c>
      <c r="B72" s="2" t="n"/>
      <c r="C72" s="3" t="inlineStr">
        <is>
          <t>SM.19.158, Sup. 2</t>
        </is>
      </c>
      <c r="D72" s="4" t="inlineStr">
        <is>
          <t>Dominica</t>
        </is>
      </c>
      <c r="E72" s="4" t="inlineStr">
        <is>
          <t>DMA</t>
        </is>
      </c>
      <c r="F72" s="4" t="n"/>
      <c r="G72" s="4" t="inlineStr">
        <is>
          <t>2018gn</t>
        </is>
      </c>
      <c r="H72" s="4" t="n">
        <v>2018</v>
      </c>
      <c r="I72" s="4" t="inlineStr">
        <is>
          <t>new.dis.mlt.imf</t>
        </is>
      </c>
      <c r="J72" t="inlineStr">
        <is>
          <t>IMF</t>
        </is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BI72" t="inlineStr">
        <is>
          <t>NEW_IMF</t>
        </is>
      </c>
    </row>
    <row r="73">
      <c r="A73" t="inlineStr">
        <is>
          <t>no_year_in_pairs</t>
        </is>
      </c>
      <c r="B73" s="2" t="n"/>
      <c r="C73" s="3" t="inlineStr">
        <is>
          <t>SM.19.158, Sup. 2</t>
        </is>
      </c>
      <c r="D73" s="4" t="inlineStr">
        <is>
          <t>Dominica</t>
        </is>
      </c>
      <c r="E73" s="4" t="inlineStr">
        <is>
          <t>DMA</t>
        </is>
      </c>
      <c r="F73" s="4" t="n"/>
      <c r="G73" s="4" t="inlineStr">
        <is>
          <t>2018gn</t>
        </is>
      </c>
      <c r="H73" s="4" t="n">
        <v>2018</v>
      </c>
      <c r="I73" s="4" t="inlineStr">
        <is>
          <t>new.dis.mlt.ida.reg</t>
        </is>
      </c>
      <c r="J73" t="inlineStr">
        <is>
          <t>IDA - small economy</t>
        </is>
      </c>
      <c r="O73" t="n">
        <v>5</v>
      </c>
      <c r="P73" t="n">
        <v>16</v>
      </c>
      <c r="Q73" t="n">
        <v>16</v>
      </c>
      <c r="R73" t="n">
        <v>16</v>
      </c>
      <c r="S73" t="n">
        <v>11</v>
      </c>
      <c r="T73" t="n">
        <v>11.52</v>
      </c>
      <c r="U73" t="n">
        <v>11.9256796871657</v>
      </c>
      <c r="V73" t="n">
        <v>12.346655117517</v>
      </c>
      <c r="W73" t="n">
        <v>12.782491163789</v>
      </c>
      <c r="X73" t="n">
        <v>13.2337119050441</v>
      </c>
      <c r="Y73" t="n">
        <v>13.7008606837914</v>
      </c>
      <c r="Z73" t="n">
        <v>14.1845001059863</v>
      </c>
      <c r="AA73" t="n">
        <v>14.6852114744593</v>
      </c>
      <c r="AB73" t="n">
        <v>15.2035981883468</v>
      </c>
      <c r="AC73" t="n">
        <v>15.7402834768042</v>
      </c>
      <c r="AD73" t="n">
        <v>16.2959143650091</v>
      </c>
      <c r="AE73" t="n">
        <v>16.8711589840836</v>
      </c>
      <c r="AF73" t="n">
        <v>17.4667096973338</v>
      </c>
      <c r="AG73" t="n">
        <v>18.0832833084411</v>
      </c>
      <c r="AH73" t="n">
        <v>18.3512515538356</v>
      </c>
      <c r="AI73" t="n">
        <v>19.0121234773756</v>
      </c>
      <c r="BI73" t="inlineStr">
        <is>
          <t>NEW_IDA</t>
        </is>
      </c>
    </row>
    <row r="74">
      <c r="A74" t="inlineStr">
        <is>
          <t>no_year_in_pairs</t>
        </is>
      </c>
      <c r="B74" s="2" t="n"/>
      <c r="C74" s="3" t="inlineStr">
        <is>
          <t>SM.19.158, Sup. 2</t>
        </is>
      </c>
      <c r="D74" s="4" t="inlineStr">
        <is>
          <t>Dominica</t>
        </is>
      </c>
      <c r="E74" s="4" t="inlineStr">
        <is>
          <t>DMA</t>
        </is>
      </c>
      <c r="F74" s="4" t="n"/>
      <c r="G74" s="4" t="inlineStr">
        <is>
          <t>2018gn</t>
        </is>
      </c>
      <c r="H74" s="4" t="n">
        <v>2018</v>
      </c>
      <c r="I74" s="4" t="inlineStr">
        <is>
          <t>new.dis.mlt.ida.bld</t>
        </is>
      </c>
      <c r="J74" t="inlineStr">
        <is>
          <t>IDA - small economy</t>
        </is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BI74" t="inlineStr">
        <is>
          <t>NEW_IDA_REG</t>
        </is>
      </c>
    </row>
    <row r="75">
      <c r="A75" t="inlineStr">
        <is>
          <t>no_year_in_pairs</t>
        </is>
      </c>
      <c r="B75" s="2" t="n"/>
      <c r="C75" s="3" t="inlineStr">
        <is>
          <t>SM.19.158, Sup. 2</t>
        </is>
      </c>
      <c r="D75" s="4" t="inlineStr">
        <is>
          <t>Dominica</t>
        </is>
      </c>
      <c r="E75" s="4" t="inlineStr">
        <is>
          <t>DMA</t>
        </is>
      </c>
      <c r="F75" s="4" t="n"/>
      <c r="G75" s="4" t="inlineStr">
        <is>
          <t>2018gn</t>
        </is>
      </c>
      <c r="H75" s="4" t="n">
        <v>2018</v>
      </c>
      <c r="I75" s="4" t="inlineStr">
        <is>
          <t>new.dis.mlt.afdb</t>
        </is>
      </c>
      <c r="J75" t="inlineStr">
        <is>
          <t>CDB</t>
        </is>
      </c>
      <c r="O75" t="n">
        <v>10</v>
      </c>
      <c r="P75" t="n">
        <v>17</v>
      </c>
      <c r="Q75" t="n">
        <v>16</v>
      </c>
      <c r="R75" t="n">
        <v>17</v>
      </c>
      <c r="S75" t="n">
        <v>8</v>
      </c>
      <c r="T75" t="n">
        <v>10</v>
      </c>
      <c r="U75" t="n">
        <v>10</v>
      </c>
      <c r="V75" t="n">
        <v>10.3529991089768</v>
      </c>
      <c r="W75" t="n">
        <v>10.7184592401432</v>
      </c>
      <c r="X75" t="n">
        <v>11.0968198477493</v>
      </c>
      <c r="Y75" t="n">
        <v>11.4885365389581</v>
      </c>
      <c r="Z75" t="n">
        <v>11.8940810738457</v>
      </c>
      <c r="AA75" t="n">
        <v>12.3139408903153</v>
      </c>
      <c r="AB75" t="n">
        <v>12.7486219546117</v>
      </c>
      <c r="AC75" t="n">
        <v>13.1986468609783</v>
      </c>
      <c r="AD75" t="n">
        <v>13.6645581572567</v>
      </c>
      <c r="AE75" t="n">
        <v>14.1469160891854</v>
      </c>
      <c r="AF75" t="n">
        <v>14.6463012218342</v>
      </c>
      <c r="AG75" t="n">
        <v>15.1633146141785</v>
      </c>
      <c r="AH75" t="n">
        <v>15.3282081721625</v>
      </c>
      <c r="AI75" t="n">
        <v>15.8823668791511</v>
      </c>
      <c r="BI75" t="inlineStr">
        <is>
          <t>NEW_OTHERS1</t>
        </is>
      </c>
    </row>
    <row r="76">
      <c r="A76" t="inlineStr">
        <is>
          <t>no_year_in_pairs</t>
        </is>
      </c>
      <c r="B76" s="2" t="n"/>
      <c r="C76" s="3" t="inlineStr">
        <is>
          <t>SM.19.158, Sup. 2</t>
        </is>
      </c>
      <c r="D76" s="4" t="inlineStr">
        <is>
          <t>Dominica</t>
        </is>
      </c>
      <c r="E76" s="4" t="inlineStr">
        <is>
          <t>DMA</t>
        </is>
      </c>
      <c r="F76" s="4" t="n"/>
      <c r="G76" s="4" t="inlineStr">
        <is>
          <t>2018gn</t>
        </is>
      </c>
      <c r="H76" s="4" t="n">
        <v>2018</v>
      </c>
      <c r="I76" s="4" t="inlineStr">
        <is>
          <t>new.dis.mlt2</t>
        </is>
      </c>
      <c r="J76" t="inlineStr">
        <is>
          <t>MULTI2</t>
        </is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BI76" t="inlineStr">
        <is>
          <t>NEW_OTHERS2</t>
        </is>
      </c>
    </row>
    <row r="77">
      <c r="A77" t="inlineStr">
        <is>
          <t>no_year_in_pairs</t>
        </is>
      </c>
      <c r="B77" s="2" t="n"/>
      <c r="C77" s="3" t="inlineStr">
        <is>
          <t>SM.19.158, Sup. 2</t>
        </is>
      </c>
      <c r="D77" s="4" t="inlineStr">
        <is>
          <t>Dominica</t>
        </is>
      </c>
      <c r="E77" s="4" t="inlineStr">
        <is>
          <t>DMA</t>
        </is>
      </c>
      <c r="F77" s="4" t="n"/>
      <c r="G77" s="4" t="inlineStr">
        <is>
          <t>2018gn</t>
        </is>
      </c>
      <c r="H77" s="4" t="n">
        <v>2018</v>
      </c>
      <c r="I77" s="4" t="inlineStr">
        <is>
          <t>new.dis.mlt3</t>
        </is>
      </c>
      <c r="J77" t="inlineStr">
        <is>
          <t>MULTI3</t>
        </is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</row>
    <row r="78">
      <c r="A78" t="inlineStr">
        <is>
          <t>no_year_in_pairs</t>
        </is>
      </c>
      <c r="B78" s="2" t="n"/>
      <c r="C78" s="3" t="inlineStr">
        <is>
          <t>SM.19.158, Sup. 2</t>
        </is>
      </c>
      <c r="D78" s="4" t="inlineStr">
        <is>
          <t>Dominica</t>
        </is>
      </c>
      <c r="E78" s="4" t="inlineStr">
        <is>
          <t>DMA</t>
        </is>
      </c>
      <c r="F78" s="4" t="n"/>
      <c r="G78" s="4" t="inlineStr">
        <is>
          <t>2018gn</t>
        </is>
      </c>
      <c r="H78" s="4" t="n">
        <v>2018</v>
      </c>
      <c r="I78" s="4" t="inlineStr">
        <is>
          <t>new.dis.mlt.oth</t>
        </is>
      </c>
      <c r="J78" t="inlineStr">
        <is>
          <t>Other Multilaterals</t>
        </is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-0.37037037037037</v>
      </c>
      <c r="AI78" t="n">
        <v>-0.37037037037037</v>
      </c>
    </row>
    <row r="79">
      <c r="A79" t="inlineStr">
        <is>
          <t>no_year_in_pairs</t>
        </is>
      </c>
      <c r="B79" s="2" t="n"/>
      <c r="C79" s="3" t="inlineStr">
        <is>
          <t>SM.19.158, Sup. 2</t>
        </is>
      </c>
      <c r="D79" s="4" t="inlineStr">
        <is>
          <t>Dominica</t>
        </is>
      </c>
      <c r="E79" s="4" t="inlineStr">
        <is>
          <t>DMA</t>
        </is>
      </c>
      <c r="F79" s="4" t="n"/>
      <c r="G79" s="4" t="inlineStr">
        <is>
          <t>2018gn</t>
        </is>
      </c>
      <c r="H79" s="4" t="n">
        <v>2018</v>
      </c>
      <c r="I79" s="4" t="inlineStr">
        <is>
          <t>new.dis.mlt.oth1</t>
        </is>
      </c>
      <c r="J79" t="inlineStr">
        <is>
          <t>OTH_MULTI1</t>
        </is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-0.37037037037037</v>
      </c>
      <c r="AI79" t="n">
        <v>-0.37037037037037</v>
      </c>
    </row>
    <row r="80">
      <c r="A80" t="inlineStr">
        <is>
          <t>no_year_in_pairs</t>
        </is>
      </c>
      <c r="B80" s="2" t="n"/>
      <c r="C80" s="3" t="inlineStr">
        <is>
          <t>SM.19.158, Sup. 2</t>
        </is>
      </c>
      <c r="D80" s="4" t="inlineStr">
        <is>
          <t>Dominica</t>
        </is>
      </c>
      <c r="E80" s="4" t="inlineStr">
        <is>
          <t>DMA</t>
        </is>
      </c>
      <c r="F80" s="4" t="n"/>
      <c r="G80" s="4" t="inlineStr">
        <is>
          <t>2018gn</t>
        </is>
      </c>
      <c r="H80" s="4" t="n">
        <v>2018</v>
      </c>
      <c r="I80" s="4" t="inlineStr">
        <is>
          <t>new.dis.mlt.oth2</t>
        </is>
      </c>
      <c r="J80" t="inlineStr">
        <is>
          <t>OTH_MULTI2</t>
        </is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</row>
    <row r="81">
      <c r="A81" t="inlineStr">
        <is>
          <t>no_year_in_pairs</t>
        </is>
      </c>
      <c r="B81" s="2" t="n"/>
      <c r="C81" s="3" t="inlineStr">
        <is>
          <t>SM.19.158, Sup. 2</t>
        </is>
      </c>
      <c r="D81" s="4" t="inlineStr">
        <is>
          <t>Dominica</t>
        </is>
      </c>
      <c r="E81" s="4" t="inlineStr">
        <is>
          <t>DMA</t>
        </is>
      </c>
      <c r="F81" s="4" t="n"/>
      <c r="G81" s="4" t="inlineStr">
        <is>
          <t>2018gn</t>
        </is>
      </c>
      <c r="H81" s="4" t="n">
        <v>2018</v>
      </c>
      <c r="I81" s="4" t="inlineStr">
        <is>
          <t>new.dis.mlt.oth3</t>
        </is>
      </c>
      <c r="J81" t="inlineStr">
        <is>
          <t>OTH_MULTI3</t>
        </is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</row>
    <row r="82">
      <c r="A82" t="inlineStr">
        <is>
          <t>no_year_in_pairs</t>
        </is>
      </c>
      <c r="B82" s="2" t="n"/>
      <c r="C82" s="3" t="inlineStr">
        <is>
          <t>SM.19.158, Sup. 2</t>
        </is>
      </c>
      <c r="D82" s="4" t="inlineStr">
        <is>
          <t>Dominica</t>
        </is>
      </c>
      <c r="E82" s="4" t="inlineStr">
        <is>
          <t>DMA</t>
        </is>
      </c>
      <c r="F82" s="4" t="n"/>
      <c r="G82" s="4" t="inlineStr">
        <is>
          <t>2018gn</t>
        </is>
      </c>
      <c r="H82" s="4" t="n">
        <v>2018</v>
      </c>
      <c r="I82" s="4" t="inlineStr">
        <is>
          <t>new.dis.blt</t>
        </is>
      </c>
      <c r="J82" t="inlineStr">
        <is>
          <t>Official Bilaterals</t>
        </is>
      </c>
      <c r="O82" t="n">
        <v>16.888436352472</v>
      </c>
      <c r="P82" t="n">
        <v>6.54367111289659</v>
      </c>
      <c r="Q82" t="n">
        <v>15.3836352734786</v>
      </c>
      <c r="R82" t="n">
        <v>12.3125010557359</v>
      </c>
      <c r="S82" t="n">
        <v>11.7814451781633</v>
      </c>
      <c r="T82" t="n">
        <v>10.9572801910043</v>
      </c>
      <c r="U82" t="n">
        <v>10.5174295104096</v>
      </c>
      <c r="V82" t="n">
        <v>9.99409507464199</v>
      </c>
      <c r="W82" t="n">
        <v>10.3026717036499</v>
      </c>
      <c r="X82" t="n">
        <v>10.5538531646315</v>
      </c>
      <c r="Y82" t="n">
        <v>10.8391463923996</v>
      </c>
      <c r="Z82" t="n">
        <v>11.0688040706301</v>
      </c>
      <c r="AA82" t="n">
        <v>11.2543848747557</v>
      </c>
      <c r="AB82" t="n">
        <v>11.4748673871659</v>
      </c>
      <c r="AC82" t="n">
        <v>9.9930323647867</v>
      </c>
      <c r="AD82" t="n">
        <v>8.873360287326259</v>
      </c>
      <c r="AE82" t="n">
        <v>9.122691536922259</v>
      </c>
      <c r="AF82" t="n">
        <v>9.53640925790498</v>
      </c>
      <c r="AG82" t="n">
        <v>9.981533681324391</v>
      </c>
      <c r="AH82" t="n">
        <v>10.4377061752794</v>
      </c>
      <c r="AI82" t="n">
        <v>10.8556456581865</v>
      </c>
      <c r="BI82" t="inlineStr">
        <is>
          <t>NEW_OB</t>
        </is>
      </c>
    </row>
    <row r="83">
      <c r="A83" t="inlineStr">
        <is>
          <t>no_year_in_pairs</t>
        </is>
      </c>
      <c r="B83" s="2" t="n"/>
      <c r="C83" s="3" t="inlineStr">
        <is>
          <t>SM.19.158, Sup. 2</t>
        </is>
      </c>
      <c r="D83" s="4" t="inlineStr">
        <is>
          <t>Dominica</t>
        </is>
      </c>
      <c r="E83" s="4" t="inlineStr">
        <is>
          <t>DMA</t>
        </is>
      </c>
      <c r="F83" s="4" t="n"/>
      <c r="G83" s="4" t="inlineStr">
        <is>
          <t>2018gn</t>
        </is>
      </c>
      <c r="H83" s="4" t="n">
        <v>2018</v>
      </c>
      <c r="I83" s="4" t="inlineStr">
        <is>
          <t>new.dis.pc</t>
        </is>
      </c>
      <c r="J83" t="inlineStr">
        <is>
          <t xml:space="preserve">   Paris Club</t>
        </is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BI83" t="inlineStr">
        <is>
          <t>NEW_PC_ALL</t>
        </is>
      </c>
    </row>
    <row r="84">
      <c r="A84" t="inlineStr">
        <is>
          <t>no_year_in_pairs</t>
        </is>
      </c>
      <c r="B84" s="2" t="n"/>
      <c r="C84" s="3" t="inlineStr">
        <is>
          <t>SM.19.158, Sup. 2</t>
        </is>
      </c>
      <c r="D84" s="4" t="inlineStr">
        <is>
          <t>Dominica</t>
        </is>
      </c>
      <c r="E84" s="4" t="inlineStr">
        <is>
          <t>DMA</t>
        </is>
      </c>
      <c r="F84" s="4" t="n"/>
      <c r="G84" s="4" t="inlineStr">
        <is>
          <t>2018gn</t>
        </is>
      </c>
      <c r="H84" s="4" t="n">
        <v>2018</v>
      </c>
      <c r="I84" s="4" t="inlineStr">
        <is>
          <t>new.dis.pc1</t>
        </is>
      </c>
      <c r="J84" t="inlineStr">
        <is>
          <t>Export Credit Agencies</t>
        </is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BI84" t="inlineStr">
        <is>
          <t>NEW_PC1</t>
        </is>
      </c>
    </row>
    <row r="85">
      <c r="A85" t="inlineStr">
        <is>
          <t>no_year_in_pairs</t>
        </is>
      </c>
      <c r="B85" s="2" t="n"/>
      <c r="C85" s="3" t="inlineStr">
        <is>
          <t>SM.19.158, Sup. 2</t>
        </is>
      </c>
      <c r="D85" s="4" t="inlineStr">
        <is>
          <t>Dominica</t>
        </is>
      </c>
      <c r="E85" s="4" t="inlineStr">
        <is>
          <t>DMA</t>
        </is>
      </c>
      <c r="F85" s="4" t="n"/>
      <c r="G85" s="4" t="inlineStr">
        <is>
          <t>2018gn</t>
        </is>
      </c>
      <c r="H85" s="4" t="n">
        <v>2018</v>
      </c>
      <c r="I85" s="4" t="inlineStr">
        <is>
          <t>new.dis.pc2</t>
        </is>
      </c>
      <c r="J85" t="inlineStr">
        <is>
          <t>PC2</t>
        </is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BI85" t="inlineStr">
        <is>
          <t>NEW_PC2</t>
        </is>
      </c>
    </row>
    <row r="86">
      <c r="A86" t="inlineStr">
        <is>
          <t>no_year_in_pairs</t>
        </is>
      </c>
      <c r="B86" s="2" t="n"/>
      <c r="C86" s="3" t="inlineStr">
        <is>
          <t>SM.19.158, Sup. 2</t>
        </is>
      </c>
      <c r="D86" s="4" t="inlineStr">
        <is>
          <t>Dominica</t>
        </is>
      </c>
      <c r="E86" s="4" t="inlineStr">
        <is>
          <t>DMA</t>
        </is>
      </c>
      <c r="F86" s="4" t="n"/>
      <c r="G86" s="4" t="inlineStr">
        <is>
          <t>2018gn</t>
        </is>
      </c>
      <c r="H86" s="4" t="n">
        <v>2018</v>
      </c>
      <c r="I86" s="4" t="inlineStr">
        <is>
          <t>new.dis.pc3</t>
        </is>
      </c>
      <c r="J86" t="inlineStr">
        <is>
          <t>PC3</t>
        </is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BI86" t="inlineStr">
        <is>
          <t>NEW_PC3</t>
        </is>
      </c>
    </row>
    <row r="87">
      <c r="A87" t="inlineStr">
        <is>
          <t>no_year_in_pairs</t>
        </is>
      </c>
      <c r="B87" s="2" t="n"/>
      <c r="C87" s="3" t="inlineStr">
        <is>
          <t>SM.19.158, Sup. 2</t>
        </is>
      </c>
      <c r="D87" s="4" t="inlineStr">
        <is>
          <t>Dominica</t>
        </is>
      </c>
      <c r="E87" s="4" t="inlineStr">
        <is>
          <t>DMA</t>
        </is>
      </c>
      <c r="F87" s="4" t="n"/>
      <c r="G87" s="4" t="inlineStr">
        <is>
          <t>2018gn</t>
        </is>
      </c>
      <c r="H87" s="4" t="n">
        <v>2018</v>
      </c>
      <c r="I87" s="4" t="inlineStr">
        <is>
          <t>new.dis.pc4</t>
        </is>
      </c>
      <c r="J87" t="inlineStr">
        <is>
          <t>PC4</t>
        </is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</row>
    <row r="88">
      <c r="A88" t="inlineStr">
        <is>
          <t>no_year_in_pairs</t>
        </is>
      </c>
      <c r="B88" s="2" t="n"/>
      <c r="C88" s="3" t="inlineStr">
        <is>
          <t>SM.19.158, Sup. 2</t>
        </is>
      </c>
      <c r="D88" s="4" t="inlineStr">
        <is>
          <t>Dominica</t>
        </is>
      </c>
      <c r="E88" s="4" t="inlineStr">
        <is>
          <t>DMA</t>
        </is>
      </c>
      <c r="F88" s="4" t="n"/>
      <c r="G88" s="4" t="inlineStr">
        <is>
          <t>2018gn</t>
        </is>
      </c>
      <c r="H88" s="4" t="n">
        <v>2018</v>
      </c>
      <c r="I88" s="4" t="inlineStr">
        <is>
          <t>new.dis.pc5</t>
        </is>
      </c>
      <c r="J88" t="inlineStr">
        <is>
          <t>PC5</t>
        </is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</row>
    <row r="89">
      <c r="A89" t="inlineStr">
        <is>
          <t>no_year_in_pairs</t>
        </is>
      </c>
      <c r="B89" s="2" t="n"/>
      <c r="C89" s="3" t="inlineStr">
        <is>
          <t>SM.19.158, Sup. 2</t>
        </is>
      </c>
      <c r="D89" s="4" t="inlineStr">
        <is>
          <t>Dominica</t>
        </is>
      </c>
      <c r="E89" s="4" t="inlineStr">
        <is>
          <t>DMA</t>
        </is>
      </c>
      <c r="F89" s="4" t="n"/>
      <c r="G89" s="4" t="inlineStr">
        <is>
          <t>2018gn</t>
        </is>
      </c>
      <c r="H89" s="4" t="n">
        <v>2018</v>
      </c>
      <c r="I89" s="4" t="inlineStr">
        <is>
          <t>new.dis.npc</t>
        </is>
      </c>
      <c r="J89" t="inlineStr">
        <is>
          <t xml:space="preserve">   Non-Paris Club</t>
        </is>
      </c>
      <c r="O89" t="n">
        <v>16.888436352472</v>
      </c>
      <c r="P89" t="n">
        <v>6.54367111289659</v>
      </c>
      <c r="Q89" t="n">
        <v>15.3836352734786</v>
      </c>
      <c r="R89" t="n">
        <v>12.3125010557359</v>
      </c>
      <c r="S89" t="n">
        <v>11.7814451781633</v>
      </c>
      <c r="T89" t="n">
        <v>10.9572801910043</v>
      </c>
      <c r="U89" t="n">
        <v>10.5174295104096</v>
      </c>
      <c r="V89" t="n">
        <v>9.99409507464199</v>
      </c>
      <c r="W89" t="n">
        <v>10.3026717036499</v>
      </c>
      <c r="X89" t="n">
        <v>10.5538531646315</v>
      </c>
      <c r="Y89" t="n">
        <v>10.8391463923996</v>
      </c>
      <c r="Z89" t="n">
        <v>11.0688040706301</v>
      </c>
      <c r="AA89" t="n">
        <v>11.2543848747557</v>
      </c>
      <c r="AB89" t="n">
        <v>11.4748673871659</v>
      </c>
      <c r="AC89" t="n">
        <v>9.9930323647867</v>
      </c>
      <c r="AD89" t="n">
        <v>8.873360287326259</v>
      </c>
      <c r="AE89" t="n">
        <v>9.122691536922259</v>
      </c>
      <c r="AF89" t="n">
        <v>9.53640925790498</v>
      </c>
      <c r="AG89" t="n">
        <v>9.981533681324391</v>
      </c>
      <c r="AH89" t="n">
        <v>10.4377061752794</v>
      </c>
      <c r="AI89" t="n">
        <v>10.8556456581865</v>
      </c>
      <c r="BI89" t="inlineStr">
        <is>
          <t>NEW_NPC_ALL</t>
        </is>
      </c>
    </row>
    <row r="90">
      <c r="A90" t="inlineStr">
        <is>
          <t>no_year_in_pairs</t>
        </is>
      </c>
      <c r="B90" s="2" t="n"/>
      <c r="C90" s="3" t="inlineStr">
        <is>
          <t>SM.19.158, Sup. 2</t>
        </is>
      </c>
      <c r="D90" s="4" t="inlineStr">
        <is>
          <t>Dominica</t>
        </is>
      </c>
      <c r="E90" s="4" t="inlineStr">
        <is>
          <t>DMA</t>
        </is>
      </c>
      <c r="F90" s="4" t="n"/>
      <c r="G90" s="4" t="inlineStr">
        <is>
          <t>2018gn</t>
        </is>
      </c>
      <c r="H90" s="4" t="n">
        <v>2018</v>
      </c>
      <c r="I90" s="4" t="inlineStr">
        <is>
          <t>new.dis.npc.eximbk</t>
        </is>
      </c>
      <c r="J90" t="inlineStr">
        <is>
          <t>Export Import Bank of NPC</t>
        </is>
      </c>
      <c r="O90" t="n">
        <v>16.888436352472</v>
      </c>
      <c r="P90" t="n">
        <v>6.54367111289659</v>
      </c>
      <c r="Q90" t="n">
        <v>15.3836352734786</v>
      </c>
      <c r="R90" t="n">
        <v>12.3125010557359</v>
      </c>
      <c r="S90" t="n">
        <v>11.7814451781633</v>
      </c>
      <c r="T90" t="n">
        <v>10.9572801910043</v>
      </c>
      <c r="U90" t="n">
        <v>10.5174295104096</v>
      </c>
      <c r="V90" t="n">
        <v>9.99409507464199</v>
      </c>
      <c r="W90" t="n">
        <v>10.3026717036499</v>
      </c>
      <c r="X90" t="n">
        <v>10.5538531646315</v>
      </c>
      <c r="Y90" t="n">
        <v>10.8391463923996</v>
      </c>
      <c r="Z90" t="n">
        <v>11.0688040706301</v>
      </c>
      <c r="AA90" t="n">
        <v>11.2543848747557</v>
      </c>
      <c r="AB90" t="n">
        <v>11.4748673871659</v>
      </c>
      <c r="AC90" t="n">
        <v>9.9930323647867</v>
      </c>
      <c r="AD90" t="n">
        <v>8.873360287326259</v>
      </c>
      <c r="AE90" t="n">
        <v>9.122691536922259</v>
      </c>
      <c r="AF90" t="n">
        <v>9.53640925790498</v>
      </c>
      <c r="AG90" t="n">
        <v>9.981533681324391</v>
      </c>
      <c r="AH90" t="n">
        <v>10.4377061752794</v>
      </c>
      <c r="AI90" t="n">
        <v>10.8556456581865</v>
      </c>
      <c r="BI90" t="inlineStr">
        <is>
          <t>NEW_NPC1</t>
        </is>
      </c>
    </row>
    <row r="91">
      <c r="A91" t="inlineStr">
        <is>
          <t>no_year_in_pairs</t>
        </is>
      </c>
      <c r="B91" s="2" t="n"/>
      <c r="C91" s="3" t="inlineStr">
        <is>
          <t>SM.19.158, Sup. 2</t>
        </is>
      </c>
      <c r="D91" s="4" t="inlineStr">
        <is>
          <t>Dominica</t>
        </is>
      </c>
      <c r="E91" s="4" t="inlineStr">
        <is>
          <t>DMA</t>
        </is>
      </c>
      <c r="F91" s="4" t="n"/>
      <c r="G91" s="4" t="inlineStr">
        <is>
          <t>2018gn</t>
        </is>
      </c>
      <c r="H91" s="4" t="n">
        <v>2018</v>
      </c>
      <c r="I91" s="4" t="inlineStr">
        <is>
          <t>new.dis.npc2</t>
        </is>
      </c>
      <c r="J91" t="inlineStr">
        <is>
          <t>NPC2</t>
        </is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BI91" t="inlineStr">
        <is>
          <t>NEW_NPC2</t>
        </is>
      </c>
    </row>
    <row r="92">
      <c r="A92" t="inlineStr">
        <is>
          <t>no_year_in_pairs</t>
        </is>
      </c>
      <c r="B92" s="2" t="n"/>
      <c r="C92" s="3" t="inlineStr">
        <is>
          <t>SM.19.158, Sup. 2</t>
        </is>
      </c>
      <c r="D92" s="4" t="inlineStr">
        <is>
          <t>Dominica</t>
        </is>
      </c>
      <c r="E92" s="4" t="inlineStr">
        <is>
          <t>DMA</t>
        </is>
      </c>
      <c r="F92" s="4" t="n"/>
      <c r="G92" s="4" t="inlineStr">
        <is>
          <t>2018gn</t>
        </is>
      </c>
      <c r="H92" s="4" t="n">
        <v>2018</v>
      </c>
      <c r="I92" s="4" t="inlineStr">
        <is>
          <t>new.dis.npc3</t>
        </is>
      </c>
      <c r="J92" t="inlineStr">
        <is>
          <t>NPC3</t>
        </is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BI92" t="inlineStr">
        <is>
          <t>NEW_NPC3</t>
        </is>
      </c>
    </row>
    <row r="93">
      <c r="A93" t="inlineStr">
        <is>
          <t>no_year_in_pairs</t>
        </is>
      </c>
      <c r="B93" s="2" t="n"/>
      <c r="C93" s="3" t="inlineStr">
        <is>
          <t>SM.19.158, Sup. 2</t>
        </is>
      </c>
      <c r="D93" s="4" t="inlineStr">
        <is>
          <t>Dominica</t>
        </is>
      </c>
      <c r="E93" s="4" t="inlineStr">
        <is>
          <t>DMA</t>
        </is>
      </c>
      <c r="F93" s="4" t="n"/>
      <c r="G93" s="4" t="inlineStr">
        <is>
          <t>2018gn</t>
        </is>
      </c>
      <c r="H93" s="4" t="n">
        <v>2018</v>
      </c>
      <c r="I93" s="4" t="inlineStr">
        <is>
          <t>new.dis.npc4</t>
        </is>
      </c>
      <c r="J93" t="inlineStr">
        <is>
          <t>NPC4</t>
        </is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</row>
    <row r="94">
      <c r="A94" t="inlineStr">
        <is>
          <t>no_year_in_pairs</t>
        </is>
      </c>
      <c r="B94" s="2" t="n"/>
      <c r="C94" s="3" t="inlineStr">
        <is>
          <t>SM.19.158, Sup. 2</t>
        </is>
      </c>
      <c r="D94" s="4" t="inlineStr">
        <is>
          <t>Dominica</t>
        </is>
      </c>
      <c r="E94" s="4" t="inlineStr">
        <is>
          <t>DMA</t>
        </is>
      </c>
      <c r="F94" s="4" t="n"/>
      <c r="G94" s="4" t="inlineStr">
        <is>
          <t>2018gn</t>
        </is>
      </c>
      <c r="H94" s="4" t="n">
        <v>2018</v>
      </c>
      <c r="I94" s="4" t="inlineStr">
        <is>
          <t>new.dis.npc5</t>
        </is>
      </c>
      <c r="J94" t="inlineStr">
        <is>
          <t>NPC5</t>
        </is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</row>
    <row r="95">
      <c r="A95" t="inlineStr">
        <is>
          <t>no_year_in_pairs</t>
        </is>
      </c>
      <c r="B95" s="2" t="n"/>
      <c r="C95" s="3" t="inlineStr">
        <is>
          <t>SM.19.158, Sup. 2</t>
        </is>
      </c>
      <c r="D95" s="4" t="inlineStr">
        <is>
          <t>Dominica</t>
        </is>
      </c>
      <c r="E95" s="4" t="inlineStr">
        <is>
          <t>DMA</t>
        </is>
      </c>
      <c r="F95" s="4" t="n"/>
      <c r="G95" s="4" t="inlineStr">
        <is>
          <t>2018gn</t>
        </is>
      </c>
      <c r="H95" s="4" t="n">
        <v>2018</v>
      </c>
      <c r="I95" s="4" t="inlineStr">
        <is>
          <t>new.dis.prvt</t>
        </is>
      </c>
      <c r="J95" t="inlineStr">
        <is>
          <t>Commercial</t>
        </is>
      </c>
      <c r="O95" t="n">
        <v>19.36898183242197</v>
      </c>
      <c r="P95" t="n">
        <v>30.45197954732266</v>
      </c>
      <c r="Q95" t="n">
        <v>52.32624976874712</v>
      </c>
      <c r="R95" t="n">
        <v>64.72967121421313</v>
      </c>
      <c r="S95" t="n">
        <v>76.7726597450669</v>
      </c>
      <c r="T95" t="n">
        <v>88.96077342377859</v>
      </c>
      <c r="U95" t="n">
        <v>99.71022471065375</v>
      </c>
      <c r="V95" t="n">
        <v>111.9347102789289</v>
      </c>
      <c r="W95" t="n">
        <v>124.7548383551074</v>
      </c>
      <c r="X95" t="n">
        <v>139.1626072519894</v>
      </c>
      <c r="Y95" t="n">
        <v>155.410664205389</v>
      </c>
      <c r="Z95" t="n">
        <v>170.3039461733494</v>
      </c>
      <c r="AA95" t="n">
        <v>186.2659168731759</v>
      </c>
      <c r="AB95" t="n">
        <v>201.244847148364</v>
      </c>
      <c r="AC95" t="n">
        <v>214.847191618412</v>
      </c>
      <c r="AD95" t="n">
        <v>186.0337810229608</v>
      </c>
      <c r="AE95" t="n">
        <v>199.7282593654527</v>
      </c>
      <c r="AF95" t="n">
        <v>213.6972249301147</v>
      </c>
      <c r="AG95" t="n">
        <v>227.957546134621</v>
      </c>
      <c r="AH95" t="n">
        <v>244.2332199842297</v>
      </c>
      <c r="AI95" t="n">
        <v>259.607164293198</v>
      </c>
      <c r="BI95" t="inlineStr">
        <is>
          <t>NEW_COM_ALL</t>
        </is>
      </c>
    </row>
    <row r="96">
      <c r="A96" t="inlineStr">
        <is>
          <t>no_year_in_pairs</t>
        </is>
      </c>
      <c r="B96" s="2" t="n"/>
      <c r="C96" s="3" t="inlineStr">
        <is>
          <t>SM.19.158, Sup. 2</t>
        </is>
      </c>
      <c r="D96" s="4" t="inlineStr">
        <is>
          <t>Dominica</t>
        </is>
      </c>
      <c r="E96" s="4" t="inlineStr">
        <is>
          <t>DMA</t>
        </is>
      </c>
      <c r="F96" s="4" t="n"/>
      <c r="G96" s="4" t="inlineStr">
        <is>
          <t>2018gn</t>
        </is>
      </c>
      <c r="H96" s="4" t="n">
        <v>2018</v>
      </c>
      <c r="I96" s="4" t="inlineStr">
        <is>
          <t>new.dis.prvt.bnd</t>
        </is>
      </c>
      <c r="J96" t="inlineStr">
        <is>
          <t>Eurobond</t>
        </is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BI96" t="inlineStr">
        <is>
          <t>NEW_COM1</t>
        </is>
      </c>
    </row>
    <row r="97">
      <c r="A97" t="inlineStr">
        <is>
          <t>no_year_in_pairs</t>
        </is>
      </c>
      <c r="B97" s="2" t="n"/>
      <c r="C97" s="3" t="inlineStr">
        <is>
          <t>SM.19.158, Sup. 2</t>
        </is>
      </c>
      <c r="D97" s="4" t="inlineStr">
        <is>
          <t>Dominica</t>
        </is>
      </c>
      <c r="E97" s="4" t="inlineStr">
        <is>
          <t>DMA</t>
        </is>
      </c>
      <c r="F97" s="4" t="n"/>
      <c r="G97" s="4" t="inlineStr">
        <is>
          <t>2018gn</t>
        </is>
      </c>
      <c r="H97" s="4" t="n">
        <v>2018</v>
      </c>
      <c r="I97" s="4" t="inlineStr">
        <is>
          <t>new.dis.prvt.cmbk</t>
        </is>
      </c>
      <c r="J97" t="inlineStr">
        <is>
          <t>Commecial Bank</t>
        </is>
      </c>
      <c r="O97" t="n">
        <v>4.92129497174923</v>
      </c>
      <c r="P97" t="n">
        <v>5.39369832036962</v>
      </c>
      <c r="Q97" t="n">
        <v>16.1768801934768</v>
      </c>
      <c r="R97" t="n">
        <v>7.68734814750119</v>
      </c>
      <c r="S97" t="n">
        <v>8.77125323101512</v>
      </c>
      <c r="T97" t="n">
        <v>10.0629527040211</v>
      </c>
      <c r="U97" t="n">
        <v>9.074081048882899</v>
      </c>
      <c r="V97" t="n">
        <v>10.5267497907349</v>
      </c>
      <c r="W97" t="n">
        <v>9.48076887977547</v>
      </c>
      <c r="X97" t="n">
        <v>9.39963574749846</v>
      </c>
      <c r="Y97" t="n">
        <v>9.922005973394411</v>
      </c>
      <c r="Z97" t="n">
        <v>10.494739561919</v>
      </c>
      <c r="AA97" t="n">
        <v>11.110768672381</v>
      </c>
      <c r="AB97" t="n">
        <v>11.5204136600554</v>
      </c>
      <c r="AC97" t="n">
        <v>10.8233344798904</v>
      </c>
      <c r="AD97" t="n">
        <v>10.6391334068963</v>
      </c>
      <c r="AE97" t="n">
        <v>11.1214189840094</v>
      </c>
      <c r="AF97" t="n">
        <v>11.5297050114848</v>
      </c>
      <c r="AG97" t="n">
        <v>11.9647303692724</v>
      </c>
      <c r="AH97" t="n">
        <v>12.4134480063634</v>
      </c>
      <c r="AI97" t="n">
        <v>12.8782317370096</v>
      </c>
      <c r="BI97" t="inlineStr">
        <is>
          <t>NEW_COM2</t>
        </is>
      </c>
    </row>
    <row r="98">
      <c r="A98" t="inlineStr">
        <is>
          <t>no_year_in_pairs</t>
        </is>
      </c>
      <c r="B98" s="2" t="n"/>
      <c r="C98" s="3" t="inlineStr">
        <is>
          <t>SM.19.158, Sup. 2</t>
        </is>
      </c>
      <c r="D98" s="4" t="inlineStr">
        <is>
          <t>Dominica</t>
        </is>
      </c>
      <c r="E98" s="4" t="inlineStr">
        <is>
          <t>DMA</t>
        </is>
      </c>
      <c r="F98" s="4" t="n"/>
      <c r="G98" s="4" t="inlineStr">
        <is>
          <t>2018gn</t>
        </is>
      </c>
      <c r="H98" s="4" t="n">
        <v>2018</v>
      </c>
      <c r="I98" s="4" t="inlineStr">
        <is>
          <t>new.dis.prvt.com3</t>
        </is>
      </c>
      <c r="J98" t="inlineStr">
        <is>
          <t>COM3</t>
        </is>
      </c>
      <c r="O98" t="n">
        <v>14.44768686067273</v>
      </c>
      <c r="P98" t="n">
        <v>25.05828122695304</v>
      </c>
      <c r="Q98" t="n">
        <v>36.14936957527031</v>
      </c>
      <c r="R98" t="n">
        <v>57.04232306671194</v>
      </c>
      <c r="S98" t="n">
        <v>68.00140651405178</v>
      </c>
      <c r="T98" t="n">
        <v>78.89782071975749</v>
      </c>
      <c r="U98" t="n">
        <v>90.63614366177084</v>
      </c>
      <c r="V98" t="n">
        <v>101.407960488194</v>
      </c>
      <c r="W98" t="n">
        <v>115.2740694753319</v>
      </c>
      <c r="X98" t="n">
        <v>129.7629715044909</v>
      </c>
      <c r="Y98" t="n">
        <v>145.4886582319946</v>
      </c>
      <c r="Z98" t="n">
        <v>159.8092066114304</v>
      </c>
      <c r="AA98" t="n">
        <v>175.1551482007949</v>
      </c>
      <c r="AB98" t="n">
        <v>189.7244334883086</v>
      </c>
      <c r="AC98" t="n">
        <v>204.0238571385216</v>
      </c>
      <c r="AD98" t="n">
        <v>175.3946476160645</v>
      </c>
      <c r="AE98" t="n">
        <v>188.6068403814432</v>
      </c>
      <c r="AF98" t="n">
        <v>202.1675199186299</v>
      </c>
      <c r="AG98" t="n">
        <v>215.9928157653486</v>
      </c>
      <c r="AH98" t="n">
        <v>231.8197719778663</v>
      </c>
      <c r="AI98" t="n">
        <v>246.7289325561885</v>
      </c>
      <c r="BI98" t="inlineStr">
        <is>
          <t>NEW_COM3</t>
        </is>
      </c>
    </row>
    <row r="99">
      <c r="A99" t="inlineStr">
        <is>
          <t>no_year_in_pairs</t>
        </is>
      </c>
      <c r="B99" s="2" t="n"/>
      <c r="C99" s="3" t="inlineStr">
        <is>
          <t>SM.19.158, Sup. 2</t>
        </is>
      </c>
      <c r="D99" s="4" t="inlineStr">
        <is>
          <t>Dominica</t>
        </is>
      </c>
      <c r="E99" s="4" t="inlineStr">
        <is>
          <t>DMA</t>
        </is>
      </c>
      <c r="F99" s="4" t="n"/>
      <c r="G99" s="4" t="inlineStr">
        <is>
          <t>2018gn</t>
        </is>
      </c>
      <c r="H99" s="4" t="n">
        <v>2018</v>
      </c>
      <c r="I99" s="4" t="inlineStr">
        <is>
          <t>new.dis.prvt.com4</t>
        </is>
      </c>
      <c r="J99" t="inlineStr">
        <is>
          <t>COM4</t>
        </is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</row>
    <row r="100">
      <c r="A100" t="inlineStr">
        <is>
          <t>no_year_in_pairs</t>
        </is>
      </c>
      <c r="B100" s="2" t="n"/>
      <c r="C100" s="3" t="inlineStr">
        <is>
          <t>SM.19.158, Sup. 2</t>
        </is>
      </c>
      <c r="D100" s="4" t="inlineStr">
        <is>
          <t>Dominica</t>
        </is>
      </c>
      <c r="E100" s="4" t="inlineStr">
        <is>
          <t>DMA</t>
        </is>
      </c>
      <c r="F100" s="4" t="n"/>
      <c r="G100" s="4" t="inlineStr">
        <is>
          <t>2018gn</t>
        </is>
      </c>
      <c r="H100" s="4" t="n">
        <v>2018</v>
      </c>
      <c r="I100" s="4" t="inlineStr">
        <is>
          <t>new.dis.prvt.com5</t>
        </is>
      </c>
      <c r="J100" t="inlineStr">
        <is>
          <t>COM5</t>
        </is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</row>
    <row r="101">
      <c r="A101" t="inlineStr">
        <is>
          <t>no_year_in_pairs</t>
        </is>
      </c>
      <c r="B101" s="2" t="n"/>
      <c r="C101" s="3" t="inlineStr">
        <is>
          <t>SM.19.158, Sup. 2</t>
        </is>
      </c>
      <c r="D101" s="4" t="inlineStr">
        <is>
          <t>Dominica</t>
        </is>
      </c>
      <c r="E101" s="4" t="inlineStr">
        <is>
          <t>DMA</t>
        </is>
      </c>
      <c r="F101" s="4" t="n"/>
      <c r="G101" s="4" t="inlineStr">
        <is>
          <t>2018gn</t>
        </is>
      </c>
      <c r="H101" s="4" t="n">
        <v>2018</v>
      </c>
      <c r="I101" s="4" t="inlineStr">
        <is>
          <t>new.dis.lcl.nres</t>
        </is>
      </c>
      <c r="J101" t="inlineStr">
        <is>
          <t>Locally-issued debt held by non-residents</t>
        </is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</row>
    <row r="102">
      <c r="A102" t="inlineStr">
        <is>
          <t>no_year_in_pairs</t>
        </is>
      </c>
      <c r="B102" s="2" t="n"/>
      <c r="C102" s="3" t="inlineStr">
        <is>
          <t>SM.19.158, Sup. 2</t>
        </is>
      </c>
      <c r="D102" s="4" t="inlineStr">
        <is>
          <t>Dominica</t>
        </is>
      </c>
      <c r="E102" s="4" t="inlineStr">
        <is>
          <t>DMA</t>
        </is>
      </c>
      <c r="F102" s="4" t="n"/>
      <c r="G102" s="4" t="inlineStr">
        <is>
          <t>2018gn</t>
        </is>
      </c>
      <c r="H102" s="4" t="n">
        <v>2018</v>
      </c>
      <c r="I102" s="4" t="inlineStr">
        <is>
          <t>new.dis.lcl.nres.lc</t>
        </is>
      </c>
      <c r="J102" t="inlineStr">
        <is>
          <t>Denominated in local currency (LC)</t>
        </is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</row>
    <row r="103">
      <c r="A103" t="inlineStr">
        <is>
          <t>no_year_in_pairs</t>
        </is>
      </c>
      <c r="B103" s="2" t="n"/>
      <c r="C103" s="3" t="inlineStr">
        <is>
          <t>SM.19.158, Sup. 2</t>
        </is>
      </c>
      <c r="D103" s="4" t="inlineStr">
        <is>
          <t>Dominica</t>
        </is>
      </c>
      <c r="E103" s="4" t="inlineStr">
        <is>
          <t>DMA</t>
        </is>
      </c>
      <c r="F103" s="4" t="n"/>
      <c r="G103" s="4" t="inlineStr">
        <is>
          <t>2018gn</t>
        </is>
      </c>
      <c r="H103" s="4" t="n">
        <v>2018</v>
      </c>
      <c r="I103" s="4" t="inlineStr">
        <is>
          <t>new.dis.lcl.nres.bnd.1to3.lc</t>
        </is>
      </c>
      <c r="J103" t="inlineStr">
        <is>
          <t>Bonds (1 to 3 years)-LC</t>
        </is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</row>
    <row r="104">
      <c r="A104" t="inlineStr">
        <is>
          <t>no_year_in_pairs</t>
        </is>
      </c>
      <c r="B104" s="2" t="n"/>
      <c r="C104" s="3" t="inlineStr">
        <is>
          <t>SM.19.158, Sup. 2</t>
        </is>
      </c>
      <c r="D104" s="4" t="inlineStr">
        <is>
          <t>Dominica</t>
        </is>
      </c>
      <c r="E104" s="4" t="inlineStr">
        <is>
          <t>DMA</t>
        </is>
      </c>
      <c r="F104" s="4" t="n"/>
      <c r="G104" s="4" t="inlineStr">
        <is>
          <t>2018gn</t>
        </is>
      </c>
      <c r="H104" s="4" t="n">
        <v>2018</v>
      </c>
      <c r="I104" s="4" t="inlineStr">
        <is>
          <t>new.dis.lcl.nres.bnd.4to7.lc</t>
        </is>
      </c>
      <c r="J104" t="inlineStr">
        <is>
          <t>Bonds (4 to 7 years)-LC</t>
        </is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</row>
    <row r="105">
      <c r="A105" t="inlineStr">
        <is>
          <t>no_year_in_pairs</t>
        </is>
      </c>
      <c r="B105" s="2" t="n"/>
      <c r="C105" s="3" t="inlineStr">
        <is>
          <t>SM.19.158, Sup. 2</t>
        </is>
      </c>
      <c r="D105" s="4" t="inlineStr">
        <is>
          <t>Dominica</t>
        </is>
      </c>
      <c r="E105" s="4" t="inlineStr">
        <is>
          <t>DMA</t>
        </is>
      </c>
      <c r="F105" s="4" t="n"/>
      <c r="G105" s="4" t="inlineStr">
        <is>
          <t>2018gn</t>
        </is>
      </c>
      <c r="H105" s="4" t="n">
        <v>2018</v>
      </c>
      <c r="I105" s="4" t="inlineStr">
        <is>
          <t>new.dis.lcl.nres.bnd.byd7.lc</t>
        </is>
      </c>
      <c r="J105" t="inlineStr">
        <is>
          <t>Bonds (beyond 7 years)-LC</t>
        </is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</row>
    <row r="106">
      <c r="A106" t="inlineStr">
        <is>
          <t>no_year_in_pairs</t>
        </is>
      </c>
      <c r="B106" s="2" t="n"/>
      <c r="C106" s="3" t="inlineStr">
        <is>
          <t>SM.19.158, Sup. 2</t>
        </is>
      </c>
      <c r="D106" s="4" t="inlineStr">
        <is>
          <t>Dominica</t>
        </is>
      </c>
      <c r="E106" s="4" t="inlineStr">
        <is>
          <t>DMA</t>
        </is>
      </c>
      <c r="F106" s="4" t="n"/>
      <c r="G106" s="4" t="inlineStr">
        <is>
          <t>2018gn</t>
        </is>
      </c>
      <c r="H106" s="4" t="n">
        <v>2018</v>
      </c>
      <c r="I106" s="4" t="inlineStr">
        <is>
          <t>new.dis.lcl.nres.fx</t>
        </is>
      </c>
      <c r="J106" t="inlineStr">
        <is>
          <t>Denominated in foreign currency (FX)</t>
        </is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</row>
    <row r="107">
      <c r="A107" t="inlineStr">
        <is>
          <t>no_year_in_pairs</t>
        </is>
      </c>
      <c r="B107" s="2" t="n"/>
      <c r="C107" s="3" t="inlineStr">
        <is>
          <t>SM.19.158, Sup. 2</t>
        </is>
      </c>
      <c r="D107" s="4" t="inlineStr">
        <is>
          <t>Dominica</t>
        </is>
      </c>
      <c r="E107" s="4" t="inlineStr">
        <is>
          <t>DMA</t>
        </is>
      </c>
      <c r="F107" s="4" t="n"/>
      <c r="G107" s="4" t="inlineStr">
        <is>
          <t>2018gn</t>
        </is>
      </c>
      <c r="H107" s="4" t="n">
        <v>2018</v>
      </c>
      <c r="I107" s="4" t="inlineStr">
        <is>
          <t>new.dis.lcl.nres.bnd.1to3.fx</t>
        </is>
      </c>
      <c r="J107" t="inlineStr">
        <is>
          <t>Bonds (1 to 3 years)-FX</t>
        </is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</row>
    <row r="108">
      <c r="A108" t="inlineStr">
        <is>
          <t>no_year_in_pairs</t>
        </is>
      </c>
      <c r="B108" s="2" t="n"/>
      <c r="C108" s="3" t="inlineStr">
        <is>
          <t>SM.19.158, Sup. 2</t>
        </is>
      </c>
      <c r="D108" s="4" t="inlineStr">
        <is>
          <t>Dominica</t>
        </is>
      </c>
      <c r="E108" s="4" t="inlineStr">
        <is>
          <t>DMA</t>
        </is>
      </c>
      <c r="F108" s="4" t="n"/>
      <c r="G108" s="4" t="inlineStr">
        <is>
          <t>2018gn</t>
        </is>
      </c>
      <c r="H108" s="4" t="n">
        <v>2018</v>
      </c>
      <c r="I108" s="4" t="inlineStr">
        <is>
          <t>new.dis.lcl.nres.bnd.4to7.fx</t>
        </is>
      </c>
      <c r="J108" t="inlineStr">
        <is>
          <t>Bonds (4 to 7 years)-FX</t>
        </is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</row>
    <row r="109">
      <c r="A109" t="inlineStr">
        <is>
          <t>no_year_in_pairs</t>
        </is>
      </c>
      <c r="B109" s="2" t="n"/>
      <c r="C109" s="3" t="inlineStr">
        <is>
          <t>SM.19.158, Sup. 2</t>
        </is>
      </c>
      <c r="D109" s="4" t="inlineStr">
        <is>
          <t>Dominica</t>
        </is>
      </c>
      <c r="E109" s="4" t="inlineStr">
        <is>
          <t>DMA</t>
        </is>
      </c>
      <c r="F109" s="4" t="n"/>
      <c r="G109" s="4" t="inlineStr">
        <is>
          <t>2018gn</t>
        </is>
      </c>
      <c r="H109" s="4" t="n">
        <v>2018</v>
      </c>
      <c r="I109" s="4" t="inlineStr">
        <is>
          <t>new.dis.lcl.nres.bnd.byd7.fx</t>
        </is>
      </c>
      <c r="J109" t="inlineStr">
        <is>
          <t>Bonds (beyond 7 years)-FX</t>
        </is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</row>
    <row r="110">
      <c r="A110" t="inlineStr">
        <is>
          <t>no_year_in_pairs</t>
        </is>
      </c>
      <c r="B110" s="2" t="n"/>
      <c r="C110" s="3" t="inlineStr">
        <is>
          <t>SM.19.158, Sup. 2</t>
        </is>
      </c>
      <c r="D110" s="4" t="inlineStr">
        <is>
          <t>Dominica</t>
        </is>
      </c>
      <c r="E110" s="4" t="inlineStr">
        <is>
          <t>DMA</t>
        </is>
      </c>
      <c r="F110" s="4" t="n"/>
      <c r="G110" s="4" t="inlineStr">
        <is>
          <t>2018gn</t>
        </is>
      </c>
      <c r="H110" s="4" t="n">
        <v>2018</v>
      </c>
      <c r="I110" s="5" t="n"/>
      <c r="J110" t="inlineStr">
        <is>
          <t>Locally-issued debt held by residents</t>
        </is>
      </c>
    </row>
    <row r="111">
      <c r="A111" t="inlineStr">
        <is>
          <t>no_year_in_pairs</t>
        </is>
      </c>
      <c r="B111" s="2" t="n"/>
      <c r="C111" s="3" t="inlineStr">
        <is>
          <t>SM.19.158, Sup. 2</t>
        </is>
      </c>
      <c r="D111" s="4" t="inlineStr">
        <is>
          <t>Dominica</t>
        </is>
      </c>
      <c r="E111" s="4" t="inlineStr">
        <is>
          <t>DMA</t>
        </is>
      </c>
      <c r="F111" s="4" t="n"/>
      <c r="G111" s="4" t="inlineStr">
        <is>
          <t>2018gn</t>
        </is>
      </c>
      <c r="H111" s="4" t="n">
        <v>2018</v>
      </c>
      <c r="I111" s="4" t="inlineStr">
        <is>
          <t>new.dis.lcl.fx</t>
        </is>
      </c>
      <c r="J111" t="inlineStr">
        <is>
          <t>Denominated in foreign currency (FX)</t>
        </is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</row>
    <row r="112">
      <c r="A112" t="inlineStr">
        <is>
          <t>no_year_in_pairs</t>
        </is>
      </c>
      <c r="B112" s="2" t="n"/>
      <c r="C112" s="3" t="inlineStr">
        <is>
          <t>SM.19.158, Sup. 2</t>
        </is>
      </c>
      <c r="D112" s="4" t="inlineStr">
        <is>
          <t>Dominica</t>
        </is>
      </c>
      <c r="E112" s="4" t="inlineStr">
        <is>
          <t>DMA</t>
        </is>
      </c>
      <c r="F112" s="4" t="n"/>
      <c r="G112" s="4" t="inlineStr">
        <is>
          <t>2018gn</t>
        </is>
      </c>
      <c r="H112" s="4" t="n">
        <v>2018</v>
      </c>
      <c r="I112" s="4" t="inlineStr">
        <is>
          <t>new.dis.lcl.fx.bnd.1to3.fx</t>
        </is>
      </c>
      <c r="J112" t="inlineStr">
        <is>
          <t>Bonds (1 to 3 years)-FX</t>
        </is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</row>
    <row r="113">
      <c r="A113" t="inlineStr">
        <is>
          <t>no_year_in_pairs</t>
        </is>
      </c>
      <c r="B113" s="2" t="n"/>
      <c r="C113" s="3" t="inlineStr">
        <is>
          <t>SM.19.158, Sup. 2</t>
        </is>
      </c>
      <c r="D113" s="4" t="inlineStr">
        <is>
          <t>Dominica</t>
        </is>
      </c>
      <c r="E113" s="4" t="inlineStr">
        <is>
          <t>DMA</t>
        </is>
      </c>
      <c r="F113" s="4" t="n"/>
      <c r="G113" s="4" t="inlineStr">
        <is>
          <t>2018gn</t>
        </is>
      </c>
      <c r="H113" s="4" t="n">
        <v>2018</v>
      </c>
      <c r="I113" s="4" t="inlineStr">
        <is>
          <t>new.dis.lcl.fx.bnd.4to7.fx</t>
        </is>
      </c>
      <c r="J113" t="inlineStr">
        <is>
          <t>Bonds (4 to 7 years)-FX</t>
        </is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</row>
    <row r="114">
      <c r="A114" t="inlineStr">
        <is>
          <t>no_year_in_pairs</t>
        </is>
      </c>
      <c r="B114" s="2" t="n"/>
      <c r="C114" s="3" t="inlineStr">
        <is>
          <t>SM.19.158, Sup. 2</t>
        </is>
      </c>
      <c r="D114" s="4" t="inlineStr">
        <is>
          <t>Dominica</t>
        </is>
      </c>
      <c r="E114" s="4" t="inlineStr">
        <is>
          <t>DMA</t>
        </is>
      </c>
      <c r="F114" s="4" t="n"/>
      <c r="G114" s="4" t="inlineStr">
        <is>
          <t>2018gn</t>
        </is>
      </c>
      <c r="H114" s="4" t="n">
        <v>2018</v>
      </c>
      <c r="I114" s="4" t="inlineStr">
        <is>
          <t>new.dis.lcl.fx.bnd.byd7.fx</t>
        </is>
      </c>
      <c r="J114" t="inlineStr">
        <is>
          <t>Bonds (beyond 7 years)-FX</t>
        </is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</row>
    <row r="115">
      <c r="A115" t="inlineStr">
        <is>
          <t>no_year_in_pairs</t>
        </is>
      </c>
      <c r="B115" s="2" t="n"/>
      <c r="C115" s="3" t="inlineStr">
        <is>
          <t>SM.19.158, Sup. 2</t>
        </is>
      </c>
      <c r="D115" s="4" t="inlineStr">
        <is>
          <t>Dominica</t>
        </is>
      </c>
      <c r="E115" s="4" t="inlineStr">
        <is>
          <t>DMA</t>
        </is>
      </c>
      <c r="F115" s="4" t="n"/>
      <c r="G115" s="4" t="inlineStr">
        <is>
          <t>2018gn</t>
        </is>
      </c>
      <c r="H115" s="4" t="n">
        <v>2018</v>
      </c>
      <c r="I115" s="5" t="n"/>
    </row>
    <row r="116">
      <c r="A116" t="inlineStr">
        <is>
          <t>no_year_in_pairs</t>
        </is>
      </c>
      <c r="B116" s="2" t="n"/>
      <c r="C116" s="3" t="inlineStr">
        <is>
          <t>SM.19.158, Sup. 2</t>
        </is>
      </c>
      <c r="D116" s="4" t="inlineStr">
        <is>
          <t>Dominica</t>
        </is>
      </c>
      <c r="E116" s="4" t="inlineStr">
        <is>
          <t>DMA</t>
        </is>
      </c>
      <c r="F116" s="4" t="n"/>
      <c r="G116" s="4" t="inlineStr">
        <is>
          <t>2018gn</t>
        </is>
      </c>
      <c r="H116" s="4" t="n">
        <v>2018</v>
      </c>
      <c r="I116" s="4" t="inlineStr">
        <is>
          <t>def.ext.dom.curres</t>
        </is>
      </c>
      <c r="J116" t="inlineStr">
        <is>
          <t>Definition of external/domestic debt</t>
        </is>
      </c>
      <c r="L116" t="inlineStr">
        <is>
          <t>Residency-based</t>
        </is>
      </c>
    </row>
    <row r="117">
      <c r="A117" t="inlineStr">
        <is>
          <t>no_year_in_pairs</t>
        </is>
      </c>
      <c r="B117" s="2" t="n"/>
      <c r="C117" s="3" t="inlineStr">
        <is>
          <t>SM.19.158, Sup. 2</t>
        </is>
      </c>
      <c r="D117" s="4" t="inlineStr">
        <is>
          <t>Dominica</t>
        </is>
      </c>
      <c r="E117" s="4" t="inlineStr">
        <is>
          <t>DMA</t>
        </is>
      </c>
      <c r="F117" s="4" t="n"/>
      <c r="G117" s="4" t="inlineStr">
        <is>
          <t>2018gn</t>
        </is>
      </c>
      <c r="H117" s="4" t="n">
        <v>2018</v>
      </c>
      <c r="I117" s="5" t="n"/>
    </row>
    <row r="118">
      <c r="A118" t="inlineStr">
        <is>
          <t>no_year_in_pairs</t>
        </is>
      </c>
      <c r="B118" s="2" t="n"/>
      <c r="C118" s="3" t="inlineStr">
        <is>
          <t>SM.19.158, Sup. 2</t>
        </is>
      </c>
      <c r="D118" s="4" t="inlineStr">
        <is>
          <t>Dominica</t>
        </is>
      </c>
      <c r="E118" s="4" t="inlineStr">
        <is>
          <t>DMA</t>
        </is>
      </c>
      <c r="F118" s="4" t="n"/>
      <c r="G118" s="4" t="inlineStr">
        <is>
          <t>2018gn</t>
        </is>
      </c>
      <c r="H118" s="4" t="n">
        <v>2018</v>
      </c>
      <c r="I118" s="4" t="inlineStr">
        <is>
          <t>new.tot.pub.ext.dis.mlt</t>
        </is>
      </c>
      <c r="J118" t="inlineStr">
        <is>
          <t>Total new public external MLT disbursements</t>
        </is>
      </c>
      <c r="O118" t="n">
        <v>51.25741818489396</v>
      </c>
      <c r="P118" t="n">
        <v>69.99565066021925</v>
      </c>
      <c r="Q118" t="n">
        <v>99.70988504222572</v>
      </c>
      <c r="R118" t="n">
        <v>110.042172269949</v>
      </c>
      <c r="S118" t="n">
        <v>107.5541049232302</v>
      </c>
      <c r="T118" t="n">
        <v>121.4380536147829</v>
      </c>
      <c r="U118" t="n">
        <v>132.1533339082291</v>
      </c>
      <c r="V118" t="n">
        <v>144.6284595800647</v>
      </c>
      <c r="W118" t="n">
        <v>158.5584604626895</v>
      </c>
      <c r="X118" t="n">
        <v>174.0469921694143</v>
      </c>
      <c r="Y118" t="n">
        <v>191.4392078205381</v>
      </c>
      <c r="Z118" t="n">
        <v>207.4513314238115</v>
      </c>
      <c r="AA118" t="n">
        <v>224.5194541127062</v>
      </c>
      <c r="AB118" t="n">
        <v>240.6719346784884</v>
      </c>
      <c r="AC118" t="n">
        <v>253.7791543209812</v>
      </c>
      <c r="AD118" t="n">
        <v>224.8676138325528</v>
      </c>
      <c r="AE118" t="n">
        <v>239.8690259756439</v>
      </c>
      <c r="AF118" t="n">
        <v>255.3466451071877</v>
      </c>
      <c r="AG118" t="n">
        <v>271.1856777385649</v>
      </c>
      <c r="AH118" t="n">
        <v>287.9800155151369</v>
      </c>
      <c r="AI118" t="n">
        <v>304.9869299375409</v>
      </c>
      <c r="BI118" t="inlineStr">
        <is>
          <t>NEW_MLT_ALL</t>
        </is>
      </c>
    </row>
    <row r="119">
      <c r="A119" t="inlineStr">
        <is>
          <t>no_year_in_pairs</t>
        </is>
      </c>
      <c r="B119" s="2" t="n"/>
      <c r="C119" s="3" t="inlineStr">
        <is>
          <t>SM.19.158, Sup. 2</t>
        </is>
      </c>
      <c r="D119" s="4" t="inlineStr">
        <is>
          <t>Dominica</t>
        </is>
      </c>
      <c r="E119" s="4" t="inlineStr">
        <is>
          <t>DMA</t>
        </is>
      </c>
      <c r="F119" s="4" t="n"/>
      <c r="G119" s="4" t="inlineStr">
        <is>
          <t>2018gn</t>
        </is>
      </c>
      <c r="H119" s="4" t="n">
        <v>2018</v>
      </c>
      <c r="I119" s="4" t="inlineStr">
        <is>
          <t>new.tot.pub.dis</t>
        </is>
      </c>
      <c r="J119" t="inlineStr">
        <is>
          <t>Total public new (external and domestic) ST&amp;MLT disbursements</t>
        </is>
      </c>
      <c r="O119" t="n">
        <v>15.98462207347376</v>
      </c>
      <c r="P119" t="n">
        <v>98.15606293890231</v>
      </c>
      <c r="Q119" t="n">
        <v>116.2521165422725</v>
      </c>
      <c r="R119" t="n">
        <v>102.5115159517344</v>
      </c>
      <c r="S119" t="n">
        <v>133.8580147864948</v>
      </c>
      <c r="T119" t="n">
        <v>119.9619742164529</v>
      </c>
      <c r="U119" t="n">
        <v>135.5092890859195</v>
      </c>
      <c r="V119" t="n">
        <v>148.9058763518291</v>
      </c>
      <c r="W119" t="n">
        <v>169.5074175951868</v>
      </c>
      <c r="X119" t="n">
        <v>182.9008471669175</v>
      </c>
      <c r="Y119" t="n">
        <v>198.8399674646862</v>
      </c>
      <c r="Z119" t="n">
        <v>216.6517219844078</v>
      </c>
      <c r="AA119" t="n">
        <v>230.8045182578155</v>
      </c>
      <c r="AB119" t="n">
        <v>241.7051098204385</v>
      </c>
      <c r="AC119" t="n">
        <v>255.1099434453111</v>
      </c>
      <c r="AD119" t="n">
        <v>269.5429519592657</v>
      </c>
      <c r="AE119" t="n">
        <v>246.9118519421494</v>
      </c>
      <c r="AF119" t="n">
        <v>261.8231405215702</v>
      </c>
      <c r="AG119" t="n">
        <v>277.6071991190075</v>
      </c>
      <c r="AH119" t="n">
        <v>313.9646593557408</v>
      </c>
      <c r="AI119" t="n">
        <v>337.1754656367648</v>
      </c>
    </row>
    <row r="120">
      <c r="A120" t="inlineStr">
        <is>
          <t>no_year_in_pairs</t>
        </is>
      </c>
      <c r="B120" s="2" t="n"/>
      <c r="C120" s="3" t="inlineStr">
        <is>
          <t>SM.19.158, Sup. 2</t>
        </is>
      </c>
      <c r="D120" s="4" t="inlineStr">
        <is>
          <t>Dominica</t>
        </is>
      </c>
      <c r="E120" s="4" t="inlineStr">
        <is>
          <t>DMA</t>
        </is>
      </c>
      <c r="F120" s="4" t="n"/>
      <c r="G120" s="4" t="inlineStr">
        <is>
          <t>2018gn</t>
        </is>
      </c>
      <c r="H120" s="4" t="n">
        <v>2018</v>
      </c>
      <c r="I120" s="5" t="n"/>
    </row>
    <row r="121">
      <c r="A121" t="inlineStr">
        <is>
          <t>no_year_in_pairs</t>
        </is>
      </c>
      <c r="B121" s="2" t="n"/>
      <c r="C121" s="3" t="inlineStr">
        <is>
          <t>SM.19.158, Sup. 2</t>
        </is>
      </c>
      <c r="D121" s="4" t="inlineStr">
        <is>
          <t>Dominica</t>
        </is>
      </c>
      <c r="E121" s="4" t="inlineStr">
        <is>
          <t>DMA</t>
        </is>
      </c>
      <c r="F121" s="4" t="n"/>
      <c r="G121" s="4" t="inlineStr">
        <is>
          <t>2018gn</t>
        </is>
      </c>
      <c r="H121" s="4" t="n">
        <v>2018</v>
      </c>
      <c r="I121" s="5" t="n"/>
      <c r="J121" t="inlineStr">
        <is>
          <t>Shares of marginal debt</t>
        </is>
      </c>
      <c r="M121" t="inlineStr">
        <is>
          <t>Average</t>
        </is>
      </c>
    </row>
    <row r="122">
      <c r="A122" t="inlineStr">
        <is>
          <t>no_year_in_pairs</t>
        </is>
      </c>
      <c r="B122" s="2" t="n"/>
      <c r="C122" s="3" t="inlineStr">
        <is>
          <t>SM.19.158, Sup. 2</t>
        </is>
      </c>
      <c r="D122" s="4" t="inlineStr">
        <is>
          <t>Dominica</t>
        </is>
      </c>
      <c r="E122" s="4" t="inlineStr">
        <is>
          <t>DMA</t>
        </is>
      </c>
      <c r="F122" s="4" t="n"/>
      <c r="G122" s="4" t="inlineStr">
        <is>
          <t>2018gn</t>
        </is>
      </c>
      <c r="H122" s="4" t="n">
        <v>2018</v>
      </c>
      <c r="I122" s="4" t="inlineStr">
        <is>
          <t>shr.ext.ppg.mlt</t>
        </is>
      </c>
      <c r="J122" t="inlineStr">
        <is>
          <t>External PPG medium and long-term</t>
        </is>
      </c>
      <c r="L122" t="n">
        <v>0.9378402587005585</v>
      </c>
      <c r="M122" t="n">
        <v>0.9378402587005585</v>
      </c>
      <c r="O122" t="n">
        <v>3.206670633142768</v>
      </c>
      <c r="P122" t="n">
        <v>0.7131057273944287</v>
      </c>
      <c r="Q122" t="n">
        <v>0.8577038251683656</v>
      </c>
      <c r="R122" t="n">
        <v>1.073461564276937</v>
      </c>
      <c r="S122" t="n">
        <v>0.8034939491279645</v>
      </c>
      <c r="T122" t="n">
        <v>1.012304560740778</v>
      </c>
      <c r="U122" t="n">
        <v>0.9752345008941593</v>
      </c>
      <c r="V122" t="n">
        <v>0.9712743588328385</v>
      </c>
      <c r="W122" t="n">
        <v>0.9354072093845162</v>
      </c>
      <c r="X122" t="n">
        <v>0.9515920503669232</v>
      </c>
      <c r="Y122" t="n">
        <v>0.9627803215897105</v>
      </c>
      <c r="Z122" t="n">
        <v>0.9575337298207193</v>
      </c>
      <c r="AA122" t="n">
        <v>0.9727688860142298</v>
      </c>
      <c r="AB122" t="n">
        <v>0.9957254724870415</v>
      </c>
      <c r="AC122" t="n">
        <v>0.9947834682319422</v>
      </c>
      <c r="AD122" t="n">
        <v>0.834255216832884</v>
      </c>
      <c r="AE122" t="n">
        <v>0.9714763551805702</v>
      </c>
      <c r="AF122" t="n">
        <v>0.9752638540601076</v>
      </c>
      <c r="AG122" t="n">
        <v>0.9768683182539163</v>
      </c>
      <c r="AH122" t="n">
        <v>0.917237042239325</v>
      </c>
      <c r="AI122" t="n">
        <v>0.9045347631138138</v>
      </c>
    </row>
    <row r="123">
      <c r="A123" t="inlineStr">
        <is>
          <t>no_year_in_pairs</t>
        </is>
      </c>
      <c r="B123" s="2" t="n"/>
      <c r="C123" s="3" t="inlineStr">
        <is>
          <t>SM.19.158, Sup. 2</t>
        </is>
      </c>
      <c r="D123" s="4" t="inlineStr">
        <is>
          <t>Dominica</t>
        </is>
      </c>
      <c r="E123" s="4" t="inlineStr">
        <is>
          <t>DMA</t>
        </is>
      </c>
      <c r="F123" s="4" t="n"/>
      <c r="G123" s="4" t="inlineStr">
        <is>
          <t>2018gn</t>
        </is>
      </c>
      <c r="H123" s="4" t="n">
        <v>2018</v>
      </c>
      <c r="I123" s="4" t="inlineStr">
        <is>
          <t>shr.dom.mlt</t>
        </is>
      </c>
      <c r="J123" t="inlineStr">
        <is>
          <t>Domestic medium and long-term</t>
        </is>
      </c>
      <c r="L123" t="n">
        <v>0.06215974129944148</v>
      </c>
      <c r="M123" t="n">
        <v>0.06215974129944148</v>
      </c>
      <c r="O123" t="n">
        <v>-2.206670633142768</v>
      </c>
      <c r="P123" t="n">
        <v>0.2868942726055714</v>
      </c>
      <c r="Q123" t="n">
        <v>0.1422961748316344</v>
      </c>
      <c r="R123" t="n">
        <v>-0.07346156427693691</v>
      </c>
      <c r="S123" t="n">
        <v>0.1965060508720356</v>
      </c>
      <c r="T123" t="n">
        <v>-0.01230456074077762</v>
      </c>
      <c r="U123" t="n">
        <v>0.02476549910584068</v>
      </c>
      <c r="V123" t="n">
        <v>0.02872564116716155</v>
      </c>
      <c r="W123" t="n">
        <v>0.06459279061548376</v>
      </c>
      <c r="X123" t="n">
        <v>0.04840794963307687</v>
      </c>
      <c r="Y123" t="n">
        <v>0.03721967841028954</v>
      </c>
      <c r="Z123" t="n">
        <v>0.04246627017928073</v>
      </c>
      <c r="AA123" t="n">
        <v>0.02723111398577013</v>
      </c>
      <c r="AB123" t="n">
        <v>0.00427452751295854</v>
      </c>
      <c r="AC123" t="n">
        <v>0.005216531768057819</v>
      </c>
      <c r="AD123" t="n">
        <v>0.1657447831671161</v>
      </c>
      <c r="AE123" t="n">
        <v>0.02852364481942981</v>
      </c>
      <c r="AF123" t="n">
        <v>0.02473614593989243</v>
      </c>
      <c r="AG123" t="n">
        <v>0.0231316817460837</v>
      </c>
      <c r="AH123" t="n">
        <v>0.08276295776067499</v>
      </c>
      <c r="AI123" t="n">
        <v>0.0954652368861863</v>
      </c>
    </row>
    <row r="124">
      <c r="A124" t="inlineStr">
        <is>
          <t>no_year_in_pairs</t>
        </is>
      </c>
      <c r="B124" s="2" t="n"/>
      <c r="C124" s="3" t="inlineStr">
        <is>
          <t>SM.19.158, Sup. 2</t>
        </is>
      </c>
      <c r="D124" s="4" t="inlineStr">
        <is>
          <t>Dominica</t>
        </is>
      </c>
      <c r="E124" s="4" t="inlineStr">
        <is>
          <t>DMA</t>
        </is>
      </c>
      <c r="F124" s="4" t="n"/>
      <c r="G124" s="4" t="inlineStr">
        <is>
          <t>2018gn</t>
        </is>
      </c>
      <c r="H124" s="4" t="n">
        <v>2018</v>
      </c>
      <c r="I124" s="4" t="inlineStr">
        <is>
          <t>shr.dom.sht.trm</t>
        </is>
      </c>
      <c r="J124" t="inlineStr">
        <is>
          <t>Domestic short-term</t>
        </is>
      </c>
      <c r="L124" t="n">
        <v>0</v>
      </c>
      <c r="M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</row>
    <row r="125">
      <c r="A125" t="inlineStr">
        <is>
          <t>no_year_in_pairs</t>
        </is>
      </c>
      <c r="B125" s="2" t="n"/>
      <c r="C125" s="3" t="inlineStr">
        <is>
          <t>SM.19.158, Sup. 2</t>
        </is>
      </c>
      <c r="D125" s="4" t="inlineStr">
        <is>
          <t>Dominica</t>
        </is>
      </c>
      <c r="E125" s="4" t="inlineStr">
        <is>
          <t>DMA</t>
        </is>
      </c>
      <c r="F125" s="4" t="n"/>
      <c r="G125" s="4" t="inlineStr">
        <is>
          <t>2018gn</t>
        </is>
      </c>
      <c r="H125" s="4" t="n">
        <v>2018</v>
      </c>
      <c r="I125" s="5" t="n"/>
    </row>
    <row r="126">
      <c r="A126" t="inlineStr">
        <is>
          <t>no_year_in_pairs</t>
        </is>
      </c>
      <c r="B126" s="2" t="n"/>
      <c r="C126" s="3" t="inlineStr">
        <is>
          <t>SM.19.158, Sup. 2</t>
        </is>
      </c>
      <c r="D126" s="4" t="inlineStr">
        <is>
          <t>Dominica</t>
        </is>
      </c>
      <c r="E126" s="4" t="inlineStr">
        <is>
          <t>DMA</t>
        </is>
      </c>
      <c r="F126" s="4" t="n"/>
      <c r="G126" s="4" t="inlineStr">
        <is>
          <t>2018gn</t>
        </is>
      </c>
      <c r="H126" s="4" t="n">
        <v>2018</v>
      </c>
      <c r="I126" s="5" t="n"/>
      <c r="J126" t="inlineStr">
        <is>
          <t>Terms of residual financing under stress tests</t>
        </is>
      </c>
    </row>
    <row r="127">
      <c r="A127" t="inlineStr">
        <is>
          <t>no_year_in_pairs</t>
        </is>
      </c>
      <c r="B127" s="2" t="n"/>
      <c r="C127" s="3" t="inlineStr">
        <is>
          <t>SM.19.158, Sup. 2</t>
        </is>
      </c>
      <c r="D127" s="4" t="inlineStr">
        <is>
          <t>Dominica</t>
        </is>
      </c>
      <c r="E127" s="4" t="inlineStr">
        <is>
          <t>DMA</t>
        </is>
      </c>
      <c r="F127" s="4" t="n"/>
      <c r="G127" s="4" t="inlineStr">
        <is>
          <t>2018gn</t>
        </is>
      </c>
      <c r="H127" s="4" t="n">
        <v>2018</v>
      </c>
      <c r="I127" s="4" t="inlineStr">
        <is>
          <t>rsdl.ndr.strs.tst.avg.int.rat</t>
        </is>
      </c>
      <c r="J127" t="inlineStr">
        <is>
          <t>Average interest rate on new debt</t>
        </is>
      </c>
      <c r="L127" t="n">
        <v>3.903371741178455</v>
      </c>
      <c r="M127" t="n">
        <v>3.903371741178455</v>
      </c>
      <c r="O127" t="n">
        <v>3.310826850147035</v>
      </c>
      <c r="P127" t="n">
        <v>2.916791896439696</v>
      </c>
      <c r="Q127" t="n">
        <v>3.444733409886636</v>
      </c>
      <c r="R127" t="n">
        <v>3.596276787369573</v>
      </c>
      <c r="S127" t="n">
        <v>4.103500811651317</v>
      </c>
      <c r="T127" t="n">
        <v>4.132101370622789</v>
      </c>
      <c r="U127" t="n">
        <v>4.194418485045579</v>
      </c>
      <c r="V127" t="n">
        <v>4.247199177717546</v>
      </c>
      <c r="W127" t="n">
        <v>4.289514847499044</v>
      </c>
      <c r="X127" t="n">
        <v>4.330862698155562</v>
      </c>
      <c r="Y127" t="n">
        <v>4.370862818428231</v>
      </c>
      <c r="Z127" t="n">
        <v>4.400034432184494</v>
      </c>
      <c r="AA127" t="n">
        <v>4.427446097498009</v>
      </c>
      <c r="AB127" t="n">
        <v>4.44811977608812</v>
      </c>
      <c r="AC127" t="n">
        <v>4.46930101044798</v>
      </c>
      <c r="AD127" t="n">
        <v>4.389748008739535</v>
      </c>
      <c r="AE127" t="n">
        <v>4.408118131271787</v>
      </c>
      <c r="AF127" t="n">
        <v>4.423828987742899</v>
      </c>
      <c r="AG127" t="n">
        <v>4.437730213811025</v>
      </c>
      <c r="AH127" t="n">
        <v>4.46454878885753</v>
      </c>
      <c r="AI127" t="n">
        <v>4.475874268276008</v>
      </c>
      <c r="BI127" t="inlineStr">
        <is>
          <t>NEW_IR_AVG</t>
        </is>
      </c>
    </row>
    <row r="128">
      <c r="A128" t="inlineStr">
        <is>
          <t>no_year_in_pairs</t>
        </is>
      </c>
      <c r="B128" s="2" t="n"/>
      <c r="C128" s="3" t="inlineStr">
        <is>
          <t>SM.19.158, Sup. 2</t>
        </is>
      </c>
      <c r="D128" s="4" t="inlineStr">
        <is>
          <t>Dominica</t>
        </is>
      </c>
      <c r="E128" s="4" t="inlineStr">
        <is>
          <t>DMA</t>
        </is>
      </c>
      <c r="F128" s="4" t="n"/>
      <c r="G128" s="4" t="inlineStr">
        <is>
          <t>2018gn</t>
        </is>
      </c>
      <c r="H128" s="4" t="n">
        <v>2018</v>
      </c>
      <c r="I128" s="4" t="inlineStr">
        <is>
          <t>rsdl.ndr.strs.tst.avg.grc.prd</t>
        </is>
      </c>
      <c r="J128" t="inlineStr">
        <is>
          <t>Average grace period on new debt</t>
        </is>
      </c>
      <c r="L128" t="n">
        <v>2</v>
      </c>
      <c r="M128" t="n">
        <v>2.242739228697412</v>
      </c>
      <c r="O128" t="n">
        <v>3.59835099569484</v>
      </c>
      <c r="P128" t="n">
        <v>3.967651603277675</v>
      </c>
      <c r="Q128" t="n">
        <v>3.178402785573192</v>
      </c>
      <c r="R128" t="n">
        <v>2.785863809800467</v>
      </c>
      <c r="S128" t="n">
        <v>1.942345445949552</v>
      </c>
      <c r="T128" t="n">
        <v>1.811511255383314</v>
      </c>
      <c r="U128" t="n">
        <v>1.678685946566884</v>
      </c>
      <c r="V128" t="n">
        <v>1.557107243948724</v>
      </c>
      <c r="W128" t="n">
        <v>1.46905163986293</v>
      </c>
      <c r="X128" t="n">
        <v>1.38233060573755</v>
      </c>
      <c r="Y128" t="n">
        <v>1.298830183876403</v>
      </c>
      <c r="Z128" t="n">
        <v>1.237203082866222</v>
      </c>
      <c r="AA128" t="n">
        <v>1.178934558771352</v>
      </c>
      <c r="AB128" t="n">
        <v>1.134961701941938</v>
      </c>
      <c r="AC128" t="n">
        <v>1.077161879699222</v>
      </c>
      <c r="AD128" t="n">
        <v>1.225826748347439</v>
      </c>
      <c r="AE128" t="n">
        <v>1.188396987947577</v>
      </c>
      <c r="AF128" t="n">
        <v>1.157566214539286</v>
      </c>
      <c r="AG128" t="n">
        <v>1.130432392736685</v>
      </c>
      <c r="AH128" t="n">
        <v>1.078165909770894</v>
      </c>
      <c r="AI128" t="n">
        <v>1.055649977113862</v>
      </c>
      <c r="BI128" t="inlineStr">
        <is>
          <t>NEW_GP_AVG</t>
        </is>
      </c>
    </row>
    <row r="129">
      <c r="A129" t="inlineStr">
        <is>
          <t>no_year_in_pairs</t>
        </is>
      </c>
      <c r="B129" s="2" t="n"/>
      <c r="C129" s="3" t="inlineStr">
        <is>
          <t>SM.19.158, Sup. 2</t>
        </is>
      </c>
      <c r="D129" s="4" t="inlineStr">
        <is>
          <t>Dominica</t>
        </is>
      </c>
      <c r="E129" s="4" t="inlineStr">
        <is>
          <t>DMA</t>
        </is>
      </c>
      <c r="F129" s="4" t="n"/>
      <c r="G129" s="4" t="inlineStr">
        <is>
          <t>2018gn</t>
        </is>
      </c>
      <c r="H129" s="4" t="n">
        <v>2018</v>
      </c>
      <c r="I129" s="4" t="inlineStr">
        <is>
          <t>rsdl.ndr.strs.tst.avg.matrty</t>
        </is>
      </c>
      <c r="J129" t="inlineStr">
        <is>
          <t>Average maturity of new debt</t>
        </is>
      </c>
      <c r="L129" t="n">
        <v>9</v>
      </c>
      <c r="M129" t="n">
        <v>9.092951776949382</v>
      </c>
      <c r="O129" t="n">
        <v>12.45192145758994</v>
      </c>
      <c r="P129" t="n">
        <v>16.58515464498794</v>
      </c>
      <c r="Q129" t="n">
        <v>12.49788425666925</v>
      </c>
      <c r="R129" t="n">
        <v>11.3852231006322</v>
      </c>
      <c r="S129" t="n">
        <v>7.759695570172893</v>
      </c>
      <c r="T129" t="n">
        <v>7.488044713054646</v>
      </c>
      <c r="U129" t="n">
        <v>7.051745724012707</v>
      </c>
      <c r="V129" t="n">
        <v>6.669274126621499</v>
      </c>
      <c r="W129" t="n">
        <v>6.351239032014407</v>
      </c>
      <c r="X129" t="n">
        <v>6.041300100551686</v>
      </c>
      <c r="Y129" t="n">
        <v>5.740986820136039</v>
      </c>
      <c r="Z129" t="n">
        <v>5.522856903842158</v>
      </c>
      <c r="AA129" t="n">
        <v>5.318321976043909</v>
      </c>
      <c r="AB129" t="n">
        <v>5.164096092381958</v>
      </c>
      <c r="AC129" t="n">
        <v>5.021511830916946</v>
      </c>
      <c r="AD129" t="n">
        <v>5.639842442462081</v>
      </c>
      <c r="AE129" t="n">
        <v>5.500812082597244</v>
      </c>
      <c r="AF129" t="n">
        <v>5.380478899073259</v>
      </c>
      <c r="AG129" t="n">
        <v>5.27382969693088</v>
      </c>
      <c r="AH129" t="n">
        <v>5.064442191164625</v>
      </c>
      <c r="AI129" t="n">
        <v>4.978247182108407</v>
      </c>
      <c r="BI129" t="inlineStr">
        <is>
          <t>NEW_M_AVG</t>
        </is>
      </c>
    </row>
    <row r="130">
      <c r="A130" t="inlineStr">
        <is>
          <t>no_year_in_pairs</t>
        </is>
      </c>
      <c r="B130" s="2" t="n"/>
      <c r="C130" s="3" t="inlineStr">
        <is>
          <t>SM.19.158, Sup. 2</t>
        </is>
      </c>
      <c r="D130" s="4" t="inlineStr">
        <is>
          <t>Dominica</t>
        </is>
      </c>
      <c r="E130" s="4" t="inlineStr">
        <is>
          <t>DMA</t>
        </is>
      </c>
      <c r="F130" s="4" t="n"/>
      <c r="G130" s="4" t="inlineStr">
        <is>
          <t>2018gn</t>
        </is>
      </c>
      <c r="H130" s="4" t="n">
        <v>2018</v>
      </c>
      <c r="I130" s="5" t="n"/>
    </row>
    <row r="131">
      <c r="A131" t="inlineStr">
        <is>
          <t>no_year_in_pairs</t>
        </is>
      </c>
      <c r="B131" s="2" t="n"/>
      <c r="C131" s="3" t="inlineStr">
        <is>
          <t>SM.19.158, Sup. 2</t>
        </is>
      </c>
      <c r="D131" s="4" t="inlineStr">
        <is>
          <t>Dominica</t>
        </is>
      </c>
      <c r="E131" s="4" t="inlineStr">
        <is>
          <t>DMA</t>
        </is>
      </c>
      <c r="F131" s="4" t="n"/>
      <c r="G131" s="4" t="inlineStr">
        <is>
          <t>2018gn</t>
        </is>
      </c>
      <c r="H131" s="4" t="n">
        <v>2018</v>
      </c>
      <c r="I131" s="4" t="inlineStr">
        <is>
          <t>rsdl.ndr.strs.tst.avg.grc.prd.rnd</t>
        </is>
      </c>
      <c r="J131" t="inlineStr">
        <is>
          <t>Average grace period on new debt (rounded down)</t>
        </is>
      </c>
      <c r="M131" t="n">
        <v>2</v>
      </c>
      <c r="O131" t="n">
        <v>3</v>
      </c>
      <c r="P131" t="n">
        <v>3</v>
      </c>
      <c r="Q131" t="n">
        <v>3</v>
      </c>
      <c r="R131" t="n">
        <v>2</v>
      </c>
      <c r="S131" t="n">
        <v>1</v>
      </c>
      <c r="T131" t="n">
        <v>1</v>
      </c>
      <c r="U131" t="n">
        <v>1</v>
      </c>
      <c r="V131" t="n">
        <v>1</v>
      </c>
      <c r="W131" t="n">
        <v>1</v>
      </c>
      <c r="X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  <c r="AF131" t="n">
        <v>1</v>
      </c>
      <c r="AG131" t="n">
        <v>1</v>
      </c>
      <c r="AH131" t="n">
        <v>1</v>
      </c>
      <c r="AI131" t="n">
        <v>1</v>
      </c>
      <c r="BI131" t="inlineStr">
        <is>
          <t>NEW_GP_AVG_R</t>
        </is>
      </c>
    </row>
    <row r="132">
      <c r="A132" t="inlineStr">
        <is>
          <t>no_year_in_pairs</t>
        </is>
      </c>
      <c r="B132" s="2" t="n"/>
      <c r="C132" s="3" t="inlineStr">
        <is>
          <t>SM.19.158, Sup. 2</t>
        </is>
      </c>
      <c r="D132" s="4" t="inlineStr">
        <is>
          <t>Dominica</t>
        </is>
      </c>
      <c r="E132" s="4" t="inlineStr">
        <is>
          <t>DMA</t>
        </is>
      </c>
      <c r="F132" s="4" t="n"/>
      <c r="G132" s="4" t="inlineStr">
        <is>
          <t>2018gn</t>
        </is>
      </c>
      <c r="H132" s="4" t="n">
        <v>2018</v>
      </c>
      <c r="I132" s="4" t="inlineStr">
        <is>
          <t>rsdl.ndr.strs.tst.avg.matrty.rnd</t>
        </is>
      </c>
      <c r="J132" t="inlineStr">
        <is>
          <t>Average maturity of new debt (rounded down)</t>
        </is>
      </c>
      <c r="M132" t="n">
        <v>9</v>
      </c>
      <c r="O132" t="n">
        <v>12</v>
      </c>
      <c r="P132" t="n">
        <v>16</v>
      </c>
      <c r="Q132" t="n">
        <v>12</v>
      </c>
      <c r="R132" t="n">
        <v>11</v>
      </c>
      <c r="S132" t="n">
        <v>7</v>
      </c>
      <c r="T132" t="n">
        <v>7</v>
      </c>
      <c r="U132" t="n">
        <v>7</v>
      </c>
      <c r="V132" t="n">
        <v>6</v>
      </c>
      <c r="W132" t="n">
        <v>6</v>
      </c>
      <c r="X132" t="n">
        <v>6</v>
      </c>
      <c r="Y132" t="n">
        <v>5</v>
      </c>
      <c r="Z132" t="n">
        <v>5</v>
      </c>
      <c r="AA132" t="n">
        <v>5</v>
      </c>
      <c r="AB132" t="n">
        <v>5</v>
      </c>
      <c r="AC132" t="n">
        <v>5</v>
      </c>
      <c r="AD132" t="n">
        <v>5</v>
      </c>
      <c r="AE132" t="n">
        <v>5</v>
      </c>
      <c r="AF132" t="n">
        <v>5</v>
      </c>
      <c r="AG132" t="n">
        <v>5</v>
      </c>
      <c r="AH132" t="n">
        <v>5</v>
      </c>
      <c r="AI132" t="n">
        <v>4</v>
      </c>
      <c r="BI132" t="inlineStr">
        <is>
          <t>NEW_M_AVG_R</t>
        </is>
      </c>
    </row>
    <row r="133">
      <c r="A133" t="inlineStr">
        <is>
          <t>no_year_in_pairs</t>
        </is>
      </c>
      <c r="B133" s="2" t="n"/>
      <c r="C133" s="3" t="inlineStr">
        <is>
          <t>SM.19.158, Sup. 2</t>
        </is>
      </c>
      <c r="D133" s="4" t="inlineStr">
        <is>
          <t>Dominica</t>
        </is>
      </c>
      <c r="E133" s="4" t="inlineStr">
        <is>
          <t>DMA</t>
        </is>
      </c>
      <c r="F133" s="4" t="n"/>
      <c r="G133" s="4" t="inlineStr">
        <is>
          <t>2018gn</t>
        </is>
      </c>
      <c r="H133" s="4" t="n">
        <v>2018</v>
      </c>
      <c r="I133" s="5" t="n"/>
    </row>
    <row r="134">
      <c r="A134" t="inlineStr">
        <is>
          <t>no_year_in_pairs</t>
        </is>
      </c>
      <c r="B134" s="2" t="n"/>
      <c r="C134" s="3" t="inlineStr">
        <is>
          <t>SM.19.158, Sup. 2</t>
        </is>
      </c>
      <c r="D134" s="4" t="inlineStr">
        <is>
          <t>Dominica</t>
        </is>
      </c>
      <c r="E134" s="4" t="inlineStr">
        <is>
          <t>DMA</t>
        </is>
      </c>
      <c r="F134" s="4" t="n"/>
      <c r="G134" s="4" t="inlineStr">
        <is>
          <t>2018gn</t>
        </is>
      </c>
      <c r="H134" s="4" t="n">
        <v>2018</v>
      </c>
      <c r="I134" s="5" t="n"/>
      <c r="J134" t="inlineStr">
        <is>
          <t>New debt: Debt service</t>
        </is>
      </c>
    </row>
    <row r="135">
      <c r="A135" t="inlineStr">
        <is>
          <t>no_year_in_pairs</t>
        </is>
      </c>
      <c r="B135" s="2" t="n"/>
      <c r="C135" s="3" t="inlineStr">
        <is>
          <t>SM.19.158, Sup. 2</t>
        </is>
      </c>
      <c r="D135" s="4" t="inlineStr">
        <is>
          <t>Dominica</t>
        </is>
      </c>
      <c r="E135" s="4" t="inlineStr">
        <is>
          <t>DMA</t>
        </is>
      </c>
      <c r="F135" s="4" t="n"/>
      <c r="G135" s="4" t="inlineStr">
        <is>
          <t>2018gn</t>
        </is>
      </c>
      <c r="H135" s="4" t="n">
        <v>2018</v>
      </c>
      <c r="I135" s="5" t="n"/>
    </row>
    <row r="136">
      <c r="A136" t="inlineStr">
        <is>
          <t>no_year_in_pairs</t>
        </is>
      </c>
      <c r="B136" s="2" t="n"/>
      <c r="C136" s="3" t="inlineStr">
        <is>
          <t>SM.19.158, Sup. 2</t>
        </is>
      </c>
      <c r="D136" s="4" t="inlineStr">
        <is>
          <t>Dominica</t>
        </is>
      </c>
      <c r="E136" s="4" t="inlineStr">
        <is>
          <t>DMA</t>
        </is>
      </c>
      <c r="F136" s="4" t="n"/>
      <c r="G136" s="4" t="inlineStr">
        <is>
          <t>2018gn</t>
        </is>
      </c>
      <c r="H136" s="4" t="n">
        <v>2018</v>
      </c>
      <c r="I136" s="4" t="inlineStr">
        <is>
          <t>new.tds</t>
        </is>
      </c>
      <c r="J136" t="inlineStr">
        <is>
          <t>Total new debt service</t>
        </is>
      </c>
      <c r="O136" t="n">
        <v>0</v>
      </c>
      <c r="P136" t="n">
        <v>21.06602619637959</v>
      </c>
      <c r="Q136" t="n">
        <v>33.22220228597669</v>
      </c>
      <c r="R136" t="n">
        <v>57.00861325304412</v>
      </c>
      <c r="S136" t="n">
        <v>70.75314330773421</v>
      </c>
      <c r="T136" t="n">
        <v>83.97313184636637</v>
      </c>
      <c r="U136" t="n">
        <v>101.2182432861932</v>
      </c>
      <c r="V136" t="n">
        <v>115.0982349360422</v>
      </c>
      <c r="W136" t="n">
        <v>132.1790703172529</v>
      </c>
      <c r="X136" t="n">
        <v>149.2231415949731</v>
      </c>
      <c r="Y136" t="n">
        <v>167.2992961642972</v>
      </c>
      <c r="Z136" t="n">
        <v>183.9628355211827</v>
      </c>
      <c r="AA136" t="n">
        <v>201.6024995747035</v>
      </c>
      <c r="AB136" t="n">
        <v>218.4869099856527</v>
      </c>
      <c r="AC136" t="n">
        <v>235.0778450074087</v>
      </c>
      <c r="AD136" t="n">
        <v>250.1934345039808</v>
      </c>
      <c r="AE136" t="n">
        <v>221.0012245487417</v>
      </c>
      <c r="AF136" t="n">
        <v>236.62006670911</v>
      </c>
      <c r="AG136" t="n">
        <v>252.7150815254342</v>
      </c>
      <c r="AH136" t="n">
        <v>269.1419709897005</v>
      </c>
      <c r="AI136" t="n">
        <v>287.3668799136127</v>
      </c>
      <c r="BI136" t="inlineStr">
        <is>
          <t>NEW_DS_TOT</t>
        </is>
      </c>
    </row>
    <row r="137">
      <c r="A137" t="inlineStr">
        <is>
          <t>no_year_in_pairs</t>
        </is>
      </c>
      <c r="B137" s="2" t="n"/>
      <c r="C137" s="3" t="inlineStr">
        <is>
          <t>SM.19.158, Sup. 2</t>
        </is>
      </c>
      <c r="D137" s="4" t="inlineStr">
        <is>
          <t>Dominica</t>
        </is>
      </c>
      <c r="E137" s="4" t="inlineStr">
        <is>
          <t>DMA</t>
        </is>
      </c>
      <c r="F137" s="4" t="n"/>
      <c r="G137" s="4" t="inlineStr">
        <is>
          <t>2018gn</t>
        </is>
      </c>
      <c r="H137" s="4" t="n">
        <v>2018</v>
      </c>
      <c r="I137" s="5" t="n"/>
    </row>
    <row r="138">
      <c r="A138" t="inlineStr">
        <is>
          <t>no_year_in_pairs</t>
        </is>
      </c>
      <c r="B138" s="2" t="n"/>
      <c r="C138" s="3" t="inlineStr">
        <is>
          <t>SM.19.158, Sup. 2</t>
        </is>
      </c>
      <c r="D138" s="4" t="inlineStr">
        <is>
          <t>Dominica</t>
        </is>
      </c>
      <c r="E138" s="4" t="inlineStr">
        <is>
          <t>DMA</t>
        </is>
      </c>
      <c r="F138" s="4" t="n"/>
      <c r="G138" s="4" t="inlineStr">
        <is>
          <t>2018gn</t>
        </is>
      </c>
      <c r="H138" s="4" t="n">
        <v>2018</v>
      </c>
      <c r="I138" s="4" t="inlineStr">
        <is>
          <t>new.int</t>
        </is>
      </c>
      <c r="J138" t="inlineStr">
        <is>
          <t>Interest</t>
        </is>
      </c>
      <c r="M138" t="n">
        <v>26</v>
      </c>
      <c r="O138" t="n">
        <v>0</v>
      </c>
      <c r="P138" t="n">
        <v>1.697044363957618</v>
      </c>
      <c r="Q138" t="n">
        <v>2.770222738654034</v>
      </c>
      <c r="R138" t="n">
        <v>4.682363484297008</v>
      </c>
      <c r="S138" t="n">
        <v>6.023472093521065</v>
      </c>
      <c r="T138" t="n">
        <v>7.20047210129947</v>
      </c>
      <c r="U138" t="n">
        <v>8.379782591920204</v>
      </c>
      <c r="V138" t="n">
        <v>9.351588732314735</v>
      </c>
      <c r="W138" t="n">
        <v>10.33121149055453</v>
      </c>
      <c r="X138" t="n">
        <v>11.24265448094912</v>
      </c>
      <c r="Y138" t="n">
        <v>12.15475111775856</v>
      </c>
      <c r="Z138" t="n">
        <v>13.08979808687132</v>
      </c>
      <c r="AA138" t="n">
        <v>14.0080951595958</v>
      </c>
      <c r="AB138" t="n">
        <v>14.95745962170363</v>
      </c>
      <c r="AC138" t="n">
        <v>15.90217394334839</v>
      </c>
      <c r="AD138" t="n">
        <v>16.73942971352449</v>
      </c>
      <c r="AE138" t="n">
        <v>15.42583028650969</v>
      </c>
      <c r="AF138" t="n">
        <v>16.247692482411</v>
      </c>
      <c r="AG138" t="n">
        <v>17.09443155895083</v>
      </c>
      <c r="AH138" t="n">
        <v>17.96304654548397</v>
      </c>
      <c r="AI138" t="n">
        <v>18.9233897065392</v>
      </c>
      <c r="BI138" t="inlineStr">
        <is>
          <t>NEW_DS_I</t>
        </is>
      </c>
    </row>
    <row r="139">
      <c r="A139" t="inlineStr">
        <is>
          <t>no_year_in_pairs</t>
        </is>
      </c>
      <c r="B139" s="2" t="n"/>
      <c r="C139" s="3" t="inlineStr">
        <is>
          <t>SM.19.158, Sup. 2</t>
        </is>
      </c>
      <c r="D139" s="4" t="inlineStr">
        <is>
          <t>Dominica</t>
        </is>
      </c>
      <c r="E139" s="4" t="inlineStr">
        <is>
          <t>DMA</t>
        </is>
      </c>
      <c r="F139" s="4" t="n"/>
      <c r="G139" s="4" t="inlineStr">
        <is>
          <t>2018gn</t>
        </is>
      </c>
      <c r="H139" s="4" t="n">
        <v>2018</v>
      </c>
      <c r="I139" s="4" t="inlineStr">
        <is>
          <t>new.int.mlt</t>
        </is>
      </c>
      <c r="J139" t="inlineStr">
        <is>
          <t>Multilaterals</t>
        </is>
      </c>
      <c r="M139" t="inlineStr">
        <is>
          <t>"PV_Base" line no.</t>
        </is>
      </c>
      <c r="O139" t="n">
        <v>0</v>
      </c>
      <c r="P139" t="n">
        <v>0.1375</v>
      </c>
      <c r="Q139" t="n">
        <v>0.4275</v>
      </c>
      <c r="R139" t="n">
        <v>0.7075</v>
      </c>
      <c r="S139" t="n">
        <v>0.9974999999999999</v>
      </c>
      <c r="T139" t="n">
        <v>1.16</v>
      </c>
      <c r="U139" t="n">
        <v>1.3464</v>
      </c>
      <c r="V139" t="n">
        <v>1.530842597653743</v>
      </c>
      <c r="W139" t="n">
        <v>1.713472502124888</v>
      </c>
      <c r="X139" t="n">
        <v>1.895025778254738</v>
      </c>
      <c r="Y139" t="n">
        <v>2.075246816020062</v>
      </c>
      <c r="Z139" t="n">
        <v>2.258888636538078</v>
      </c>
      <c r="AA139" t="n">
        <v>2.443963198071432</v>
      </c>
      <c r="AB139" t="n">
        <v>2.62799169303303</v>
      </c>
      <c r="AC139" t="n">
        <v>2.81107839943726</v>
      </c>
      <c r="AD139" t="n">
        <v>2.993331264948514</v>
      </c>
      <c r="AE139" t="n">
        <v>3.176112065160215</v>
      </c>
      <c r="AF139" t="n">
        <v>3.359406511064782</v>
      </c>
      <c r="AG139" t="n">
        <v>3.5432329781865</v>
      </c>
      <c r="AH139" t="n">
        <v>3.727610247090428</v>
      </c>
      <c r="AI139" t="n">
        <v>3.906076279646402</v>
      </c>
      <c r="BI139" t="inlineStr">
        <is>
          <t>NEW_DS_ML</t>
        </is>
      </c>
    </row>
    <row r="140">
      <c r="A140" t="inlineStr">
        <is>
          <t>no_year_in_pairs</t>
        </is>
      </c>
      <c r="B140" s="2" t="n"/>
      <c r="C140" s="3" t="inlineStr">
        <is>
          <t>SM.19.158, Sup. 2</t>
        </is>
      </c>
      <c r="D140" s="4" t="inlineStr">
        <is>
          <t>Dominica</t>
        </is>
      </c>
      <c r="E140" s="4" t="inlineStr">
        <is>
          <t>DMA</t>
        </is>
      </c>
      <c r="F140" s="4" t="n"/>
      <c r="G140" s="4" t="inlineStr">
        <is>
          <t>2018gn</t>
        </is>
      </c>
      <c r="H140" s="4" t="n">
        <v>2018</v>
      </c>
      <c r="I140" s="4" t="inlineStr">
        <is>
          <t>new.int.mlt.imf</t>
        </is>
      </c>
      <c r="J140" t="inlineStr">
        <is>
          <t>IMF</t>
        </is>
      </c>
      <c r="M140" t="n">
        <v>26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</row>
    <row r="141">
      <c r="A141" t="inlineStr">
        <is>
          <t>no_year_in_pairs</t>
        </is>
      </c>
      <c r="B141" s="2" t="n"/>
      <c r="C141" s="3" t="inlineStr">
        <is>
          <t>SM.19.158, Sup. 2</t>
        </is>
      </c>
      <c r="D141" s="4" t="inlineStr">
        <is>
          <t>Dominica</t>
        </is>
      </c>
      <c r="E141" s="4" t="inlineStr">
        <is>
          <t>DMA</t>
        </is>
      </c>
      <c r="F141" s="4" t="n"/>
      <c r="G141" s="4" t="inlineStr">
        <is>
          <t>2018gn</t>
        </is>
      </c>
      <c r="H141" s="4" t="n">
        <v>2018</v>
      </c>
      <c r="I141" s="4" t="inlineStr">
        <is>
          <t>new.int.mlt.ida.reg</t>
        </is>
      </c>
      <c r="J141" t="inlineStr">
        <is>
          <t>IDA - small economy</t>
        </is>
      </c>
      <c r="M141" t="n">
        <v>60</v>
      </c>
      <c r="O141" t="n">
        <v>0</v>
      </c>
      <c r="P141" t="n">
        <v>0.0375</v>
      </c>
      <c r="Q141" t="n">
        <v>0.1575</v>
      </c>
      <c r="R141" t="n">
        <v>0.2775</v>
      </c>
      <c r="S141" t="n">
        <v>0.3975</v>
      </c>
      <c r="T141" t="n">
        <v>0.48</v>
      </c>
      <c r="U141" t="n">
        <v>0.5663999999999999</v>
      </c>
      <c r="V141" t="n">
        <v>0.6558425976537426</v>
      </c>
      <c r="W141" t="n">
        <v>0.7484425110351202</v>
      </c>
      <c r="X141" t="n">
        <v>0.8443111947635377</v>
      </c>
      <c r="Y141" t="n">
        <v>0.9435640340513685</v>
      </c>
      <c r="Z141" t="n">
        <v>1.046320489179804</v>
      </c>
      <c r="AA141" t="n">
        <v>1.151454239974701</v>
      </c>
      <c r="AB141" t="n">
        <v>1.256343326033146</v>
      </c>
      <c r="AC141" t="n">
        <v>1.361120312445747</v>
      </c>
      <c r="AD141" t="n">
        <v>1.465922438521779</v>
      </c>
      <c r="AE141" t="n">
        <v>1.572141796259347</v>
      </c>
      <c r="AF141" t="n">
        <v>1.679795488639974</v>
      </c>
      <c r="AG141" t="n">
        <v>1.788934391448186</v>
      </c>
      <c r="AH141" t="n">
        <v>1.899610932560323</v>
      </c>
      <c r="AI141" t="n">
        <v>2.009101612721973</v>
      </c>
    </row>
    <row r="142">
      <c r="A142" t="inlineStr">
        <is>
          <t>no_year_in_pairs</t>
        </is>
      </c>
      <c r="B142" s="2" t="n"/>
      <c r="C142" s="3" t="inlineStr">
        <is>
          <t>SM.19.158, Sup. 2</t>
        </is>
      </c>
      <c r="D142" s="4" t="inlineStr">
        <is>
          <t>Dominica</t>
        </is>
      </c>
      <c r="E142" s="4" t="inlineStr">
        <is>
          <t>DMA</t>
        </is>
      </c>
      <c r="F142" s="4" t="n"/>
      <c r="G142" s="4" t="inlineStr">
        <is>
          <t>2018gn</t>
        </is>
      </c>
      <c r="H142" s="4" t="n">
        <v>2018</v>
      </c>
      <c r="I142" s="4" t="inlineStr">
        <is>
          <t>new.int.mlt.ida.bld</t>
        </is>
      </c>
      <c r="J142" t="inlineStr">
        <is>
          <t>IDA - small economy</t>
        </is>
      </c>
      <c r="M142" t="n">
        <v>86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</row>
    <row r="143">
      <c r="A143" t="inlineStr">
        <is>
          <t>no_year_in_pairs</t>
        </is>
      </c>
      <c r="B143" s="2" t="n"/>
      <c r="C143" s="3" t="inlineStr">
        <is>
          <t>SM.19.158, Sup. 2</t>
        </is>
      </c>
      <c r="D143" s="4" t="inlineStr">
        <is>
          <t>Dominica</t>
        </is>
      </c>
      <c r="E143" s="4" t="inlineStr">
        <is>
          <t>DMA</t>
        </is>
      </c>
      <c r="F143" s="4" t="n"/>
      <c r="G143" s="4" t="inlineStr">
        <is>
          <t>2018gn</t>
        </is>
      </c>
      <c r="H143" s="4" t="n">
        <v>2018</v>
      </c>
      <c r="I143" s="4" t="inlineStr">
        <is>
          <t>new.int.mlt.afdb</t>
        </is>
      </c>
      <c r="J143" t="inlineStr">
        <is>
          <t>CDB</t>
        </is>
      </c>
      <c r="M143" t="n">
        <v>111</v>
      </c>
      <c r="O143" t="n">
        <v>0</v>
      </c>
      <c r="P143" t="n">
        <v>0.1</v>
      </c>
      <c r="Q143" t="n">
        <v>0.27</v>
      </c>
      <c r="R143" t="n">
        <v>0.43</v>
      </c>
      <c r="S143" t="n">
        <v>0.6</v>
      </c>
      <c r="T143" t="n">
        <v>0.68</v>
      </c>
      <c r="U143" t="n">
        <v>0.78</v>
      </c>
      <c r="V143" t="n">
        <v>0.875</v>
      </c>
      <c r="W143" t="n">
        <v>0.9650299910897681</v>
      </c>
      <c r="X143" t="n">
        <v>1.0507145834912</v>
      </c>
      <c r="Y143" t="n">
        <v>1.131682781968693</v>
      </c>
      <c r="Z143" t="n">
        <v>1.212568147358274</v>
      </c>
      <c r="AA143" t="n">
        <v>1.292508958096731</v>
      </c>
      <c r="AB143" t="n">
        <v>1.371648366999884</v>
      </c>
      <c r="AC143" t="n">
        <v>1.449958086991513</v>
      </c>
      <c r="AD143" t="n">
        <v>1.527408826426736</v>
      </c>
      <c r="AE143" t="n">
        <v>1.603970268900868</v>
      </c>
      <c r="AF143" t="n">
        <v>1.679611022424808</v>
      </c>
      <c r="AG143" t="n">
        <v>1.754298586738313</v>
      </c>
      <c r="AH143" t="n">
        <v>1.827999314530104</v>
      </c>
      <c r="AI143" t="n">
        <v>1.896974666924429</v>
      </c>
    </row>
    <row r="144">
      <c r="A144" t="inlineStr">
        <is>
          <t>no_year_in_pairs</t>
        </is>
      </c>
      <c r="B144" s="2" t="n"/>
      <c r="C144" s="3" t="inlineStr">
        <is>
          <t>SM.19.158, Sup. 2</t>
        </is>
      </c>
      <c r="D144" s="4" t="inlineStr">
        <is>
          <t>Dominica</t>
        </is>
      </c>
      <c r="E144" s="4" t="inlineStr">
        <is>
          <t>DMA</t>
        </is>
      </c>
      <c r="F144" s="4" t="n"/>
      <c r="G144" s="4" t="inlineStr">
        <is>
          <t>2018gn</t>
        </is>
      </c>
      <c r="H144" s="4" t="n">
        <v>2018</v>
      </c>
      <c r="I144" s="4" t="inlineStr">
        <is>
          <t>new.int.mlt2</t>
        </is>
      </c>
      <c r="J144" t="inlineStr">
        <is>
          <t>MULTI2</t>
        </is>
      </c>
      <c r="M144" t="n">
        <v>137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</row>
    <row r="145">
      <c r="A145" t="inlineStr">
        <is>
          <t>no_year_in_pairs</t>
        </is>
      </c>
      <c r="B145" s="2" t="n"/>
      <c r="C145" s="3" t="inlineStr">
        <is>
          <t>SM.19.158, Sup. 2</t>
        </is>
      </c>
      <c r="D145" s="4" t="inlineStr">
        <is>
          <t>Dominica</t>
        </is>
      </c>
      <c r="E145" s="4" t="inlineStr">
        <is>
          <t>DMA</t>
        </is>
      </c>
      <c r="F145" s="4" t="n"/>
      <c r="G145" s="4" t="inlineStr">
        <is>
          <t>2018gn</t>
        </is>
      </c>
      <c r="H145" s="4" t="n">
        <v>2018</v>
      </c>
      <c r="I145" s="4" t="inlineStr">
        <is>
          <t>new.int.mlt3</t>
        </is>
      </c>
      <c r="J145" t="inlineStr">
        <is>
          <t>MULTI3</t>
        </is>
      </c>
      <c r="M145" t="n">
        <v>163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</row>
    <row r="146">
      <c r="A146" t="inlineStr">
        <is>
          <t>no_year_in_pairs</t>
        </is>
      </c>
      <c r="B146" s="2" t="n"/>
      <c r="C146" s="3" t="inlineStr">
        <is>
          <t>SM.19.158, Sup. 2</t>
        </is>
      </c>
      <c r="D146" s="4" t="inlineStr">
        <is>
          <t>Dominica</t>
        </is>
      </c>
      <c r="E146" s="4" t="inlineStr">
        <is>
          <t>DMA</t>
        </is>
      </c>
      <c r="F146" s="4" t="n"/>
      <c r="G146" s="4" t="inlineStr">
        <is>
          <t>2018gn</t>
        </is>
      </c>
      <c r="H146" s="4" t="n">
        <v>2018</v>
      </c>
      <c r="I146" s="4" t="inlineStr">
        <is>
          <t>new.int.mlt.oth</t>
        </is>
      </c>
      <c r="J146" t="inlineStr">
        <is>
          <t>Other Multilaterals</t>
        </is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-0.01088888888888888</v>
      </c>
    </row>
    <row r="147">
      <c r="A147" t="inlineStr">
        <is>
          <t>no_year_in_pairs</t>
        </is>
      </c>
      <c r="B147" s="2" t="n"/>
      <c r="C147" s="3" t="inlineStr">
        <is>
          <t>SM.19.158, Sup. 2</t>
        </is>
      </c>
      <c r="D147" s="4" t="inlineStr">
        <is>
          <t>Dominica</t>
        </is>
      </c>
      <c r="E147" s="4" t="inlineStr">
        <is>
          <t>DMA</t>
        </is>
      </c>
      <c r="F147" s="4" t="n"/>
      <c r="G147" s="4" t="inlineStr">
        <is>
          <t>2018gn</t>
        </is>
      </c>
      <c r="H147" s="4" t="n">
        <v>2018</v>
      </c>
      <c r="I147" s="4" t="inlineStr">
        <is>
          <t>new.int.mlt.oth1</t>
        </is>
      </c>
      <c r="J147" t="inlineStr">
        <is>
          <t>OTH_MULTI1</t>
        </is>
      </c>
      <c r="M147" t="n">
        <v>189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-0.01088888888888888</v>
      </c>
    </row>
    <row r="148">
      <c r="A148" t="inlineStr">
        <is>
          <t>no_year_in_pairs</t>
        </is>
      </c>
      <c r="B148" s="2" t="n"/>
      <c r="C148" s="3" t="inlineStr">
        <is>
          <t>SM.19.158, Sup. 2</t>
        </is>
      </c>
      <c r="D148" s="4" t="inlineStr">
        <is>
          <t>Dominica</t>
        </is>
      </c>
      <c r="E148" s="4" t="inlineStr">
        <is>
          <t>DMA</t>
        </is>
      </c>
      <c r="F148" s="4" t="n"/>
      <c r="G148" s="4" t="inlineStr">
        <is>
          <t>2018gn</t>
        </is>
      </c>
      <c r="H148" s="4" t="n">
        <v>2018</v>
      </c>
      <c r="I148" s="4" t="inlineStr">
        <is>
          <t>new.int.mlt.oth2</t>
        </is>
      </c>
      <c r="J148" t="inlineStr">
        <is>
          <t>OTH_MULTI2</t>
        </is>
      </c>
      <c r="M148" t="n">
        <v>215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</row>
    <row r="149">
      <c r="A149" t="inlineStr">
        <is>
          <t>no_year_in_pairs</t>
        </is>
      </c>
      <c r="B149" s="2" t="n"/>
      <c r="C149" s="3" t="inlineStr">
        <is>
          <t>SM.19.158, Sup. 2</t>
        </is>
      </c>
      <c r="D149" s="4" t="inlineStr">
        <is>
          <t>Dominica</t>
        </is>
      </c>
      <c r="E149" s="4" t="inlineStr">
        <is>
          <t>DMA</t>
        </is>
      </c>
      <c r="F149" s="4" t="n"/>
      <c r="G149" s="4" t="inlineStr">
        <is>
          <t>2018gn</t>
        </is>
      </c>
      <c r="H149" s="4" t="n">
        <v>2018</v>
      </c>
      <c r="I149" s="4" t="inlineStr">
        <is>
          <t>new.int.mlt.oth3</t>
        </is>
      </c>
      <c r="J149" t="inlineStr">
        <is>
          <t>OTH_MULTI3</t>
        </is>
      </c>
      <c r="M149" t="n">
        <v>241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</row>
    <row r="150">
      <c r="A150" t="inlineStr">
        <is>
          <t>no_year_in_pairs</t>
        </is>
      </c>
      <c r="B150" s="2" t="n"/>
      <c r="C150" s="3" t="inlineStr">
        <is>
          <t>SM.19.158, Sup. 2</t>
        </is>
      </c>
      <c r="D150" s="4" t="inlineStr">
        <is>
          <t>Dominica</t>
        </is>
      </c>
      <c r="E150" s="4" t="inlineStr">
        <is>
          <t>DMA</t>
        </is>
      </c>
      <c r="F150" s="4" t="n"/>
      <c r="G150" s="4" t="inlineStr">
        <is>
          <t>2018gn</t>
        </is>
      </c>
      <c r="H150" s="4" t="n">
        <v>2018</v>
      </c>
      <c r="I150" s="4" t="inlineStr">
        <is>
          <t>new.int.blt</t>
        </is>
      </c>
      <c r="J150" t="inlineStr">
        <is>
          <t>Official Bilaterals</t>
        </is>
      </c>
      <c r="O150" t="n">
        <v>0</v>
      </c>
      <c r="P150" t="n">
        <v>0.59109527233652</v>
      </c>
      <c r="Q150" t="n">
        <v>0.8201237612879007</v>
      </c>
      <c r="R150" t="n">
        <v>1.358550995859652</v>
      </c>
      <c r="S150" t="n">
        <v>1.789488532810408</v>
      </c>
      <c r="T150" t="n">
        <v>2.201839114046124</v>
      </c>
      <c r="U150" t="n">
        <v>2.585343920731275</v>
      </c>
      <c r="V150" t="n">
        <v>2.835234899128306</v>
      </c>
      <c r="W150" t="n">
        <v>3.021003474483196</v>
      </c>
      <c r="X150" t="n">
        <v>3.109886784939012</v>
      </c>
      <c r="Y150" t="n">
        <v>3.121373939139033</v>
      </c>
      <c r="Z150" t="n">
        <v>3.060376240063794</v>
      </c>
      <c r="AA150" t="n">
        <v>3.048934652856897</v>
      </c>
      <c r="AB150" t="n">
        <v>3.016172085011805</v>
      </c>
      <c r="AC150" t="n">
        <v>3.028853186492926</v>
      </c>
      <c r="AD150" t="n">
        <v>3.003738867655377</v>
      </c>
      <c r="AE150" t="n">
        <v>2.948029170201435</v>
      </c>
      <c r="AF150" t="n">
        <v>2.901873003073586</v>
      </c>
      <c r="AG150" t="n">
        <v>2.866337334258588</v>
      </c>
      <c r="AH150" t="n">
        <v>2.837558991662474</v>
      </c>
      <c r="AI150" t="n">
        <v>2.816541316570174</v>
      </c>
      <c r="BI150" t="inlineStr">
        <is>
          <t>NEW_DS_I_OB</t>
        </is>
      </c>
    </row>
    <row r="151">
      <c r="A151" t="inlineStr">
        <is>
          <t>no_year_in_pairs</t>
        </is>
      </c>
      <c r="B151" s="2" t="n"/>
      <c r="C151" s="3" t="inlineStr">
        <is>
          <t>SM.19.158, Sup. 2</t>
        </is>
      </c>
      <c r="D151" s="4" t="inlineStr">
        <is>
          <t>Dominica</t>
        </is>
      </c>
      <c r="E151" s="4" t="inlineStr">
        <is>
          <t>DMA</t>
        </is>
      </c>
      <c r="F151" s="4" t="n"/>
      <c r="G151" s="4" t="inlineStr">
        <is>
          <t>2018gn</t>
        </is>
      </c>
      <c r="H151" s="4" t="n">
        <v>2018</v>
      </c>
      <c r="I151" s="4" t="inlineStr">
        <is>
          <t>new.int.pc</t>
        </is>
      </c>
      <c r="J151" t="inlineStr">
        <is>
          <t xml:space="preserve">   Paris Club</t>
        </is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</row>
    <row r="152">
      <c r="A152" t="inlineStr">
        <is>
          <t>no_year_in_pairs</t>
        </is>
      </c>
      <c r="B152" s="2" t="n"/>
      <c r="C152" s="3" t="inlineStr">
        <is>
          <t>SM.19.158, Sup. 2</t>
        </is>
      </c>
      <c r="D152" s="4" t="inlineStr">
        <is>
          <t>Dominica</t>
        </is>
      </c>
      <c r="E152" s="4" t="inlineStr">
        <is>
          <t>DMA</t>
        </is>
      </c>
      <c r="F152" s="4" t="n"/>
      <c r="G152" s="4" t="inlineStr">
        <is>
          <t>2018gn</t>
        </is>
      </c>
      <c r="H152" s="4" t="n">
        <v>2018</v>
      </c>
      <c r="I152" s="4" t="inlineStr">
        <is>
          <t>new.int.pc1</t>
        </is>
      </c>
      <c r="J152" t="inlineStr">
        <is>
          <t>Export Credit Agencies</t>
        </is>
      </c>
      <c r="M152" t="n">
        <v>267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</row>
    <row r="153">
      <c r="A153" t="inlineStr">
        <is>
          <t>no_year_in_pairs</t>
        </is>
      </c>
      <c r="B153" s="2" t="n"/>
      <c r="C153" s="3" t="inlineStr">
        <is>
          <t>SM.19.158, Sup. 2</t>
        </is>
      </c>
      <c r="D153" s="4" t="inlineStr">
        <is>
          <t>Dominica</t>
        </is>
      </c>
      <c r="E153" s="4" t="inlineStr">
        <is>
          <t>DMA</t>
        </is>
      </c>
      <c r="F153" s="4" t="n"/>
      <c r="G153" s="4" t="inlineStr">
        <is>
          <t>2018gn</t>
        </is>
      </c>
      <c r="H153" s="4" t="n">
        <v>2018</v>
      </c>
      <c r="I153" s="4" t="inlineStr">
        <is>
          <t>new.int.pc2</t>
        </is>
      </c>
      <c r="J153" t="inlineStr">
        <is>
          <t>PC2</t>
        </is>
      </c>
      <c r="M153" t="n">
        <v>293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</row>
    <row r="154">
      <c r="A154" t="inlineStr">
        <is>
          <t>no_year_in_pairs</t>
        </is>
      </c>
      <c r="B154" s="2" t="n"/>
      <c r="C154" s="3" t="inlineStr">
        <is>
          <t>SM.19.158, Sup. 2</t>
        </is>
      </c>
      <c r="D154" s="4" t="inlineStr">
        <is>
          <t>Dominica</t>
        </is>
      </c>
      <c r="E154" s="4" t="inlineStr">
        <is>
          <t>DMA</t>
        </is>
      </c>
      <c r="F154" s="4" t="n"/>
      <c r="G154" s="4" t="inlineStr">
        <is>
          <t>2018gn</t>
        </is>
      </c>
      <c r="H154" s="4" t="n">
        <v>2018</v>
      </c>
      <c r="I154" s="4" t="inlineStr">
        <is>
          <t>new.int.pc3</t>
        </is>
      </c>
      <c r="J154" t="inlineStr">
        <is>
          <t>PC3</t>
        </is>
      </c>
      <c r="M154" t="n">
        <v>319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</row>
    <row r="155">
      <c r="A155" t="inlineStr">
        <is>
          <t>no_year_in_pairs</t>
        </is>
      </c>
      <c r="B155" s="2" t="n"/>
      <c r="C155" s="3" t="inlineStr">
        <is>
          <t>SM.19.158, Sup. 2</t>
        </is>
      </c>
      <c r="D155" s="4" t="inlineStr">
        <is>
          <t>Dominica</t>
        </is>
      </c>
      <c r="E155" s="4" t="inlineStr">
        <is>
          <t>DMA</t>
        </is>
      </c>
      <c r="F155" s="4" t="n"/>
      <c r="G155" s="4" t="inlineStr">
        <is>
          <t>2018gn</t>
        </is>
      </c>
      <c r="H155" s="4" t="n">
        <v>2018</v>
      </c>
      <c r="I155" s="4" t="inlineStr">
        <is>
          <t>new.int.pc4</t>
        </is>
      </c>
      <c r="J155" t="inlineStr">
        <is>
          <t>PC4</t>
        </is>
      </c>
      <c r="M155" t="n">
        <v>345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</row>
    <row r="156">
      <c r="A156" t="inlineStr">
        <is>
          <t>no_year_in_pairs</t>
        </is>
      </c>
      <c r="B156" s="2" t="n"/>
      <c r="C156" s="3" t="inlineStr">
        <is>
          <t>SM.19.158, Sup. 2</t>
        </is>
      </c>
      <c r="D156" s="4" t="inlineStr">
        <is>
          <t>Dominica</t>
        </is>
      </c>
      <c r="E156" s="4" t="inlineStr">
        <is>
          <t>DMA</t>
        </is>
      </c>
      <c r="F156" s="4" t="n"/>
      <c r="G156" s="4" t="inlineStr">
        <is>
          <t>2018gn</t>
        </is>
      </c>
      <c r="H156" s="4" t="n">
        <v>2018</v>
      </c>
      <c r="I156" s="4" t="inlineStr">
        <is>
          <t>new.int.pc5</t>
        </is>
      </c>
      <c r="J156" t="inlineStr">
        <is>
          <t>PC5</t>
        </is>
      </c>
      <c r="M156" t="n">
        <v>371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</row>
    <row r="157">
      <c r="A157" t="inlineStr">
        <is>
          <t>no_year_in_pairs</t>
        </is>
      </c>
      <c r="B157" s="2" t="n"/>
      <c r="C157" s="3" t="inlineStr">
        <is>
          <t>SM.19.158, Sup. 2</t>
        </is>
      </c>
      <c r="D157" s="4" t="inlineStr">
        <is>
          <t>Dominica</t>
        </is>
      </c>
      <c r="E157" s="4" t="inlineStr">
        <is>
          <t>DMA</t>
        </is>
      </c>
      <c r="F157" s="4" t="n"/>
      <c r="G157" s="4" t="inlineStr">
        <is>
          <t>2018gn</t>
        </is>
      </c>
      <c r="H157" s="4" t="n">
        <v>2018</v>
      </c>
      <c r="I157" s="4" t="inlineStr">
        <is>
          <t>new.int.npc</t>
        </is>
      </c>
      <c r="J157" t="inlineStr">
        <is>
          <t xml:space="preserve">   Non-Paris Club</t>
        </is>
      </c>
      <c r="O157" t="n">
        <v>0</v>
      </c>
      <c r="P157" t="n">
        <v>0.59109527233652</v>
      </c>
      <c r="Q157" t="n">
        <v>0.8201237612879007</v>
      </c>
      <c r="R157" t="n">
        <v>1.358550995859652</v>
      </c>
      <c r="S157" t="n">
        <v>1.789488532810408</v>
      </c>
      <c r="T157" t="n">
        <v>2.201839114046124</v>
      </c>
      <c r="U157" t="n">
        <v>2.585343920731275</v>
      </c>
      <c r="V157" t="n">
        <v>2.835234899128306</v>
      </c>
      <c r="W157" t="n">
        <v>3.021003474483196</v>
      </c>
      <c r="X157" t="n">
        <v>3.109886784939012</v>
      </c>
      <c r="Y157" t="n">
        <v>3.121373939139033</v>
      </c>
      <c r="Z157" t="n">
        <v>3.060376240063794</v>
      </c>
      <c r="AA157" t="n">
        <v>3.048934652856897</v>
      </c>
      <c r="AB157" t="n">
        <v>3.016172085011805</v>
      </c>
      <c r="AC157" t="n">
        <v>3.028853186492926</v>
      </c>
      <c r="AD157" t="n">
        <v>3.003738867655377</v>
      </c>
      <c r="AE157" t="n">
        <v>2.948029170201435</v>
      </c>
      <c r="AF157" t="n">
        <v>2.901873003073586</v>
      </c>
      <c r="AG157" t="n">
        <v>2.866337334258588</v>
      </c>
      <c r="AH157" t="n">
        <v>2.837558991662474</v>
      </c>
      <c r="AI157" t="n">
        <v>2.816541316570174</v>
      </c>
    </row>
    <row r="158">
      <c r="A158" t="inlineStr">
        <is>
          <t>no_year_in_pairs</t>
        </is>
      </c>
      <c r="B158" s="2" t="n"/>
      <c r="C158" s="3" t="inlineStr">
        <is>
          <t>SM.19.158, Sup. 2</t>
        </is>
      </c>
      <c r="D158" s="4" t="inlineStr">
        <is>
          <t>Dominica</t>
        </is>
      </c>
      <c r="E158" s="4" t="inlineStr">
        <is>
          <t>DMA</t>
        </is>
      </c>
      <c r="F158" s="4" t="n"/>
      <c r="G158" s="4" t="inlineStr">
        <is>
          <t>2018gn</t>
        </is>
      </c>
      <c r="H158" s="4" t="n">
        <v>2018</v>
      </c>
      <c r="I158" s="4" t="inlineStr">
        <is>
          <t>new.int.npc.eximbk</t>
        </is>
      </c>
      <c r="J158" t="inlineStr">
        <is>
          <t>Export Import Bank of NPC</t>
        </is>
      </c>
      <c r="M158" t="n">
        <v>397</v>
      </c>
      <c r="O158" t="n">
        <v>0</v>
      </c>
      <c r="P158" t="n">
        <v>0.59109527233652</v>
      </c>
      <c r="Q158" t="n">
        <v>0.8201237612879007</v>
      </c>
      <c r="R158" t="n">
        <v>1.358550995859652</v>
      </c>
      <c r="S158" t="n">
        <v>1.789488532810408</v>
      </c>
      <c r="T158" t="n">
        <v>2.201839114046124</v>
      </c>
      <c r="U158" t="n">
        <v>2.585343920731275</v>
      </c>
      <c r="V158" t="n">
        <v>2.835234899128306</v>
      </c>
      <c r="W158" t="n">
        <v>3.021003474483196</v>
      </c>
      <c r="X158" t="n">
        <v>3.109886784939012</v>
      </c>
      <c r="Y158" t="n">
        <v>3.121373939139033</v>
      </c>
      <c r="Z158" t="n">
        <v>3.060376240063794</v>
      </c>
      <c r="AA158" t="n">
        <v>3.048934652856897</v>
      </c>
      <c r="AB158" t="n">
        <v>3.016172085011805</v>
      </c>
      <c r="AC158" t="n">
        <v>3.028853186492926</v>
      </c>
      <c r="AD158" t="n">
        <v>3.003738867655377</v>
      </c>
      <c r="AE158" t="n">
        <v>2.948029170201435</v>
      </c>
      <c r="AF158" t="n">
        <v>2.901873003073586</v>
      </c>
      <c r="AG158" t="n">
        <v>2.866337334258588</v>
      </c>
      <c r="AH158" t="n">
        <v>2.837558991662474</v>
      </c>
      <c r="AI158" t="n">
        <v>2.816541316570174</v>
      </c>
    </row>
    <row r="159">
      <c r="A159" t="inlineStr">
        <is>
          <t>no_year_in_pairs</t>
        </is>
      </c>
      <c r="B159" s="2" t="n"/>
      <c r="C159" s="3" t="inlineStr">
        <is>
          <t>SM.19.158, Sup. 2</t>
        </is>
      </c>
      <c r="D159" s="4" t="inlineStr">
        <is>
          <t>Dominica</t>
        </is>
      </c>
      <c r="E159" s="4" t="inlineStr">
        <is>
          <t>DMA</t>
        </is>
      </c>
      <c r="F159" s="4" t="n"/>
      <c r="G159" s="4" t="inlineStr">
        <is>
          <t>2018gn</t>
        </is>
      </c>
      <c r="H159" s="4" t="n">
        <v>2018</v>
      </c>
      <c r="I159" s="4" t="inlineStr">
        <is>
          <t>new.int.npc2</t>
        </is>
      </c>
      <c r="J159" t="inlineStr">
        <is>
          <t>NPC2</t>
        </is>
      </c>
      <c r="M159" t="n">
        <v>423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</row>
    <row r="160">
      <c r="A160" t="inlineStr">
        <is>
          <t>no_year_in_pairs</t>
        </is>
      </c>
      <c r="B160" s="2" t="n"/>
      <c r="C160" s="3" t="inlineStr">
        <is>
          <t>SM.19.158, Sup. 2</t>
        </is>
      </c>
      <c r="D160" s="4" t="inlineStr">
        <is>
          <t>Dominica</t>
        </is>
      </c>
      <c r="E160" s="4" t="inlineStr">
        <is>
          <t>DMA</t>
        </is>
      </c>
      <c r="F160" s="4" t="n"/>
      <c r="G160" s="4" t="inlineStr">
        <is>
          <t>2018gn</t>
        </is>
      </c>
      <c r="H160" s="4" t="n">
        <v>2018</v>
      </c>
      <c r="I160" s="4" t="inlineStr">
        <is>
          <t>new.int.npc3</t>
        </is>
      </c>
      <c r="J160" t="inlineStr">
        <is>
          <t>NPC3</t>
        </is>
      </c>
      <c r="M160" t="n">
        <v>449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</row>
    <row r="161">
      <c r="A161" t="inlineStr">
        <is>
          <t>no_year_in_pairs</t>
        </is>
      </c>
      <c r="B161" s="2" t="n"/>
      <c r="C161" s="3" t="inlineStr">
        <is>
          <t>SM.19.158, Sup. 2</t>
        </is>
      </c>
      <c r="D161" s="4" t="inlineStr">
        <is>
          <t>Dominica</t>
        </is>
      </c>
      <c r="E161" s="4" t="inlineStr">
        <is>
          <t>DMA</t>
        </is>
      </c>
      <c r="F161" s="4" t="n"/>
      <c r="G161" s="4" t="inlineStr">
        <is>
          <t>2018gn</t>
        </is>
      </c>
      <c r="H161" s="4" t="n">
        <v>2018</v>
      </c>
      <c r="I161" s="4" t="inlineStr">
        <is>
          <t>new.int.npc4</t>
        </is>
      </c>
      <c r="J161" t="inlineStr">
        <is>
          <t>NPC4</t>
        </is>
      </c>
      <c r="M161" t="n">
        <v>475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</row>
    <row r="162">
      <c r="A162" t="inlineStr">
        <is>
          <t>no_year_in_pairs</t>
        </is>
      </c>
      <c r="B162" s="2" t="n"/>
      <c r="C162" s="3" t="inlineStr">
        <is>
          <t>SM.19.158, Sup. 2</t>
        </is>
      </c>
      <c r="D162" s="4" t="inlineStr">
        <is>
          <t>Dominica</t>
        </is>
      </c>
      <c r="E162" s="4" t="inlineStr">
        <is>
          <t>DMA</t>
        </is>
      </c>
      <c r="F162" s="4" t="n"/>
      <c r="G162" s="4" t="inlineStr">
        <is>
          <t>2018gn</t>
        </is>
      </c>
      <c r="H162" s="4" t="n">
        <v>2018</v>
      </c>
      <c r="I162" s="4" t="inlineStr">
        <is>
          <t>new.int.npc5</t>
        </is>
      </c>
      <c r="J162" t="inlineStr">
        <is>
          <t>NPC5</t>
        </is>
      </c>
      <c r="M162" t="n">
        <v>501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</row>
    <row r="163">
      <c r="A163" t="inlineStr">
        <is>
          <t>no_year_in_pairs</t>
        </is>
      </c>
      <c r="B163" s="2" t="n"/>
      <c r="C163" s="3" t="inlineStr">
        <is>
          <t>SM.19.158, Sup. 2</t>
        </is>
      </c>
      <c r="D163" s="4" t="inlineStr">
        <is>
          <t>Dominica</t>
        </is>
      </c>
      <c r="E163" s="4" t="inlineStr">
        <is>
          <t>DMA</t>
        </is>
      </c>
      <c r="F163" s="4" t="n"/>
      <c r="G163" s="4" t="inlineStr">
        <is>
          <t>2018gn</t>
        </is>
      </c>
      <c r="H163" s="4" t="n">
        <v>2018</v>
      </c>
      <c r="I163" s="4" t="inlineStr">
        <is>
          <t>new.int.prvt</t>
        </is>
      </c>
      <c r="J163" t="inlineStr">
        <is>
          <t>Commercial</t>
        </is>
      </c>
      <c r="O163" t="n">
        <v>0</v>
      </c>
      <c r="P163" t="n">
        <v>0.9684490916210983</v>
      </c>
      <c r="Q163" t="n">
        <v>1.522598977366133</v>
      </c>
      <c r="R163" t="n">
        <v>2.616312488437356</v>
      </c>
      <c r="S163" t="n">
        <v>3.236483560710657</v>
      </c>
      <c r="T163" t="n">
        <v>3.838632987253345</v>
      </c>
      <c r="U163" t="n">
        <v>4.448038671188929</v>
      </c>
      <c r="V163" t="n">
        <v>4.985511235532686</v>
      </c>
      <c r="W163" t="n">
        <v>5.596735513946444</v>
      </c>
      <c r="X163" t="n">
        <v>6.237741917755367</v>
      </c>
      <c r="Y163" t="n">
        <v>6.958130362599467</v>
      </c>
      <c r="Z163" t="n">
        <v>7.770533210269449</v>
      </c>
      <c r="AA163" t="n">
        <v>8.515197308667469</v>
      </c>
      <c r="AB163" t="n">
        <v>9.313295843658796</v>
      </c>
      <c r="AC163" t="n">
        <v>10.0622423574182</v>
      </c>
      <c r="AD163" t="n">
        <v>10.7423595809206</v>
      </c>
      <c r="AE163" t="n">
        <v>9.301689051148038</v>
      </c>
      <c r="AF163" t="n">
        <v>9.986412968272631</v>
      </c>
      <c r="AG163" t="n">
        <v>10.68486124650574</v>
      </c>
      <c r="AH163" t="n">
        <v>11.39787730673107</v>
      </c>
      <c r="AI163" t="n">
        <v>12.21166099921151</v>
      </c>
      <c r="BI163" t="inlineStr">
        <is>
          <t>NEW_DS_I_COM</t>
        </is>
      </c>
    </row>
    <row r="164">
      <c r="A164" t="inlineStr">
        <is>
          <t>no_year_in_pairs</t>
        </is>
      </c>
      <c r="B164" s="2" t="n"/>
      <c r="C164" s="3" t="inlineStr">
        <is>
          <t>SM.19.158, Sup. 2</t>
        </is>
      </c>
      <c r="D164" s="4" t="inlineStr">
        <is>
          <t>Dominica</t>
        </is>
      </c>
      <c r="E164" s="4" t="inlineStr">
        <is>
          <t>DMA</t>
        </is>
      </c>
      <c r="F164" s="4" t="n"/>
      <c r="G164" s="4" t="inlineStr">
        <is>
          <t>2018gn</t>
        </is>
      </c>
      <c r="H164" s="4" t="n">
        <v>2018</v>
      </c>
      <c r="I164" s="4" t="inlineStr">
        <is>
          <t>new.int.prvt.bnd</t>
        </is>
      </c>
      <c r="J164" t="inlineStr">
        <is>
          <t>Eurobond</t>
        </is>
      </c>
      <c r="M164" t="n">
        <v>527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</row>
    <row r="165">
      <c r="A165" t="inlineStr">
        <is>
          <t>no_year_in_pairs</t>
        </is>
      </c>
      <c r="B165" s="2" t="n"/>
      <c r="C165" s="3" t="inlineStr">
        <is>
          <t>SM.19.158, Sup. 2</t>
        </is>
      </c>
      <c r="D165" s="4" t="inlineStr">
        <is>
          <t>Dominica</t>
        </is>
      </c>
      <c r="E165" s="4" t="inlineStr">
        <is>
          <t>DMA</t>
        </is>
      </c>
      <c r="F165" s="4" t="n"/>
      <c r="G165" s="4" t="inlineStr">
        <is>
          <t>2018gn</t>
        </is>
      </c>
      <c r="H165" s="4" t="n">
        <v>2018</v>
      </c>
      <c r="I165" s="4" t="inlineStr">
        <is>
          <t>new.int.prvt.cmbk</t>
        </is>
      </c>
      <c r="J165" t="inlineStr">
        <is>
          <t>Commecial Bank</t>
        </is>
      </c>
      <c r="M165" t="n">
        <v>553</v>
      </c>
      <c r="O165" t="n">
        <v>0</v>
      </c>
      <c r="P165" t="n">
        <v>0.2460647485874615</v>
      </c>
      <c r="Q165" t="n">
        <v>0.269684916018481</v>
      </c>
      <c r="R165" t="n">
        <v>0.8088440096738401</v>
      </c>
      <c r="S165" t="n">
        <v>0.3843674073750595</v>
      </c>
      <c r="T165" t="n">
        <v>0.4385626615507559</v>
      </c>
      <c r="U165" t="n">
        <v>0.5031476352010547</v>
      </c>
      <c r="V165" t="n">
        <v>0.4537040524441446</v>
      </c>
      <c r="W165" t="n">
        <v>0.5263374895367445</v>
      </c>
      <c r="X165" t="n">
        <v>0.474038443988773</v>
      </c>
      <c r="Y165" t="n">
        <v>0.4699817873749226</v>
      </c>
      <c r="Z165" t="n">
        <v>0.4961002986697199</v>
      </c>
      <c r="AA165" t="n">
        <v>0.5247369780959495</v>
      </c>
      <c r="AB165" t="n">
        <v>0.5555384336190493</v>
      </c>
      <c r="AC165" t="n">
        <v>0.5760206830027693</v>
      </c>
      <c r="AD165" t="n">
        <v>0.5411667239945196</v>
      </c>
      <c r="AE165" t="n">
        <v>0.5319566703448143</v>
      </c>
      <c r="AF165" t="n">
        <v>0.5560709492004697</v>
      </c>
      <c r="AG165" t="n">
        <v>0.5764852505742394</v>
      </c>
      <c r="AH165" t="n">
        <v>0.5982365184636198</v>
      </c>
      <c r="AI165" t="n">
        <v>0.6206724003181704</v>
      </c>
    </row>
    <row r="166">
      <c r="A166" t="inlineStr">
        <is>
          <t>no_year_in_pairs</t>
        </is>
      </c>
      <c r="B166" s="2" t="n"/>
      <c r="C166" s="3" t="inlineStr">
        <is>
          <t>SM.19.158, Sup. 2</t>
        </is>
      </c>
      <c r="D166" s="4" t="inlineStr">
        <is>
          <t>Dominica</t>
        </is>
      </c>
      <c r="E166" s="4" t="inlineStr">
        <is>
          <t>DMA</t>
        </is>
      </c>
      <c r="F166" s="4" t="n"/>
      <c r="G166" s="4" t="inlineStr">
        <is>
          <t>2018gn</t>
        </is>
      </c>
      <c r="H166" s="4" t="n">
        <v>2018</v>
      </c>
      <c r="I166" s="4" t="inlineStr">
        <is>
          <t>new.int.prvt.com3</t>
        </is>
      </c>
      <c r="J166" t="inlineStr">
        <is>
          <t>COM3</t>
        </is>
      </c>
      <c r="M166" t="n">
        <v>579</v>
      </c>
      <c r="O166" t="n">
        <v>0</v>
      </c>
      <c r="P166" t="n">
        <v>0.7223843430336367</v>
      </c>
      <c r="Q166" t="n">
        <v>1.252914061347652</v>
      </c>
      <c r="R166" t="n">
        <v>1.807468478763516</v>
      </c>
      <c r="S166" t="n">
        <v>2.852116153335597</v>
      </c>
      <c r="T166" t="n">
        <v>3.400070325702589</v>
      </c>
      <c r="U166" t="n">
        <v>3.944891035987874</v>
      </c>
      <c r="V166" t="n">
        <v>4.531807183088541</v>
      </c>
      <c r="W166" t="n">
        <v>5.0703980244097</v>
      </c>
      <c r="X166" t="n">
        <v>5.763703473766594</v>
      </c>
      <c r="Y166" t="n">
        <v>6.488148575224544</v>
      </c>
      <c r="Z166" t="n">
        <v>7.274432911599729</v>
      </c>
      <c r="AA166" t="n">
        <v>7.99046033057152</v>
      </c>
      <c r="AB166" t="n">
        <v>8.757757410039748</v>
      </c>
      <c r="AC166" t="n">
        <v>9.486221674415431</v>
      </c>
      <c r="AD166" t="n">
        <v>10.20119285692608</v>
      </c>
      <c r="AE166" t="n">
        <v>8.769732380803225</v>
      </c>
      <c r="AF166" t="n">
        <v>9.430342019072162</v>
      </c>
      <c r="AG166" t="n">
        <v>10.1083759959315</v>
      </c>
      <c r="AH166" t="n">
        <v>10.79964078826745</v>
      </c>
      <c r="AI166" t="n">
        <v>11.59098859889334</v>
      </c>
    </row>
    <row r="167">
      <c r="A167" t="inlineStr">
        <is>
          <t>no_year_in_pairs</t>
        </is>
      </c>
      <c r="B167" s="2" t="n"/>
      <c r="C167" s="3" t="inlineStr">
        <is>
          <t>SM.19.158, Sup. 2</t>
        </is>
      </c>
      <c r="D167" s="4" t="inlineStr">
        <is>
          <t>Dominica</t>
        </is>
      </c>
      <c r="E167" s="4" t="inlineStr">
        <is>
          <t>DMA</t>
        </is>
      </c>
      <c r="F167" s="4" t="n"/>
      <c r="G167" s="4" t="inlineStr">
        <is>
          <t>2018gn</t>
        </is>
      </c>
      <c r="H167" s="4" t="n">
        <v>2018</v>
      </c>
      <c r="I167" s="4" t="inlineStr">
        <is>
          <t>new.int.prvt.com4</t>
        </is>
      </c>
      <c r="J167" t="inlineStr">
        <is>
          <t>COM4</t>
        </is>
      </c>
      <c r="M167" t="n">
        <v>605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</row>
    <row r="168">
      <c r="A168" t="inlineStr">
        <is>
          <t>no_year_in_pairs</t>
        </is>
      </c>
      <c r="B168" s="2" t="n"/>
      <c r="C168" s="3" t="inlineStr">
        <is>
          <t>SM.19.158, Sup. 2</t>
        </is>
      </c>
      <c r="D168" s="4" t="inlineStr">
        <is>
          <t>Dominica</t>
        </is>
      </c>
      <c r="E168" s="4" t="inlineStr">
        <is>
          <t>DMA</t>
        </is>
      </c>
      <c r="F168" s="4" t="n"/>
      <c r="G168" s="4" t="inlineStr">
        <is>
          <t>2018gn</t>
        </is>
      </c>
      <c r="H168" s="4" t="n">
        <v>2018</v>
      </c>
      <c r="I168" s="4" t="inlineStr">
        <is>
          <t>new.int.prvt.com5</t>
        </is>
      </c>
      <c r="J168" t="inlineStr">
        <is>
          <t>COM5</t>
        </is>
      </c>
      <c r="M168" t="n">
        <v>631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</row>
    <row r="169">
      <c r="A169" t="inlineStr">
        <is>
          <t>no_year_in_pairs</t>
        </is>
      </c>
      <c r="B169" s="2" t="n"/>
      <c r="C169" s="3" t="inlineStr">
        <is>
          <t>SM.19.158, Sup. 2</t>
        </is>
      </c>
      <c r="D169" s="4" t="inlineStr">
        <is>
          <t>Dominica</t>
        </is>
      </c>
      <c r="E169" s="4" t="inlineStr">
        <is>
          <t>DMA</t>
        </is>
      </c>
      <c r="F169" s="4" t="n"/>
      <c r="G169" s="4" t="inlineStr">
        <is>
          <t>2018gn</t>
        </is>
      </c>
      <c r="H169" s="4" t="n">
        <v>2018</v>
      </c>
      <c r="I169" s="4" t="inlineStr">
        <is>
          <t>new.int.lcl.nres</t>
        </is>
      </c>
      <c r="J169" t="inlineStr">
        <is>
          <t>Locally-issued debt held by non-residents</t>
        </is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</row>
    <row r="170">
      <c r="A170" t="inlineStr">
        <is>
          <t>no_year_in_pairs</t>
        </is>
      </c>
      <c r="B170" s="2" t="n"/>
      <c r="C170" s="3" t="inlineStr">
        <is>
          <t>SM.19.158, Sup. 2</t>
        </is>
      </c>
      <c r="D170" s="4" t="inlineStr">
        <is>
          <t>Dominica</t>
        </is>
      </c>
      <c r="E170" s="4" t="inlineStr">
        <is>
          <t>DMA</t>
        </is>
      </c>
      <c r="F170" s="4" t="n"/>
      <c r="G170" s="4" t="inlineStr">
        <is>
          <t>2018gn</t>
        </is>
      </c>
      <c r="H170" s="4" t="n">
        <v>2018</v>
      </c>
      <c r="I170" s="4" t="inlineStr">
        <is>
          <t>new.int.lcl.nres.lc</t>
        </is>
      </c>
      <c r="J170" t="inlineStr">
        <is>
          <t>Denominated in local currency (LC)</t>
        </is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</row>
    <row r="171">
      <c r="A171" t="inlineStr">
        <is>
          <t>no_year_in_pairs</t>
        </is>
      </c>
      <c r="B171" s="2" t="n"/>
      <c r="C171" s="3" t="inlineStr">
        <is>
          <t>SM.19.158, Sup. 2</t>
        </is>
      </c>
      <c r="D171" s="4" t="inlineStr">
        <is>
          <t>Dominica</t>
        </is>
      </c>
      <c r="E171" s="4" t="inlineStr">
        <is>
          <t>DMA</t>
        </is>
      </c>
      <c r="F171" s="4" t="n"/>
      <c r="G171" s="4" t="inlineStr">
        <is>
          <t>2018gn</t>
        </is>
      </c>
      <c r="H171" s="4" t="n">
        <v>2018</v>
      </c>
      <c r="I171" s="4" t="inlineStr">
        <is>
          <t>new.int.lcl.nres.bnd.1to3.lc</t>
        </is>
      </c>
      <c r="J171" t="inlineStr">
        <is>
          <t>Bonds (1 to 3 years)-LC</t>
        </is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</row>
    <row r="172">
      <c r="A172" t="inlineStr">
        <is>
          <t>no_year_in_pairs</t>
        </is>
      </c>
      <c r="B172" s="2" t="n"/>
      <c r="C172" s="3" t="inlineStr">
        <is>
          <t>SM.19.158, Sup. 2</t>
        </is>
      </c>
      <c r="D172" s="4" t="inlineStr">
        <is>
          <t>Dominica</t>
        </is>
      </c>
      <c r="E172" s="4" t="inlineStr">
        <is>
          <t>DMA</t>
        </is>
      </c>
      <c r="F172" s="4" t="n"/>
      <c r="G172" s="4" t="inlineStr">
        <is>
          <t>2018gn</t>
        </is>
      </c>
      <c r="H172" s="4" t="n">
        <v>2018</v>
      </c>
      <c r="I172" s="4" t="inlineStr">
        <is>
          <t>new.int.lcl.nres.bnd.4to7.lc</t>
        </is>
      </c>
      <c r="J172" t="inlineStr">
        <is>
          <t>Bonds (4 to 7 years)-LC</t>
        </is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</row>
    <row r="173">
      <c r="A173" t="inlineStr">
        <is>
          <t>no_year_in_pairs</t>
        </is>
      </c>
      <c r="B173" s="2" t="n"/>
      <c r="C173" s="3" t="inlineStr">
        <is>
          <t>SM.19.158, Sup. 2</t>
        </is>
      </c>
      <c r="D173" s="4" t="inlineStr">
        <is>
          <t>Dominica</t>
        </is>
      </c>
      <c r="E173" s="4" t="inlineStr">
        <is>
          <t>DMA</t>
        </is>
      </c>
      <c r="F173" s="4" t="n"/>
      <c r="G173" s="4" t="inlineStr">
        <is>
          <t>2018gn</t>
        </is>
      </c>
      <c r="H173" s="4" t="n">
        <v>2018</v>
      </c>
      <c r="I173" s="4" t="inlineStr">
        <is>
          <t>new.int.lcl.nres.bnd.byd7.lc</t>
        </is>
      </c>
      <c r="J173" t="inlineStr">
        <is>
          <t>Bonds (beyond 7 years)-LC</t>
        </is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</row>
    <row r="174">
      <c r="A174" t="inlineStr">
        <is>
          <t>no_year_in_pairs</t>
        </is>
      </c>
      <c r="B174" s="2" t="n"/>
      <c r="C174" s="3" t="inlineStr">
        <is>
          <t>SM.19.158, Sup. 2</t>
        </is>
      </c>
      <c r="D174" s="4" t="inlineStr">
        <is>
          <t>Dominica</t>
        </is>
      </c>
      <c r="E174" s="4" t="inlineStr">
        <is>
          <t>DMA</t>
        </is>
      </c>
      <c r="F174" s="4" t="n"/>
      <c r="G174" s="4" t="inlineStr">
        <is>
          <t>2018gn</t>
        </is>
      </c>
      <c r="H174" s="4" t="n">
        <v>2018</v>
      </c>
      <c r="I174" s="4" t="inlineStr">
        <is>
          <t>new.int.lcl.nres.fx</t>
        </is>
      </c>
      <c r="J174" t="inlineStr">
        <is>
          <t>Denominated in foreign currency (FX)</t>
        </is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</row>
    <row r="175">
      <c r="A175" t="inlineStr">
        <is>
          <t>no_year_in_pairs</t>
        </is>
      </c>
      <c r="B175" s="2" t="n"/>
      <c r="C175" s="3" t="inlineStr">
        <is>
          <t>SM.19.158, Sup. 2</t>
        </is>
      </c>
      <c r="D175" s="4" t="inlineStr">
        <is>
          <t>Dominica</t>
        </is>
      </c>
      <c r="E175" s="4" t="inlineStr">
        <is>
          <t>DMA</t>
        </is>
      </c>
      <c r="F175" s="4" t="n"/>
      <c r="G175" s="4" t="inlineStr">
        <is>
          <t>2018gn</t>
        </is>
      </c>
      <c r="H175" s="4" t="n">
        <v>2018</v>
      </c>
      <c r="I175" s="4" t="inlineStr">
        <is>
          <t>new.int.lcl.nres.bnd.1to3.fx</t>
        </is>
      </c>
      <c r="J175" t="inlineStr">
        <is>
          <t>Bonds (1 to 3 years)-FX</t>
        </is>
      </c>
      <c r="M175" t="n">
        <v>657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</row>
    <row r="176">
      <c r="A176" t="inlineStr">
        <is>
          <t>no_year_in_pairs</t>
        </is>
      </c>
      <c r="B176" s="2" t="n"/>
      <c r="C176" s="3" t="inlineStr">
        <is>
          <t>SM.19.158, Sup. 2</t>
        </is>
      </c>
      <c r="D176" s="4" t="inlineStr">
        <is>
          <t>Dominica</t>
        </is>
      </c>
      <c r="E176" s="4" t="inlineStr">
        <is>
          <t>DMA</t>
        </is>
      </c>
      <c r="F176" s="4" t="n"/>
      <c r="G176" s="4" t="inlineStr">
        <is>
          <t>2018gn</t>
        </is>
      </c>
      <c r="H176" s="4" t="n">
        <v>2018</v>
      </c>
      <c r="I176" s="4" t="inlineStr">
        <is>
          <t>new.int.lcl.nres.bnd.4to7.fx</t>
        </is>
      </c>
      <c r="J176" t="inlineStr">
        <is>
          <t>Bonds (4 to 7 years)-FX</t>
        </is>
      </c>
      <c r="M176" t="n">
        <v>683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</row>
    <row r="177">
      <c r="A177" t="inlineStr">
        <is>
          <t>no_year_in_pairs</t>
        </is>
      </c>
      <c r="B177" s="2" t="n"/>
      <c r="C177" s="3" t="inlineStr">
        <is>
          <t>SM.19.158, Sup. 2</t>
        </is>
      </c>
      <c r="D177" s="4" t="inlineStr">
        <is>
          <t>Dominica</t>
        </is>
      </c>
      <c r="E177" s="4" t="inlineStr">
        <is>
          <t>DMA</t>
        </is>
      </c>
      <c r="F177" s="4" t="n"/>
      <c r="G177" s="4" t="inlineStr">
        <is>
          <t>2018gn</t>
        </is>
      </c>
      <c r="H177" s="4" t="n">
        <v>2018</v>
      </c>
      <c r="I177" s="4" t="inlineStr">
        <is>
          <t>new.int.lcl.nres.bnd.byd7.fx</t>
        </is>
      </c>
      <c r="J177" t="inlineStr">
        <is>
          <t>Bonds (beyond 7 years)-FX</t>
        </is>
      </c>
      <c r="M177" t="n">
        <v>709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</row>
    <row r="178">
      <c r="A178" t="inlineStr">
        <is>
          <t>no_year_in_pairs</t>
        </is>
      </c>
      <c r="B178" s="2" t="n"/>
      <c r="C178" s="3" t="inlineStr">
        <is>
          <t>SM.19.158, Sup. 2</t>
        </is>
      </c>
      <c r="D178" s="4" t="inlineStr">
        <is>
          <t>Dominica</t>
        </is>
      </c>
      <c r="E178" s="4" t="inlineStr">
        <is>
          <t>DMA</t>
        </is>
      </c>
      <c r="F178" s="4" t="n"/>
      <c r="G178" s="4" t="inlineStr">
        <is>
          <t>2018gn</t>
        </is>
      </c>
      <c r="H178" s="4" t="n">
        <v>2018</v>
      </c>
      <c r="I178" s="5" t="n"/>
      <c r="J178" t="inlineStr">
        <is>
          <t>Locally-issued debt held by residents</t>
        </is>
      </c>
    </row>
    <row r="179">
      <c r="A179" t="inlineStr">
        <is>
          <t>no_year_in_pairs</t>
        </is>
      </c>
      <c r="B179" s="2" t="n"/>
      <c r="C179" s="3" t="inlineStr">
        <is>
          <t>SM.19.158, Sup. 2</t>
        </is>
      </c>
      <c r="D179" s="4" t="inlineStr">
        <is>
          <t>Dominica</t>
        </is>
      </c>
      <c r="E179" s="4" t="inlineStr">
        <is>
          <t>DMA</t>
        </is>
      </c>
      <c r="F179" s="4" t="n"/>
      <c r="G179" s="4" t="inlineStr">
        <is>
          <t>2018gn</t>
        </is>
      </c>
      <c r="H179" s="4" t="n">
        <v>2018</v>
      </c>
      <c r="I179" s="4" t="inlineStr">
        <is>
          <t>new.int.lcl.fx</t>
        </is>
      </c>
      <c r="J179" t="inlineStr">
        <is>
          <t>Denominated in foreign currency (FX)</t>
        </is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</row>
    <row r="180">
      <c r="A180" t="inlineStr">
        <is>
          <t>no_year_in_pairs</t>
        </is>
      </c>
      <c r="B180" s="2" t="n"/>
      <c r="C180" s="3" t="inlineStr">
        <is>
          <t>SM.19.158, Sup. 2</t>
        </is>
      </c>
      <c r="D180" s="4" t="inlineStr">
        <is>
          <t>Dominica</t>
        </is>
      </c>
      <c r="E180" s="4" t="inlineStr">
        <is>
          <t>DMA</t>
        </is>
      </c>
      <c r="F180" s="4" t="n"/>
      <c r="G180" s="4" t="inlineStr">
        <is>
          <t>2018gn</t>
        </is>
      </c>
      <c r="H180" s="4" t="n">
        <v>2018</v>
      </c>
      <c r="I180" s="4" t="inlineStr">
        <is>
          <t>new.int.lcl.fx.bnd.1to3.fx</t>
        </is>
      </c>
      <c r="J180" t="inlineStr">
        <is>
          <t>Bonds (1 to 3 years)-FX</t>
        </is>
      </c>
      <c r="M180" t="n">
        <v>735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</row>
    <row r="181">
      <c r="A181" t="inlineStr">
        <is>
          <t>no_year_in_pairs</t>
        </is>
      </c>
      <c r="B181" s="2" t="n"/>
      <c r="C181" s="3" t="inlineStr">
        <is>
          <t>SM.19.158, Sup. 2</t>
        </is>
      </c>
      <c r="D181" s="4" t="inlineStr">
        <is>
          <t>Dominica</t>
        </is>
      </c>
      <c r="E181" s="4" t="inlineStr">
        <is>
          <t>DMA</t>
        </is>
      </c>
      <c r="F181" s="4" t="n"/>
      <c r="G181" s="4" t="inlineStr">
        <is>
          <t>2018gn</t>
        </is>
      </c>
      <c r="H181" s="4" t="n">
        <v>2018</v>
      </c>
      <c r="I181" s="4" t="inlineStr">
        <is>
          <t>new.int.lcl.fx.bnd.4to7.fx</t>
        </is>
      </c>
      <c r="J181" t="inlineStr">
        <is>
          <t>Bonds (4 to 7 years)-FX</t>
        </is>
      </c>
      <c r="M181" t="n">
        <v>761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</row>
    <row r="182">
      <c r="A182" t="inlineStr">
        <is>
          <t>no_year_in_pairs</t>
        </is>
      </c>
      <c r="B182" s="2" t="n"/>
      <c r="C182" s="3" t="inlineStr">
        <is>
          <t>SM.19.158, Sup. 2</t>
        </is>
      </c>
      <c r="D182" s="4" t="inlineStr">
        <is>
          <t>Dominica</t>
        </is>
      </c>
      <c r="E182" s="4" t="inlineStr">
        <is>
          <t>DMA</t>
        </is>
      </c>
      <c r="F182" s="4" t="n"/>
      <c r="G182" s="4" t="inlineStr">
        <is>
          <t>2018gn</t>
        </is>
      </c>
      <c r="H182" s="4" t="n">
        <v>2018</v>
      </c>
      <c r="I182" s="4" t="inlineStr">
        <is>
          <t>new.int.lcl.fx.bnd.byd7.fx</t>
        </is>
      </c>
      <c r="J182" t="inlineStr">
        <is>
          <t>Bonds (beyond 7 years)-FX</t>
        </is>
      </c>
      <c r="M182" t="n">
        <v>787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</row>
    <row r="183">
      <c r="A183" t="inlineStr">
        <is>
          <t>no_year_in_pairs</t>
        </is>
      </c>
      <c r="B183" s="2" t="n"/>
      <c r="C183" s="3" t="inlineStr">
        <is>
          <t>SM.19.158, Sup. 2</t>
        </is>
      </c>
      <c r="D183" s="4" t="inlineStr">
        <is>
          <t>Dominica</t>
        </is>
      </c>
      <c r="E183" s="4" t="inlineStr">
        <is>
          <t>DMA</t>
        </is>
      </c>
      <c r="F183" s="4" t="n"/>
      <c r="G183" s="4" t="inlineStr">
        <is>
          <t>2018gn</t>
        </is>
      </c>
      <c r="H183" s="4" t="n">
        <v>2018</v>
      </c>
      <c r="I183" s="5" t="n"/>
    </row>
    <row r="184">
      <c r="A184" t="inlineStr">
        <is>
          <t>no_year_in_pairs</t>
        </is>
      </c>
      <c r="B184" s="2" t="n"/>
      <c r="C184" s="3" t="inlineStr">
        <is>
          <t>SM.19.158, Sup. 2</t>
        </is>
      </c>
      <c r="D184" s="4" t="inlineStr">
        <is>
          <t>Dominica</t>
        </is>
      </c>
      <c r="E184" s="4" t="inlineStr">
        <is>
          <t>DMA</t>
        </is>
      </c>
      <c r="F184" s="4" t="n"/>
      <c r="G184" s="4" t="inlineStr">
        <is>
          <t>2018gn</t>
        </is>
      </c>
      <c r="H184" s="4" t="n">
        <v>2018</v>
      </c>
      <c r="I184" s="4" t="inlineStr">
        <is>
          <t>new.amt</t>
        </is>
      </c>
      <c r="J184" t="inlineStr">
        <is>
          <t>Amortization</t>
        </is>
      </c>
      <c r="M184" t="n">
        <v>1</v>
      </c>
      <c r="O184" t="n">
        <v>0</v>
      </c>
      <c r="P184" t="n">
        <v>19.36898183242197</v>
      </c>
      <c r="Q184" t="n">
        <v>30.45197954732266</v>
      </c>
      <c r="R184" t="n">
        <v>52.32624976874712</v>
      </c>
      <c r="S184" t="n">
        <v>64.72967121421314</v>
      </c>
      <c r="T184" t="n">
        <v>76.7726597450669</v>
      </c>
      <c r="U184" t="n">
        <v>92.83846069427301</v>
      </c>
      <c r="V184" t="n">
        <v>105.7466462037275</v>
      </c>
      <c r="W184" t="n">
        <v>121.8478588266984</v>
      </c>
      <c r="X184" t="n">
        <v>137.980487114024</v>
      </c>
      <c r="Y184" t="n">
        <v>155.1445450465386</v>
      </c>
      <c r="Z184" t="n">
        <v>170.8730374343114</v>
      </c>
      <c r="AA184" t="n">
        <v>187.5944044151077</v>
      </c>
      <c r="AB184" t="n">
        <v>203.5294503639491</v>
      </c>
      <c r="AC184" t="n">
        <v>219.1756710640604</v>
      </c>
      <c r="AD184" t="n">
        <v>233.4540047904563</v>
      </c>
      <c r="AE184" t="n">
        <v>205.575394262232</v>
      </c>
      <c r="AF184" t="n">
        <v>220.372374226699</v>
      </c>
      <c r="AG184" t="n">
        <v>235.6206499664834</v>
      </c>
      <c r="AH184" t="n">
        <v>251.1789244442165</v>
      </c>
      <c r="AI184" t="n">
        <v>268.4434902070735</v>
      </c>
      <c r="BI184" t="inlineStr">
        <is>
          <t>NEW_DP_TOT</t>
        </is>
      </c>
    </row>
    <row r="185">
      <c r="A185" t="inlineStr">
        <is>
          <t>no_year_in_pairs</t>
        </is>
      </c>
      <c r="B185" s="2" t="n"/>
      <c r="C185" s="3" t="inlineStr">
        <is>
          <t>SM.19.158, Sup. 2</t>
        </is>
      </c>
      <c r="D185" s="4" t="inlineStr">
        <is>
          <t>Dominica</t>
        </is>
      </c>
      <c r="E185" s="4" t="inlineStr">
        <is>
          <t>DMA</t>
        </is>
      </c>
      <c r="F185" s="4" t="n"/>
      <c r="G185" s="4" t="inlineStr">
        <is>
          <t>2018gn</t>
        </is>
      </c>
      <c r="H185" s="4" t="n">
        <v>2018</v>
      </c>
      <c r="I185" s="4" t="inlineStr">
        <is>
          <t>new.amt.mlt</t>
        </is>
      </c>
      <c r="J185" t="inlineStr">
        <is>
          <t>Multilaterals</t>
        </is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0.5</v>
      </c>
      <c r="V185" t="n">
        <v>1.35</v>
      </c>
      <c r="W185" t="n">
        <v>2.15</v>
      </c>
      <c r="X185" t="n">
        <v>3</v>
      </c>
      <c r="Y185" t="n">
        <v>3.4</v>
      </c>
      <c r="Z185" t="n">
        <v>4.066666666666666</v>
      </c>
      <c r="AA185" t="n">
        <v>5.100000000000001</v>
      </c>
      <c r="AB185" t="n">
        <v>6.150983288782173</v>
      </c>
      <c r="AC185" t="n">
        <v>7.220239584122667</v>
      </c>
      <c r="AD185" t="n">
        <v>8.141747243176798</v>
      </c>
      <c r="AE185" t="n">
        <v>9.100174070124705</v>
      </c>
      <c r="AF185" t="n">
        <v>10.09240078005585</v>
      </c>
      <c r="AG185" t="n">
        <v>11.11965299515551</v>
      </c>
      <c r="AH185" t="n">
        <v>12.18316713167907</v>
      </c>
      <c r="AI185" t="n">
        <v>13.28422320489612</v>
      </c>
      <c r="BI185" t="inlineStr">
        <is>
          <t>NEW_DP_ML</t>
        </is>
      </c>
    </row>
    <row r="186">
      <c r="A186" t="inlineStr">
        <is>
          <t>no_year_in_pairs</t>
        </is>
      </c>
      <c r="B186" s="2" t="n"/>
      <c r="C186" s="3" t="inlineStr">
        <is>
          <t>SM.19.158, Sup. 2</t>
        </is>
      </c>
      <c r="D186" s="4" t="inlineStr">
        <is>
          <t>Dominica</t>
        </is>
      </c>
      <c r="E186" s="4" t="inlineStr">
        <is>
          <t>DMA</t>
        </is>
      </c>
      <c r="F186" s="4" t="n"/>
      <c r="G186" s="4" t="inlineStr">
        <is>
          <t>2018gn</t>
        </is>
      </c>
      <c r="H186" s="4" t="n">
        <v>2018</v>
      </c>
      <c r="I186" s="4" t="inlineStr">
        <is>
          <t>new.amt.mlt.imf</t>
        </is>
      </c>
      <c r="J186" t="inlineStr">
        <is>
          <t>IMF</t>
        </is>
      </c>
      <c r="M186" t="n">
        <v>27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</row>
    <row r="187">
      <c r="A187" t="inlineStr">
        <is>
          <t>no_year_in_pairs</t>
        </is>
      </c>
      <c r="B187" s="2" t="n"/>
      <c r="C187" s="3" t="inlineStr">
        <is>
          <t>SM.19.158, Sup. 2</t>
        </is>
      </c>
      <c r="D187" s="4" t="inlineStr">
        <is>
          <t>Dominica</t>
        </is>
      </c>
      <c r="E187" s="4" t="inlineStr">
        <is>
          <t>DMA</t>
        </is>
      </c>
      <c r="F187" s="4" t="n"/>
      <c r="G187" s="4" t="inlineStr">
        <is>
          <t>2018gn</t>
        </is>
      </c>
      <c r="H187" s="4" t="n">
        <v>2018</v>
      </c>
      <c r="I187" s="4" t="inlineStr">
        <is>
          <t>new.amt.mlt.ida.reg</t>
        </is>
      </c>
      <c r="J187" t="inlineStr">
        <is>
          <t>IDA - small economy</t>
        </is>
      </c>
      <c r="M187" t="n">
        <v>61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0.1666666666666667</v>
      </c>
      <c r="AA187" t="n">
        <v>0.7</v>
      </c>
      <c r="AB187" t="n">
        <v>1.233333333333333</v>
      </c>
      <c r="AC187" t="n">
        <v>1.766666666666667</v>
      </c>
      <c r="AD187" t="n">
        <v>2.133333333333333</v>
      </c>
      <c r="AE187" t="n">
        <v>2.517333333333333</v>
      </c>
      <c r="AF187" t="n">
        <v>2.91485598957219</v>
      </c>
      <c r="AG187" t="n">
        <v>3.32641116015609</v>
      </c>
      <c r="AH187" t="n">
        <v>3.752494198949057</v>
      </c>
      <c r="AI187" t="n">
        <v>4.193617929117194</v>
      </c>
    </row>
    <row r="188">
      <c r="A188" t="inlineStr">
        <is>
          <t>no_year_in_pairs</t>
        </is>
      </c>
      <c r="B188" s="2" t="n"/>
      <c r="C188" s="3" t="inlineStr">
        <is>
          <t>SM.19.158, Sup. 2</t>
        </is>
      </c>
      <c r="D188" s="4" t="inlineStr">
        <is>
          <t>Dominica</t>
        </is>
      </c>
      <c r="E188" s="4" t="inlineStr">
        <is>
          <t>DMA</t>
        </is>
      </c>
      <c r="F188" s="4" t="n"/>
      <c r="G188" s="4" t="inlineStr">
        <is>
          <t>2018gn</t>
        </is>
      </c>
      <c r="H188" s="4" t="n">
        <v>2018</v>
      </c>
      <c r="I188" s="4" t="inlineStr">
        <is>
          <t>new.amt.mlt.ida.bld</t>
        </is>
      </c>
      <c r="J188" t="inlineStr">
        <is>
          <t>IDA - small economy</t>
        </is>
      </c>
      <c r="M188" t="n">
        <v>87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</row>
    <row r="189">
      <c r="A189" t="inlineStr">
        <is>
          <t>no_year_in_pairs</t>
        </is>
      </c>
      <c r="B189" s="2" t="n"/>
      <c r="C189" s="3" t="inlineStr">
        <is>
          <t>SM.19.158, Sup. 2</t>
        </is>
      </c>
      <c r="D189" s="4" t="inlineStr">
        <is>
          <t>Dominica</t>
        </is>
      </c>
      <c r="E189" s="4" t="inlineStr">
        <is>
          <t>DMA</t>
        </is>
      </c>
      <c r="F189" s="4" t="n"/>
      <c r="G189" s="4" t="inlineStr">
        <is>
          <t>2018gn</t>
        </is>
      </c>
      <c r="H189" s="4" t="n">
        <v>2018</v>
      </c>
      <c r="I189" s="4" t="inlineStr">
        <is>
          <t>new.amt.mlt.afdb</t>
        </is>
      </c>
      <c r="J189" t="inlineStr">
        <is>
          <t>CDB</t>
        </is>
      </c>
      <c r="M189" t="n">
        <v>112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0.5</v>
      </c>
      <c r="V189" t="n">
        <v>1.35</v>
      </c>
      <c r="W189" t="n">
        <v>2.15</v>
      </c>
      <c r="X189" t="n">
        <v>3</v>
      </c>
      <c r="Y189" t="n">
        <v>3.4</v>
      </c>
      <c r="Z189" t="n">
        <v>3.9</v>
      </c>
      <c r="AA189" t="n">
        <v>4.4</v>
      </c>
      <c r="AB189" t="n">
        <v>4.91764995544884</v>
      </c>
      <c r="AC189" t="n">
        <v>5.453572917456</v>
      </c>
      <c r="AD189" t="n">
        <v>6.008413909843465</v>
      </c>
      <c r="AE189" t="n">
        <v>6.582840736791371</v>
      </c>
      <c r="AF189" t="n">
        <v>7.177544790483656</v>
      </c>
      <c r="AG189" t="n">
        <v>7.793241834999423</v>
      </c>
      <c r="AH189" t="n">
        <v>8.430672932730008</v>
      </c>
      <c r="AI189" t="n">
        <v>9.090605275778923</v>
      </c>
    </row>
    <row r="190">
      <c r="A190" t="inlineStr">
        <is>
          <t>no_year_in_pairs</t>
        </is>
      </c>
      <c r="B190" s="2" t="n"/>
      <c r="C190" s="3" t="inlineStr">
        <is>
          <t>SM.19.158, Sup. 2</t>
        </is>
      </c>
      <c r="D190" s="4" t="inlineStr">
        <is>
          <t>Dominica</t>
        </is>
      </c>
      <c r="E190" s="4" t="inlineStr">
        <is>
          <t>DMA</t>
        </is>
      </c>
      <c r="F190" s="4" t="n"/>
      <c r="G190" s="4" t="inlineStr">
        <is>
          <t>2018gn</t>
        </is>
      </c>
      <c r="H190" s="4" t="n">
        <v>2018</v>
      </c>
      <c r="I190" s="4" t="inlineStr">
        <is>
          <t>new.amt.mlt2</t>
        </is>
      </c>
      <c r="J190" t="inlineStr">
        <is>
          <t>MULTI2</t>
        </is>
      </c>
      <c r="M190" t="n">
        <v>138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</row>
    <row r="191">
      <c r="A191" t="inlineStr">
        <is>
          <t>no_year_in_pairs</t>
        </is>
      </c>
      <c r="B191" s="2" t="n"/>
      <c r="C191" s="3" t="inlineStr">
        <is>
          <t>SM.19.158, Sup. 2</t>
        </is>
      </c>
      <c r="D191" s="4" t="inlineStr">
        <is>
          <t>Dominica</t>
        </is>
      </c>
      <c r="E191" s="4" t="inlineStr">
        <is>
          <t>DMA</t>
        </is>
      </c>
      <c r="F191" s="4" t="n"/>
      <c r="G191" s="4" t="inlineStr">
        <is>
          <t>2018gn</t>
        </is>
      </c>
      <c r="H191" s="4" t="n">
        <v>2018</v>
      </c>
      <c r="I191" s="4" t="inlineStr">
        <is>
          <t>new.amt.mlt3</t>
        </is>
      </c>
      <c r="J191" t="inlineStr">
        <is>
          <t>MULTI3</t>
        </is>
      </c>
      <c r="M191" t="n">
        <v>164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</row>
    <row r="192">
      <c r="A192" t="inlineStr">
        <is>
          <t>no_year_in_pairs</t>
        </is>
      </c>
      <c r="B192" s="2" t="n"/>
      <c r="C192" s="3" t="inlineStr">
        <is>
          <t>SM.19.158, Sup. 2</t>
        </is>
      </c>
      <c r="D192" s="4" t="inlineStr">
        <is>
          <t>Dominica</t>
        </is>
      </c>
      <c r="E192" s="4" t="inlineStr">
        <is>
          <t>DMA</t>
        </is>
      </c>
      <c r="F192" s="4" t="n"/>
      <c r="G192" s="4" t="inlineStr">
        <is>
          <t>2018gn</t>
        </is>
      </c>
      <c r="H192" s="4" t="n">
        <v>2018</v>
      </c>
      <c r="I192" s="4" t="inlineStr">
        <is>
          <t>new.amt.mlt.oth</t>
        </is>
      </c>
      <c r="J192" t="inlineStr">
        <is>
          <t>Other Multilaterals</t>
        </is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</row>
    <row r="193">
      <c r="A193" t="inlineStr">
        <is>
          <t>no_year_in_pairs</t>
        </is>
      </c>
      <c r="B193" s="2" t="n"/>
      <c r="C193" s="3" t="inlineStr">
        <is>
          <t>SM.19.158, Sup. 2</t>
        </is>
      </c>
      <c r="D193" s="4" t="inlineStr">
        <is>
          <t>Dominica</t>
        </is>
      </c>
      <c r="E193" s="4" t="inlineStr">
        <is>
          <t>DMA</t>
        </is>
      </c>
      <c r="F193" s="4" t="n"/>
      <c r="G193" s="4" t="inlineStr">
        <is>
          <t>2018gn</t>
        </is>
      </c>
      <c r="H193" s="4" t="n">
        <v>2018</v>
      </c>
      <c r="I193" s="4" t="inlineStr">
        <is>
          <t>new.amt.mlt.oth1</t>
        </is>
      </c>
      <c r="J193" t="inlineStr">
        <is>
          <t>OTH_MULTI1</t>
        </is>
      </c>
      <c r="M193" t="n">
        <v>190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</row>
    <row r="194">
      <c r="A194" t="inlineStr">
        <is>
          <t>no_year_in_pairs</t>
        </is>
      </c>
      <c r="B194" s="2" t="n"/>
      <c r="C194" s="3" t="inlineStr">
        <is>
          <t>SM.19.158, Sup. 2</t>
        </is>
      </c>
      <c r="D194" s="4" t="inlineStr">
        <is>
          <t>Dominica</t>
        </is>
      </c>
      <c r="E194" s="4" t="inlineStr">
        <is>
          <t>DMA</t>
        </is>
      </c>
      <c r="F194" s="4" t="n"/>
      <c r="G194" s="4" t="inlineStr">
        <is>
          <t>2018gn</t>
        </is>
      </c>
      <c r="H194" s="4" t="n">
        <v>2018</v>
      </c>
      <c r="I194" s="4" t="inlineStr">
        <is>
          <t>new.amt.mlt.oth2</t>
        </is>
      </c>
      <c r="J194" t="inlineStr">
        <is>
          <t>OTH_MULTI2</t>
        </is>
      </c>
      <c r="M194" t="n">
        <v>216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</row>
    <row r="195">
      <c r="A195" t="inlineStr">
        <is>
          <t>no_year_in_pairs</t>
        </is>
      </c>
      <c r="B195" s="2" t="n"/>
      <c r="C195" s="3" t="inlineStr">
        <is>
          <t>SM.19.158, Sup. 2</t>
        </is>
      </c>
      <c r="D195" s="4" t="inlineStr">
        <is>
          <t>Dominica</t>
        </is>
      </c>
      <c r="E195" s="4" t="inlineStr">
        <is>
          <t>DMA</t>
        </is>
      </c>
      <c r="F195" s="4" t="n"/>
      <c r="G195" s="4" t="inlineStr">
        <is>
          <t>2018gn</t>
        </is>
      </c>
      <c r="H195" s="4" t="n">
        <v>2018</v>
      </c>
      <c r="I195" s="4" t="inlineStr">
        <is>
          <t>new.amt.mlt.oth3</t>
        </is>
      </c>
      <c r="J195" t="inlineStr">
        <is>
          <t>OTH_MULTI3</t>
        </is>
      </c>
      <c r="M195" t="n">
        <v>242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</row>
    <row r="196">
      <c r="A196" t="inlineStr">
        <is>
          <t>no_year_in_pairs</t>
        </is>
      </c>
      <c r="B196" s="2" t="n"/>
      <c r="C196" s="3" t="inlineStr">
        <is>
          <t>SM.19.158, Sup. 2</t>
        </is>
      </c>
      <c r="D196" s="4" t="inlineStr">
        <is>
          <t>Dominica</t>
        </is>
      </c>
      <c r="E196" s="4" t="inlineStr">
        <is>
          <t>DMA</t>
        </is>
      </c>
      <c r="F196" s="4" t="n"/>
      <c r="G196" s="4" t="inlineStr">
        <is>
          <t>2018gn</t>
        </is>
      </c>
      <c r="H196" s="4" t="n">
        <v>2018</v>
      </c>
      <c r="I196" s="4" t="inlineStr">
        <is>
          <t>new.amt.blt</t>
        </is>
      </c>
      <c r="J196" t="inlineStr">
        <is>
          <t>Official Bilaterals</t>
        </is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3.3776872704944</v>
      </c>
      <c r="V196" t="n">
        <v>4.686421493073718</v>
      </c>
      <c r="W196" t="n">
        <v>7.763148547769438</v>
      </c>
      <c r="X196" t="n">
        <v>10.22564875891662</v>
      </c>
      <c r="Y196" t="n">
        <v>12.58193779454928</v>
      </c>
      <c r="Z196" t="n">
        <v>11.39570656225574</v>
      </c>
      <c r="AA196" t="n">
        <v>12.19045824175834</v>
      </c>
      <c r="AB196" t="n">
        <v>11.11255020199102</v>
      </c>
      <c r="AC196" t="n">
        <v>10.71058433157382</v>
      </c>
      <c r="AD196" t="n">
        <v>10.46506592886746</v>
      </c>
      <c r="AE196" t="n">
        <v>10.44143916914652</v>
      </c>
      <c r="AF196" t="n">
        <v>10.55171408119062</v>
      </c>
      <c r="AG196" t="n">
        <v>10.80377204121336</v>
      </c>
      <c r="AH196" t="n">
        <v>11.03821117791656</v>
      </c>
      <c r="AI196" t="n">
        <v>10.9260470179476</v>
      </c>
      <c r="BI196" t="inlineStr">
        <is>
          <t>NEW_DP_OB</t>
        </is>
      </c>
    </row>
    <row r="197">
      <c r="A197" t="inlineStr">
        <is>
          <t>no_year_in_pairs</t>
        </is>
      </c>
      <c r="B197" s="2" t="n"/>
      <c r="C197" s="3" t="inlineStr">
        <is>
          <t>SM.19.158, Sup. 2</t>
        </is>
      </c>
      <c r="D197" s="4" t="inlineStr">
        <is>
          <t>Dominica</t>
        </is>
      </c>
      <c r="E197" s="4" t="inlineStr">
        <is>
          <t>DMA</t>
        </is>
      </c>
      <c r="F197" s="4" t="n"/>
      <c r="G197" s="4" t="inlineStr">
        <is>
          <t>2018gn</t>
        </is>
      </c>
      <c r="H197" s="4" t="n">
        <v>2018</v>
      </c>
      <c r="I197" s="4" t="inlineStr">
        <is>
          <t>new.amt.pc</t>
        </is>
      </c>
      <c r="J197" t="inlineStr">
        <is>
          <t xml:space="preserve">   Paris Club</t>
        </is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</row>
    <row r="198">
      <c r="A198" t="inlineStr">
        <is>
          <t>no_year_in_pairs</t>
        </is>
      </c>
      <c r="B198" s="2" t="n"/>
      <c r="C198" s="3" t="inlineStr">
        <is>
          <t>SM.19.158, Sup. 2</t>
        </is>
      </c>
      <c r="D198" s="4" t="inlineStr">
        <is>
          <t>Dominica</t>
        </is>
      </c>
      <c r="E198" s="4" t="inlineStr">
        <is>
          <t>DMA</t>
        </is>
      </c>
      <c r="F198" s="4" t="n"/>
      <c r="G198" s="4" t="inlineStr">
        <is>
          <t>2018gn</t>
        </is>
      </c>
      <c r="H198" s="4" t="n">
        <v>2018</v>
      </c>
      <c r="I198" s="4" t="inlineStr">
        <is>
          <t>new.amt.pc1</t>
        </is>
      </c>
      <c r="J198" t="inlineStr">
        <is>
          <t>Export Credit Agencies</t>
        </is>
      </c>
      <c r="M198" t="n">
        <v>268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</row>
    <row r="199">
      <c r="A199" t="inlineStr">
        <is>
          <t>no_year_in_pairs</t>
        </is>
      </c>
      <c r="B199" s="2" t="n"/>
      <c r="C199" s="3" t="inlineStr">
        <is>
          <t>SM.19.158, Sup. 2</t>
        </is>
      </c>
      <c r="D199" s="4" t="inlineStr">
        <is>
          <t>Dominica</t>
        </is>
      </c>
      <c r="E199" s="4" t="inlineStr">
        <is>
          <t>DMA</t>
        </is>
      </c>
      <c r="F199" s="4" t="n"/>
      <c r="G199" s="4" t="inlineStr">
        <is>
          <t>2018gn</t>
        </is>
      </c>
      <c r="H199" s="4" t="n">
        <v>2018</v>
      </c>
      <c r="I199" s="4" t="inlineStr">
        <is>
          <t>new.amt.pc2</t>
        </is>
      </c>
      <c r="J199" t="inlineStr">
        <is>
          <t>PC2</t>
        </is>
      </c>
      <c r="M199" t="n">
        <v>294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</row>
    <row r="200">
      <c r="A200" t="inlineStr">
        <is>
          <t>no_year_in_pairs</t>
        </is>
      </c>
      <c r="B200" s="2" t="n"/>
      <c r="C200" s="3" t="inlineStr">
        <is>
          <t>SM.19.158, Sup. 2</t>
        </is>
      </c>
      <c r="D200" s="4" t="inlineStr">
        <is>
          <t>Dominica</t>
        </is>
      </c>
      <c r="E200" s="4" t="inlineStr">
        <is>
          <t>DMA</t>
        </is>
      </c>
      <c r="F200" s="4" t="n"/>
      <c r="G200" s="4" t="inlineStr">
        <is>
          <t>2018gn</t>
        </is>
      </c>
      <c r="H200" s="4" t="n">
        <v>2018</v>
      </c>
      <c r="I200" s="4" t="inlineStr">
        <is>
          <t>new.amt.pc3</t>
        </is>
      </c>
      <c r="J200" t="inlineStr">
        <is>
          <t>PC3</t>
        </is>
      </c>
      <c r="M200" t="n">
        <v>320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</row>
    <row r="201">
      <c r="A201" t="inlineStr">
        <is>
          <t>no_year_in_pairs</t>
        </is>
      </c>
      <c r="B201" s="2" t="n"/>
      <c r="C201" s="3" t="inlineStr">
        <is>
          <t>SM.19.158, Sup. 2</t>
        </is>
      </c>
      <c r="D201" s="4" t="inlineStr">
        <is>
          <t>Dominica</t>
        </is>
      </c>
      <c r="E201" s="4" t="inlineStr">
        <is>
          <t>DMA</t>
        </is>
      </c>
      <c r="F201" s="4" t="n"/>
      <c r="G201" s="4" t="inlineStr">
        <is>
          <t>2018gn</t>
        </is>
      </c>
      <c r="H201" s="4" t="n">
        <v>2018</v>
      </c>
      <c r="I201" s="4" t="inlineStr">
        <is>
          <t>new.amt.pc4</t>
        </is>
      </c>
      <c r="J201" t="inlineStr">
        <is>
          <t>PC4</t>
        </is>
      </c>
      <c r="M201" t="n">
        <v>346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</row>
    <row r="202">
      <c r="A202" t="inlineStr">
        <is>
          <t>no_year_in_pairs</t>
        </is>
      </c>
      <c r="B202" s="2" t="n"/>
      <c r="C202" s="3" t="inlineStr">
        <is>
          <t>SM.19.158, Sup. 2</t>
        </is>
      </c>
      <c r="D202" s="4" t="inlineStr">
        <is>
          <t>Dominica</t>
        </is>
      </c>
      <c r="E202" s="4" t="inlineStr">
        <is>
          <t>DMA</t>
        </is>
      </c>
      <c r="F202" s="4" t="n"/>
      <c r="G202" s="4" t="inlineStr">
        <is>
          <t>2018gn</t>
        </is>
      </c>
      <c r="H202" s="4" t="n">
        <v>2018</v>
      </c>
      <c r="I202" s="4" t="inlineStr">
        <is>
          <t>new.amt.pc5</t>
        </is>
      </c>
      <c r="J202" t="inlineStr">
        <is>
          <t>PC5</t>
        </is>
      </c>
      <c r="M202" t="n">
        <v>372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</row>
    <row r="203">
      <c r="A203" t="inlineStr">
        <is>
          <t>no_year_in_pairs</t>
        </is>
      </c>
      <c r="B203" s="2" t="n"/>
      <c r="C203" s="3" t="inlineStr">
        <is>
          <t>SM.19.158, Sup. 2</t>
        </is>
      </c>
      <c r="D203" s="4" t="inlineStr">
        <is>
          <t>Dominica</t>
        </is>
      </c>
      <c r="E203" s="4" t="inlineStr">
        <is>
          <t>DMA</t>
        </is>
      </c>
      <c r="F203" s="4" t="n"/>
      <c r="G203" s="4" t="inlineStr">
        <is>
          <t>2018gn</t>
        </is>
      </c>
      <c r="H203" s="4" t="n">
        <v>2018</v>
      </c>
      <c r="I203" s="4" t="inlineStr">
        <is>
          <t>new.amt.npc</t>
        </is>
      </c>
      <c r="J203" t="inlineStr">
        <is>
          <t xml:space="preserve">   Non-Paris Club</t>
        </is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3.3776872704944</v>
      </c>
      <c r="V203" t="n">
        <v>4.686421493073718</v>
      </c>
      <c r="W203" t="n">
        <v>7.763148547769438</v>
      </c>
      <c r="X203" t="n">
        <v>10.22564875891662</v>
      </c>
      <c r="Y203" t="n">
        <v>12.58193779454928</v>
      </c>
      <c r="Z203" t="n">
        <v>11.39570656225574</v>
      </c>
      <c r="AA203" t="n">
        <v>12.19045824175834</v>
      </c>
      <c r="AB203" t="n">
        <v>11.11255020199102</v>
      </c>
      <c r="AC203" t="n">
        <v>10.71058433157382</v>
      </c>
      <c r="AD203" t="n">
        <v>10.46506592886746</v>
      </c>
      <c r="AE203" t="n">
        <v>10.44143916914652</v>
      </c>
      <c r="AF203" t="n">
        <v>10.55171408119062</v>
      </c>
      <c r="AG203" t="n">
        <v>10.80377204121336</v>
      </c>
      <c r="AH203" t="n">
        <v>11.03821117791656</v>
      </c>
      <c r="AI203" t="n">
        <v>10.9260470179476</v>
      </c>
    </row>
    <row r="204">
      <c r="A204" t="inlineStr">
        <is>
          <t>no_year_in_pairs</t>
        </is>
      </c>
      <c r="B204" s="2" t="n"/>
      <c r="C204" s="3" t="inlineStr">
        <is>
          <t>SM.19.158, Sup. 2</t>
        </is>
      </c>
      <c r="D204" s="4" t="inlineStr">
        <is>
          <t>Dominica</t>
        </is>
      </c>
      <c r="E204" s="4" t="inlineStr">
        <is>
          <t>DMA</t>
        </is>
      </c>
      <c r="F204" s="4" t="n"/>
      <c r="G204" s="4" t="inlineStr">
        <is>
          <t>2018gn</t>
        </is>
      </c>
      <c r="H204" s="4" t="n">
        <v>2018</v>
      </c>
      <c r="I204" s="4" t="inlineStr">
        <is>
          <t>new.amt.npc.eximbk</t>
        </is>
      </c>
      <c r="J204" t="inlineStr">
        <is>
          <t>Export Import Bank of NPC</t>
        </is>
      </c>
      <c r="M204" t="n">
        <v>398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3.3776872704944</v>
      </c>
      <c r="V204" t="n">
        <v>4.686421493073718</v>
      </c>
      <c r="W204" t="n">
        <v>7.763148547769438</v>
      </c>
      <c r="X204" t="n">
        <v>10.22564875891662</v>
      </c>
      <c r="Y204" t="n">
        <v>12.58193779454928</v>
      </c>
      <c r="Z204" t="n">
        <v>11.39570656225574</v>
      </c>
      <c r="AA204" t="n">
        <v>12.19045824175834</v>
      </c>
      <c r="AB204" t="n">
        <v>11.11255020199102</v>
      </c>
      <c r="AC204" t="n">
        <v>10.71058433157382</v>
      </c>
      <c r="AD204" t="n">
        <v>10.46506592886746</v>
      </c>
      <c r="AE204" t="n">
        <v>10.44143916914652</v>
      </c>
      <c r="AF204" t="n">
        <v>10.55171408119062</v>
      </c>
      <c r="AG204" t="n">
        <v>10.80377204121336</v>
      </c>
      <c r="AH204" t="n">
        <v>11.03821117791656</v>
      </c>
      <c r="AI204" t="n">
        <v>10.9260470179476</v>
      </c>
    </row>
    <row r="205">
      <c r="A205" t="inlineStr">
        <is>
          <t>no_year_in_pairs</t>
        </is>
      </c>
      <c r="B205" s="2" t="n"/>
      <c r="C205" s="3" t="inlineStr">
        <is>
          <t>SM.19.158, Sup. 2</t>
        </is>
      </c>
      <c r="D205" s="4" t="inlineStr">
        <is>
          <t>Dominica</t>
        </is>
      </c>
      <c r="E205" s="4" t="inlineStr">
        <is>
          <t>DMA</t>
        </is>
      </c>
      <c r="F205" s="4" t="n"/>
      <c r="G205" s="4" t="inlineStr">
        <is>
          <t>2018gn</t>
        </is>
      </c>
      <c r="H205" s="4" t="n">
        <v>2018</v>
      </c>
      <c r="I205" s="4" t="inlineStr">
        <is>
          <t>new.amt.npc2</t>
        </is>
      </c>
      <c r="J205" t="inlineStr">
        <is>
          <t>NPC2</t>
        </is>
      </c>
      <c r="M205" t="n">
        <v>424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</row>
    <row r="206">
      <c r="A206" t="inlineStr">
        <is>
          <t>no_year_in_pairs</t>
        </is>
      </c>
      <c r="B206" s="2" t="n"/>
      <c r="C206" s="3" t="inlineStr">
        <is>
          <t>SM.19.158, Sup. 2</t>
        </is>
      </c>
      <c r="D206" s="4" t="inlineStr">
        <is>
          <t>Dominica</t>
        </is>
      </c>
      <c r="E206" s="4" t="inlineStr">
        <is>
          <t>DMA</t>
        </is>
      </c>
      <c r="F206" s="4" t="n"/>
      <c r="G206" s="4" t="inlineStr">
        <is>
          <t>2018gn</t>
        </is>
      </c>
      <c r="H206" s="4" t="n">
        <v>2018</v>
      </c>
      <c r="I206" s="4" t="inlineStr">
        <is>
          <t>new.amt.npc3</t>
        </is>
      </c>
      <c r="J206" t="inlineStr">
        <is>
          <t>NPC3</t>
        </is>
      </c>
      <c r="M206" t="n">
        <v>450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</row>
    <row r="207">
      <c r="A207" t="inlineStr">
        <is>
          <t>no_year_in_pairs</t>
        </is>
      </c>
      <c r="B207" s="2" t="n"/>
      <c r="C207" s="3" t="inlineStr">
        <is>
          <t>SM.19.158, Sup. 2</t>
        </is>
      </c>
      <c r="D207" s="4" t="inlineStr">
        <is>
          <t>Dominica</t>
        </is>
      </c>
      <c r="E207" s="4" t="inlineStr">
        <is>
          <t>DMA</t>
        </is>
      </c>
      <c r="F207" s="4" t="n"/>
      <c r="G207" s="4" t="inlineStr">
        <is>
          <t>2018gn</t>
        </is>
      </c>
      <c r="H207" s="4" t="n">
        <v>2018</v>
      </c>
      <c r="I207" s="4" t="inlineStr">
        <is>
          <t>new.amt.npc4</t>
        </is>
      </c>
      <c r="J207" t="inlineStr">
        <is>
          <t>NPC4</t>
        </is>
      </c>
      <c r="M207" t="n">
        <v>476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</row>
    <row r="208">
      <c r="A208" t="inlineStr">
        <is>
          <t>no_year_in_pairs</t>
        </is>
      </c>
      <c r="B208" s="2" t="n"/>
      <c r="C208" s="3" t="inlineStr">
        <is>
          <t>SM.19.158, Sup. 2</t>
        </is>
      </c>
      <c r="D208" s="4" t="inlineStr">
        <is>
          <t>Dominica</t>
        </is>
      </c>
      <c r="E208" s="4" t="inlineStr">
        <is>
          <t>DMA</t>
        </is>
      </c>
      <c r="F208" s="4" t="n"/>
      <c r="G208" s="4" t="inlineStr">
        <is>
          <t>2018gn</t>
        </is>
      </c>
      <c r="H208" s="4" t="n">
        <v>2018</v>
      </c>
      <c r="I208" s="4" t="inlineStr">
        <is>
          <t>new.amt.npc5</t>
        </is>
      </c>
      <c r="J208" t="inlineStr">
        <is>
          <t>NPC5</t>
        </is>
      </c>
      <c r="M208" t="n">
        <v>502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</row>
    <row r="209">
      <c r="A209" t="inlineStr">
        <is>
          <t>no_year_in_pairs</t>
        </is>
      </c>
      <c r="B209" s="2" t="n"/>
      <c r="C209" s="3" t="inlineStr">
        <is>
          <t>SM.19.158, Sup. 2</t>
        </is>
      </c>
      <c r="D209" s="4" t="inlineStr">
        <is>
          <t>Dominica</t>
        </is>
      </c>
      <c r="E209" s="4" t="inlineStr">
        <is>
          <t>DMA</t>
        </is>
      </c>
      <c r="F209" s="4" t="n"/>
      <c r="G209" s="4" t="inlineStr">
        <is>
          <t>2018gn</t>
        </is>
      </c>
      <c r="H209" s="4" t="n">
        <v>2018</v>
      </c>
      <c r="I209" s="4" t="inlineStr">
        <is>
          <t>new.amt.prvt</t>
        </is>
      </c>
      <c r="J209" t="inlineStr">
        <is>
          <t>Commercial</t>
        </is>
      </c>
      <c r="O209" t="n">
        <v>0</v>
      </c>
      <c r="P209" t="n">
        <v>19.36898183242197</v>
      </c>
      <c r="Q209" t="n">
        <v>30.45197954732266</v>
      </c>
      <c r="R209" t="n">
        <v>52.32624976874712</v>
      </c>
      <c r="S209" t="n">
        <v>64.72967121421314</v>
      </c>
      <c r="T209" t="n">
        <v>76.7726597450669</v>
      </c>
      <c r="U209" t="n">
        <v>88.9607734237786</v>
      </c>
      <c r="V209" t="n">
        <v>99.71022471065376</v>
      </c>
      <c r="W209" t="n">
        <v>111.9347102789289</v>
      </c>
      <c r="X209" t="n">
        <v>124.7548383551074</v>
      </c>
      <c r="Y209" t="n">
        <v>139.1626072519894</v>
      </c>
      <c r="Z209" t="n">
        <v>155.410664205389</v>
      </c>
      <c r="AA209" t="n">
        <v>170.3039461733493</v>
      </c>
      <c r="AB209" t="n">
        <v>186.2659168731759</v>
      </c>
      <c r="AC209" t="n">
        <v>201.2448471483639</v>
      </c>
      <c r="AD209" t="n">
        <v>214.847191618412</v>
      </c>
      <c r="AE209" t="n">
        <v>186.0337810229608</v>
      </c>
      <c r="AF209" t="n">
        <v>199.7282593654525</v>
      </c>
      <c r="AG209" t="n">
        <v>213.6972249301145</v>
      </c>
      <c r="AH209" t="n">
        <v>227.9575461346209</v>
      </c>
      <c r="AI209" t="n">
        <v>244.2332199842298</v>
      </c>
      <c r="BI209" t="inlineStr">
        <is>
          <t>NEW_DP_COM</t>
        </is>
      </c>
    </row>
    <row r="210">
      <c r="A210" t="inlineStr">
        <is>
          <t>no_year_in_pairs</t>
        </is>
      </c>
      <c r="B210" s="2" t="n"/>
      <c r="C210" s="3" t="inlineStr">
        <is>
          <t>SM.19.158, Sup. 2</t>
        </is>
      </c>
      <c r="D210" s="4" t="inlineStr">
        <is>
          <t>Dominica</t>
        </is>
      </c>
      <c r="E210" s="4" t="inlineStr">
        <is>
          <t>DMA</t>
        </is>
      </c>
      <c r="F210" s="4" t="n"/>
      <c r="G210" s="4" t="inlineStr">
        <is>
          <t>2018gn</t>
        </is>
      </c>
      <c r="H210" s="4" t="n">
        <v>2018</v>
      </c>
      <c r="I210" s="4" t="inlineStr">
        <is>
          <t>new.amt.prvt.bnd</t>
        </is>
      </c>
      <c r="J210" t="inlineStr">
        <is>
          <t>Eurobond</t>
        </is>
      </c>
      <c r="M210" t="n">
        <v>528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</row>
    <row r="211">
      <c r="A211" t="inlineStr">
        <is>
          <t>no_year_in_pairs</t>
        </is>
      </c>
      <c r="B211" s="2" t="n"/>
      <c r="C211" s="3" t="inlineStr">
        <is>
          <t>SM.19.158, Sup. 2</t>
        </is>
      </c>
      <c r="D211" s="4" t="inlineStr">
        <is>
          <t>Dominica</t>
        </is>
      </c>
      <c r="E211" s="4" t="inlineStr">
        <is>
          <t>DMA</t>
        </is>
      </c>
      <c r="F211" s="4" t="n"/>
      <c r="G211" s="4" t="inlineStr">
        <is>
          <t>2018gn</t>
        </is>
      </c>
      <c r="H211" s="4" t="n">
        <v>2018</v>
      </c>
      <c r="I211" s="4" t="inlineStr">
        <is>
          <t>new.amt.prvt.cmbk</t>
        </is>
      </c>
      <c r="J211" t="inlineStr">
        <is>
          <t>Commecial Bank</t>
        </is>
      </c>
      <c r="M211" t="n">
        <v>554</v>
      </c>
      <c r="O211" t="n">
        <v>0</v>
      </c>
      <c r="P211" t="n">
        <v>4.92129497174923</v>
      </c>
      <c r="Q211" t="n">
        <v>5.393698320369619</v>
      </c>
      <c r="R211" t="n">
        <v>16.1768801934768</v>
      </c>
      <c r="S211" t="n">
        <v>7.687348147501194</v>
      </c>
      <c r="T211" t="n">
        <v>8.771253231015123</v>
      </c>
      <c r="U211" t="n">
        <v>10.0629527040211</v>
      </c>
      <c r="V211" t="n">
        <v>9.074081048882903</v>
      </c>
      <c r="W211" t="n">
        <v>10.5267497907349</v>
      </c>
      <c r="X211" t="n">
        <v>9.480768879775468</v>
      </c>
      <c r="Y211" t="n">
        <v>9.399635747498465</v>
      </c>
      <c r="Z211" t="n">
        <v>9.922005973394405</v>
      </c>
      <c r="AA211" t="n">
        <v>10.494739561919</v>
      </c>
      <c r="AB211" t="n">
        <v>11.110768672381</v>
      </c>
      <c r="AC211" t="n">
        <v>11.5204136600554</v>
      </c>
      <c r="AD211" t="n">
        <v>10.82333447989041</v>
      </c>
      <c r="AE211" t="n">
        <v>10.63913340689629</v>
      </c>
      <c r="AF211" t="n">
        <v>11.12141898400941</v>
      </c>
      <c r="AG211" t="n">
        <v>11.52970501148479</v>
      </c>
      <c r="AH211" t="n">
        <v>11.96473036927239</v>
      </c>
      <c r="AI211" t="n">
        <v>12.41344800636341</v>
      </c>
    </row>
    <row r="212">
      <c r="A212" t="inlineStr">
        <is>
          <t>no_year_in_pairs</t>
        </is>
      </c>
      <c r="B212" s="2" t="n"/>
      <c r="C212" s="3" t="inlineStr">
        <is>
          <t>SM.19.158, Sup. 2</t>
        </is>
      </c>
      <c r="D212" s="4" t="inlineStr">
        <is>
          <t>Dominica</t>
        </is>
      </c>
      <c r="E212" s="4" t="inlineStr">
        <is>
          <t>DMA</t>
        </is>
      </c>
      <c r="F212" s="4" t="n"/>
      <c r="G212" s="4" t="inlineStr">
        <is>
          <t>2018gn</t>
        </is>
      </c>
      <c r="H212" s="4" t="n">
        <v>2018</v>
      </c>
      <c r="I212" s="4" t="inlineStr">
        <is>
          <t>new.amt.prvt.com3</t>
        </is>
      </c>
      <c r="J212" t="inlineStr">
        <is>
          <t>COM3</t>
        </is>
      </c>
      <c r="M212" t="n">
        <v>580</v>
      </c>
      <c r="O212" t="n">
        <v>0</v>
      </c>
      <c r="P212" t="n">
        <v>14.44768686067273</v>
      </c>
      <c r="Q212" t="n">
        <v>25.05828122695304</v>
      </c>
      <c r="R212" t="n">
        <v>36.14936957527031</v>
      </c>
      <c r="S212" t="n">
        <v>57.04232306671194</v>
      </c>
      <c r="T212" t="n">
        <v>68.00140651405178</v>
      </c>
      <c r="U212" t="n">
        <v>78.8978207197575</v>
      </c>
      <c r="V212" t="n">
        <v>90.63614366177086</v>
      </c>
      <c r="W212" t="n">
        <v>101.407960488194</v>
      </c>
      <c r="X212" t="n">
        <v>115.2740694753319</v>
      </c>
      <c r="Y212" t="n">
        <v>129.7629715044909</v>
      </c>
      <c r="Z212" t="n">
        <v>145.4886582319946</v>
      </c>
      <c r="AA212" t="n">
        <v>159.8092066114303</v>
      </c>
      <c r="AB212" t="n">
        <v>175.1551482007949</v>
      </c>
      <c r="AC212" t="n">
        <v>189.7244334883085</v>
      </c>
      <c r="AD212" t="n">
        <v>204.0238571385216</v>
      </c>
      <c r="AE212" t="n">
        <v>175.3946476160645</v>
      </c>
      <c r="AF212" t="n">
        <v>188.6068403814431</v>
      </c>
      <c r="AG212" t="n">
        <v>202.1675199186298</v>
      </c>
      <c r="AH212" t="n">
        <v>215.9928157653485</v>
      </c>
      <c r="AI212" t="n">
        <v>231.8197719778664</v>
      </c>
    </row>
    <row r="213">
      <c r="A213" t="inlineStr">
        <is>
          <t>no_year_in_pairs</t>
        </is>
      </c>
      <c r="B213" s="2" t="n"/>
      <c r="C213" s="3" t="inlineStr">
        <is>
          <t>SM.19.158, Sup. 2</t>
        </is>
      </c>
      <c r="D213" s="4" t="inlineStr">
        <is>
          <t>Dominica</t>
        </is>
      </c>
      <c r="E213" s="4" t="inlineStr">
        <is>
          <t>DMA</t>
        </is>
      </c>
      <c r="F213" s="4" t="n"/>
      <c r="G213" s="4" t="inlineStr">
        <is>
          <t>2018gn</t>
        </is>
      </c>
      <c r="H213" s="4" t="n">
        <v>2018</v>
      </c>
      <c r="I213" s="4" t="inlineStr">
        <is>
          <t>new.amt.prvt.com4</t>
        </is>
      </c>
      <c r="J213" t="inlineStr">
        <is>
          <t>COM4</t>
        </is>
      </c>
      <c r="M213" t="n">
        <v>606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</row>
    <row r="214">
      <c r="A214" t="inlineStr">
        <is>
          <t>no_year_in_pairs</t>
        </is>
      </c>
      <c r="B214" s="2" t="n"/>
      <c r="C214" s="3" t="inlineStr">
        <is>
          <t>SM.19.158, Sup. 2</t>
        </is>
      </c>
      <c r="D214" s="4" t="inlineStr">
        <is>
          <t>Dominica</t>
        </is>
      </c>
      <c r="E214" s="4" t="inlineStr">
        <is>
          <t>DMA</t>
        </is>
      </c>
      <c r="F214" s="4" t="n"/>
      <c r="G214" s="4" t="inlineStr">
        <is>
          <t>2018gn</t>
        </is>
      </c>
      <c r="H214" s="4" t="n">
        <v>2018</v>
      </c>
      <c r="I214" s="4" t="inlineStr">
        <is>
          <t>new.amt.prvt.com5</t>
        </is>
      </c>
      <c r="J214" t="inlineStr">
        <is>
          <t>COM5</t>
        </is>
      </c>
      <c r="M214" t="n">
        <v>632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</row>
    <row r="215">
      <c r="A215" t="inlineStr">
        <is>
          <t>no_year_in_pairs</t>
        </is>
      </c>
      <c r="B215" s="2" t="n"/>
      <c r="C215" s="3" t="inlineStr">
        <is>
          <t>SM.19.158, Sup. 2</t>
        </is>
      </c>
      <c r="D215" s="4" t="inlineStr">
        <is>
          <t>Dominica</t>
        </is>
      </c>
      <c r="E215" s="4" t="inlineStr">
        <is>
          <t>DMA</t>
        </is>
      </c>
      <c r="F215" s="4" t="n"/>
      <c r="G215" s="4" t="inlineStr">
        <is>
          <t>2018gn</t>
        </is>
      </c>
      <c r="H215" s="4" t="n">
        <v>2018</v>
      </c>
      <c r="I215" s="4" t="inlineStr">
        <is>
          <t>new.amt.lcl.nres</t>
        </is>
      </c>
      <c r="J215" t="inlineStr">
        <is>
          <t>Locally-issued debt held by non-residents</t>
        </is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</row>
    <row r="216">
      <c r="A216" t="inlineStr">
        <is>
          <t>no_year_in_pairs</t>
        </is>
      </c>
      <c r="B216" s="2" t="n"/>
      <c r="C216" s="3" t="inlineStr">
        <is>
          <t>SM.19.158, Sup. 2</t>
        </is>
      </c>
      <c r="D216" s="4" t="inlineStr">
        <is>
          <t>Dominica</t>
        </is>
      </c>
      <c r="E216" s="4" t="inlineStr">
        <is>
          <t>DMA</t>
        </is>
      </c>
      <c r="F216" s="4" t="n"/>
      <c r="G216" s="4" t="inlineStr">
        <is>
          <t>2018gn</t>
        </is>
      </c>
      <c r="H216" s="4" t="n">
        <v>2018</v>
      </c>
      <c r="I216" s="4" t="inlineStr">
        <is>
          <t>new.amt.lcl.nres.lc</t>
        </is>
      </c>
      <c r="J216" t="inlineStr">
        <is>
          <t>Denominated in local currency (LC)</t>
        </is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</row>
    <row r="217">
      <c r="A217" t="inlineStr">
        <is>
          <t>no_year_in_pairs</t>
        </is>
      </c>
      <c r="B217" s="2" t="n"/>
      <c r="C217" s="3" t="inlineStr">
        <is>
          <t>SM.19.158, Sup. 2</t>
        </is>
      </c>
      <c r="D217" s="4" t="inlineStr">
        <is>
          <t>Dominica</t>
        </is>
      </c>
      <c r="E217" s="4" t="inlineStr">
        <is>
          <t>DMA</t>
        </is>
      </c>
      <c r="F217" s="4" t="n"/>
      <c r="G217" s="4" t="inlineStr">
        <is>
          <t>2018gn</t>
        </is>
      </c>
      <c r="H217" s="4" t="n">
        <v>2018</v>
      </c>
      <c r="I217" s="4" t="inlineStr">
        <is>
          <t>new.amt.lcl.nres.bnd.1to3.lc</t>
        </is>
      </c>
      <c r="J217" t="inlineStr">
        <is>
          <t>Bonds (1 to 3 years)-LC</t>
        </is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</row>
    <row r="218">
      <c r="A218" t="inlineStr">
        <is>
          <t>no_year_in_pairs</t>
        </is>
      </c>
      <c r="B218" s="2" t="n"/>
      <c r="C218" s="3" t="inlineStr">
        <is>
          <t>SM.19.158, Sup. 2</t>
        </is>
      </c>
      <c r="D218" s="4" t="inlineStr">
        <is>
          <t>Dominica</t>
        </is>
      </c>
      <c r="E218" s="4" t="inlineStr">
        <is>
          <t>DMA</t>
        </is>
      </c>
      <c r="F218" s="4" t="n"/>
      <c r="G218" s="4" t="inlineStr">
        <is>
          <t>2018gn</t>
        </is>
      </c>
      <c r="H218" s="4" t="n">
        <v>2018</v>
      </c>
      <c r="I218" s="4" t="inlineStr">
        <is>
          <t>new.amt.lcl.nres.bnd.4to7.lc</t>
        </is>
      </c>
      <c r="J218" t="inlineStr">
        <is>
          <t>Bonds (4 to 7 years)-LC</t>
        </is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</row>
    <row r="219">
      <c r="A219" t="inlineStr">
        <is>
          <t>no_year_in_pairs</t>
        </is>
      </c>
      <c r="B219" s="2" t="n"/>
      <c r="C219" s="3" t="inlineStr">
        <is>
          <t>SM.19.158, Sup. 2</t>
        </is>
      </c>
      <c r="D219" s="4" t="inlineStr">
        <is>
          <t>Dominica</t>
        </is>
      </c>
      <c r="E219" s="4" t="inlineStr">
        <is>
          <t>DMA</t>
        </is>
      </c>
      <c r="F219" s="4" t="n"/>
      <c r="G219" s="4" t="inlineStr">
        <is>
          <t>2018gn</t>
        </is>
      </c>
      <c r="H219" s="4" t="n">
        <v>2018</v>
      </c>
      <c r="I219" s="4" t="inlineStr">
        <is>
          <t>new.amt.lcl.nres.bnd.byd7.lc</t>
        </is>
      </c>
      <c r="J219" t="inlineStr">
        <is>
          <t>Bonds (beyond 7 years)-LC</t>
        </is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</row>
    <row r="220">
      <c r="A220" t="inlineStr">
        <is>
          <t>no_year_in_pairs</t>
        </is>
      </c>
      <c r="B220" s="2" t="n"/>
      <c r="C220" s="3" t="inlineStr">
        <is>
          <t>SM.19.158, Sup. 2</t>
        </is>
      </c>
      <c r="D220" s="4" t="inlineStr">
        <is>
          <t>Dominica</t>
        </is>
      </c>
      <c r="E220" s="4" t="inlineStr">
        <is>
          <t>DMA</t>
        </is>
      </c>
      <c r="F220" s="4" t="n"/>
      <c r="G220" s="4" t="inlineStr">
        <is>
          <t>2018gn</t>
        </is>
      </c>
      <c r="H220" s="4" t="n">
        <v>2018</v>
      </c>
      <c r="I220" s="4" t="inlineStr">
        <is>
          <t>new.amt.lcl.nres.fx</t>
        </is>
      </c>
      <c r="J220" t="inlineStr">
        <is>
          <t>Denominated in foreign currency (FX)</t>
        </is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</row>
    <row r="221">
      <c r="A221" t="inlineStr">
        <is>
          <t>no_year_in_pairs</t>
        </is>
      </c>
      <c r="B221" s="2" t="n"/>
      <c r="C221" s="3" t="inlineStr">
        <is>
          <t>SM.19.158, Sup. 2</t>
        </is>
      </c>
      <c r="D221" s="4" t="inlineStr">
        <is>
          <t>Dominica</t>
        </is>
      </c>
      <c r="E221" s="4" t="inlineStr">
        <is>
          <t>DMA</t>
        </is>
      </c>
      <c r="F221" s="4" t="n"/>
      <c r="G221" s="4" t="inlineStr">
        <is>
          <t>2018gn</t>
        </is>
      </c>
      <c r="H221" s="4" t="n">
        <v>2018</v>
      </c>
      <c r="I221" s="4" t="inlineStr">
        <is>
          <t>new.amt.lcl.nres.bnd.1to3.fx</t>
        </is>
      </c>
      <c r="J221" t="inlineStr">
        <is>
          <t>Bonds (1 to 3 years)-FX</t>
        </is>
      </c>
      <c r="M221" t="n">
        <v>658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</row>
    <row r="222">
      <c r="A222" t="inlineStr">
        <is>
          <t>no_year_in_pairs</t>
        </is>
      </c>
      <c r="B222" s="2" t="n"/>
      <c r="C222" s="3" t="inlineStr">
        <is>
          <t>SM.19.158, Sup. 2</t>
        </is>
      </c>
      <c r="D222" s="4" t="inlineStr">
        <is>
          <t>Dominica</t>
        </is>
      </c>
      <c r="E222" s="4" t="inlineStr">
        <is>
          <t>DMA</t>
        </is>
      </c>
      <c r="F222" s="4" t="n"/>
      <c r="G222" s="4" t="inlineStr">
        <is>
          <t>2018gn</t>
        </is>
      </c>
      <c r="H222" s="4" t="n">
        <v>2018</v>
      </c>
      <c r="I222" s="4" t="inlineStr">
        <is>
          <t>new.amt.lcl.nres.bnd.4to7.fx</t>
        </is>
      </c>
      <c r="J222" t="inlineStr">
        <is>
          <t>Bonds (4 to 7 years)-FX</t>
        </is>
      </c>
      <c r="M222" t="n">
        <v>684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</row>
    <row r="223">
      <c r="A223" t="inlineStr">
        <is>
          <t>no_year_in_pairs</t>
        </is>
      </c>
      <c r="B223" s="2" t="n"/>
      <c r="C223" s="3" t="inlineStr">
        <is>
          <t>SM.19.158, Sup. 2</t>
        </is>
      </c>
      <c r="D223" s="4" t="inlineStr">
        <is>
          <t>Dominica</t>
        </is>
      </c>
      <c r="E223" s="4" t="inlineStr">
        <is>
          <t>DMA</t>
        </is>
      </c>
      <c r="F223" s="4" t="n"/>
      <c r="G223" s="4" t="inlineStr">
        <is>
          <t>2018gn</t>
        </is>
      </c>
      <c r="H223" s="4" t="n">
        <v>2018</v>
      </c>
      <c r="I223" s="4" t="inlineStr">
        <is>
          <t>new.amt.lcl.nres.bnd.byd7.fx</t>
        </is>
      </c>
      <c r="J223" t="inlineStr">
        <is>
          <t>Bonds (beyond 7 years)-FX</t>
        </is>
      </c>
      <c r="M223" t="n">
        <v>710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</row>
    <row r="224">
      <c r="A224" t="inlineStr">
        <is>
          <t>no_year_in_pairs</t>
        </is>
      </c>
      <c r="B224" s="2" t="n"/>
      <c r="C224" s="3" t="inlineStr">
        <is>
          <t>SM.19.158, Sup. 2</t>
        </is>
      </c>
      <c r="D224" s="4" t="inlineStr">
        <is>
          <t>Dominica</t>
        </is>
      </c>
      <c r="E224" s="4" t="inlineStr">
        <is>
          <t>DMA</t>
        </is>
      </c>
      <c r="F224" s="4" t="n"/>
      <c r="G224" s="4" t="inlineStr">
        <is>
          <t>2018gn</t>
        </is>
      </c>
      <c r="H224" s="4" t="n">
        <v>2018</v>
      </c>
      <c r="I224" s="5" t="n"/>
      <c r="J224" t="inlineStr">
        <is>
          <t>Locally-issued debt held by non-residents</t>
        </is>
      </c>
    </row>
    <row r="225">
      <c r="A225" t="inlineStr">
        <is>
          <t>no_year_in_pairs</t>
        </is>
      </c>
      <c r="B225" s="2" t="n"/>
      <c r="C225" s="3" t="inlineStr">
        <is>
          <t>SM.19.158, Sup. 2</t>
        </is>
      </c>
      <c r="D225" s="4" t="inlineStr">
        <is>
          <t>Dominica</t>
        </is>
      </c>
      <c r="E225" s="4" t="inlineStr">
        <is>
          <t>DMA</t>
        </is>
      </c>
      <c r="F225" s="4" t="n"/>
      <c r="G225" s="4" t="inlineStr">
        <is>
          <t>2018gn</t>
        </is>
      </c>
      <c r="H225" s="4" t="n">
        <v>2018</v>
      </c>
      <c r="I225" s="4" t="inlineStr">
        <is>
          <t>new.amt.lcl.fx</t>
        </is>
      </c>
      <c r="J225" t="inlineStr">
        <is>
          <t>Denominated in foreign currency (FX)</t>
        </is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</row>
    <row r="226">
      <c r="A226" t="inlineStr">
        <is>
          <t>no_year_in_pairs</t>
        </is>
      </c>
      <c r="B226" s="2" t="n"/>
      <c r="C226" s="3" t="inlineStr">
        <is>
          <t>SM.19.158, Sup. 2</t>
        </is>
      </c>
      <c r="D226" s="4" t="inlineStr">
        <is>
          <t>Dominica</t>
        </is>
      </c>
      <c r="E226" s="4" t="inlineStr">
        <is>
          <t>DMA</t>
        </is>
      </c>
      <c r="F226" s="4" t="n"/>
      <c r="G226" s="4" t="inlineStr">
        <is>
          <t>2018gn</t>
        </is>
      </c>
      <c r="H226" s="4" t="n">
        <v>2018</v>
      </c>
      <c r="I226" s="4" t="inlineStr">
        <is>
          <t>new.amt.lcl.fx.bnd.1to3.fx</t>
        </is>
      </c>
      <c r="J226" t="inlineStr">
        <is>
          <t>Bonds (1 to 3 years)-FX</t>
        </is>
      </c>
      <c r="M226" t="n">
        <v>736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</row>
    <row r="227">
      <c r="A227" t="inlineStr">
        <is>
          <t>no_year_in_pairs</t>
        </is>
      </c>
      <c r="B227" s="2" t="n"/>
      <c r="C227" s="3" t="inlineStr">
        <is>
          <t>SM.19.158, Sup. 2</t>
        </is>
      </c>
      <c r="D227" s="4" t="inlineStr">
        <is>
          <t>Dominica</t>
        </is>
      </c>
      <c r="E227" s="4" t="inlineStr">
        <is>
          <t>DMA</t>
        </is>
      </c>
      <c r="F227" s="4" t="n"/>
      <c r="G227" s="4" t="inlineStr">
        <is>
          <t>2018gn</t>
        </is>
      </c>
      <c r="H227" s="4" t="n">
        <v>2018</v>
      </c>
      <c r="I227" s="4" t="inlineStr">
        <is>
          <t>new.amt.lcl.fx.bnd.4to7.fx</t>
        </is>
      </c>
      <c r="J227" t="inlineStr">
        <is>
          <t>Bonds (4 to 7 years)-FX</t>
        </is>
      </c>
      <c r="M227" t="n">
        <v>762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</row>
    <row r="228">
      <c r="A228" t="inlineStr">
        <is>
          <t>no_year_in_pairs</t>
        </is>
      </c>
      <c r="B228" s="2" t="n"/>
      <c r="C228" s="3" t="inlineStr">
        <is>
          <t>SM.19.158, Sup. 2</t>
        </is>
      </c>
      <c r="D228" s="4" t="inlineStr">
        <is>
          <t>Dominica</t>
        </is>
      </c>
      <c r="E228" s="4" t="inlineStr">
        <is>
          <t>DMA</t>
        </is>
      </c>
      <c r="F228" s="4" t="n"/>
      <c r="G228" s="4" t="inlineStr">
        <is>
          <t>2018gn</t>
        </is>
      </c>
      <c r="H228" s="4" t="n">
        <v>2018</v>
      </c>
      <c r="I228" s="4" t="inlineStr">
        <is>
          <t>new.amt.lcl.fx.bnd.byd7.fx</t>
        </is>
      </c>
      <c r="J228" t="inlineStr">
        <is>
          <t>Bonds (beyond 7 years)-FX</t>
        </is>
      </c>
      <c r="M228" t="n">
        <v>788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</row>
    <row r="229">
      <c r="A229" t="inlineStr">
        <is>
          <t>no_year_in_pairs</t>
        </is>
      </c>
      <c r="B229" s="2" t="n"/>
      <c r="C229" s="3" t="inlineStr">
        <is>
          <t>SM.19.158, Sup. 2</t>
        </is>
      </c>
      <c r="D229" s="4" t="inlineStr">
        <is>
          <t>Dominica</t>
        </is>
      </c>
      <c r="E229" s="4" t="inlineStr">
        <is>
          <t>DMA</t>
        </is>
      </c>
      <c r="F229" s="4" t="n"/>
      <c r="G229" s="4" t="inlineStr">
        <is>
          <t>2018gn</t>
        </is>
      </c>
      <c r="H229" s="4" t="n">
        <v>2018</v>
      </c>
      <c r="I229" s="5" t="n"/>
    </row>
    <row r="230">
      <c r="A230" t="inlineStr">
        <is>
          <t>no_year_in_pairs</t>
        </is>
      </c>
      <c r="B230" s="2" t="n"/>
      <c r="C230" s="3" t="inlineStr">
        <is>
          <t>SM.19.158, Sup. 2</t>
        </is>
      </c>
      <c r="D230" s="4" t="inlineStr">
        <is>
          <t>Dominica</t>
        </is>
      </c>
      <c r="E230" s="4" t="inlineStr">
        <is>
          <t>DMA</t>
        </is>
      </c>
      <c r="F230" s="4" t="n"/>
      <c r="G230" s="4" t="inlineStr">
        <is>
          <t>2018gn</t>
        </is>
      </c>
      <c r="H230" s="4" t="n">
        <v>2018</v>
      </c>
      <c r="I230" s="4" t="inlineStr">
        <is>
          <t>pv.old.dbt.mlg.trm</t>
        </is>
      </c>
      <c r="J230" t="inlineStr">
        <is>
          <t>PV of old MLT debt</t>
        </is>
      </c>
      <c r="N230" t="n">
        <v>273.0936903341975</v>
      </c>
      <c r="O230" t="n">
        <v>275.2917933214826</v>
      </c>
      <c r="P230" t="n">
        <v>254.9797580244638</v>
      </c>
      <c r="Q230" t="n">
        <v>237.0562249789209</v>
      </c>
      <c r="R230" t="n">
        <v>220.2755093920415</v>
      </c>
      <c r="S230" t="n">
        <v>202.2168359803939</v>
      </c>
      <c r="T230" t="n">
        <v>184.4171467420863</v>
      </c>
      <c r="U230" t="n">
        <v>167.0918550346577</v>
      </c>
      <c r="V230" t="n">
        <v>150.6308630356515</v>
      </c>
      <c r="W230" t="n">
        <v>135.0816374079174</v>
      </c>
      <c r="X230" t="n">
        <v>119.6995494914437</v>
      </c>
      <c r="Y230" t="n">
        <v>104.4306299494264</v>
      </c>
      <c r="Z230" t="n">
        <v>89.42618699186177</v>
      </c>
      <c r="AA230" t="n">
        <v>75.43765392795636</v>
      </c>
      <c r="AB230" t="n">
        <v>66.60869016400474</v>
      </c>
      <c r="AC230" t="n">
        <v>60.12639223612332</v>
      </c>
      <c r="AD230" t="n">
        <v>51.42250560327564</v>
      </c>
      <c r="AE230" t="n">
        <v>42.85319695947322</v>
      </c>
      <c r="AF230" t="n">
        <v>34.57345607345355</v>
      </c>
      <c r="AG230" t="n">
        <v>22.31847626483674</v>
      </c>
      <c r="AH230" t="n">
        <v>14.33141371052385</v>
      </c>
      <c r="AI230" t="n">
        <v>7.419762433800432</v>
      </c>
      <c r="BI230" t="inlineStr">
        <is>
          <t>PV_OLD_MLT</t>
        </is>
      </c>
    </row>
    <row r="231">
      <c r="A231" t="inlineStr">
        <is>
          <t>no_year_in_pairs</t>
        </is>
      </c>
      <c r="B231" s="2" t="n"/>
      <c r="C231" s="3" t="inlineStr">
        <is>
          <t>SM.19.158, Sup. 2</t>
        </is>
      </c>
      <c r="D231" s="4" t="inlineStr">
        <is>
          <t>Dominica</t>
        </is>
      </c>
      <c r="E231" s="4" t="inlineStr">
        <is>
          <t>DMA</t>
        </is>
      </c>
      <c r="F231" s="4" t="n"/>
      <c r="G231" s="4" t="inlineStr">
        <is>
          <t>2018gn</t>
        </is>
      </c>
      <c r="H231" s="4" t="n">
        <v>2018</v>
      </c>
      <c r="I231" s="5" t="n"/>
      <c r="J231" t="inlineStr">
        <is>
          <t>Users can replace PV of old external debt by nominal debt stock when a GE is zero and PV is larger than nominal value (e.g., commercial debt) to cap PV at nominal debt outstanding.</t>
        </is>
      </c>
    </row>
    <row r="232">
      <c r="A232" t="inlineStr">
        <is>
          <t>no_year_in_pairs</t>
        </is>
      </c>
      <c r="B232" s="2" t="n"/>
      <c r="C232" s="3" t="inlineStr">
        <is>
          <t>SM.19.158, Sup. 2</t>
        </is>
      </c>
      <c r="D232" s="4" t="inlineStr">
        <is>
          <t>Dominica</t>
        </is>
      </c>
      <c r="E232" s="4" t="inlineStr">
        <is>
          <t>DMA</t>
        </is>
      </c>
      <c r="F232" s="4" t="n"/>
      <c r="G232" s="4" t="inlineStr">
        <is>
          <t>2018gn</t>
        </is>
      </c>
      <c r="H232" s="4" t="n">
        <v>2018</v>
      </c>
      <c r="I232" s="4" t="inlineStr">
        <is>
          <t>pv.old.dbt.mlt</t>
        </is>
      </c>
      <c r="J232" t="inlineStr">
        <is>
          <t>Multilaterals</t>
        </is>
      </c>
      <c r="N232" t="n">
        <v>108.5206320806513</v>
      </c>
      <c r="O232" t="n">
        <v>110.5815260920913</v>
      </c>
      <c r="P232" t="n">
        <v>107.349342507807</v>
      </c>
      <c r="Q232" t="n">
        <v>101.2513929294936</v>
      </c>
      <c r="R232" t="n">
        <v>94.48894039078313</v>
      </c>
      <c r="S232" t="n">
        <v>87.64563633624823</v>
      </c>
      <c r="T232" t="n">
        <v>80.57460181972732</v>
      </c>
      <c r="U232" t="n">
        <v>73.93869851597864</v>
      </c>
      <c r="V232" t="n">
        <v>67.6937323091403</v>
      </c>
      <c r="W232" t="n">
        <v>61.79945571149636</v>
      </c>
      <c r="X232" t="n">
        <v>56.21913893649396</v>
      </c>
      <c r="Y232" t="n">
        <v>50.91918771961465</v>
      </c>
      <c r="Z232" t="n">
        <v>45.86880241081266</v>
      </c>
      <c r="AA232" t="n">
        <v>41.03967351520691</v>
      </c>
      <c r="AB232" t="n">
        <v>36.40570943399981</v>
      </c>
      <c r="AC232" t="n">
        <v>31.94279266208723</v>
      </c>
      <c r="AD232" t="n">
        <v>27.62856114138071</v>
      </c>
      <c r="AE232" t="n">
        <v>23.44221185721118</v>
      </c>
      <c r="AF232" t="n">
        <v>19.36432410607701</v>
      </c>
      <c r="AG232" t="n">
        <v>15.37670016233155</v>
      </c>
      <c r="AH232" t="n">
        <v>11.46222133432797</v>
      </c>
      <c r="AI232" t="n">
        <v>7.604717631551178</v>
      </c>
      <c r="BI232" t="inlineStr">
        <is>
          <t>PV_OLD_ML</t>
        </is>
      </c>
    </row>
    <row r="233">
      <c r="A233" t="inlineStr">
        <is>
          <t>no_year_in_pairs</t>
        </is>
      </c>
      <c r="B233" s="2" t="n"/>
      <c r="C233" s="3" t="inlineStr">
        <is>
          <t>SM.19.158, Sup. 2</t>
        </is>
      </c>
      <c r="D233" s="4" t="inlineStr">
        <is>
          <t>Dominica</t>
        </is>
      </c>
      <c r="E233" s="4" t="inlineStr">
        <is>
          <t>DMA</t>
        </is>
      </c>
      <c r="F233" s="4" t="n"/>
      <c r="G233" s="4" t="inlineStr">
        <is>
          <t>2018gn</t>
        </is>
      </c>
      <c r="H233" s="4" t="n">
        <v>2018</v>
      </c>
      <c r="I233" s="4" t="inlineStr">
        <is>
          <t>pv.old.dbt.mlt.imf</t>
        </is>
      </c>
      <c r="J233" t="inlineStr">
        <is>
          <t>IMF</t>
        </is>
      </c>
      <c r="N233" t="n">
        <v>7.162863679773371</v>
      </c>
      <c r="O233" t="n">
        <v>7.52100686376204</v>
      </c>
      <c r="P233" t="n">
        <v>6.872521873616812</v>
      </c>
      <c r="Q233" t="n">
        <v>6.220071930260616</v>
      </c>
      <c r="R233" t="n">
        <v>5.108109786032908</v>
      </c>
      <c r="S233" t="n">
        <v>4.509735830890111</v>
      </c>
      <c r="T233" t="n">
        <v>3.88144317799017</v>
      </c>
      <c r="U233" t="n">
        <v>3.335573151375276</v>
      </c>
      <c r="V233" t="n">
        <v>2.861068581212901</v>
      </c>
      <c r="W233" t="n">
        <v>2.44834321265928</v>
      </c>
      <c r="X233" t="n">
        <v>2.089085415145572</v>
      </c>
      <c r="Y233" t="n">
        <v>1.776088055323333</v>
      </c>
      <c r="Z233" t="n">
        <v>1.503101044759614</v>
      </c>
      <c r="AA233" t="n">
        <v>1.264703538638854</v>
      </c>
      <c r="AB233" t="n">
        <v>1.056193164872316</v>
      </c>
      <c r="AC233" t="n">
        <v>0.8734900124057959</v>
      </c>
      <c r="AD233" t="n">
        <v>0.7130534103198207</v>
      </c>
      <c r="AE233" t="n">
        <v>0.57180979174501</v>
      </c>
      <c r="AF233" t="n">
        <v>0.4470901640520205</v>
      </c>
      <c r="AG233" t="n">
        <v>0.3365759038859645</v>
      </c>
      <c r="AH233" t="n">
        <v>0.2382517664428587</v>
      </c>
      <c r="AI233" t="n">
        <v>0.1503651464348484</v>
      </c>
    </row>
    <row r="234">
      <c r="A234" t="inlineStr">
        <is>
          <t>no_year_in_pairs</t>
        </is>
      </c>
      <c r="B234" s="2" t="n"/>
      <c r="C234" s="3" t="inlineStr">
        <is>
          <t>SM.19.158, Sup. 2</t>
        </is>
      </c>
      <c r="D234" s="4" t="inlineStr">
        <is>
          <t>Dominica</t>
        </is>
      </c>
      <c r="E234" s="4" t="inlineStr">
        <is>
          <t>DMA</t>
        </is>
      </c>
      <c r="F234" s="4" t="n"/>
      <c r="G234" s="4" t="inlineStr">
        <is>
          <t>2018gn</t>
        </is>
      </c>
      <c r="H234" s="4" t="n">
        <v>2018</v>
      </c>
      <c r="I234" s="4" t="inlineStr">
        <is>
          <t>pv.old.dbt.mlt.ida.reg</t>
        </is>
      </c>
      <c r="J234" t="inlineStr">
        <is>
          <t>IDA - small economy</t>
        </is>
      </c>
      <c r="N234" t="n">
        <v>18.8624346196526</v>
      </c>
      <c r="O234" t="n">
        <v>19.62762294322783</v>
      </c>
      <c r="P234" t="n">
        <v>19.29380109038922</v>
      </c>
      <c r="Q234" t="n">
        <v>18.86368740416794</v>
      </c>
      <c r="R234" t="n">
        <v>18.32007895956153</v>
      </c>
      <c r="S234" t="n">
        <v>17.66206020383591</v>
      </c>
      <c r="T234" t="n">
        <v>16.89667488069437</v>
      </c>
      <c r="U234" t="n">
        <v>16.11328682599992</v>
      </c>
      <c r="V234" t="n">
        <v>15.31074674616448</v>
      </c>
      <c r="W234" t="n">
        <v>14.48785094605973</v>
      </c>
      <c r="X234" t="n">
        <v>13.64333857128184</v>
      </c>
      <c r="Y234" t="n">
        <v>12.77588871299237</v>
      </c>
      <c r="Z234" t="n">
        <v>11.88411736845855</v>
      </c>
      <c r="AA234" t="n">
        <v>10.9665742500722</v>
      </c>
      <c r="AB234" t="n">
        <v>10.02173943526567</v>
      </c>
      <c r="AC234" t="n">
        <v>9.048019849364286</v>
      </c>
      <c r="AD234" t="n">
        <v>8.043745573016508</v>
      </c>
      <c r="AE234" t="n">
        <v>7.007165965425576</v>
      </c>
      <c r="AF234" t="n">
        <v>5.936445594167174</v>
      </c>
      <c r="AG234" t="n">
        <v>4.829659961917444</v>
      </c>
      <c r="AH234" t="n">
        <v>3.684791019931506</v>
      </c>
      <c r="AI234" t="n">
        <v>2.499722457605061</v>
      </c>
    </row>
    <row r="235">
      <c r="A235" t="inlineStr">
        <is>
          <t>no_year_in_pairs</t>
        </is>
      </c>
      <c r="B235" s="2" t="n"/>
      <c r="C235" s="3" t="inlineStr">
        <is>
          <t>SM.19.158, Sup. 2</t>
        </is>
      </c>
      <c r="D235" s="4" t="inlineStr">
        <is>
          <t>Dominica</t>
        </is>
      </c>
      <c r="E235" s="4" t="inlineStr">
        <is>
          <t>DMA</t>
        </is>
      </c>
      <c r="F235" s="4" t="n"/>
      <c r="G235" s="4" t="inlineStr">
        <is>
          <t>2018gn</t>
        </is>
      </c>
      <c r="H235" s="4" t="n">
        <v>2018</v>
      </c>
      <c r="I235" s="4" t="inlineStr">
        <is>
          <t>pv.old.dbt.mlt.ida.bld</t>
        </is>
      </c>
      <c r="J235" t="inlineStr">
        <is>
          <t>IDA - small economy</t>
        </is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</row>
    <row r="236">
      <c r="A236" t="inlineStr">
        <is>
          <t>no_year_in_pairs</t>
        </is>
      </c>
      <c r="B236" s="2" t="n"/>
      <c r="C236" s="3" t="inlineStr">
        <is>
          <t>SM.19.158, Sup. 2</t>
        </is>
      </c>
      <c r="D236" s="4" t="inlineStr">
        <is>
          <t>Dominica</t>
        </is>
      </c>
      <c r="E236" s="4" t="inlineStr">
        <is>
          <t>DMA</t>
        </is>
      </c>
      <c r="F236" s="4" t="n"/>
      <c r="G236" s="4" t="inlineStr">
        <is>
          <t>2018gn</t>
        </is>
      </c>
      <c r="H236" s="4" t="n">
        <v>2018</v>
      </c>
      <c r="I236" s="4" t="inlineStr">
        <is>
          <t>pv.old.dbt.mlt.afdb</t>
        </is>
      </c>
      <c r="J236" t="inlineStr">
        <is>
          <t>CDB</t>
        </is>
      </c>
      <c r="N236" t="n">
        <v>82.49533378122531</v>
      </c>
      <c r="O236" t="n">
        <v>83.43289628510144</v>
      </c>
      <c r="P236" t="n">
        <v>81.18301954380097</v>
      </c>
      <c r="Q236" t="n">
        <v>76.16763359506507</v>
      </c>
      <c r="R236" t="n">
        <v>71.06075164518869</v>
      </c>
      <c r="S236" t="n">
        <v>65.47384030152222</v>
      </c>
      <c r="T236" t="n">
        <v>59.79648376104277</v>
      </c>
      <c r="U236" t="n">
        <v>54.48983853860344</v>
      </c>
      <c r="V236" t="n">
        <v>49.52191698176293</v>
      </c>
      <c r="W236" t="n">
        <v>44.86326155277735</v>
      </c>
      <c r="X236" t="n">
        <v>40.48671495006655</v>
      </c>
      <c r="Y236" t="n">
        <v>36.36721095129895</v>
      </c>
      <c r="Z236" t="n">
        <v>32.48158399759449</v>
      </c>
      <c r="AA236" t="n">
        <v>28.80839572649586</v>
      </c>
      <c r="AB236" t="n">
        <v>25.32777683386183</v>
      </c>
      <c r="AC236" t="n">
        <v>22.02128280031715</v>
      </c>
      <c r="AD236" t="n">
        <v>18.87176215804438</v>
      </c>
      <c r="AE236" t="n">
        <v>15.8632361000406</v>
      </c>
      <c r="AF236" t="n">
        <v>12.98078834785781</v>
      </c>
      <c r="AG236" t="n">
        <v>10.21046429652814</v>
      </c>
      <c r="AH236" t="n">
        <v>7.539178547953609</v>
      </c>
      <c r="AI236" t="n">
        <v>4.95463002751127</v>
      </c>
    </row>
    <row r="237">
      <c r="A237" t="inlineStr">
        <is>
          <t>no_year_in_pairs</t>
        </is>
      </c>
      <c r="B237" s="2" t="n"/>
      <c r="C237" s="3" t="inlineStr">
        <is>
          <t>SM.19.158, Sup. 2</t>
        </is>
      </c>
      <c r="D237" s="4" t="inlineStr">
        <is>
          <t>Dominica</t>
        </is>
      </c>
      <c r="E237" s="4" t="inlineStr">
        <is>
          <t>DMA</t>
        </is>
      </c>
      <c r="F237" s="4" t="n"/>
      <c r="G237" s="4" t="inlineStr">
        <is>
          <t>2018gn</t>
        </is>
      </c>
      <c r="H237" s="4" t="n">
        <v>2018</v>
      </c>
      <c r="I237" s="4" t="inlineStr">
        <is>
          <t>pv.old.dbt.mlt2</t>
        </is>
      </c>
      <c r="J237" t="inlineStr">
        <is>
          <t>MULTI2</t>
        </is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</row>
    <row r="238">
      <c r="A238" t="inlineStr">
        <is>
          <t>no_year_in_pairs</t>
        </is>
      </c>
      <c r="B238" s="2" t="n"/>
      <c r="C238" s="3" t="inlineStr">
        <is>
          <t>SM.19.158, Sup. 2</t>
        </is>
      </c>
      <c r="D238" s="4" t="inlineStr">
        <is>
          <t>Dominica</t>
        </is>
      </c>
      <c r="E238" s="4" t="inlineStr">
        <is>
          <t>DMA</t>
        </is>
      </c>
      <c r="F238" s="4" t="n"/>
      <c r="G238" s="4" t="inlineStr">
        <is>
          <t>2018gn</t>
        </is>
      </c>
      <c r="H238" s="4" t="n">
        <v>2018</v>
      </c>
      <c r="I238" s="4" t="inlineStr">
        <is>
          <t>pv.old.dbt.mlt3</t>
        </is>
      </c>
      <c r="J238" t="inlineStr">
        <is>
          <t>MULTI3</t>
        </is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</row>
    <row r="239">
      <c r="A239" t="inlineStr">
        <is>
          <t>no_year_in_pairs</t>
        </is>
      </c>
      <c r="B239" s="2" t="n"/>
      <c r="C239" s="3" t="inlineStr">
        <is>
          <t>SM.19.158, Sup. 2</t>
        </is>
      </c>
      <c r="D239" s="4" t="inlineStr">
        <is>
          <t>Dominica</t>
        </is>
      </c>
      <c r="E239" s="4" t="inlineStr">
        <is>
          <t>DMA</t>
        </is>
      </c>
      <c r="F239" s="4" t="n"/>
      <c r="G239" s="4" t="inlineStr">
        <is>
          <t>2018gn</t>
        </is>
      </c>
      <c r="H239" s="4" t="n">
        <v>2018</v>
      </c>
      <c r="I239" s="4" t="inlineStr">
        <is>
          <t>pv.old.dbt.mlt.oth</t>
        </is>
      </c>
      <c r="J239" t="inlineStr">
        <is>
          <t>Other Multilaterals</t>
        </is>
      </c>
      <c r="N239" t="n">
        <v>29.10303940699455</v>
      </c>
      <c r="O239" t="n">
        <v>29.31166093289985</v>
      </c>
      <c r="P239" t="n">
        <v>28.25971301658187</v>
      </c>
      <c r="Q239" t="n">
        <v>25.74102792667023</v>
      </c>
      <c r="R239" t="n">
        <v>23.74675150818893</v>
      </c>
      <c r="S239" t="n">
        <v>21.76120467619096</v>
      </c>
      <c r="T239" t="n">
        <v>19.34073157666717</v>
      </c>
      <c r="U239" t="n">
        <v>18.15092802204524</v>
      </c>
      <c r="V239" t="n">
        <v>16.12311793840493</v>
      </c>
      <c r="W239" t="n">
        <v>13.82438932827813</v>
      </c>
      <c r="X239" t="n">
        <v>11.28238663411212</v>
      </c>
      <c r="Y239" t="n">
        <v>8.547293144321516</v>
      </c>
      <c r="Z239" t="n">
        <v>5.788091010200341</v>
      </c>
      <c r="AA239" t="n">
        <v>3.634897366942937</v>
      </c>
      <c r="AB239" t="n">
        <v>3.497532665347276</v>
      </c>
      <c r="AC239" t="n">
        <v>3.285197053109265</v>
      </c>
      <c r="AD239" t="n">
        <v>3.017628564889302</v>
      </c>
      <c r="AE239" t="n">
        <v>2.703853599921831</v>
      </c>
      <c r="AF239" t="n">
        <v>2.332988986962468</v>
      </c>
      <c r="AG239" t="n">
        <v>1.920457351059978</v>
      </c>
      <c r="AH239" t="n">
        <v>1.476219028362188</v>
      </c>
      <c r="AI239" t="n">
        <v>1.005926110495037</v>
      </c>
    </row>
    <row r="240">
      <c r="A240" t="inlineStr">
        <is>
          <t>no_year_in_pairs</t>
        </is>
      </c>
      <c r="B240" s="2" t="n"/>
      <c r="C240" s="3" t="inlineStr">
        <is>
          <t>SM.19.158, Sup. 2</t>
        </is>
      </c>
      <c r="D240" s="4" t="inlineStr">
        <is>
          <t>Dominica</t>
        </is>
      </c>
      <c r="E240" s="4" t="inlineStr">
        <is>
          <t>DMA</t>
        </is>
      </c>
      <c r="F240" s="4" t="n"/>
      <c r="G240" s="4" t="inlineStr">
        <is>
          <t>2018gn</t>
        </is>
      </c>
      <c r="H240" s="4" t="n">
        <v>2018</v>
      </c>
      <c r="I240" s="4" t="inlineStr">
        <is>
          <t>pv.old.dbt.mlt.oth1</t>
        </is>
      </c>
      <c r="J240" t="inlineStr">
        <is>
          <t>OTH_MULTI1</t>
        </is>
      </c>
      <c r="N240" t="n">
        <v>29.10303940699455</v>
      </c>
      <c r="O240" t="n">
        <v>29.31166093289985</v>
      </c>
      <c r="P240" t="n">
        <v>28.25971301658187</v>
      </c>
      <c r="Q240" t="n">
        <v>25.74102792667023</v>
      </c>
      <c r="R240" t="n">
        <v>23.74675150818893</v>
      </c>
      <c r="S240" t="n">
        <v>21.76120467619096</v>
      </c>
      <c r="T240" t="n">
        <v>19.34073157666717</v>
      </c>
      <c r="U240" t="n">
        <v>18.15092802204524</v>
      </c>
      <c r="V240" t="n">
        <v>16.12311793840493</v>
      </c>
      <c r="W240" t="n">
        <v>13.82438932827813</v>
      </c>
      <c r="X240" t="n">
        <v>11.28238663411212</v>
      </c>
      <c r="Y240" t="n">
        <v>8.547293144321516</v>
      </c>
      <c r="Z240" t="n">
        <v>5.788091010200341</v>
      </c>
      <c r="AA240" t="n">
        <v>3.634897366942937</v>
      </c>
      <c r="AB240" t="n">
        <v>3.497532665347276</v>
      </c>
      <c r="AC240" t="n">
        <v>3.285197053109265</v>
      </c>
      <c r="AD240" t="n">
        <v>3.017628564889302</v>
      </c>
      <c r="AE240" t="n">
        <v>2.703853599921831</v>
      </c>
      <c r="AF240" t="n">
        <v>2.332988986962468</v>
      </c>
      <c r="AG240" t="n">
        <v>1.920457351059978</v>
      </c>
      <c r="AH240" t="n">
        <v>1.476219028362188</v>
      </c>
      <c r="AI240" t="n">
        <v>1.005926110495037</v>
      </c>
    </row>
    <row r="241">
      <c r="A241" t="inlineStr">
        <is>
          <t>no_year_in_pairs</t>
        </is>
      </c>
      <c r="B241" s="2" t="n"/>
      <c r="C241" s="3" t="inlineStr">
        <is>
          <t>SM.19.158, Sup. 2</t>
        </is>
      </c>
      <c r="D241" s="4" t="inlineStr">
        <is>
          <t>Dominica</t>
        </is>
      </c>
      <c r="E241" s="4" t="inlineStr">
        <is>
          <t>DMA</t>
        </is>
      </c>
      <c r="F241" s="4" t="n"/>
      <c r="G241" s="4" t="inlineStr">
        <is>
          <t>2018gn</t>
        </is>
      </c>
      <c r="H241" s="4" t="n">
        <v>2018</v>
      </c>
      <c r="I241" s="4" t="inlineStr">
        <is>
          <t>pv.old.dbt.mlt.oth2</t>
        </is>
      </c>
      <c r="J241" t="inlineStr">
        <is>
          <t>OTH_MULTI2</t>
        </is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</row>
    <row r="242">
      <c r="A242" t="inlineStr">
        <is>
          <t>no_year_in_pairs</t>
        </is>
      </c>
      <c r="B242" s="2" t="n"/>
      <c r="C242" s="3" t="inlineStr">
        <is>
          <t>SM.19.158, Sup. 2</t>
        </is>
      </c>
      <c r="D242" s="4" t="inlineStr">
        <is>
          <t>Dominica</t>
        </is>
      </c>
      <c r="E242" s="4" t="inlineStr">
        <is>
          <t>DMA</t>
        </is>
      </c>
      <c r="F242" s="4" t="n"/>
      <c r="G242" s="4" t="inlineStr">
        <is>
          <t>2018gn</t>
        </is>
      </c>
      <c r="H242" s="4" t="n">
        <v>2018</v>
      </c>
      <c r="I242" s="4" t="inlineStr">
        <is>
          <t>pv.old.dbt.mlt.oth3</t>
        </is>
      </c>
      <c r="J242" t="inlineStr">
        <is>
          <t>OTH_MULTI3</t>
        </is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</row>
    <row r="243">
      <c r="A243" t="inlineStr">
        <is>
          <t>no_year_in_pairs</t>
        </is>
      </c>
      <c r="B243" s="2" t="n"/>
      <c r="C243" s="3" t="inlineStr">
        <is>
          <t>SM.19.158, Sup. 2</t>
        </is>
      </c>
      <c r="D243" s="4" t="inlineStr">
        <is>
          <t>Dominica</t>
        </is>
      </c>
      <c r="E243" s="4" t="inlineStr">
        <is>
          <t>DMA</t>
        </is>
      </c>
      <c r="F243" s="4" t="n"/>
      <c r="G243" s="4" t="inlineStr">
        <is>
          <t>2018gn</t>
        </is>
      </c>
      <c r="H243" s="4" t="n">
        <v>2018</v>
      </c>
      <c r="I243" s="4" t="inlineStr">
        <is>
          <t>pv.old.dbt.blt</t>
        </is>
      </c>
      <c r="J243" t="inlineStr">
        <is>
          <t>Official Bilaterals</t>
        </is>
      </c>
      <c r="N243" t="n">
        <v>57.53608468794107</v>
      </c>
      <c r="O243" t="n">
        <v>58.82550019488644</v>
      </c>
      <c r="P243" t="n">
        <v>53.5401909628446</v>
      </c>
      <c r="Q243" t="n">
        <v>48.12890963819463</v>
      </c>
      <c r="R243" t="n">
        <v>43.01051437758649</v>
      </c>
      <c r="S243" t="n">
        <v>37.82416155007955</v>
      </c>
      <c r="T243" t="n">
        <v>32.53199964815707</v>
      </c>
      <c r="U243" t="n">
        <v>27.76123302806612</v>
      </c>
      <c r="V243" t="n">
        <v>23.08243941082577</v>
      </c>
      <c r="W243" t="n">
        <v>18.53194838010458</v>
      </c>
      <c r="X243" t="n">
        <v>14.06754749877239</v>
      </c>
      <c r="Y243" t="n">
        <v>9.714205624019275</v>
      </c>
      <c r="Z243" t="n">
        <v>5.507829859047546</v>
      </c>
      <c r="AA243" t="n">
        <v>1.381388346048322</v>
      </c>
      <c r="AB243" t="n">
        <v>-1.001653832154341</v>
      </c>
      <c r="AC243" t="n">
        <v>-1.884184415063048</v>
      </c>
      <c r="AD243" t="n">
        <v>-2.554670616029616</v>
      </c>
      <c r="AE243" t="n">
        <v>-3.040903719315661</v>
      </c>
      <c r="AF243" t="n">
        <v>-3.198564744695467</v>
      </c>
      <c r="AG243" t="n">
        <v>-3.362938702935532</v>
      </c>
      <c r="AH243" t="n">
        <v>-3.535370831280558</v>
      </c>
      <c r="AI243" t="n">
        <v>-3.715155156077945</v>
      </c>
      <c r="BI243" t="inlineStr">
        <is>
          <t>PV_OLD_OB</t>
        </is>
      </c>
    </row>
    <row r="244">
      <c r="A244" t="inlineStr">
        <is>
          <t>no_year_in_pairs</t>
        </is>
      </c>
      <c r="B244" s="2" t="n"/>
      <c r="C244" s="3" t="inlineStr">
        <is>
          <t>SM.19.158, Sup. 2</t>
        </is>
      </c>
      <c r="D244" s="4" t="inlineStr">
        <is>
          <t>Dominica</t>
        </is>
      </c>
      <c r="E244" s="4" t="inlineStr">
        <is>
          <t>DMA</t>
        </is>
      </c>
      <c r="F244" s="4" t="n"/>
      <c r="G244" s="4" t="inlineStr">
        <is>
          <t>2018gn</t>
        </is>
      </c>
      <c r="H244" s="4" t="n">
        <v>2018</v>
      </c>
      <c r="I244" s="4" t="inlineStr">
        <is>
          <t>pv.old.dbt.pc</t>
        </is>
      </c>
      <c r="J244" t="inlineStr">
        <is>
          <t xml:space="preserve">   Paris Club</t>
        </is>
      </c>
      <c r="N244" t="n">
        <v>18.6154508298901</v>
      </c>
      <c r="O244" t="n">
        <v>18.28808066768091</v>
      </c>
      <c r="P244" t="n">
        <v>15.74922596032422</v>
      </c>
      <c r="Q244" t="n">
        <v>13.75280944352562</v>
      </c>
      <c r="R244" t="n">
        <v>11.72097995273894</v>
      </c>
      <c r="S244" t="n">
        <v>9.639755024449963</v>
      </c>
      <c r="T244" t="n">
        <v>7.503803220116897</v>
      </c>
      <c r="U244" t="n">
        <v>5.837779133160012</v>
      </c>
      <c r="V244" t="n">
        <v>4.538128027331653</v>
      </c>
      <c r="W244" t="n">
        <v>3.524106499144934</v>
      </c>
      <c r="X244" t="n">
        <v>2.732757087252051</v>
      </c>
      <c r="Y244" t="n">
        <v>2.114989994714858</v>
      </c>
      <c r="Z244" t="n">
        <v>1.632527993611203</v>
      </c>
      <c r="AA244" t="n">
        <v>1.255524354952828</v>
      </c>
      <c r="AB244" t="n">
        <v>0.9607055379780798</v>
      </c>
      <c r="AC244" t="n">
        <v>0.7299230354719497</v>
      </c>
      <c r="AD244" t="n">
        <v>0.5490242388713202</v>
      </c>
      <c r="AE244" t="n">
        <v>0.4069720436810883</v>
      </c>
      <c r="AF244" t="n">
        <v>0.2951583980998108</v>
      </c>
      <c r="AG244" t="n">
        <v>0.2068690693993653</v>
      </c>
      <c r="AH244" t="n">
        <v>0.1368663148961972</v>
      </c>
      <c r="AI244" t="n">
        <v>0.08106348314045217</v>
      </c>
    </row>
    <row r="245">
      <c r="A245" t="inlineStr">
        <is>
          <t>no_year_in_pairs</t>
        </is>
      </c>
      <c r="B245" s="2" t="n"/>
      <c r="C245" s="3" t="inlineStr">
        <is>
          <t>SM.19.158, Sup. 2</t>
        </is>
      </c>
      <c r="D245" s="4" t="inlineStr">
        <is>
          <t>Dominica</t>
        </is>
      </c>
      <c r="E245" s="4" t="inlineStr">
        <is>
          <t>DMA</t>
        </is>
      </c>
      <c r="F245" s="4" t="n"/>
      <c r="G245" s="4" t="inlineStr">
        <is>
          <t>2018gn</t>
        </is>
      </c>
      <c r="H245" s="4" t="n">
        <v>2018</v>
      </c>
      <c r="I245" s="4" t="inlineStr">
        <is>
          <t>pv.old.dbt.pc1</t>
        </is>
      </c>
      <c r="J245" t="inlineStr">
        <is>
          <t>Export Credit Agencies</t>
        </is>
      </c>
      <c r="N245" t="n">
        <v>18.6154508298901</v>
      </c>
      <c r="O245" t="n">
        <v>18.28808066768091</v>
      </c>
      <c r="P245" t="n">
        <v>15.74922596032422</v>
      </c>
      <c r="Q245" t="n">
        <v>13.75280944352562</v>
      </c>
      <c r="R245" t="n">
        <v>11.72097995273894</v>
      </c>
      <c r="S245" t="n">
        <v>9.639755024449963</v>
      </c>
      <c r="T245" t="n">
        <v>7.503803220116897</v>
      </c>
      <c r="U245" t="n">
        <v>5.837779133160012</v>
      </c>
      <c r="V245" t="n">
        <v>4.538128027331653</v>
      </c>
      <c r="W245" t="n">
        <v>3.524106499144934</v>
      </c>
      <c r="X245" t="n">
        <v>2.732757087252051</v>
      </c>
      <c r="Y245" t="n">
        <v>2.114989994714858</v>
      </c>
      <c r="Z245" t="n">
        <v>1.632527993611203</v>
      </c>
      <c r="AA245" t="n">
        <v>1.255524354952828</v>
      </c>
      <c r="AB245" t="n">
        <v>0.9607055379780798</v>
      </c>
      <c r="AC245" t="n">
        <v>0.7299230354719497</v>
      </c>
      <c r="AD245" t="n">
        <v>0.5490242388713202</v>
      </c>
      <c r="AE245" t="n">
        <v>0.4069720436810883</v>
      </c>
      <c r="AF245" t="n">
        <v>0.2951583980998108</v>
      </c>
      <c r="AG245" t="n">
        <v>0.2068690693993653</v>
      </c>
      <c r="AH245" t="n">
        <v>0.1368663148961972</v>
      </c>
      <c r="AI245" t="n">
        <v>0.08106348314045217</v>
      </c>
    </row>
    <row r="246">
      <c r="A246" t="inlineStr">
        <is>
          <t>no_year_in_pairs</t>
        </is>
      </c>
      <c r="B246" s="2" t="n"/>
      <c r="C246" s="3" t="inlineStr">
        <is>
          <t>SM.19.158, Sup. 2</t>
        </is>
      </c>
      <c r="D246" s="4" t="inlineStr">
        <is>
          <t>Dominica</t>
        </is>
      </c>
      <c r="E246" s="4" t="inlineStr">
        <is>
          <t>DMA</t>
        </is>
      </c>
      <c r="F246" s="4" t="n"/>
      <c r="G246" s="4" t="inlineStr">
        <is>
          <t>2018gn</t>
        </is>
      </c>
      <c r="H246" s="4" t="n">
        <v>2018</v>
      </c>
      <c r="I246" s="4" t="inlineStr">
        <is>
          <t>pv.old.dbt.pc2</t>
        </is>
      </c>
      <c r="J246" t="inlineStr">
        <is>
          <t>PC2</t>
        </is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</row>
    <row r="247">
      <c r="A247" t="inlineStr">
        <is>
          <t>no_year_in_pairs</t>
        </is>
      </c>
      <c r="B247" s="2" t="n"/>
      <c r="C247" s="3" t="inlineStr">
        <is>
          <t>SM.19.158, Sup. 2</t>
        </is>
      </c>
      <c r="D247" s="4" t="inlineStr">
        <is>
          <t>Dominica</t>
        </is>
      </c>
      <c r="E247" s="4" t="inlineStr">
        <is>
          <t>DMA</t>
        </is>
      </c>
      <c r="F247" s="4" t="n"/>
      <c r="G247" s="4" t="inlineStr">
        <is>
          <t>2018gn</t>
        </is>
      </c>
      <c r="H247" s="4" t="n">
        <v>2018</v>
      </c>
      <c r="I247" s="4" t="inlineStr">
        <is>
          <t>pv.old.dbt.pc3</t>
        </is>
      </c>
      <c r="J247" t="inlineStr">
        <is>
          <t>PC3</t>
        </is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</row>
    <row r="248">
      <c r="A248" t="inlineStr">
        <is>
          <t>no_year_in_pairs</t>
        </is>
      </c>
      <c r="B248" s="2" t="n"/>
      <c r="C248" s="3" t="inlineStr">
        <is>
          <t>SM.19.158, Sup. 2</t>
        </is>
      </c>
      <c r="D248" s="4" t="inlineStr">
        <is>
          <t>Dominica</t>
        </is>
      </c>
      <c r="E248" s="4" t="inlineStr">
        <is>
          <t>DMA</t>
        </is>
      </c>
      <c r="F248" s="4" t="n"/>
      <c r="G248" s="4" t="inlineStr">
        <is>
          <t>2018gn</t>
        </is>
      </c>
      <c r="H248" s="4" t="n">
        <v>2018</v>
      </c>
      <c r="I248" s="4" t="inlineStr">
        <is>
          <t>pv.old.dbt.pc4</t>
        </is>
      </c>
      <c r="J248" t="inlineStr">
        <is>
          <t>PC4</t>
        </is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</row>
    <row r="249">
      <c r="A249" t="inlineStr">
        <is>
          <t>no_year_in_pairs</t>
        </is>
      </c>
      <c r="B249" s="2" t="n"/>
      <c r="C249" s="3" t="inlineStr">
        <is>
          <t>SM.19.158, Sup. 2</t>
        </is>
      </c>
      <c r="D249" s="4" t="inlineStr">
        <is>
          <t>Dominica</t>
        </is>
      </c>
      <c r="E249" s="4" t="inlineStr">
        <is>
          <t>DMA</t>
        </is>
      </c>
      <c r="F249" s="4" t="n"/>
      <c r="G249" s="4" t="inlineStr">
        <is>
          <t>2018gn</t>
        </is>
      </c>
      <c r="H249" s="4" t="n">
        <v>2018</v>
      </c>
      <c r="I249" s="4" t="inlineStr">
        <is>
          <t>pv.old.dbt.pc5</t>
        </is>
      </c>
      <c r="J249" t="inlineStr">
        <is>
          <t>PC5</t>
        </is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</row>
    <row r="250">
      <c r="A250" t="inlineStr">
        <is>
          <t>no_year_in_pairs</t>
        </is>
      </c>
      <c r="B250" s="2" t="n"/>
      <c r="C250" s="3" t="inlineStr">
        <is>
          <t>SM.19.158, Sup. 2</t>
        </is>
      </c>
      <c r="D250" s="4" t="inlineStr">
        <is>
          <t>Dominica</t>
        </is>
      </c>
      <c r="E250" s="4" t="inlineStr">
        <is>
          <t>DMA</t>
        </is>
      </c>
      <c r="F250" s="4" t="n"/>
      <c r="G250" s="4" t="inlineStr">
        <is>
          <t>2018gn</t>
        </is>
      </c>
      <c r="H250" s="4" t="n">
        <v>2018</v>
      </c>
      <c r="I250" s="4" t="inlineStr">
        <is>
          <t>pv.old.dbt.npc</t>
        </is>
      </c>
      <c r="J250" t="inlineStr">
        <is>
          <t xml:space="preserve">   Non-Paris Club</t>
        </is>
      </c>
      <c r="N250" t="n">
        <v>38.92063385805097</v>
      </c>
      <c r="O250" t="n">
        <v>40.53741952720553</v>
      </c>
      <c r="P250" t="n">
        <v>37.79096500252039</v>
      </c>
      <c r="Q250" t="n">
        <v>34.37610019466901</v>
      </c>
      <c r="R250" t="n">
        <v>31.28953442484755</v>
      </c>
      <c r="S250" t="n">
        <v>28.18440652562959</v>
      </c>
      <c r="T250" t="n">
        <v>25.02819642804018</v>
      </c>
      <c r="U250" t="n">
        <v>21.9234538949061</v>
      </c>
      <c r="V250" t="n">
        <v>18.54431138349412</v>
      </c>
      <c r="W250" t="n">
        <v>15.00784188095965</v>
      </c>
      <c r="X250" t="n">
        <v>11.33479041152034</v>
      </c>
      <c r="Y250" t="n">
        <v>7.599215629304418</v>
      </c>
      <c r="Z250" t="n">
        <v>3.875301865436343</v>
      </c>
      <c r="AA250" t="n">
        <v>0.1258639910954935</v>
      </c>
      <c r="AB250" t="n">
        <v>-1.962359370132421</v>
      </c>
      <c r="AC250" t="n">
        <v>-2.614107450534998</v>
      </c>
      <c r="AD250" t="n">
        <v>-3.103694854900936</v>
      </c>
      <c r="AE250" t="n">
        <v>-3.447875762996749</v>
      </c>
      <c r="AF250" t="n">
        <v>-3.493723142795278</v>
      </c>
      <c r="AG250" t="n">
        <v>-3.569807772334897</v>
      </c>
      <c r="AH250" t="n">
        <v>-3.672237146176755</v>
      </c>
      <c r="AI250" t="n">
        <v>-3.796218639218397</v>
      </c>
    </row>
    <row r="251">
      <c r="A251" t="inlineStr">
        <is>
          <t>no_year_in_pairs</t>
        </is>
      </c>
      <c r="B251" s="2" t="n"/>
      <c r="C251" s="3" t="inlineStr">
        <is>
          <t>SM.19.158, Sup. 2</t>
        </is>
      </c>
      <c r="D251" s="4" t="inlineStr">
        <is>
          <t>Dominica</t>
        </is>
      </c>
      <c r="E251" s="4" t="inlineStr">
        <is>
          <t>DMA</t>
        </is>
      </c>
      <c r="F251" s="4" t="n"/>
      <c r="G251" s="4" t="inlineStr">
        <is>
          <t>2018gn</t>
        </is>
      </c>
      <c r="H251" s="4" t="n">
        <v>2018</v>
      </c>
      <c r="I251" s="4" t="inlineStr">
        <is>
          <t>pv.old.dbt.npc.eximbk</t>
        </is>
      </c>
      <c r="J251" t="inlineStr">
        <is>
          <t>Export Import Bank of NPC</t>
        </is>
      </c>
      <c r="N251" t="n">
        <v>1.292299891650819</v>
      </c>
      <c r="O251" t="n">
        <v>1.35691488623336</v>
      </c>
      <c r="P251" t="n">
        <v>0.836710000915398</v>
      </c>
      <c r="Q251" t="n">
        <v>0.3063415009611679</v>
      </c>
      <c r="R251" t="n">
        <v>0.2242403537870041</v>
      </c>
      <c r="S251" t="n">
        <v>0.1836720011059839</v>
      </c>
      <c r="T251" t="n">
        <v>0.1426243048649868</v>
      </c>
      <c r="U251" t="n">
        <v>0.1106882117652103</v>
      </c>
      <c r="V251" t="n">
        <v>0.08583808733836308</v>
      </c>
      <c r="W251" t="n">
        <v>0.06649846941103763</v>
      </c>
      <c r="X251" t="n">
        <v>0.05144401515980903</v>
      </c>
      <c r="Y251" t="n">
        <v>0.03972168502665299</v>
      </c>
      <c r="Z251" t="n">
        <v>0.03059022131248534</v>
      </c>
      <c r="AA251" t="n">
        <v>0.02347307767454375</v>
      </c>
      <c r="AB251" t="n">
        <v>0.01792181003828244</v>
      </c>
      <c r="AC251" t="n">
        <v>0.01358760385316057</v>
      </c>
      <c r="AD251" t="n">
        <v>0.01019912937225708</v>
      </c>
      <c r="AE251" t="n">
        <v>0.007545318537529122</v>
      </c>
      <c r="AF251" t="n">
        <v>0.005461969631052917</v>
      </c>
      <c r="AG251" t="n">
        <v>0.003821328960006794</v>
      </c>
      <c r="AH251" t="n">
        <v>0.002523987919542424</v>
      </c>
      <c r="AI251" t="n">
        <v>0.001492580831527465</v>
      </c>
    </row>
    <row r="252">
      <c r="A252" t="inlineStr">
        <is>
          <t>no_year_in_pairs</t>
        </is>
      </c>
      <c r="B252" s="2" t="n"/>
      <c r="C252" s="3" t="inlineStr">
        <is>
          <t>SM.19.158, Sup. 2</t>
        </is>
      </c>
      <c r="D252" s="4" t="inlineStr">
        <is>
          <t>Dominica</t>
        </is>
      </c>
      <c r="E252" s="4" t="inlineStr">
        <is>
          <t>DMA</t>
        </is>
      </c>
      <c r="F252" s="4" t="n"/>
      <c r="G252" s="4" t="inlineStr">
        <is>
          <t>2018gn</t>
        </is>
      </c>
      <c r="H252" s="4" t="n">
        <v>2018</v>
      </c>
      <c r="I252" s="4" t="inlineStr">
        <is>
          <t>pv.old.dbt.npc2</t>
        </is>
      </c>
      <c r="J252" t="inlineStr">
        <is>
          <t>NPC2</t>
        </is>
      </c>
      <c r="N252" t="n">
        <v>1.586535730441006</v>
      </c>
      <c r="O252" t="n">
        <v>1.477631924370463</v>
      </c>
      <c r="P252" t="n">
        <v>1.184322520588987</v>
      </c>
      <c r="Q252" t="n">
        <v>0.8887078688406582</v>
      </c>
      <c r="R252" t="n">
        <v>0.5906727437641721</v>
      </c>
      <c r="S252" t="n">
        <v>0.2900960846560847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</row>
    <row r="253">
      <c r="A253" t="inlineStr">
        <is>
          <t>no_year_in_pairs</t>
        </is>
      </c>
      <c r="B253" s="2" t="n"/>
      <c r="C253" s="3" t="inlineStr">
        <is>
          <t>SM.19.158, Sup. 2</t>
        </is>
      </c>
      <c r="D253" s="4" t="inlineStr">
        <is>
          <t>Dominica</t>
        </is>
      </c>
      <c r="E253" s="4" t="inlineStr">
        <is>
          <t>DMA</t>
        </is>
      </c>
      <c r="F253" s="4" t="n"/>
      <c r="G253" s="4" t="inlineStr">
        <is>
          <t>2018gn</t>
        </is>
      </c>
      <c r="H253" s="4" t="n">
        <v>2018</v>
      </c>
      <c r="I253" s="4" t="inlineStr">
        <is>
          <t>pv.old.dbt.npc3</t>
        </is>
      </c>
      <c r="J253" t="inlineStr">
        <is>
          <t>NPC3</t>
        </is>
      </c>
      <c r="N253" t="n">
        <v>24.50970564215738</v>
      </c>
      <c r="O253" t="n">
        <v>25.73519092426525</v>
      </c>
      <c r="P253" t="n">
        <v>23.59898958158963</v>
      </c>
      <c r="Q253" t="n">
        <v>21.41416757918763</v>
      </c>
      <c r="R253" t="n">
        <v>19.17659151370257</v>
      </c>
      <c r="S253" t="n">
        <v>16.88362371901733</v>
      </c>
      <c r="T253" t="n">
        <v>14.53141127533857</v>
      </c>
      <c r="U253" t="n">
        <v>12.48777402562654</v>
      </c>
      <c r="V253" t="n">
        <v>10.71131595424392</v>
      </c>
      <c r="W253" t="n">
        <v>9.166147881462821</v>
      </c>
      <c r="X253" t="n">
        <v>7.821152587037383</v>
      </c>
      <c r="Y253" t="n">
        <v>6.649347885717793</v>
      </c>
      <c r="Z253" t="n">
        <v>5.627334592867633</v>
      </c>
      <c r="AA253" t="n">
        <v>4.734818059846213</v>
      </c>
      <c r="AB253" t="n">
        <v>3.954193468112835</v>
      </c>
      <c r="AC253" t="n">
        <v>3.270186379062169</v>
      </c>
      <c r="AD253" t="n">
        <v>2.669541170240531</v>
      </c>
      <c r="AE253" t="n">
        <v>2.140750971076848</v>
      </c>
      <c r="AF253" t="n">
        <v>1.673823562743602</v>
      </c>
      <c r="AG253" t="n">
        <v>1.260078444708475</v>
      </c>
      <c r="AH253" t="n">
        <v>0.8919709100848655</v>
      </c>
      <c r="AI253" t="n">
        <v>0.5629395261584299</v>
      </c>
    </row>
    <row r="254">
      <c r="A254" t="inlineStr">
        <is>
          <t>no_year_in_pairs</t>
        </is>
      </c>
      <c r="B254" s="2" t="n"/>
      <c r="C254" s="3" t="inlineStr">
        <is>
          <t>SM.19.158, Sup. 2</t>
        </is>
      </c>
      <c r="D254" s="4" t="inlineStr">
        <is>
          <t>Dominica</t>
        </is>
      </c>
      <c r="E254" s="4" t="inlineStr">
        <is>
          <t>DMA</t>
        </is>
      </c>
      <c r="F254" s="4" t="n"/>
      <c r="G254" s="4" t="inlineStr">
        <is>
          <t>2018gn</t>
        </is>
      </c>
      <c r="H254" s="4" t="n">
        <v>2018</v>
      </c>
      <c r="I254" s="4" t="inlineStr">
        <is>
          <t>pv.old.dbt.npc4</t>
        </is>
      </c>
      <c r="J254" t="inlineStr">
        <is>
          <t>NPC4</t>
        </is>
      </c>
      <c r="N254" t="n">
        <v>0.05231392200887158</v>
      </c>
      <c r="O254" t="n">
        <v>0.0520418165835428</v>
      </c>
      <c r="P254" t="n">
        <v>0.05157718414508133</v>
      </c>
      <c r="Q254" t="n">
        <v>0.0508647631527093</v>
      </c>
      <c r="R254" t="n">
        <v>0.04992677731099768</v>
      </c>
      <c r="S254" t="n">
        <v>0.04875808830879794</v>
      </c>
      <c r="T254" t="n">
        <v>0.04737275403853095</v>
      </c>
      <c r="U254" t="n">
        <v>0.04578079896138548</v>
      </c>
      <c r="V254" t="n">
        <v>0.04398626789854822</v>
      </c>
      <c r="W254" t="n">
        <v>0.04198731159093397</v>
      </c>
      <c r="X254" t="n">
        <v>0.03976841703673374</v>
      </c>
      <c r="Y254" t="n">
        <v>0.0373130667606601</v>
      </c>
      <c r="Z254" t="n">
        <v>0.03460367869707895</v>
      </c>
      <c r="AA254" t="n">
        <v>0.03162154263479319</v>
      </c>
      <c r="AB254" t="n">
        <v>0.02834675304329089</v>
      </c>
      <c r="AC254" t="n">
        <v>0.02476004445951935</v>
      </c>
      <c r="AD254" t="n">
        <v>0.02120731713020682</v>
      </c>
      <c r="AE254" t="n">
        <v>0.01751818240230587</v>
      </c>
      <c r="AF254" t="n">
        <v>0.01373336226968503</v>
      </c>
      <c r="AG254" t="n">
        <v>0.01011757590207079</v>
      </c>
      <c r="AH254" t="n">
        <v>0.006359751477554593</v>
      </c>
      <c r="AI254" t="n">
        <v>0.003665179314868962</v>
      </c>
    </row>
    <row r="255">
      <c r="A255" t="inlineStr">
        <is>
          <t>no_year_in_pairs</t>
        </is>
      </c>
      <c r="B255" s="2" t="n"/>
      <c r="C255" s="3" t="inlineStr">
        <is>
          <t>SM.19.158, Sup. 2</t>
        </is>
      </c>
      <c r="D255" s="4" t="inlineStr">
        <is>
          <t>Dominica</t>
        </is>
      </c>
      <c r="E255" s="4" t="inlineStr">
        <is>
          <t>DMA</t>
        </is>
      </c>
      <c r="F255" s="4" t="n"/>
      <c r="G255" s="4" t="inlineStr">
        <is>
          <t>2018gn</t>
        </is>
      </c>
      <c r="H255" s="4" t="n">
        <v>2018</v>
      </c>
      <c r="I255" s="4" t="inlineStr">
        <is>
          <t>pv.old.dbt.npc5</t>
        </is>
      </c>
      <c r="J255" t="inlineStr">
        <is>
          <t>NPC5</t>
        </is>
      </c>
      <c r="N255" t="n">
        <v>11.47977867179289</v>
      </c>
      <c r="O255" t="n">
        <v>11.91563997575291</v>
      </c>
      <c r="P255" t="n">
        <v>12.11936571528129</v>
      </c>
      <c r="Q255" t="n">
        <v>11.71601848252684</v>
      </c>
      <c r="R255" t="n">
        <v>11.24810303628281</v>
      </c>
      <c r="S255" t="n">
        <v>10.77825663254139</v>
      </c>
      <c r="T255" t="n">
        <v>10.30678809379809</v>
      </c>
      <c r="U255" t="n">
        <v>9.279210858552972</v>
      </c>
      <c r="V255" t="n">
        <v>7.703171074013282</v>
      </c>
      <c r="W255" t="n">
        <v>5.733208218494855</v>
      </c>
      <c r="X255" t="n">
        <v>3.422425392286411</v>
      </c>
      <c r="Y255" t="n">
        <v>0.8728329917993112</v>
      </c>
      <c r="Z255" t="n">
        <v>-1.817226627440853</v>
      </c>
      <c r="AA255" t="n">
        <v>-4.664048689060056</v>
      </c>
      <c r="AB255" t="n">
        <v>-5.962821401326829</v>
      </c>
      <c r="AC255" t="n">
        <v>-5.922641477909846</v>
      </c>
      <c r="AD255" t="n">
        <v>-5.804642471643931</v>
      </c>
      <c r="AE255" t="n">
        <v>-5.613690235013433</v>
      </c>
      <c r="AF255" t="n">
        <v>-5.186742037439618</v>
      </c>
      <c r="AG255" t="n">
        <v>-4.84382512190545</v>
      </c>
      <c r="AH255" t="n">
        <v>-4.573091795658717</v>
      </c>
      <c r="AI255" t="n">
        <v>-4.364315925523223</v>
      </c>
    </row>
    <row r="256">
      <c r="A256" t="inlineStr">
        <is>
          <t>no_year_in_pairs</t>
        </is>
      </c>
      <c r="B256" s="2" t="n"/>
      <c r="C256" s="3" t="inlineStr">
        <is>
          <t>SM.19.158, Sup. 2</t>
        </is>
      </c>
      <c r="D256" s="4" t="inlineStr">
        <is>
          <t>Dominica</t>
        </is>
      </c>
      <c r="E256" s="4" t="inlineStr">
        <is>
          <t>DMA</t>
        </is>
      </c>
      <c r="F256" s="4" t="n"/>
      <c r="G256" s="4" t="inlineStr">
        <is>
          <t>2018gn</t>
        </is>
      </c>
      <c r="H256" s="4" t="n">
        <v>2018</v>
      </c>
      <c r="I256" s="4" t="inlineStr">
        <is>
          <t>pv.old.dbt.prvt</t>
        </is>
      </c>
      <c r="J256" t="inlineStr">
        <is>
          <t>Commercial</t>
        </is>
      </c>
      <c r="N256" t="n">
        <v>77.93393415861061</v>
      </c>
      <c r="O256" t="n">
        <v>76.57310610160502</v>
      </c>
      <c r="P256" t="n">
        <v>65.83051153723029</v>
      </c>
      <c r="Q256" t="n">
        <v>61.93489448456241</v>
      </c>
      <c r="R256" t="n">
        <v>59.02930311548297</v>
      </c>
      <c r="S256" t="n">
        <v>54.9858334178752</v>
      </c>
      <c r="T256" t="n">
        <v>51.9698136975348</v>
      </c>
      <c r="U256" t="n">
        <v>47.24099546856772</v>
      </c>
      <c r="V256" t="n">
        <v>43.73157337728047</v>
      </c>
      <c r="W256" t="n">
        <v>40.92584398803829</v>
      </c>
      <c r="X256" t="n">
        <v>38.13047642206526</v>
      </c>
      <c r="Y256" t="n">
        <v>35.24994346147096</v>
      </c>
      <c r="Z256" t="n">
        <v>32.26146371180123</v>
      </c>
      <c r="AA256" t="n">
        <v>29.3816946997582</v>
      </c>
      <c r="AB256" t="n">
        <v>27.70710189681199</v>
      </c>
      <c r="AC256" t="n">
        <v>26.78258693598987</v>
      </c>
      <c r="AD256" t="n">
        <v>23.33098651303524</v>
      </c>
      <c r="AE256" t="n">
        <v>19.74803522165586</v>
      </c>
      <c r="AF256" t="n">
        <v>16.07470772510954</v>
      </c>
      <c r="AG256" t="n">
        <v>8.38425745438075</v>
      </c>
      <c r="AH256" t="n">
        <v>4.92834417911425</v>
      </c>
      <c r="AI256" t="n">
        <v>2.524273847832161</v>
      </c>
      <c r="BI256" t="inlineStr">
        <is>
          <t>PV_OLD_COM</t>
        </is>
      </c>
    </row>
    <row r="257">
      <c r="A257" t="inlineStr">
        <is>
          <t>no_year_in_pairs</t>
        </is>
      </c>
      <c r="B257" s="2" t="n"/>
      <c r="C257" s="3" t="inlineStr">
        <is>
          <t>SM.19.158, Sup. 2</t>
        </is>
      </c>
      <c r="D257" s="4" t="inlineStr">
        <is>
          <t>Dominica</t>
        </is>
      </c>
      <c r="E257" s="4" t="inlineStr">
        <is>
          <t>DMA</t>
        </is>
      </c>
      <c r="F257" s="4" t="n"/>
      <c r="G257" s="4" t="inlineStr">
        <is>
          <t>2018gn</t>
        </is>
      </c>
      <c r="H257" s="4" t="n">
        <v>2018</v>
      </c>
      <c r="I257" s="4" t="inlineStr">
        <is>
          <t>pv.old.dbt.prvt.bnd</t>
        </is>
      </c>
      <c r="J257" t="inlineStr">
        <is>
          <t>Eurobond</t>
        </is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</row>
    <row r="258">
      <c r="A258" t="inlineStr">
        <is>
          <t>no_year_in_pairs</t>
        </is>
      </c>
      <c r="B258" s="2" t="n"/>
      <c r="C258" s="3" t="inlineStr">
        <is>
          <t>SM.19.158, Sup. 2</t>
        </is>
      </c>
      <c r="D258" s="4" t="inlineStr">
        <is>
          <t>Dominica</t>
        </is>
      </c>
      <c r="E258" s="4" t="inlineStr">
        <is>
          <t>DMA</t>
        </is>
      </c>
      <c r="F258" s="4" t="n"/>
      <c r="G258" s="4" t="inlineStr">
        <is>
          <t>2018gn</t>
        </is>
      </c>
      <c r="H258" s="4" t="n">
        <v>2018</v>
      </c>
      <c r="I258" s="4" t="inlineStr">
        <is>
          <t>pv.old.dbt.prvt.cmbk</t>
        </is>
      </c>
      <c r="J258" t="inlineStr">
        <is>
          <t>Commecial Bank</t>
        </is>
      </c>
      <c r="N258" t="n">
        <v>77.93393415861061</v>
      </c>
      <c r="O258" t="n">
        <v>76.57310610160502</v>
      </c>
      <c r="P258" t="n">
        <v>65.83051153723029</v>
      </c>
      <c r="Q258" t="n">
        <v>61.93489448456241</v>
      </c>
      <c r="R258" t="n">
        <v>59.02930311548297</v>
      </c>
      <c r="S258" t="n">
        <v>54.9858334178752</v>
      </c>
      <c r="T258" t="n">
        <v>51.9698136975348</v>
      </c>
      <c r="U258" t="n">
        <v>47.24099546856772</v>
      </c>
      <c r="V258" t="n">
        <v>43.73157337728047</v>
      </c>
      <c r="W258" t="n">
        <v>40.92584398803829</v>
      </c>
      <c r="X258" t="n">
        <v>38.13047642206526</v>
      </c>
      <c r="Y258" t="n">
        <v>35.24994346147096</v>
      </c>
      <c r="Z258" t="n">
        <v>32.26146371180123</v>
      </c>
      <c r="AA258" t="n">
        <v>29.3816946997582</v>
      </c>
      <c r="AB258" t="n">
        <v>27.70710189681199</v>
      </c>
      <c r="AC258" t="n">
        <v>26.78258693598987</v>
      </c>
      <c r="AD258" t="n">
        <v>23.33098651303524</v>
      </c>
      <c r="AE258" t="n">
        <v>19.74803522165586</v>
      </c>
      <c r="AF258" t="n">
        <v>16.07470772510954</v>
      </c>
      <c r="AG258" t="n">
        <v>8.38425745438075</v>
      </c>
      <c r="AH258" t="n">
        <v>4.92834417911425</v>
      </c>
      <c r="AI258" t="n">
        <v>2.524273847832161</v>
      </c>
    </row>
    <row r="259">
      <c r="A259" t="inlineStr">
        <is>
          <t>no_year_in_pairs</t>
        </is>
      </c>
      <c r="B259" s="2" t="n"/>
      <c r="C259" s="3" t="inlineStr">
        <is>
          <t>SM.19.158, Sup. 2</t>
        </is>
      </c>
      <c r="D259" s="4" t="inlineStr">
        <is>
          <t>Dominica</t>
        </is>
      </c>
      <c r="E259" s="4" t="inlineStr">
        <is>
          <t>DMA</t>
        </is>
      </c>
      <c r="F259" s="4" t="n"/>
      <c r="G259" s="4" t="inlineStr">
        <is>
          <t>2018gn</t>
        </is>
      </c>
      <c r="H259" s="4" t="n">
        <v>2018</v>
      </c>
      <c r="I259" s="4" t="inlineStr">
        <is>
          <t>pv.old.dbt.prvt.com3</t>
        </is>
      </c>
      <c r="J259" t="inlineStr">
        <is>
          <t>COM3</t>
        </is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</row>
    <row r="260">
      <c r="A260" t="inlineStr">
        <is>
          <t>no_year_in_pairs</t>
        </is>
      </c>
      <c r="B260" s="2" t="n"/>
      <c r="C260" s="3" t="inlineStr">
        <is>
          <t>SM.19.158, Sup. 2</t>
        </is>
      </c>
      <c r="D260" s="4" t="inlineStr">
        <is>
          <t>Dominica</t>
        </is>
      </c>
      <c r="E260" s="4" t="inlineStr">
        <is>
          <t>DMA</t>
        </is>
      </c>
      <c r="F260" s="4" t="n"/>
      <c r="G260" s="4" t="inlineStr">
        <is>
          <t>2018gn</t>
        </is>
      </c>
      <c r="H260" s="4" t="n">
        <v>2018</v>
      </c>
      <c r="I260" s="4" t="inlineStr">
        <is>
          <t>pv.old.dbt.prvt.com4</t>
        </is>
      </c>
      <c r="J260" t="inlineStr">
        <is>
          <t>COM4</t>
        </is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</row>
    <row r="261">
      <c r="A261" t="inlineStr">
        <is>
          <t>no_year_in_pairs</t>
        </is>
      </c>
      <c r="B261" s="2" t="n"/>
      <c r="C261" s="3" t="inlineStr">
        <is>
          <t>SM.19.158, Sup. 2</t>
        </is>
      </c>
      <c r="D261" s="4" t="inlineStr">
        <is>
          <t>Dominica</t>
        </is>
      </c>
      <c r="E261" s="4" t="inlineStr">
        <is>
          <t>DMA</t>
        </is>
      </c>
      <c r="F261" s="4" t="n"/>
      <c r="G261" s="4" t="inlineStr">
        <is>
          <t>2018gn</t>
        </is>
      </c>
      <c r="H261" s="4" t="n">
        <v>2018</v>
      </c>
      <c r="I261" s="4" t="inlineStr">
        <is>
          <t>pv.old.dbt.prvt.com5</t>
        </is>
      </c>
      <c r="J261" t="inlineStr">
        <is>
          <t>COM5</t>
        </is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</row>
    <row r="262">
      <c r="A262" t="inlineStr">
        <is>
          <t>no_year_in_pairs</t>
        </is>
      </c>
      <c r="B262" s="2" t="n"/>
      <c r="C262" s="3" t="inlineStr">
        <is>
          <t>SM.19.158, Sup. 2</t>
        </is>
      </c>
      <c r="D262" s="4" t="inlineStr">
        <is>
          <t>Dominica</t>
        </is>
      </c>
      <c r="E262" s="4" t="inlineStr">
        <is>
          <t>DMA</t>
        </is>
      </c>
      <c r="F262" s="4" t="n"/>
      <c r="G262" s="4" t="inlineStr">
        <is>
          <t>2018gn</t>
        </is>
      </c>
      <c r="H262" s="4" t="n">
        <v>2018</v>
      </c>
      <c r="I262" s="4" t="inlineStr">
        <is>
          <t>pv.old.dbt.lcl.iss</t>
        </is>
      </c>
      <c r="J262" t="inlineStr">
        <is>
          <t>Locally-issued debt</t>
        </is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</row>
    <row r="263">
      <c r="A263" t="inlineStr">
        <is>
          <t>no_year_in_pairs</t>
        </is>
      </c>
      <c r="B263" s="2" t="n"/>
      <c r="C263" s="3" t="inlineStr">
        <is>
          <t>SM.19.158, Sup. 2</t>
        </is>
      </c>
      <c r="D263" s="4" t="inlineStr">
        <is>
          <t>Dominica</t>
        </is>
      </c>
      <c r="E263" s="4" t="inlineStr">
        <is>
          <t>DMA</t>
        </is>
      </c>
      <c r="F263" s="4" t="n"/>
      <c r="G263" s="4" t="inlineStr">
        <is>
          <t>2018gn</t>
        </is>
      </c>
      <c r="H263" s="4" t="n">
        <v>2018</v>
      </c>
      <c r="I263" s="5" t="n"/>
      <c r="J263" t="inlineStr">
        <is>
          <t>Assumed that a grant element is zero for old locally-issued debt</t>
        </is>
      </c>
    </row>
    <row r="264">
      <c r="A264" t="inlineStr">
        <is>
          <t>no_year_in_pairs</t>
        </is>
      </c>
      <c r="B264" s="2" t="n"/>
      <c r="C264" s="3" t="inlineStr">
        <is>
          <t>SM.19.158, Sup. 2</t>
        </is>
      </c>
      <c r="D264" s="4" t="inlineStr">
        <is>
          <t>Dominica</t>
        </is>
      </c>
      <c r="E264" s="4" t="inlineStr">
        <is>
          <t>DMA</t>
        </is>
      </c>
      <c r="F264" s="4" t="n"/>
      <c r="G264" s="4" t="inlineStr">
        <is>
          <t>2018gn</t>
        </is>
      </c>
      <c r="H264" s="4" t="n">
        <v>2018</v>
      </c>
      <c r="I264" s="5" t="n"/>
    </row>
    <row r="265">
      <c r="A265" t="inlineStr">
        <is>
          <t>no_year_in_pairs</t>
        </is>
      </c>
      <c r="B265" s="2" t="n"/>
      <c r="C265" s="3" t="inlineStr">
        <is>
          <t>SM.19.158, Sup. 2</t>
        </is>
      </c>
      <c r="D265" s="4" t="inlineStr">
        <is>
          <t>Dominica</t>
        </is>
      </c>
      <c r="E265" s="4" t="inlineStr">
        <is>
          <t>DMA</t>
        </is>
      </c>
      <c r="F265" s="4" t="n"/>
      <c r="G265" s="4" t="inlineStr">
        <is>
          <t>2018gn</t>
        </is>
      </c>
      <c r="H265" s="4" t="n">
        <v>2018</v>
      </c>
      <c r="I265" s="4" t="inlineStr">
        <is>
          <t>pv.out.arr</t>
        </is>
      </c>
      <c r="J265" t="inlineStr">
        <is>
          <t>PV of existing arrears</t>
        </is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BI265" t="inlineStr">
        <is>
          <t>PV_ARREARS</t>
        </is>
      </c>
    </row>
    <row r="266">
      <c r="A266" t="inlineStr">
        <is>
          <t>no_year_in_pairs</t>
        </is>
      </c>
      <c r="B266" s="2" t="n"/>
      <c r="C266" s="3" t="inlineStr">
        <is>
          <t>SM.19.158, Sup. 2</t>
        </is>
      </c>
      <c r="D266" s="4" t="inlineStr">
        <is>
          <t>Dominica</t>
        </is>
      </c>
      <c r="E266" s="4" t="inlineStr">
        <is>
          <t>DMA</t>
        </is>
      </c>
      <c r="F266" s="4" t="n"/>
      <c r="G266" s="4" t="inlineStr">
        <is>
          <t>2018gn</t>
        </is>
      </c>
      <c r="H266" s="4" t="n">
        <v>2018</v>
      </c>
      <c r="I266" s="5" t="n"/>
      <c r="M266" t="n">
        <v>-2</v>
      </c>
    </row>
    <row r="267">
      <c r="A267" t="inlineStr">
        <is>
          <t>no_year_in_pairs</t>
        </is>
      </c>
      <c r="B267" s="2" t="n"/>
      <c r="C267" s="3" t="inlineStr">
        <is>
          <t>SM.19.158, Sup. 2</t>
        </is>
      </c>
      <c r="D267" s="4" t="inlineStr">
        <is>
          <t>Dominica</t>
        </is>
      </c>
      <c r="E267" s="4" t="inlineStr">
        <is>
          <t>DMA</t>
        </is>
      </c>
      <c r="F267" s="4" t="n"/>
      <c r="G267" s="4" t="inlineStr">
        <is>
          <t>2018gn</t>
        </is>
      </c>
      <c r="H267" s="4" t="n">
        <v>2018</v>
      </c>
      <c r="I267" s="4" t="inlineStr">
        <is>
          <t>pv.new.dbt.mlg.trm</t>
        </is>
      </c>
      <c r="J267" t="inlineStr">
        <is>
          <t>PV of new MLT debt</t>
        </is>
      </c>
      <c r="O267" t="n">
        <v>42.48548003084457</v>
      </c>
      <c r="P267" t="n">
        <v>76.19249453634187</v>
      </c>
      <c r="Q267" t="n">
        <v>128.6995965812756</v>
      </c>
      <c r="R267" t="n">
        <v>170.2647641454553</v>
      </c>
      <c r="S267" t="n">
        <v>204.4602029540884</v>
      </c>
      <c r="T267" t="n">
        <v>239.972980525345</v>
      </c>
      <c r="U267" t="n">
        <v>270.5266455450442</v>
      </c>
      <c r="V267" t="n">
        <v>300.8524093325509</v>
      </c>
      <c r="W267" t="n">
        <v>329.0984958223322</v>
      </c>
      <c r="X267" t="n">
        <v>356.7470906163945</v>
      </c>
      <c r="Y267" t="n">
        <v>384.6214493298752</v>
      </c>
      <c r="Z267" t="n">
        <v>412.7550341211905</v>
      </c>
      <c r="AA267" t="n">
        <v>441.2286624808478</v>
      </c>
      <c r="AB267" t="n">
        <v>469.8787362177927</v>
      </c>
      <c r="AC267" t="n">
        <v>496.1090662160076</v>
      </c>
      <c r="AD267" t="n">
        <v>479.2022591119171</v>
      </c>
      <c r="AE267" t="n">
        <v>505.0714574560845</v>
      </c>
      <c r="AF267" t="n">
        <v>531.4854066420355</v>
      </c>
      <c r="AG267" t="n">
        <v>558.333519996982</v>
      </c>
      <c r="AH267" t="n">
        <v>586.6864464458886</v>
      </c>
      <c r="AI267" t="n">
        <v>614.5688784253929</v>
      </c>
      <c r="BI267" t="inlineStr">
        <is>
          <t>PV_NEW_MLT</t>
        </is>
      </c>
    </row>
    <row r="268">
      <c r="A268" t="inlineStr">
        <is>
          <t>no_year_in_pairs</t>
        </is>
      </c>
      <c r="B268" s="2" t="n"/>
      <c r="C268" s="3" t="inlineStr">
        <is>
          <t>SM.19.158, Sup. 2</t>
        </is>
      </c>
      <c r="D268" s="4" t="inlineStr">
        <is>
          <t>Dominica</t>
        </is>
      </c>
      <c r="E268" s="4" t="inlineStr">
        <is>
          <t>DMA</t>
        </is>
      </c>
      <c r="F268" s="4" t="n"/>
      <c r="G268" s="4" t="inlineStr">
        <is>
          <t>2018gn</t>
        </is>
      </c>
      <c r="H268" s="4" t="n">
        <v>2018</v>
      </c>
      <c r="I268" s="4" t="inlineStr">
        <is>
          <t>pv.new.dbt.mlt</t>
        </is>
      </c>
      <c r="J268" t="inlineStr">
        <is>
          <t>Multilaterals</t>
        </is>
      </c>
      <c r="O268" t="n">
        <v>7.857196490248016</v>
      </c>
      <c r="P268" t="n">
        <v>24.39690434630572</v>
      </c>
      <c r="Q268" t="n">
        <v>40.88301887934974</v>
      </c>
      <c r="R268" t="n">
        <v>58.50401785486252</v>
      </c>
      <c r="S268" t="n">
        <v>69.4494490047195</v>
      </c>
      <c r="T268" t="n">
        <v>82.16375571423899</v>
      </c>
      <c r="U268" t="n">
        <v>94.98570718470876</v>
      </c>
      <c r="V268" t="n">
        <v>107.7870864681852</v>
      </c>
      <c r="W268" t="n">
        <v>120.6318366919013</v>
      </c>
      <c r="X268" t="n">
        <v>133.4868261454918</v>
      </c>
      <c r="Y268" t="n">
        <v>146.8180032717182</v>
      </c>
      <c r="Z268" t="n">
        <v>160.3936924340584</v>
      </c>
      <c r="AA268" t="n">
        <v>173.8731369983061</v>
      </c>
      <c r="AB268" t="n">
        <v>187.2505723259859</v>
      </c>
      <c r="AC268" t="n">
        <v>200.5197700856498</v>
      </c>
      <c r="AD268" t="n">
        <v>213.8406771638594</v>
      </c>
      <c r="AE268" t="n">
        <v>227.1957998404006</v>
      </c>
      <c r="AF268" t="n">
        <v>240.5705163691837</v>
      </c>
      <c r="AG268" t="n">
        <v>253.9488646472214</v>
      </c>
      <c r="AH268" t="n">
        <v>266.950204706407</v>
      </c>
      <c r="AI268" t="n">
        <v>279.9072903280922</v>
      </c>
      <c r="BI268" t="inlineStr">
        <is>
          <t>PV_NEW_ML</t>
        </is>
      </c>
    </row>
    <row r="269">
      <c r="A269" t="inlineStr">
        <is>
          <t>no_year_in_pairs</t>
        </is>
      </c>
      <c r="B269" s="2" t="n"/>
      <c r="C269" s="3" t="inlineStr">
        <is>
          <t>SM.19.158, Sup. 2</t>
        </is>
      </c>
      <c r="D269" s="4" t="inlineStr">
        <is>
          <t>Dominica</t>
        </is>
      </c>
      <c r="E269" s="4" t="inlineStr">
        <is>
          <t>DMA</t>
        </is>
      </c>
      <c r="F269" s="4" t="n"/>
      <c r="G269" s="4" t="inlineStr">
        <is>
          <t>2018gn</t>
        </is>
      </c>
      <c r="H269" s="4" t="n">
        <v>2018</v>
      </c>
      <c r="I269" s="4" t="inlineStr">
        <is>
          <t>pv.new.dbt.mlt.imf</t>
        </is>
      </c>
      <c r="J269" t="inlineStr">
        <is>
          <t>IMF</t>
        </is>
      </c>
      <c r="M269" t="n">
        <v>24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</row>
    <row r="270">
      <c r="A270" t="inlineStr">
        <is>
          <t>no_year_in_pairs</t>
        </is>
      </c>
      <c r="B270" s="2" t="n"/>
      <c r="C270" s="3" t="inlineStr">
        <is>
          <t>SM.19.158, Sup. 2</t>
        </is>
      </c>
      <c r="D270" s="4" t="inlineStr">
        <is>
          <t>Dominica</t>
        </is>
      </c>
      <c r="E270" s="4" t="inlineStr">
        <is>
          <t>DMA</t>
        </is>
      </c>
      <c r="F270" s="4" t="n"/>
      <c r="G270" s="4" t="inlineStr">
        <is>
          <t>2018gn</t>
        </is>
      </c>
      <c r="H270" s="4" t="n">
        <v>2018</v>
      </c>
      <c r="I270" s="4" t="inlineStr">
        <is>
          <t>pv.new.dbt.mlt.ida.reg</t>
        </is>
      </c>
      <c r="J270" t="inlineStr">
        <is>
          <t>IDA - small economy</t>
        </is>
      </c>
      <c r="M270" t="n">
        <v>58</v>
      </c>
      <c r="O270" t="n">
        <v>1.951409332082445</v>
      </c>
      <c r="P270" t="n">
        <v>8.255989661350393</v>
      </c>
      <c r="Q270" t="n">
        <v>14.75579900708174</v>
      </c>
      <c r="R270" t="n">
        <v>21.46059882009965</v>
      </c>
      <c r="S270" t="n">
        <v>26.42922929168601</v>
      </c>
      <c r="T270" t="n">
        <v>31.76673785738827</v>
      </c>
      <c r="U270" t="n">
        <v>37.44305127684993</v>
      </c>
      <c r="V270" t="n">
        <v>43.47803684630392</v>
      </c>
      <c r="W270" t="n">
        <v>49.89227068643984</v>
      </c>
      <c r="X270" t="n">
        <v>56.70745080791703</v>
      </c>
      <c r="Y270" t="n">
        <v>63.94645679344391</v>
      </c>
      <c r="Z270" t="n">
        <v>71.46674565281886</v>
      </c>
      <c r="AA270" t="n">
        <v>78.92000043845792</v>
      </c>
      <c r="AB270" t="n">
        <v>86.31001247820868</v>
      </c>
      <c r="AC270" t="n">
        <v>93.64087333625847</v>
      </c>
      <c r="AD270" t="n">
        <v>101.0836611045553</v>
      </c>
      <c r="AE270" t="n">
        <v>108.6328764471078</v>
      </c>
      <c r="AF270" t="n">
        <v>116.2868088520815</v>
      </c>
      <c r="AG270" t="n">
        <v>124.0433813036378</v>
      </c>
      <c r="AH270" t="n">
        <v>131.7556059448198</v>
      </c>
      <c r="AI270" t="n">
        <v>139.5607537355125</v>
      </c>
    </row>
    <row r="271">
      <c r="A271" t="inlineStr">
        <is>
          <t>no_year_in_pairs</t>
        </is>
      </c>
      <c r="B271" s="2" t="n"/>
      <c r="C271" s="3" t="inlineStr">
        <is>
          <t>SM.19.158, Sup. 2</t>
        </is>
      </c>
      <c r="D271" s="4" t="inlineStr">
        <is>
          <t>Dominica</t>
        </is>
      </c>
      <c r="E271" s="4" t="inlineStr">
        <is>
          <t>DMA</t>
        </is>
      </c>
      <c r="F271" s="4" t="n"/>
      <c r="G271" s="4" t="inlineStr">
        <is>
          <t>2018gn</t>
        </is>
      </c>
      <c r="H271" s="4" t="n">
        <v>2018</v>
      </c>
      <c r="I271" s="4" t="inlineStr">
        <is>
          <t>pv.new.dbt.mlt.ida.bld</t>
        </is>
      </c>
      <c r="J271" t="inlineStr">
        <is>
          <t>IDA - small economy</t>
        </is>
      </c>
      <c r="M271" t="n">
        <v>84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</row>
    <row r="272">
      <c r="A272" t="inlineStr">
        <is>
          <t>no_year_in_pairs</t>
        </is>
      </c>
      <c r="B272" s="2" t="n"/>
      <c r="C272" s="3" t="inlineStr">
        <is>
          <t>SM.19.158, Sup. 2</t>
        </is>
      </c>
      <c r="D272" s="4" t="inlineStr">
        <is>
          <t>Dominica</t>
        </is>
      </c>
      <c r="E272" s="4" t="inlineStr">
        <is>
          <t>DMA</t>
        </is>
      </c>
      <c r="F272" s="4" t="n"/>
      <c r="G272" s="4" t="inlineStr">
        <is>
          <t>2018gn</t>
        </is>
      </c>
      <c r="H272" s="4" t="n">
        <v>2018</v>
      </c>
      <c r="I272" s="4" t="inlineStr">
        <is>
          <t>pv.new.dbt.mlt.afdb</t>
        </is>
      </c>
      <c r="J272" t="inlineStr">
        <is>
          <t>CDB</t>
        </is>
      </c>
      <c r="M272" t="n">
        <v>109</v>
      </c>
      <c r="O272" t="n">
        <v>5.905787158165571</v>
      </c>
      <c r="P272" t="n">
        <v>16.14091468495532</v>
      </c>
      <c r="Q272" t="n">
        <v>26.127219872268</v>
      </c>
      <c r="R272" t="n">
        <v>37.04341903476288</v>
      </c>
      <c r="S272" t="n">
        <v>43.02021971303348</v>
      </c>
      <c r="T272" t="n">
        <v>50.39701785685072</v>
      </c>
      <c r="U272" t="n">
        <v>57.54265590785884</v>
      </c>
      <c r="V272" t="n">
        <v>64.30904962188126</v>
      </c>
      <c r="W272" t="n">
        <v>70.73956600546143</v>
      </c>
      <c r="X272" t="n">
        <v>76.77937533757476</v>
      </c>
      <c r="Y272" t="n">
        <v>82.87154647827427</v>
      </c>
      <c r="Z272" t="n">
        <v>88.92694678123952</v>
      </c>
      <c r="AA272" t="n">
        <v>94.95313655984819</v>
      </c>
      <c r="AB272" t="n">
        <v>100.9405598477772</v>
      </c>
      <c r="AC272" t="n">
        <v>106.8788967493914</v>
      </c>
      <c r="AD272" t="n">
        <v>112.7570160593041</v>
      </c>
      <c r="AE272" t="n">
        <v>118.5629233932927</v>
      </c>
      <c r="AF272" t="n">
        <v>124.2837075171022</v>
      </c>
      <c r="AG272" t="n">
        <v>129.9054833435836</v>
      </c>
      <c r="AH272" t="n">
        <v>135.1945987615872</v>
      </c>
      <c r="AI272" t="n">
        <v>140.3465365925797</v>
      </c>
    </row>
    <row r="273">
      <c r="A273" t="inlineStr">
        <is>
          <t>no_year_in_pairs</t>
        </is>
      </c>
      <c r="B273" s="2" t="n"/>
      <c r="C273" s="3" t="inlineStr">
        <is>
          <t>SM.19.158, Sup. 2</t>
        </is>
      </c>
      <c r="D273" s="4" t="inlineStr">
        <is>
          <t>Dominica</t>
        </is>
      </c>
      <c r="E273" s="4" t="inlineStr">
        <is>
          <t>DMA</t>
        </is>
      </c>
      <c r="F273" s="4" t="n"/>
      <c r="G273" s="4" t="inlineStr">
        <is>
          <t>2018gn</t>
        </is>
      </c>
      <c r="H273" s="4" t="n">
        <v>2018</v>
      </c>
      <c r="I273" s="4" t="inlineStr">
        <is>
          <t>pv.new.dbt.mlt2</t>
        </is>
      </c>
      <c r="J273" t="inlineStr">
        <is>
          <t>MULTI2</t>
        </is>
      </c>
      <c r="M273" t="n">
        <v>135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</row>
    <row r="274">
      <c r="A274" t="inlineStr">
        <is>
          <t>no_year_in_pairs</t>
        </is>
      </c>
      <c r="B274" s="2" t="n"/>
      <c r="C274" s="3" t="inlineStr">
        <is>
          <t>SM.19.158, Sup. 2</t>
        </is>
      </c>
      <c r="D274" s="4" t="inlineStr">
        <is>
          <t>Dominica</t>
        </is>
      </c>
      <c r="E274" s="4" t="inlineStr">
        <is>
          <t>DMA</t>
        </is>
      </c>
      <c r="F274" s="4" t="n"/>
      <c r="G274" s="4" t="inlineStr">
        <is>
          <t>2018gn</t>
        </is>
      </c>
      <c r="H274" s="4" t="n">
        <v>2018</v>
      </c>
      <c r="I274" s="4" t="inlineStr">
        <is>
          <t>pv.new.dbt.mlt3</t>
        </is>
      </c>
      <c r="J274" t="inlineStr">
        <is>
          <t>MULTI3</t>
        </is>
      </c>
      <c r="M274" t="n">
        <v>161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</row>
    <row r="275">
      <c r="A275" t="inlineStr">
        <is>
          <t>no_year_in_pairs</t>
        </is>
      </c>
      <c r="B275" s="2" t="n"/>
      <c r="C275" s="3" t="inlineStr">
        <is>
          <t>SM.19.158, Sup. 2</t>
        </is>
      </c>
      <c r="D275" s="4" t="inlineStr">
        <is>
          <t>Dominica</t>
        </is>
      </c>
      <c r="E275" s="4" t="inlineStr">
        <is>
          <t>DMA</t>
        </is>
      </c>
      <c r="F275" s="4" t="n"/>
      <c r="G275" s="4" t="inlineStr">
        <is>
          <t>2018gn</t>
        </is>
      </c>
      <c r="H275" s="4" t="n">
        <v>2018</v>
      </c>
      <c r="I275" s="4" t="inlineStr">
        <is>
          <t>pv.new.dbt.mlt.oth</t>
        </is>
      </c>
      <c r="J275" t="inlineStr">
        <is>
          <t>Other Multilaterals</t>
        </is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-0.300510772168557</v>
      </c>
      <c r="AI275" t="n">
        <v>-0.6051581940566529</v>
      </c>
    </row>
    <row r="276">
      <c r="A276" t="inlineStr">
        <is>
          <t>no_year_in_pairs</t>
        </is>
      </c>
      <c r="B276" s="2" t="n"/>
      <c r="C276" s="3" t="inlineStr">
        <is>
          <t>SM.19.158, Sup. 2</t>
        </is>
      </c>
      <c r="D276" s="4" t="inlineStr">
        <is>
          <t>Dominica</t>
        </is>
      </c>
      <c r="E276" s="4" t="inlineStr">
        <is>
          <t>DMA</t>
        </is>
      </c>
      <c r="F276" s="4" t="n"/>
      <c r="G276" s="4" t="inlineStr">
        <is>
          <t>2018gn</t>
        </is>
      </c>
      <c r="H276" s="4" t="n">
        <v>2018</v>
      </c>
      <c r="I276" s="4" t="inlineStr">
        <is>
          <t>pv.new.dbt.mlt.oth1</t>
        </is>
      </c>
      <c r="J276" t="inlineStr">
        <is>
          <t>OTH_MULTI1</t>
        </is>
      </c>
      <c r="M276" t="n">
        <v>187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-0.300510772168557</v>
      </c>
      <c r="AI276" t="n">
        <v>-0.6051581940566529</v>
      </c>
    </row>
    <row r="277">
      <c r="A277" t="inlineStr">
        <is>
          <t>no_year_in_pairs</t>
        </is>
      </c>
      <c r="B277" s="2" t="n"/>
      <c r="C277" s="3" t="inlineStr">
        <is>
          <t>SM.19.158, Sup. 2</t>
        </is>
      </c>
      <c r="D277" s="4" t="inlineStr">
        <is>
          <t>Dominica</t>
        </is>
      </c>
      <c r="E277" s="4" t="inlineStr">
        <is>
          <t>DMA</t>
        </is>
      </c>
      <c r="F277" s="4" t="n"/>
      <c r="G277" s="4" t="inlineStr">
        <is>
          <t>2018gn</t>
        </is>
      </c>
      <c r="H277" s="4" t="n">
        <v>2018</v>
      </c>
      <c r="I277" s="4" t="inlineStr">
        <is>
          <t>pv.new.dbt.mlt.oth2</t>
        </is>
      </c>
      <c r="J277" t="inlineStr">
        <is>
          <t>OTH_MULTI2</t>
        </is>
      </c>
      <c r="M277" t="n">
        <v>213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</row>
    <row r="278">
      <c r="A278" t="inlineStr">
        <is>
          <t>no_year_in_pairs</t>
        </is>
      </c>
      <c r="B278" s="2" t="n"/>
      <c r="C278" s="3" t="inlineStr">
        <is>
          <t>SM.19.158, Sup. 2</t>
        </is>
      </c>
      <c r="D278" s="4" t="inlineStr">
        <is>
          <t>Dominica</t>
        </is>
      </c>
      <c r="E278" s="4" t="inlineStr">
        <is>
          <t>DMA</t>
        </is>
      </c>
      <c r="F278" s="4" t="n"/>
      <c r="G278" s="4" t="inlineStr">
        <is>
          <t>2018gn</t>
        </is>
      </c>
      <c r="H278" s="4" t="n">
        <v>2018</v>
      </c>
      <c r="I278" s="4" t="inlineStr">
        <is>
          <t>pv.new.dbt.mlt.oth3</t>
        </is>
      </c>
      <c r="J278" t="inlineStr">
        <is>
          <t>OTH_MULTI3</t>
        </is>
      </c>
      <c r="M278" t="n">
        <v>239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</row>
    <row r="279">
      <c r="A279" t="inlineStr">
        <is>
          <t>no_year_in_pairs</t>
        </is>
      </c>
      <c r="B279" s="2" t="n"/>
      <c r="C279" s="3" t="inlineStr">
        <is>
          <t>SM.19.158, Sup. 2</t>
        </is>
      </c>
      <c r="D279" s="4" t="inlineStr">
        <is>
          <t>Dominica</t>
        </is>
      </c>
      <c r="E279" s="4" t="inlineStr">
        <is>
          <t>DMA</t>
        </is>
      </c>
      <c r="F279" s="4" t="n"/>
      <c r="G279" s="4" t="inlineStr">
        <is>
          <t>2018gn</t>
        </is>
      </c>
      <c r="H279" s="4" t="n">
        <v>2018</v>
      </c>
      <c r="I279" s="4" t="inlineStr">
        <is>
          <t>pv.new.dbt.blt</t>
        </is>
      </c>
      <c r="J279" t="inlineStr">
        <is>
          <t>Official Bilaterals</t>
        </is>
      </c>
      <c r="O279" t="n">
        <v>15.25930170817459</v>
      </c>
      <c r="P279" t="n">
        <v>21.34361064271349</v>
      </c>
      <c r="Q279" t="n">
        <v>35.4903279331787</v>
      </c>
      <c r="R279" t="n">
        <v>47.03107507637961</v>
      </c>
      <c r="S279" t="n">
        <v>58.23809420430202</v>
      </c>
      <c r="T279" t="n">
        <v>68.84845138732747</v>
      </c>
      <c r="U279" t="n">
        <v>75.83071364968168</v>
      </c>
      <c r="V279" t="n">
        <v>81.13061258543682</v>
      </c>
      <c r="W279" t="n">
        <v>83.71182077532357</v>
      </c>
      <c r="X279" t="n">
        <v>84.09765721891341</v>
      </c>
      <c r="Y279" t="n">
        <v>82.39278185276808</v>
      </c>
      <c r="Z279" t="n">
        <v>82.05739551378269</v>
      </c>
      <c r="AA279" t="n">
        <v>81.0896086093657</v>
      </c>
      <c r="AB279" t="n">
        <v>81.38331674344282</v>
      </c>
      <c r="AC279" t="n">
        <v>80.74210451194561</v>
      </c>
      <c r="AD279" t="n">
        <v>79.32780092509689</v>
      </c>
      <c r="AE279" t="n">
        <v>78.14739825023128</v>
      </c>
      <c r="AF279" t="n">
        <v>77.21766534273686</v>
      </c>
      <c r="AG279" t="n">
        <v>76.42710921513928</v>
      </c>
      <c r="AH279" t="n">
        <v>75.80353252741988</v>
      </c>
      <c r="AI279" t="n">
        <v>75.65958199815879</v>
      </c>
      <c r="BI279" t="inlineStr">
        <is>
          <t>PV_NEW_OB</t>
        </is>
      </c>
    </row>
    <row r="280">
      <c r="A280" t="inlineStr">
        <is>
          <t>no_year_in_pairs</t>
        </is>
      </c>
      <c r="B280" s="2" t="n"/>
      <c r="C280" s="3" t="inlineStr">
        <is>
          <t>SM.19.158, Sup. 2</t>
        </is>
      </c>
      <c r="D280" s="4" t="inlineStr">
        <is>
          <t>Dominica</t>
        </is>
      </c>
      <c r="E280" s="4" t="inlineStr">
        <is>
          <t>DMA</t>
        </is>
      </c>
      <c r="F280" s="4" t="n"/>
      <c r="G280" s="4" t="inlineStr">
        <is>
          <t>2018gn</t>
        </is>
      </c>
      <c r="H280" s="4" t="n">
        <v>2018</v>
      </c>
      <c r="I280" s="4" t="inlineStr">
        <is>
          <t>pv.new.dbt.pc</t>
        </is>
      </c>
      <c r="J280" t="inlineStr">
        <is>
          <t xml:space="preserve">   Paris Club</t>
        </is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</row>
    <row r="281">
      <c r="A281" t="inlineStr">
        <is>
          <t>no_year_in_pairs</t>
        </is>
      </c>
      <c r="B281" s="2" t="n"/>
      <c r="C281" s="3" t="inlineStr">
        <is>
          <t>SM.19.158, Sup. 2</t>
        </is>
      </c>
      <c r="D281" s="4" t="inlineStr">
        <is>
          <t>Dominica</t>
        </is>
      </c>
      <c r="E281" s="4" t="inlineStr">
        <is>
          <t>DMA</t>
        </is>
      </c>
      <c r="F281" s="4" t="n"/>
      <c r="G281" s="4" t="inlineStr">
        <is>
          <t>2018gn</t>
        </is>
      </c>
      <c r="H281" s="4" t="n">
        <v>2018</v>
      </c>
      <c r="I281" s="4" t="inlineStr">
        <is>
          <t>pv.new.dbt.pc1</t>
        </is>
      </c>
      <c r="J281" t="inlineStr">
        <is>
          <t>Export Credit Agencies</t>
        </is>
      </c>
      <c r="M281" t="n">
        <v>265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</row>
    <row r="282">
      <c r="A282" t="inlineStr">
        <is>
          <t>no_year_in_pairs</t>
        </is>
      </c>
      <c r="B282" s="2" t="n"/>
      <c r="C282" s="3" t="inlineStr">
        <is>
          <t>SM.19.158, Sup. 2</t>
        </is>
      </c>
      <c r="D282" s="4" t="inlineStr">
        <is>
          <t>Dominica</t>
        </is>
      </c>
      <c r="E282" s="4" t="inlineStr">
        <is>
          <t>DMA</t>
        </is>
      </c>
      <c r="F282" s="4" t="n"/>
      <c r="G282" s="4" t="inlineStr">
        <is>
          <t>2018gn</t>
        </is>
      </c>
      <c r="H282" s="4" t="n">
        <v>2018</v>
      </c>
      <c r="I282" s="4" t="inlineStr">
        <is>
          <t>pv.new.dbt.pc2</t>
        </is>
      </c>
      <c r="J282" t="inlineStr">
        <is>
          <t>PC2</t>
        </is>
      </c>
      <c r="M282" t="n">
        <v>291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</row>
    <row r="283">
      <c r="A283" t="inlineStr">
        <is>
          <t>no_year_in_pairs</t>
        </is>
      </c>
      <c r="B283" s="2" t="n"/>
      <c r="C283" s="3" t="inlineStr">
        <is>
          <t>SM.19.158, Sup. 2</t>
        </is>
      </c>
      <c r="D283" s="4" t="inlineStr">
        <is>
          <t>Dominica</t>
        </is>
      </c>
      <c r="E283" s="4" t="inlineStr">
        <is>
          <t>DMA</t>
        </is>
      </c>
      <c r="F283" s="4" t="n"/>
      <c r="G283" s="4" t="inlineStr">
        <is>
          <t>2018gn</t>
        </is>
      </c>
      <c r="H283" s="4" t="n">
        <v>2018</v>
      </c>
      <c r="I283" s="4" t="inlineStr">
        <is>
          <t>pv.new.dbt.pc3</t>
        </is>
      </c>
      <c r="J283" t="inlineStr">
        <is>
          <t>PC3</t>
        </is>
      </c>
      <c r="M283" t="n">
        <v>317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</row>
    <row r="284">
      <c r="A284" t="inlineStr">
        <is>
          <t>no_year_in_pairs</t>
        </is>
      </c>
      <c r="B284" s="2" t="n"/>
      <c r="C284" s="3" t="inlineStr">
        <is>
          <t>SM.19.158, Sup. 2</t>
        </is>
      </c>
      <c r="D284" s="4" t="inlineStr">
        <is>
          <t>Dominica</t>
        </is>
      </c>
      <c r="E284" s="4" t="inlineStr">
        <is>
          <t>DMA</t>
        </is>
      </c>
      <c r="F284" s="4" t="n"/>
      <c r="G284" s="4" t="inlineStr">
        <is>
          <t>2018gn</t>
        </is>
      </c>
      <c r="H284" s="4" t="n">
        <v>2018</v>
      </c>
      <c r="I284" s="4" t="inlineStr">
        <is>
          <t>pv.new.dbt.pc4</t>
        </is>
      </c>
      <c r="J284" t="inlineStr">
        <is>
          <t>PC4</t>
        </is>
      </c>
      <c r="M284" t="n">
        <v>343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</row>
    <row r="285">
      <c r="A285" t="inlineStr">
        <is>
          <t>no_year_in_pairs</t>
        </is>
      </c>
      <c r="B285" s="2" t="n"/>
      <c r="C285" s="3" t="inlineStr">
        <is>
          <t>SM.19.158, Sup. 2</t>
        </is>
      </c>
      <c r="D285" s="4" t="inlineStr">
        <is>
          <t>Dominica</t>
        </is>
      </c>
      <c r="E285" s="4" t="inlineStr">
        <is>
          <t>DMA</t>
        </is>
      </c>
      <c r="F285" s="4" t="n"/>
      <c r="G285" s="4" t="inlineStr">
        <is>
          <t>2018gn</t>
        </is>
      </c>
      <c r="H285" s="4" t="n">
        <v>2018</v>
      </c>
      <c r="I285" s="4" t="inlineStr">
        <is>
          <t>pv.new.dbt.pc5</t>
        </is>
      </c>
      <c r="J285" t="inlineStr">
        <is>
          <t>PC5</t>
        </is>
      </c>
      <c r="M285" t="n">
        <v>369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</row>
    <row r="286">
      <c r="A286" t="inlineStr">
        <is>
          <t>no_year_in_pairs</t>
        </is>
      </c>
      <c r="B286" s="2" t="n"/>
      <c r="C286" s="3" t="inlineStr">
        <is>
          <t>SM.19.158, Sup. 2</t>
        </is>
      </c>
      <c r="D286" s="4" t="inlineStr">
        <is>
          <t>Dominica</t>
        </is>
      </c>
      <c r="E286" s="4" t="inlineStr">
        <is>
          <t>DMA</t>
        </is>
      </c>
      <c r="F286" s="4" t="n"/>
      <c r="G286" s="4" t="inlineStr">
        <is>
          <t>2018gn</t>
        </is>
      </c>
      <c r="H286" s="4" t="n">
        <v>2018</v>
      </c>
      <c r="I286" s="4" t="inlineStr">
        <is>
          <t>pv.new.dbt.npc</t>
        </is>
      </c>
      <c r="J286" t="inlineStr">
        <is>
          <t xml:space="preserve">   Non-Paris Club</t>
        </is>
      </c>
      <c r="M286" t="n">
        <v>-2</v>
      </c>
      <c r="O286" t="n">
        <v>15.25930170817459</v>
      </c>
      <c r="P286" t="n">
        <v>21.34361064271349</v>
      </c>
      <c r="Q286" t="n">
        <v>35.4903279331787</v>
      </c>
      <c r="R286" t="n">
        <v>47.03107507637961</v>
      </c>
      <c r="S286" t="n">
        <v>58.23809420430202</v>
      </c>
      <c r="T286" t="n">
        <v>68.84845138732747</v>
      </c>
      <c r="U286" t="n">
        <v>75.83071364968168</v>
      </c>
      <c r="V286" t="n">
        <v>81.13061258543682</v>
      </c>
      <c r="W286" t="n">
        <v>83.71182077532357</v>
      </c>
      <c r="X286" t="n">
        <v>84.09765721891341</v>
      </c>
      <c r="Y286" t="n">
        <v>82.39278185276808</v>
      </c>
      <c r="Z286" t="n">
        <v>82.05739551378269</v>
      </c>
      <c r="AA286" t="n">
        <v>81.0896086093657</v>
      </c>
      <c r="AB286" t="n">
        <v>81.38331674344282</v>
      </c>
      <c r="AC286" t="n">
        <v>80.74210451194561</v>
      </c>
      <c r="AD286" t="n">
        <v>79.32780092509689</v>
      </c>
      <c r="AE286" t="n">
        <v>78.14739825023128</v>
      </c>
      <c r="AF286" t="n">
        <v>77.21766534273686</v>
      </c>
      <c r="AG286" t="n">
        <v>76.42710921513928</v>
      </c>
      <c r="AH286" t="n">
        <v>75.80353252741988</v>
      </c>
      <c r="AI286" t="n">
        <v>75.65958199815879</v>
      </c>
    </row>
    <row r="287">
      <c r="A287" t="inlineStr">
        <is>
          <t>no_year_in_pairs</t>
        </is>
      </c>
      <c r="B287" s="2" t="n"/>
      <c r="C287" s="3" t="inlineStr">
        <is>
          <t>SM.19.158, Sup. 2</t>
        </is>
      </c>
      <c r="D287" s="4" t="inlineStr">
        <is>
          <t>Dominica</t>
        </is>
      </c>
      <c r="E287" s="4" t="inlineStr">
        <is>
          <t>DMA</t>
        </is>
      </c>
      <c r="F287" s="4" t="n"/>
      <c r="G287" s="4" t="inlineStr">
        <is>
          <t>2018gn</t>
        </is>
      </c>
      <c r="H287" s="4" t="n">
        <v>2018</v>
      </c>
      <c r="I287" s="4" t="inlineStr">
        <is>
          <t>pv.new.dbt.npc.eximbk</t>
        </is>
      </c>
      <c r="J287" t="inlineStr">
        <is>
          <t>Export Import Bank of NPC</t>
        </is>
      </c>
      <c r="M287" t="n">
        <v>395</v>
      </c>
      <c r="O287" t="n">
        <v>15.25930170817459</v>
      </c>
      <c r="P287" t="n">
        <v>21.34361064271349</v>
      </c>
      <c r="Q287" t="n">
        <v>35.4903279331787</v>
      </c>
      <c r="R287" t="n">
        <v>47.03107507637961</v>
      </c>
      <c r="S287" t="n">
        <v>58.23809420430202</v>
      </c>
      <c r="T287" t="n">
        <v>68.84845138732747</v>
      </c>
      <c r="U287" t="n">
        <v>75.83071364968168</v>
      </c>
      <c r="V287" t="n">
        <v>81.13061258543682</v>
      </c>
      <c r="W287" t="n">
        <v>83.71182077532357</v>
      </c>
      <c r="X287" t="n">
        <v>84.09765721891341</v>
      </c>
      <c r="Y287" t="n">
        <v>82.39278185276808</v>
      </c>
      <c r="Z287" t="n">
        <v>82.05739551378269</v>
      </c>
      <c r="AA287" t="n">
        <v>81.0896086093657</v>
      </c>
      <c r="AB287" t="n">
        <v>81.38331674344282</v>
      </c>
      <c r="AC287" t="n">
        <v>80.74210451194561</v>
      </c>
      <c r="AD287" t="n">
        <v>79.32780092509689</v>
      </c>
      <c r="AE287" t="n">
        <v>78.14739825023128</v>
      </c>
      <c r="AF287" t="n">
        <v>77.21766534273686</v>
      </c>
      <c r="AG287" t="n">
        <v>76.42710921513928</v>
      </c>
      <c r="AH287" t="n">
        <v>75.80353252741988</v>
      </c>
      <c r="AI287" t="n">
        <v>75.65958199815879</v>
      </c>
    </row>
    <row r="288">
      <c r="A288" t="inlineStr">
        <is>
          <t>no_year_in_pairs</t>
        </is>
      </c>
      <c r="B288" s="2" t="n"/>
      <c r="C288" s="3" t="inlineStr">
        <is>
          <t>SM.19.158, Sup. 2</t>
        </is>
      </c>
      <c r="D288" s="4" t="inlineStr">
        <is>
          <t>Dominica</t>
        </is>
      </c>
      <c r="E288" s="4" t="inlineStr">
        <is>
          <t>DMA</t>
        </is>
      </c>
      <c r="F288" s="4" t="n"/>
      <c r="G288" s="4" t="inlineStr">
        <is>
          <t>2018gn</t>
        </is>
      </c>
      <c r="H288" s="4" t="n">
        <v>2018</v>
      </c>
      <c r="I288" s="4" t="inlineStr">
        <is>
          <t>pv.new.dbt.npc2</t>
        </is>
      </c>
      <c r="J288" t="inlineStr">
        <is>
          <t>NPC2</t>
        </is>
      </c>
      <c r="M288" t="n">
        <v>421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</row>
    <row r="289">
      <c r="A289" t="inlineStr">
        <is>
          <t>no_year_in_pairs</t>
        </is>
      </c>
      <c r="B289" s="2" t="n"/>
      <c r="C289" s="3" t="inlineStr">
        <is>
          <t>SM.19.158, Sup. 2</t>
        </is>
      </c>
      <c r="D289" s="4" t="inlineStr">
        <is>
          <t>Dominica</t>
        </is>
      </c>
      <c r="E289" s="4" t="inlineStr">
        <is>
          <t>DMA</t>
        </is>
      </c>
      <c r="F289" s="4" t="n"/>
      <c r="G289" s="4" t="inlineStr">
        <is>
          <t>2018gn</t>
        </is>
      </c>
      <c r="H289" s="4" t="n">
        <v>2018</v>
      </c>
      <c r="I289" s="4" t="inlineStr">
        <is>
          <t>pv.new.dbt.npc3</t>
        </is>
      </c>
      <c r="J289" t="inlineStr">
        <is>
          <t>NPC3</t>
        </is>
      </c>
      <c r="M289" t="n">
        <v>447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</row>
    <row r="290">
      <c r="A290" t="inlineStr">
        <is>
          <t>no_year_in_pairs</t>
        </is>
      </c>
      <c r="B290" s="2" t="n"/>
      <c r="C290" s="3" t="inlineStr">
        <is>
          <t>SM.19.158, Sup. 2</t>
        </is>
      </c>
      <c r="D290" s="4" t="inlineStr">
        <is>
          <t>Dominica</t>
        </is>
      </c>
      <c r="E290" s="4" t="inlineStr">
        <is>
          <t>DMA</t>
        </is>
      </c>
      <c r="F290" s="4" t="n"/>
      <c r="G290" s="4" t="inlineStr">
        <is>
          <t>2018gn</t>
        </is>
      </c>
      <c r="H290" s="4" t="n">
        <v>2018</v>
      </c>
      <c r="I290" s="4" t="inlineStr">
        <is>
          <t>pv.new.dbt.npc4</t>
        </is>
      </c>
      <c r="J290" t="inlineStr">
        <is>
          <t>NPC4</t>
        </is>
      </c>
      <c r="M290" t="n">
        <v>473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</row>
    <row r="291">
      <c r="A291" t="inlineStr">
        <is>
          <t>no_year_in_pairs</t>
        </is>
      </c>
      <c r="B291" s="2" t="n"/>
      <c r="C291" s="3" t="inlineStr">
        <is>
          <t>SM.19.158, Sup. 2</t>
        </is>
      </c>
      <c r="D291" s="4" t="inlineStr">
        <is>
          <t>Dominica</t>
        </is>
      </c>
      <c r="E291" s="4" t="inlineStr">
        <is>
          <t>DMA</t>
        </is>
      </c>
      <c r="F291" s="4" t="n"/>
      <c r="G291" s="4" t="inlineStr">
        <is>
          <t>2018gn</t>
        </is>
      </c>
      <c r="H291" s="4" t="n">
        <v>2018</v>
      </c>
      <c r="I291" s="4" t="inlineStr">
        <is>
          <t>pv.new.dbt.npc5</t>
        </is>
      </c>
      <c r="J291" t="inlineStr">
        <is>
          <t>NPC5</t>
        </is>
      </c>
      <c r="M291" t="n">
        <v>499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</row>
    <row r="292">
      <c r="A292" t="inlineStr">
        <is>
          <t>no_year_in_pairs</t>
        </is>
      </c>
      <c r="B292" s="2" t="n"/>
      <c r="C292" s="3" t="inlineStr">
        <is>
          <t>SM.19.158, Sup. 2</t>
        </is>
      </c>
      <c r="D292" s="4" t="inlineStr">
        <is>
          <t>Dominica</t>
        </is>
      </c>
      <c r="E292" s="4" t="inlineStr">
        <is>
          <t>DMA</t>
        </is>
      </c>
      <c r="F292" s="4" t="n"/>
      <c r="G292" s="4" t="inlineStr">
        <is>
          <t>2018gn</t>
        </is>
      </c>
      <c r="H292" s="4" t="n">
        <v>2018</v>
      </c>
      <c r="I292" s="4" t="inlineStr">
        <is>
          <t>pv.new.dbt.prvt</t>
        </is>
      </c>
      <c r="J292" t="inlineStr">
        <is>
          <t>Commercial</t>
        </is>
      </c>
      <c r="O292" t="n">
        <v>19.36898183242197</v>
      </c>
      <c r="P292" t="n">
        <v>30.45197954732266</v>
      </c>
      <c r="Q292" t="n">
        <v>52.32624976874712</v>
      </c>
      <c r="R292" t="n">
        <v>64.72967121421313</v>
      </c>
      <c r="S292" t="n">
        <v>76.7726597450669</v>
      </c>
      <c r="T292" t="n">
        <v>88.96077342377859</v>
      </c>
      <c r="U292" t="n">
        <v>99.71022471065372</v>
      </c>
      <c r="V292" t="n">
        <v>111.9347102789289</v>
      </c>
      <c r="W292" t="n">
        <v>124.7548383551074</v>
      </c>
      <c r="X292" t="n">
        <v>139.1626072519894</v>
      </c>
      <c r="Y292" t="n">
        <v>155.410664205389</v>
      </c>
      <c r="Z292" t="n">
        <v>170.3039461733494</v>
      </c>
      <c r="AA292" t="n">
        <v>186.2659168731759</v>
      </c>
      <c r="AB292" t="n">
        <v>201.244847148364</v>
      </c>
      <c r="AC292" t="n">
        <v>214.8471916184121</v>
      </c>
      <c r="AD292" t="n">
        <v>186.0337810229609</v>
      </c>
      <c r="AE292" t="n">
        <v>199.7282593654527</v>
      </c>
      <c r="AF292" t="n">
        <v>213.6972249301149</v>
      </c>
      <c r="AG292" t="n">
        <v>227.9575461346213</v>
      </c>
      <c r="AH292" t="n">
        <v>244.2332199842302</v>
      </c>
      <c r="AI292" t="n">
        <v>259.6071642931985</v>
      </c>
      <c r="BI292" t="inlineStr">
        <is>
          <t>PV_NEW_COM</t>
        </is>
      </c>
    </row>
    <row r="293">
      <c r="A293" t="inlineStr">
        <is>
          <t>no_year_in_pairs</t>
        </is>
      </c>
      <c r="B293" s="2" t="n"/>
      <c r="C293" s="3" t="inlineStr">
        <is>
          <t>SM.19.158, Sup. 2</t>
        </is>
      </c>
      <c r="D293" s="4" t="inlineStr">
        <is>
          <t>Dominica</t>
        </is>
      </c>
      <c r="E293" s="4" t="inlineStr">
        <is>
          <t>DMA</t>
        </is>
      </c>
      <c r="F293" s="4" t="n"/>
      <c r="G293" s="4" t="inlineStr">
        <is>
          <t>2018gn</t>
        </is>
      </c>
      <c r="H293" s="4" t="n">
        <v>2018</v>
      </c>
      <c r="I293" s="4" t="inlineStr">
        <is>
          <t>pv.new.dbt.prvt.bnd</t>
        </is>
      </c>
      <c r="J293" t="inlineStr">
        <is>
          <t>Eurobond</t>
        </is>
      </c>
      <c r="M293" t="n">
        <v>525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</row>
    <row r="294">
      <c r="A294" t="inlineStr">
        <is>
          <t>no_year_in_pairs</t>
        </is>
      </c>
      <c r="B294" s="2" t="n"/>
      <c r="C294" s="3" t="inlineStr">
        <is>
          <t>SM.19.158, Sup. 2</t>
        </is>
      </c>
      <c r="D294" s="4" t="inlineStr">
        <is>
          <t>Dominica</t>
        </is>
      </c>
      <c r="E294" s="4" t="inlineStr">
        <is>
          <t>DMA</t>
        </is>
      </c>
      <c r="F294" s="4" t="n"/>
      <c r="G294" s="4" t="inlineStr">
        <is>
          <t>2018gn</t>
        </is>
      </c>
      <c r="H294" s="4" t="n">
        <v>2018</v>
      </c>
      <c r="I294" s="4" t="inlineStr">
        <is>
          <t>pv.new.dbt.prvt.cmbk</t>
        </is>
      </c>
      <c r="J294" t="inlineStr">
        <is>
          <t>Commecial Bank</t>
        </is>
      </c>
      <c r="M294" t="n">
        <v>551</v>
      </c>
      <c r="O294" t="n">
        <v>4.92129497174923</v>
      </c>
      <c r="P294" t="n">
        <v>5.39369832036962</v>
      </c>
      <c r="Q294" t="n">
        <v>16.1768801934768</v>
      </c>
      <c r="R294" t="n">
        <v>7.68734814750119</v>
      </c>
      <c r="S294" t="n">
        <v>8.771253231015116</v>
      </c>
      <c r="T294" t="n">
        <v>10.06295270402109</v>
      </c>
      <c r="U294" t="n">
        <v>9.074081048882892</v>
      </c>
      <c r="V294" t="n">
        <v>10.52674979073489</v>
      </c>
      <c r="W294" t="n">
        <v>9.480768879775463</v>
      </c>
      <c r="X294" t="n">
        <v>9.399635747498454</v>
      </c>
      <c r="Y294" t="n">
        <v>9.9220059733944</v>
      </c>
      <c r="Z294" t="n">
        <v>10.49473956191899</v>
      </c>
      <c r="AA294" t="n">
        <v>11.11076867238099</v>
      </c>
      <c r="AB294" t="n">
        <v>11.52041366005539</v>
      </c>
      <c r="AC294" t="n">
        <v>10.82333447989039</v>
      </c>
      <c r="AD294" t="n">
        <v>10.63913340689629</v>
      </c>
      <c r="AE294" t="n">
        <v>11.1214189840094</v>
      </c>
      <c r="AF294" t="n">
        <v>11.52970501148479</v>
      </c>
      <c r="AG294" t="n">
        <v>11.9647303692724</v>
      </c>
      <c r="AH294" t="n">
        <v>12.41344800636341</v>
      </c>
      <c r="AI294" t="n">
        <v>12.8782317370096</v>
      </c>
    </row>
    <row r="295">
      <c r="A295" t="inlineStr">
        <is>
          <t>no_year_in_pairs</t>
        </is>
      </c>
      <c r="B295" s="2" t="n"/>
      <c r="C295" s="3" t="inlineStr">
        <is>
          <t>SM.19.158, Sup. 2</t>
        </is>
      </c>
      <c r="D295" s="4" t="inlineStr">
        <is>
          <t>Dominica</t>
        </is>
      </c>
      <c r="E295" s="4" t="inlineStr">
        <is>
          <t>DMA</t>
        </is>
      </c>
      <c r="F295" s="4" t="n"/>
      <c r="G295" s="4" t="inlineStr">
        <is>
          <t>2018gn</t>
        </is>
      </c>
      <c r="H295" s="4" t="n">
        <v>2018</v>
      </c>
      <c r="I295" s="4" t="inlineStr">
        <is>
          <t>pv.new.dbt.prvt.com3</t>
        </is>
      </c>
      <c r="J295" t="inlineStr">
        <is>
          <t>COM3</t>
        </is>
      </c>
      <c r="M295" t="n">
        <v>577</v>
      </c>
      <c r="O295" t="n">
        <v>14.44768686067273</v>
      </c>
      <c r="P295" t="n">
        <v>25.05828122695304</v>
      </c>
      <c r="Q295" t="n">
        <v>36.14936957527031</v>
      </c>
      <c r="R295" t="n">
        <v>57.04232306671194</v>
      </c>
      <c r="S295" t="n">
        <v>68.00140651405178</v>
      </c>
      <c r="T295" t="n">
        <v>78.89782071975749</v>
      </c>
      <c r="U295" t="n">
        <v>90.63614366177083</v>
      </c>
      <c r="V295" t="n">
        <v>101.407960488194</v>
      </c>
      <c r="W295" t="n">
        <v>115.2740694753319</v>
      </c>
      <c r="X295" t="n">
        <v>129.7629715044909</v>
      </c>
      <c r="Y295" t="n">
        <v>145.4886582319946</v>
      </c>
      <c r="Z295" t="n">
        <v>159.8092066114304</v>
      </c>
      <c r="AA295" t="n">
        <v>175.1551482007949</v>
      </c>
      <c r="AB295" t="n">
        <v>189.7244334883086</v>
      </c>
      <c r="AC295" t="n">
        <v>204.0238571385217</v>
      </c>
      <c r="AD295" t="n">
        <v>175.3946476160646</v>
      </c>
      <c r="AE295" t="n">
        <v>188.6068403814433</v>
      </c>
      <c r="AF295" t="n">
        <v>202.1675199186301</v>
      </c>
      <c r="AG295" t="n">
        <v>215.992815765349</v>
      </c>
      <c r="AH295" t="n">
        <v>231.8197719778668</v>
      </c>
      <c r="AI295" t="n">
        <v>246.7289325561889</v>
      </c>
    </row>
    <row r="296">
      <c r="A296" t="inlineStr">
        <is>
          <t>no_year_in_pairs</t>
        </is>
      </c>
      <c r="B296" s="2" t="n"/>
      <c r="C296" s="3" t="inlineStr">
        <is>
          <t>SM.19.158, Sup. 2</t>
        </is>
      </c>
      <c r="D296" s="4" t="inlineStr">
        <is>
          <t>Dominica</t>
        </is>
      </c>
      <c r="E296" s="4" t="inlineStr">
        <is>
          <t>DMA</t>
        </is>
      </c>
      <c r="F296" s="4" t="n"/>
      <c r="G296" s="4" t="inlineStr">
        <is>
          <t>2018gn</t>
        </is>
      </c>
      <c r="H296" s="4" t="n">
        <v>2018</v>
      </c>
      <c r="I296" s="4" t="inlineStr">
        <is>
          <t>pv.new.dbt.prvt.com4</t>
        </is>
      </c>
      <c r="J296" t="inlineStr">
        <is>
          <t>COM4</t>
        </is>
      </c>
      <c r="M296" t="n">
        <v>603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</row>
    <row r="297">
      <c r="A297" t="inlineStr">
        <is>
          <t>no_year_in_pairs</t>
        </is>
      </c>
      <c r="B297" s="2" t="n"/>
      <c r="C297" s="3" t="inlineStr">
        <is>
          <t>SM.19.158, Sup. 2</t>
        </is>
      </c>
      <c r="D297" s="4" t="inlineStr">
        <is>
          <t>Dominica</t>
        </is>
      </c>
      <c r="E297" s="4" t="inlineStr">
        <is>
          <t>DMA</t>
        </is>
      </c>
      <c r="F297" s="4" t="n"/>
      <c r="G297" s="4" t="inlineStr">
        <is>
          <t>2018gn</t>
        </is>
      </c>
      <c r="H297" s="4" t="n">
        <v>2018</v>
      </c>
      <c r="I297" s="4" t="inlineStr">
        <is>
          <t>pv.new.dbt.prvt.com5</t>
        </is>
      </c>
      <c r="J297" t="inlineStr">
        <is>
          <t>COM5</t>
        </is>
      </c>
      <c r="M297" t="n">
        <v>629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</row>
    <row r="298">
      <c r="A298" t="inlineStr">
        <is>
          <t>no_year_in_pairs</t>
        </is>
      </c>
      <c r="B298" s="2" t="n"/>
      <c r="C298" s="3" t="inlineStr">
        <is>
          <t>SM.19.158, Sup. 2</t>
        </is>
      </c>
      <c r="D298" s="4" t="inlineStr">
        <is>
          <t>Dominica</t>
        </is>
      </c>
      <c r="E298" s="4" t="inlineStr">
        <is>
          <t>DMA</t>
        </is>
      </c>
      <c r="F298" s="4" t="n"/>
      <c r="G298" s="4" t="inlineStr">
        <is>
          <t>2018gn</t>
        </is>
      </c>
      <c r="H298" s="4" t="n">
        <v>2018</v>
      </c>
      <c r="I298" s="4" t="inlineStr">
        <is>
          <t>pv.new.dbt.lcl.iss.nres</t>
        </is>
      </c>
      <c r="J298" t="inlineStr">
        <is>
          <t>Locally-issued debt held by non-residents</t>
        </is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</row>
    <row r="299">
      <c r="A299" t="inlineStr">
        <is>
          <t>no_year_in_pairs</t>
        </is>
      </c>
      <c r="B299" s="2" t="n"/>
      <c r="C299" s="3" t="inlineStr">
        <is>
          <t>SM.19.158, Sup. 2</t>
        </is>
      </c>
      <c r="D299" s="4" t="inlineStr">
        <is>
          <t>Dominica</t>
        </is>
      </c>
      <c r="E299" s="4" t="inlineStr">
        <is>
          <t>DMA</t>
        </is>
      </c>
      <c r="F299" s="4" t="n"/>
      <c r="G299" s="4" t="inlineStr">
        <is>
          <t>2018gn</t>
        </is>
      </c>
      <c r="H299" s="4" t="n">
        <v>2018</v>
      </c>
      <c r="I299" s="4" t="inlineStr">
        <is>
          <t>pn.new.dbt.lcl.nres.lc</t>
        </is>
      </c>
      <c r="J299" t="inlineStr">
        <is>
          <t>Denominated in local currency (LC)</t>
        </is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</row>
    <row r="300">
      <c r="A300" t="inlineStr">
        <is>
          <t>no_year_in_pairs</t>
        </is>
      </c>
      <c r="B300" s="2" t="n"/>
      <c r="C300" s="3" t="inlineStr">
        <is>
          <t>SM.19.158, Sup. 2</t>
        </is>
      </c>
      <c r="D300" s="4" t="inlineStr">
        <is>
          <t>Dominica</t>
        </is>
      </c>
      <c r="E300" s="4" t="inlineStr">
        <is>
          <t>DMA</t>
        </is>
      </c>
      <c r="F300" s="4" t="n"/>
      <c r="G300" s="4" t="inlineStr">
        <is>
          <t>2018gn</t>
        </is>
      </c>
      <c r="H300" s="4" t="n">
        <v>2018</v>
      </c>
      <c r="I300" s="4" t="inlineStr">
        <is>
          <t>pn.new.dbt.lcl.nres.bnd.1to3.lc</t>
        </is>
      </c>
      <c r="J300" t="inlineStr">
        <is>
          <t>Bonds (1 to 3 years)-LC</t>
        </is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</row>
    <row r="301">
      <c r="A301" t="inlineStr">
        <is>
          <t>no_year_in_pairs</t>
        </is>
      </c>
      <c r="B301" s="2" t="n"/>
      <c r="C301" s="3" t="inlineStr">
        <is>
          <t>SM.19.158, Sup. 2</t>
        </is>
      </c>
      <c r="D301" s="4" t="inlineStr">
        <is>
          <t>Dominica</t>
        </is>
      </c>
      <c r="E301" s="4" t="inlineStr">
        <is>
          <t>DMA</t>
        </is>
      </c>
      <c r="F301" s="4" t="n"/>
      <c r="G301" s="4" t="inlineStr">
        <is>
          <t>2018gn</t>
        </is>
      </c>
      <c r="H301" s="4" t="n">
        <v>2018</v>
      </c>
      <c r="I301" s="4" t="inlineStr">
        <is>
          <t>pn.new.dbt.lcl.nres.bnd.4to7.lc</t>
        </is>
      </c>
      <c r="J301" t="inlineStr">
        <is>
          <t>Bonds (4 to 7 years)-LC</t>
        </is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</row>
    <row r="302">
      <c r="A302" t="inlineStr">
        <is>
          <t>no_year_in_pairs</t>
        </is>
      </c>
      <c r="B302" s="2" t="n"/>
      <c r="C302" s="3" t="inlineStr">
        <is>
          <t>SM.19.158, Sup. 2</t>
        </is>
      </c>
      <c r="D302" s="4" t="inlineStr">
        <is>
          <t>Dominica</t>
        </is>
      </c>
      <c r="E302" s="4" t="inlineStr">
        <is>
          <t>DMA</t>
        </is>
      </c>
      <c r="F302" s="4" t="n"/>
      <c r="G302" s="4" t="inlineStr">
        <is>
          <t>2018gn</t>
        </is>
      </c>
      <c r="H302" s="4" t="n">
        <v>2018</v>
      </c>
      <c r="I302" s="4" t="inlineStr">
        <is>
          <t>pn.new.dbt.lcl.nres.bnd.byd7.lc</t>
        </is>
      </c>
      <c r="J302" t="inlineStr">
        <is>
          <t>Bonds (beyond 7 years)-LC</t>
        </is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</row>
    <row r="303">
      <c r="A303" t="inlineStr">
        <is>
          <t>no_year_in_pairs</t>
        </is>
      </c>
      <c r="B303" s="2" t="n"/>
      <c r="C303" s="3" t="inlineStr">
        <is>
          <t>SM.19.158, Sup. 2</t>
        </is>
      </c>
      <c r="D303" s="4" t="inlineStr">
        <is>
          <t>Dominica</t>
        </is>
      </c>
      <c r="E303" s="4" t="inlineStr">
        <is>
          <t>DMA</t>
        </is>
      </c>
      <c r="F303" s="4" t="n"/>
      <c r="G303" s="4" t="inlineStr">
        <is>
          <t>2018gn</t>
        </is>
      </c>
      <c r="H303" s="4" t="n">
        <v>2018</v>
      </c>
      <c r="I303" s="4" t="inlineStr">
        <is>
          <t>pn.new.dbt.lcl.nres.fx</t>
        </is>
      </c>
      <c r="J303" t="inlineStr">
        <is>
          <t>Denominated in foreign currency (FX)</t>
        </is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</row>
    <row r="304">
      <c r="A304" t="inlineStr">
        <is>
          <t>no_year_in_pairs</t>
        </is>
      </c>
      <c r="B304" s="2" t="n"/>
      <c r="C304" s="3" t="inlineStr">
        <is>
          <t>SM.19.158, Sup. 2</t>
        </is>
      </c>
      <c r="D304" s="4" t="inlineStr">
        <is>
          <t>Dominica</t>
        </is>
      </c>
      <c r="E304" s="4" t="inlineStr">
        <is>
          <t>DMA</t>
        </is>
      </c>
      <c r="F304" s="4" t="n"/>
      <c r="G304" s="4" t="inlineStr">
        <is>
          <t>2018gn</t>
        </is>
      </c>
      <c r="H304" s="4" t="n">
        <v>2018</v>
      </c>
      <c r="I304" s="4" t="inlineStr">
        <is>
          <t>pn.new.dbt.lcl.nres.bnd.1to3.fx</t>
        </is>
      </c>
      <c r="J304" t="inlineStr">
        <is>
          <t>Bonds (1 to 3 years)-FX</t>
        </is>
      </c>
      <c r="M304" t="n">
        <v>655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</row>
    <row r="305">
      <c r="A305" t="inlineStr">
        <is>
          <t>no_year_in_pairs</t>
        </is>
      </c>
      <c r="B305" s="2" t="n"/>
      <c r="C305" s="3" t="inlineStr">
        <is>
          <t>SM.19.158, Sup. 2</t>
        </is>
      </c>
      <c r="D305" s="4" t="inlineStr">
        <is>
          <t>Dominica</t>
        </is>
      </c>
      <c r="E305" s="4" t="inlineStr">
        <is>
          <t>DMA</t>
        </is>
      </c>
      <c r="F305" s="4" t="n"/>
      <c r="G305" s="4" t="inlineStr">
        <is>
          <t>2018gn</t>
        </is>
      </c>
      <c r="H305" s="4" t="n">
        <v>2018</v>
      </c>
      <c r="I305" s="4" t="inlineStr">
        <is>
          <t>pn.new.dbt.lcl.nres.bnd.4to7.fx</t>
        </is>
      </c>
      <c r="J305" t="inlineStr">
        <is>
          <t>Bonds (4 to 7 years)-FX</t>
        </is>
      </c>
      <c r="M305" t="n">
        <v>681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</row>
    <row r="306">
      <c r="A306" t="inlineStr">
        <is>
          <t>no_year_in_pairs</t>
        </is>
      </c>
      <c r="B306" s="2" t="n"/>
      <c r="C306" s="3" t="inlineStr">
        <is>
          <t>SM.19.158, Sup. 2</t>
        </is>
      </c>
      <c r="D306" s="4" t="inlineStr">
        <is>
          <t>Dominica</t>
        </is>
      </c>
      <c r="E306" s="4" t="inlineStr">
        <is>
          <t>DMA</t>
        </is>
      </c>
      <c r="F306" s="4" t="n"/>
      <c r="G306" s="4" t="inlineStr">
        <is>
          <t>2018gn</t>
        </is>
      </c>
      <c r="H306" s="4" t="n">
        <v>2018</v>
      </c>
      <c r="I306" s="4" t="inlineStr">
        <is>
          <t>pn.new.dbt.lcl.nres.bnd.byd7.fx</t>
        </is>
      </c>
      <c r="J306" t="inlineStr">
        <is>
          <t>Bonds (beyond 7 years)-FX</t>
        </is>
      </c>
      <c r="M306" t="n">
        <v>707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</row>
    <row r="307">
      <c r="A307" t="inlineStr">
        <is>
          <t>no_year_in_pairs</t>
        </is>
      </c>
      <c r="B307" s="2" t="n"/>
      <c r="C307" s="3" t="inlineStr">
        <is>
          <t>SM.19.158, Sup. 2</t>
        </is>
      </c>
      <c r="D307" s="4" t="inlineStr">
        <is>
          <t>Dominica</t>
        </is>
      </c>
      <c r="E307" s="4" t="inlineStr">
        <is>
          <t>DMA</t>
        </is>
      </c>
      <c r="F307" s="4" t="n"/>
      <c r="G307" s="4" t="inlineStr">
        <is>
          <t>2018gn</t>
        </is>
      </c>
      <c r="H307" s="4" t="n">
        <v>2018</v>
      </c>
      <c r="I307" s="5" t="n"/>
      <c r="J307" t="inlineStr">
        <is>
          <t>Locally-issued debt held by residents</t>
        </is>
      </c>
    </row>
    <row r="308">
      <c r="A308" t="inlineStr">
        <is>
          <t>no_year_in_pairs</t>
        </is>
      </c>
      <c r="B308" s="2" t="n"/>
      <c r="C308" s="3" t="inlineStr">
        <is>
          <t>SM.19.158, Sup. 2</t>
        </is>
      </c>
      <c r="D308" s="4" t="inlineStr">
        <is>
          <t>Dominica</t>
        </is>
      </c>
      <c r="E308" s="4" t="inlineStr">
        <is>
          <t>DMA</t>
        </is>
      </c>
      <c r="F308" s="4" t="n"/>
      <c r="G308" s="4" t="inlineStr">
        <is>
          <t>2018gn</t>
        </is>
      </c>
      <c r="H308" s="4" t="n">
        <v>2018</v>
      </c>
      <c r="I308" s="4" t="inlineStr">
        <is>
          <t>pn.new.dbt.lcl.fx</t>
        </is>
      </c>
      <c r="J308" t="inlineStr">
        <is>
          <t>Denominated in foreign currency (FX)</t>
        </is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</row>
    <row r="309">
      <c r="A309" t="inlineStr">
        <is>
          <t>no_year_in_pairs</t>
        </is>
      </c>
      <c r="B309" s="2" t="n"/>
      <c r="C309" s="3" t="inlineStr">
        <is>
          <t>SM.19.158, Sup. 2</t>
        </is>
      </c>
      <c r="D309" s="4" t="inlineStr">
        <is>
          <t>Dominica</t>
        </is>
      </c>
      <c r="E309" s="4" t="inlineStr">
        <is>
          <t>DMA</t>
        </is>
      </c>
      <c r="F309" s="4" t="n"/>
      <c r="G309" s="4" t="inlineStr">
        <is>
          <t>2018gn</t>
        </is>
      </c>
      <c r="H309" s="4" t="n">
        <v>2018</v>
      </c>
      <c r="I309" s="4" t="inlineStr">
        <is>
          <t>pn.new.dbt.lcl.fx.bnd.1to3.fx</t>
        </is>
      </c>
      <c r="J309" t="inlineStr">
        <is>
          <t>Bonds (1 to 3 years)-FX</t>
        </is>
      </c>
      <c r="M309" t="n">
        <v>733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</row>
    <row r="310">
      <c r="A310" t="inlineStr">
        <is>
          <t>no_year_in_pairs</t>
        </is>
      </c>
      <c r="B310" s="2" t="n"/>
      <c r="C310" s="3" t="inlineStr">
        <is>
          <t>SM.19.158, Sup. 2</t>
        </is>
      </c>
      <c r="D310" s="4" t="inlineStr">
        <is>
          <t>Dominica</t>
        </is>
      </c>
      <c r="E310" s="4" t="inlineStr">
        <is>
          <t>DMA</t>
        </is>
      </c>
      <c r="F310" s="4" t="n"/>
      <c r="G310" s="4" t="inlineStr">
        <is>
          <t>2018gn</t>
        </is>
      </c>
      <c r="H310" s="4" t="n">
        <v>2018</v>
      </c>
      <c r="I310" s="4" t="inlineStr">
        <is>
          <t>pn.new.dbt.lcl.fx.bnd.4to7.fx</t>
        </is>
      </c>
      <c r="J310" t="inlineStr">
        <is>
          <t>Bonds (4 to 7 years)-FX</t>
        </is>
      </c>
      <c r="M310" t="n">
        <v>759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</row>
    <row r="311">
      <c r="A311" t="inlineStr">
        <is>
          <t>no_year_in_pairs</t>
        </is>
      </c>
      <c r="B311" s="2" t="n"/>
      <c r="C311" s="3" t="inlineStr">
        <is>
          <t>SM.19.158, Sup. 2</t>
        </is>
      </c>
      <c r="D311" s="4" t="inlineStr">
        <is>
          <t>Dominica</t>
        </is>
      </c>
      <c r="E311" s="4" t="inlineStr">
        <is>
          <t>DMA</t>
        </is>
      </c>
      <c r="F311" s="4" t="n"/>
      <c r="G311" s="4" t="inlineStr">
        <is>
          <t>2018gn</t>
        </is>
      </c>
      <c r="H311" s="4" t="n">
        <v>2018</v>
      </c>
      <c r="I311" s="4" t="inlineStr">
        <is>
          <t>pn.new.dbt.lcl.fx.bnd.byd7.fx</t>
        </is>
      </c>
      <c r="J311" t="inlineStr">
        <is>
          <t>Bonds (beyond 7 years)-FX</t>
        </is>
      </c>
      <c r="M311" t="n">
        <v>785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</row>
    <row r="312">
      <c r="A312" t="inlineStr">
        <is>
          <t>no_year_in_pairs</t>
        </is>
      </c>
      <c r="B312" s="2" t="n"/>
      <c r="C312" s="3" t="inlineStr">
        <is>
          <t>SM.19.158, Sup. 2</t>
        </is>
      </c>
      <c r="D312" s="4" t="inlineStr">
        <is>
          <t>Dominica</t>
        </is>
      </c>
      <c r="E312" s="4" t="inlineStr">
        <is>
          <t>DMA</t>
        </is>
      </c>
      <c r="F312" s="4" t="n"/>
      <c r="G312" s="4" t="inlineStr">
        <is>
          <t>2018gn</t>
        </is>
      </c>
      <c r="H312" s="4" t="n">
        <v>2018</v>
      </c>
      <c r="I312" s="5" t="n"/>
    </row>
    <row r="313">
      <c r="A313" t="inlineStr">
        <is>
          <t>no_year_in_pairs</t>
        </is>
      </c>
      <c r="B313" s="2" t="n"/>
      <c r="C313" s="3" t="inlineStr">
        <is>
          <t>SM.19.158, Sup. 2</t>
        </is>
      </c>
      <c r="D313" s="4" t="inlineStr">
        <is>
          <t>Dominica</t>
        </is>
      </c>
      <c r="E313" s="4" t="inlineStr">
        <is>
          <t>DMA</t>
        </is>
      </c>
      <c r="F313" s="4" t="n"/>
      <c r="G313" s="4" t="inlineStr">
        <is>
          <t>2018gn</t>
        </is>
      </c>
      <c r="H313" s="4" t="n">
        <v>2018</v>
      </c>
      <c r="I313" s="4" t="inlineStr">
        <is>
          <t>nom.val.dbt.mlg.trm</t>
        </is>
      </c>
      <c r="J313" t="inlineStr">
        <is>
          <t>Nominal value of new MLT debt</t>
        </is>
      </c>
      <c r="M313" t="n">
        <v>-4</v>
      </c>
      <c r="O313" t="n">
        <v>51.25741818489396</v>
      </c>
      <c r="P313" t="n">
        <v>101.8840870126913</v>
      </c>
      <c r="Q313" t="n">
        <v>171.1419925075943</v>
      </c>
      <c r="R313" t="n">
        <v>228.8579150087962</v>
      </c>
      <c r="S313" t="n">
        <v>271.6823487178133</v>
      </c>
      <c r="T313" t="n">
        <v>316.3477425875292</v>
      </c>
      <c r="U313" t="n">
        <v>355.6626158014853</v>
      </c>
      <c r="V313" t="n">
        <v>394.5444291778226</v>
      </c>
      <c r="W313" t="n">
        <v>431.2550308138137</v>
      </c>
      <c r="X313" t="n">
        <v>467.3215358692039</v>
      </c>
      <c r="Y313" t="n">
        <v>503.6161986432034</v>
      </c>
      <c r="Z313" t="n">
        <v>540.1944926327035</v>
      </c>
      <c r="AA313" t="n">
        <v>577.119542330302</v>
      </c>
      <c r="AB313" t="n">
        <v>614.2620266448413</v>
      </c>
      <c r="AC313" t="n">
        <v>648.8655099017622</v>
      </c>
      <c r="AD313" t="n">
        <v>640.2791189438587</v>
      </c>
      <c r="AE313" t="n">
        <v>674.5727506572705</v>
      </c>
      <c r="AF313" t="n">
        <v>709.5470215377593</v>
      </c>
      <c r="AG313" t="n">
        <v>745.1120493098408</v>
      </c>
      <c r="AH313" t="n">
        <v>781.9131403807612</v>
      </c>
      <c r="AI313" t="n">
        <v>818.4565801112285</v>
      </c>
      <c r="BI313" t="inlineStr">
        <is>
          <t>NOM_NEW_MLT</t>
        </is>
      </c>
    </row>
    <row r="314">
      <c r="A314" t="inlineStr">
        <is>
          <t>no_year_in_pairs</t>
        </is>
      </c>
      <c r="B314" s="2" t="n"/>
      <c r="C314" s="3" t="inlineStr">
        <is>
          <t>SM.19.158, Sup. 2</t>
        </is>
      </c>
      <c r="D314" s="4" t="inlineStr">
        <is>
          <t>Dominica</t>
        </is>
      </c>
      <c r="E314" s="4" t="inlineStr">
        <is>
          <t>DMA</t>
        </is>
      </c>
      <c r="F314" s="4" t="n"/>
      <c r="G314" s="4" t="inlineStr">
        <is>
          <t>2018gn</t>
        </is>
      </c>
      <c r="H314" s="4" t="n">
        <v>2018</v>
      </c>
      <c r="I314" s="4" t="inlineStr">
        <is>
          <t>nom.val.dbt.mlt</t>
        </is>
      </c>
      <c r="J314" t="inlineStr">
        <is>
          <t>Multilaterals</t>
        </is>
      </c>
      <c r="O314" t="n">
        <v>15</v>
      </c>
      <c r="P314" t="n">
        <v>48</v>
      </c>
      <c r="Q314" t="n">
        <v>80</v>
      </c>
      <c r="R314" t="n">
        <v>113</v>
      </c>
      <c r="S314" t="n">
        <v>132</v>
      </c>
      <c r="T314" t="n">
        <v>153.52</v>
      </c>
      <c r="U314" t="n">
        <v>174.9456796871657</v>
      </c>
      <c r="V314" t="n">
        <v>196.2953339136595</v>
      </c>
      <c r="W314" t="n">
        <v>217.6462843175917</v>
      </c>
      <c r="X314" t="n">
        <v>238.9768160703851</v>
      </c>
      <c r="Y314" t="n">
        <v>260.7662132931346</v>
      </c>
      <c r="Z314" t="n">
        <v>282.7781278062999</v>
      </c>
      <c r="AA314" t="n">
        <v>304.6772801710746</v>
      </c>
      <c r="AB314" t="n">
        <v>326.4785170252509</v>
      </c>
      <c r="AC314" t="n">
        <v>348.1972077789108</v>
      </c>
      <c r="AD314" t="n">
        <v>370.0159330579997</v>
      </c>
      <c r="AE314" t="n">
        <v>391.933834061144</v>
      </c>
      <c r="AF314" t="n">
        <v>413.9544442002561</v>
      </c>
      <c r="AG314" t="n">
        <v>436.0813891277202</v>
      </c>
      <c r="AH314" t="n">
        <v>457.5776817220392</v>
      </c>
      <c r="AI314" t="n">
        <v>479.1879488736698</v>
      </c>
      <c r="BI314" t="inlineStr">
        <is>
          <t>NOM_NEW_ML</t>
        </is>
      </c>
    </row>
    <row r="315">
      <c r="A315" t="inlineStr">
        <is>
          <t>no_year_in_pairs</t>
        </is>
      </c>
      <c r="B315" s="2" t="n"/>
      <c r="C315" s="3" t="inlineStr">
        <is>
          <t>SM.19.158, Sup. 2</t>
        </is>
      </c>
      <c r="D315" s="4" t="inlineStr">
        <is>
          <t>Dominica</t>
        </is>
      </c>
      <c r="E315" s="4" t="inlineStr">
        <is>
          <t>DMA</t>
        </is>
      </c>
      <c r="F315" s="4" t="n"/>
      <c r="G315" s="4" t="inlineStr">
        <is>
          <t>2018gn</t>
        </is>
      </c>
      <c r="H315" s="4" t="n">
        <v>2018</v>
      </c>
      <c r="I315" s="4" t="inlineStr">
        <is>
          <t>nom.val.dbt.mlt.imf</t>
        </is>
      </c>
      <c r="J315" t="inlineStr">
        <is>
          <t>IMF</t>
        </is>
      </c>
      <c r="M315" t="n">
        <v>23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</row>
    <row r="316">
      <c r="A316" t="inlineStr">
        <is>
          <t>no_year_in_pairs</t>
        </is>
      </c>
      <c r="B316" s="2" t="n"/>
      <c r="C316" s="3" t="inlineStr">
        <is>
          <t>SM.19.158, Sup. 2</t>
        </is>
      </c>
      <c r="D316" s="4" t="inlineStr">
        <is>
          <t>Dominica</t>
        </is>
      </c>
      <c r="E316" s="4" t="inlineStr">
        <is>
          <t>DMA</t>
        </is>
      </c>
      <c r="F316" s="4" t="n"/>
      <c r="G316" s="4" t="inlineStr">
        <is>
          <t>2018gn</t>
        </is>
      </c>
      <c r="H316" s="4" t="n">
        <v>2018</v>
      </c>
      <c r="I316" s="4" t="inlineStr">
        <is>
          <t>nom.val.dbt.mlt.ida.reg</t>
        </is>
      </c>
      <c r="J316" t="inlineStr">
        <is>
          <t>IDA - small economy</t>
        </is>
      </c>
      <c r="M316" t="n">
        <v>57</v>
      </c>
      <c r="O316" t="n">
        <v>5</v>
      </c>
      <c r="P316" t="n">
        <v>21</v>
      </c>
      <c r="Q316" t="n">
        <v>37</v>
      </c>
      <c r="R316" t="n">
        <v>53</v>
      </c>
      <c r="S316" t="n">
        <v>64</v>
      </c>
      <c r="T316" t="n">
        <v>75.52</v>
      </c>
      <c r="U316" t="n">
        <v>87.44567968716569</v>
      </c>
      <c r="V316" t="n">
        <v>99.7923348046827</v>
      </c>
      <c r="W316" t="n">
        <v>112.5748259684717</v>
      </c>
      <c r="X316" t="n">
        <v>125.8085378735158</v>
      </c>
      <c r="Y316" t="n">
        <v>139.5093985573072</v>
      </c>
      <c r="Z316" t="n">
        <v>153.5272319966269</v>
      </c>
      <c r="AA316" t="n">
        <v>167.5124434710862</v>
      </c>
      <c r="AB316" t="n">
        <v>181.4827083260996</v>
      </c>
      <c r="AC316" t="n">
        <v>195.4563251362372</v>
      </c>
      <c r="AD316" t="n">
        <v>209.6189061679129</v>
      </c>
      <c r="AE316" t="n">
        <v>223.9727318186632</v>
      </c>
      <c r="AF316" t="n">
        <v>238.5245855264248</v>
      </c>
      <c r="AG316" t="n">
        <v>253.2814576747098</v>
      </c>
      <c r="AH316" t="n">
        <v>267.8802150295963</v>
      </c>
      <c r="AI316" t="n">
        <v>282.6987205778548</v>
      </c>
    </row>
    <row r="317">
      <c r="A317" t="inlineStr">
        <is>
          <t>no_year_in_pairs</t>
        </is>
      </c>
      <c r="B317" s="2" t="n"/>
      <c r="C317" s="3" t="inlineStr">
        <is>
          <t>SM.19.158, Sup. 2</t>
        </is>
      </c>
      <c r="D317" s="4" t="inlineStr">
        <is>
          <t>Dominica</t>
        </is>
      </c>
      <c r="E317" s="4" t="inlineStr">
        <is>
          <t>DMA</t>
        </is>
      </c>
      <c r="F317" s="4" t="n"/>
      <c r="G317" s="4" t="inlineStr">
        <is>
          <t>2018gn</t>
        </is>
      </c>
      <c r="H317" s="4" t="n">
        <v>2018</v>
      </c>
      <c r="I317" s="4" t="inlineStr">
        <is>
          <t>nom.val.dbt.mlt.ida.bld</t>
        </is>
      </c>
      <c r="J317" t="inlineStr">
        <is>
          <t>IDA - small economy</t>
        </is>
      </c>
      <c r="M317" t="n">
        <v>83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</row>
    <row r="318">
      <c r="A318" t="inlineStr">
        <is>
          <t>no_year_in_pairs</t>
        </is>
      </c>
      <c r="B318" s="2" t="n"/>
      <c r="C318" s="3" t="inlineStr">
        <is>
          <t>SM.19.158, Sup. 2</t>
        </is>
      </c>
      <c r="D318" s="4" t="inlineStr">
        <is>
          <t>Dominica</t>
        </is>
      </c>
      <c r="E318" s="4" t="inlineStr">
        <is>
          <t>DMA</t>
        </is>
      </c>
      <c r="F318" s="4" t="n"/>
      <c r="G318" s="4" t="inlineStr">
        <is>
          <t>2018gn</t>
        </is>
      </c>
      <c r="H318" s="4" t="n">
        <v>2018</v>
      </c>
      <c r="I318" s="4" t="inlineStr">
        <is>
          <t>nom.val.dbt.mlt.afdb</t>
        </is>
      </c>
      <c r="J318" t="inlineStr">
        <is>
          <t>CDB</t>
        </is>
      </c>
      <c r="M318" t="n">
        <v>108</v>
      </c>
      <c r="O318" t="n">
        <v>10</v>
      </c>
      <c r="P318" t="n">
        <v>27</v>
      </c>
      <c r="Q318" t="n">
        <v>43</v>
      </c>
      <c r="R318" t="n">
        <v>60</v>
      </c>
      <c r="S318" t="n">
        <v>68</v>
      </c>
      <c r="T318" t="n">
        <v>78</v>
      </c>
      <c r="U318" t="n">
        <v>87.5</v>
      </c>
      <c r="V318" t="n">
        <v>96.50299910897681</v>
      </c>
      <c r="W318" t="n">
        <v>105.07145834912</v>
      </c>
      <c r="X318" t="n">
        <v>113.1682781968693</v>
      </c>
      <c r="Y318" t="n">
        <v>121.2568147358274</v>
      </c>
      <c r="Z318" t="n">
        <v>129.2508958096731</v>
      </c>
      <c r="AA318" t="n">
        <v>137.1648366999884</v>
      </c>
      <c r="AB318" t="n">
        <v>144.9958086991513</v>
      </c>
      <c r="AC318" t="n">
        <v>152.7408826426736</v>
      </c>
      <c r="AD318" t="n">
        <v>160.3970268900868</v>
      </c>
      <c r="AE318" t="n">
        <v>167.9611022424808</v>
      </c>
      <c r="AF318" t="n">
        <v>175.4298586738313</v>
      </c>
      <c r="AG318" t="n">
        <v>182.7999314530104</v>
      </c>
      <c r="AH318" t="n">
        <v>189.6974666924429</v>
      </c>
      <c r="AI318" t="n">
        <v>196.4892282958151</v>
      </c>
    </row>
    <row r="319">
      <c r="A319" t="inlineStr">
        <is>
          <t>no_year_in_pairs</t>
        </is>
      </c>
      <c r="B319" s="2" t="n"/>
      <c r="C319" s="3" t="inlineStr">
        <is>
          <t>SM.19.158, Sup. 2</t>
        </is>
      </c>
      <c r="D319" s="4" t="inlineStr">
        <is>
          <t>Dominica</t>
        </is>
      </c>
      <c r="E319" s="4" t="inlineStr">
        <is>
          <t>DMA</t>
        </is>
      </c>
      <c r="F319" s="4" t="n"/>
      <c r="G319" s="4" t="inlineStr">
        <is>
          <t>2018gn</t>
        </is>
      </c>
      <c r="H319" s="4" t="n">
        <v>2018</v>
      </c>
      <c r="I319" s="4" t="inlineStr">
        <is>
          <t>nom.val.dbt.mlt2</t>
        </is>
      </c>
      <c r="J319" t="inlineStr">
        <is>
          <t>MULTI2</t>
        </is>
      </c>
      <c r="M319" t="n">
        <v>134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</row>
    <row r="320">
      <c r="A320" t="inlineStr">
        <is>
          <t>no_year_in_pairs</t>
        </is>
      </c>
      <c r="B320" s="2" t="n"/>
      <c r="C320" s="3" t="inlineStr">
        <is>
          <t>SM.19.158, Sup. 2</t>
        </is>
      </c>
      <c r="D320" s="4" t="inlineStr">
        <is>
          <t>Dominica</t>
        </is>
      </c>
      <c r="E320" s="4" t="inlineStr">
        <is>
          <t>DMA</t>
        </is>
      </c>
      <c r="F320" s="4" t="n"/>
      <c r="G320" s="4" t="inlineStr">
        <is>
          <t>2018gn</t>
        </is>
      </c>
      <c r="H320" s="4" t="n">
        <v>2018</v>
      </c>
      <c r="I320" s="4" t="inlineStr">
        <is>
          <t>nom.val.dbt.mlt3</t>
        </is>
      </c>
      <c r="J320" t="inlineStr">
        <is>
          <t>MULTI3</t>
        </is>
      </c>
      <c r="M320" t="n">
        <v>160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</row>
    <row r="321">
      <c r="A321" t="inlineStr">
        <is>
          <t>no_year_in_pairs</t>
        </is>
      </c>
      <c r="B321" s="2" t="n"/>
      <c r="C321" s="3" t="inlineStr">
        <is>
          <t>SM.19.158, Sup. 2</t>
        </is>
      </c>
      <c r="D321" s="4" t="inlineStr">
        <is>
          <t>Dominica</t>
        </is>
      </c>
      <c r="E321" s="4" t="inlineStr">
        <is>
          <t>DMA</t>
        </is>
      </c>
      <c r="F321" s="4" t="n"/>
      <c r="G321" s="4" t="inlineStr">
        <is>
          <t>2018gn</t>
        </is>
      </c>
      <c r="H321" s="4" t="n">
        <v>2018</v>
      </c>
      <c r="I321" s="4" t="inlineStr">
        <is>
          <t>nom.val.dbt.mlt.oth</t>
        </is>
      </c>
      <c r="J321" t="inlineStr">
        <is>
          <t>Other Multilaterals</t>
        </is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-0.37037037037037</v>
      </c>
      <c r="AI321" t="n">
        <v>-0.7407407407407399</v>
      </c>
    </row>
    <row r="322">
      <c r="A322" t="inlineStr">
        <is>
          <t>no_year_in_pairs</t>
        </is>
      </c>
      <c r="B322" s="2" t="n"/>
      <c r="C322" s="3" t="inlineStr">
        <is>
          <t>SM.19.158, Sup. 2</t>
        </is>
      </c>
      <c r="D322" s="4" t="inlineStr">
        <is>
          <t>Dominica</t>
        </is>
      </c>
      <c r="E322" s="4" t="inlineStr">
        <is>
          <t>DMA</t>
        </is>
      </c>
      <c r="F322" s="4" t="n"/>
      <c r="G322" s="4" t="inlineStr">
        <is>
          <t>2018gn</t>
        </is>
      </c>
      <c r="H322" s="4" t="n">
        <v>2018</v>
      </c>
      <c r="I322" s="4" t="inlineStr">
        <is>
          <t>nom.val.dbt.mlt.oth1</t>
        </is>
      </c>
      <c r="J322" t="inlineStr">
        <is>
          <t>OTH_MULTI1</t>
        </is>
      </c>
      <c r="M322" t="n">
        <v>186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-0.37037037037037</v>
      </c>
      <c r="AI322" t="n">
        <v>-0.7407407407407399</v>
      </c>
    </row>
    <row r="323">
      <c r="A323" t="inlineStr">
        <is>
          <t>no_year_in_pairs</t>
        </is>
      </c>
      <c r="B323" s="2" t="n"/>
      <c r="C323" s="3" t="inlineStr">
        <is>
          <t>SM.19.158, Sup. 2</t>
        </is>
      </c>
      <c r="D323" s="4" t="inlineStr">
        <is>
          <t>Dominica</t>
        </is>
      </c>
      <c r="E323" s="4" t="inlineStr">
        <is>
          <t>DMA</t>
        </is>
      </c>
      <c r="F323" s="4" t="n"/>
      <c r="G323" s="4" t="inlineStr">
        <is>
          <t>2018gn</t>
        </is>
      </c>
      <c r="H323" s="4" t="n">
        <v>2018</v>
      </c>
      <c r="I323" s="4" t="inlineStr">
        <is>
          <t>nom.val.dbt.mlt.oth2</t>
        </is>
      </c>
      <c r="J323" t="inlineStr">
        <is>
          <t>OTH_MULTI2</t>
        </is>
      </c>
      <c r="M323" t="n">
        <v>212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</row>
    <row r="324">
      <c r="A324" t="inlineStr">
        <is>
          <t>no_year_in_pairs</t>
        </is>
      </c>
      <c r="B324" s="2" t="n"/>
      <c r="C324" s="3" t="inlineStr">
        <is>
          <t>SM.19.158, Sup. 2</t>
        </is>
      </c>
      <c r="D324" s="4" t="inlineStr">
        <is>
          <t>Dominica</t>
        </is>
      </c>
      <c r="E324" s="4" t="inlineStr">
        <is>
          <t>DMA</t>
        </is>
      </c>
      <c r="F324" s="4" t="n"/>
      <c r="G324" s="4" t="inlineStr">
        <is>
          <t>2018gn</t>
        </is>
      </c>
      <c r="H324" s="4" t="n">
        <v>2018</v>
      </c>
      <c r="I324" s="4" t="inlineStr">
        <is>
          <t>nom.val.dbt.mlt.oth3</t>
        </is>
      </c>
      <c r="J324" t="inlineStr">
        <is>
          <t>OTH_MULTI3</t>
        </is>
      </c>
      <c r="M324" t="n">
        <v>238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</row>
    <row r="325">
      <c r="A325" t="inlineStr">
        <is>
          <t>no_year_in_pairs</t>
        </is>
      </c>
      <c r="B325" s="2" t="n"/>
      <c r="C325" s="3" t="inlineStr">
        <is>
          <t>SM.19.158, Sup. 2</t>
        </is>
      </c>
      <c r="D325" s="4" t="inlineStr">
        <is>
          <t>Dominica</t>
        </is>
      </c>
      <c r="E325" s="4" t="inlineStr">
        <is>
          <t>DMA</t>
        </is>
      </c>
      <c r="F325" s="4" t="n"/>
      <c r="G325" s="4" t="inlineStr">
        <is>
          <t>2018gn</t>
        </is>
      </c>
      <c r="H325" s="4" t="n">
        <v>2018</v>
      </c>
      <c r="I325" s="4" t="inlineStr">
        <is>
          <t>nom.val.dbt.blt</t>
        </is>
      </c>
      <c r="J325" t="inlineStr">
        <is>
          <t>Official Bilaterals</t>
        </is>
      </c>
      <c r="O325" t="n">
        <v>16.888436352472</v>
      </c>
      <c r="P325" t="n">
        <v>23.43210746536859</v>
      </c>
      <c r="Q325" t="n">
        <v>38.81574273884719</v>
      </c>
      <c r="R325" t="n">
        <v>51.12824379458309</v>
      </c>
      <c r="S325" t="n">
        <v>62.90968897274639</v>
      </c>
      <c r="T325" t="n">
        <v>73.8669691637507</v>
      </c>
      <c r="U325" t="n">
        <v>81.00671140366589</v>
      </c>
      <c r="V325" t="n">
        <v>86.31438498523416</v>
      </c>
      <c r="W325" t="n">
        <v>88.85390814111463</v>
      </c>
      <c r="X325" t="n">
        <v>89.18211254682952</v>
      </c>
      <c r="Y325" t="n">
        <v>87.43932114467984</v>
      </c>
      <c r="Z325" t="n">
        <v>87.11241865305419</v>
      </c>
      <c r="AA325" t="n">
        <v>86.17634528605156</v>
      </c>
      <c r="AB325" t="n">
        <v>86.53866247122644</v>
      </c>
      <c r="AC325" t="n">
        <v>85.82111050443933</v>
      </c>
      <c r="AD325" t="n">
        <v>84.22940486289814</v>
      </c>
      <c r="AE325" t="n">
        <v>82.91065723067388</v>
      </c>
      <c r="AF325" t="n">
        <v>81.89535240738823</v>
      </c>
      <c r="AG325" t="n">
        <v>81.07311404749926</v>
      </c>
      <c r="AH325" t="n">
        <v>80.4726090448621</v>
      </c>
      <c r="AI325" t="n">
        <v>80.402207685101</v>
      </c>
      <c r="BI325" t="inlineStr">
        <is>
          <t>NOM_NEW_OB</t>
        </is>
      </c>
    </row>
    <row r="326">
      <c r="A326" t="inlineStr">
        <is>
          <t>no_year_in_pairs</t>
        </is>
      </c>
      <c r="B326" s="2" t="n"/>
      <c r="C326" s="3" t="inlineStr">
        <is>
          <t>SM.19.158, Sup. 2</t>
        </is>
      </c>
      <c r="D326" s="4" t="inlineStr">
        <is>
          <t>Dominica</t>
        </is>
      </c>
      <c r="E326" s="4" t="inlineStr">
        <is>
          <t>DMA</t>
        </is>
      </c>
      <c r="F326" s="4" t="n"/>
      <c r="G326" s="4" t="inlineStr">
        <is>
          <t>2018gn</t>
        </is>
      </c>
      <c r="H326" s="4" t="n">
        <v>2018</v>
      </c>
      <c r="I326" s="4" t="inlineStr">
        <is>
          <t>nom.val.dbt.pc</t>
        </is>
      </c>
      <c r="J326" t="inlineStr">
        <is>
          <t xml:space="preserve">   Paris Club</t>
        </is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</row>
    <row r="327">
      <c r="A327" t="inlineStr">
        <is>
          <t>no_year_in_pairs</t>
        </is>
      </c>
      <c r="B327" s="2" t="n"/>
      <c r="C327" s="3" t="inlineStr">
        <is>
          <t>SM.19.158, Sup. 2</t>
        </is>
      </c>
      <c r="D327" s="4" t="inlineStr">
        <is>
          <t>Dominica</t>
        </is>
      </c>
      <c r="E327" s="4" t="inlineStr">
        <is>
          <t>DMA</t>
        </is>
      </c>
      <c r="F327" s="4" t="n"/>
      <c r="G327" s="4" t="inlineStr">
        <is>
          <t>2018gn</t>
        </is>
      </c>
      <c r="H327" s="4" t="n">
        <v>2018</v>
      </c>
      <c r="I327" s="4" t="inlineStr">
        <is>
          <t>nom.val.dbt.pc1</t>
        </is>
      </c>
      <c r="J327" t="inlineStr">
        <is>
          <t>Export Credit Agencies</t>
        </is>
      </c>
      <c r="M327" t="n">
        <v>264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</row>
    <row r="328">
      <c r="A328" t="inlineStr">
        <is>
          <t>no_year_in_pairs</t>
        </is>
      </c>
      <c r="B328" s="2" t="n"/>
      <c r="C328" s="3" t="inlineStr">
        <is>
          <t>SM.19.158, Sup. 2</t>
        </is>
      </c>
      <c r="D328" s="4" t="inlineStr">
        <is>
          <t>Dominica</t>
        </is>
      </c>
      <c r="E328" s="4" t="inlineStr">
        <is>
          <t>DMA</t>
        </is>
      </c>
      <c r="F328" s="4" t="n"/>
      <c r="G328" s="4" t="inlineStr">
        <is>
          <t>2018gn</t>
        </is>
      </c>
      <c r="H328" s="4" t="n">
        <v>2018</v>
      </c>
      <c r="I328" s="4" t="inlineStr">
        <is>
          <t>nom.val.dbt.pc2</t>
        </is>
      </c>
      <c r="J328" t="inlineStr">
        <is>
          <t>PC2</t>
        </is>
      </c>
      <c r="M328" t="n">
        <v>290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</row>
    <row r="329">
      <c r="A329" t="inlineStr">
        <is>
          <t>no_year_in_pairs</t>
        </is>
      </c>
      <c r="B329" s="2" t="n"/>
      <c r="C329" s="3" t="inlineStr">
        <is>
          <t>SM.19.158, Sup. 2</t>
        </is>
      </c>
      <c r="D329" s="4" t="inlineStr">
        <is>
          <t>Dominica</t>
        </is>
      </c>
      <c r="E329" s="4" t="inlineStr">
        <is>
          <t>DMA</t>
        </is>
      </c>
      <c r="F329" s="4" t="n"/>
      <c r="G329" s="4" t="inlineStr">
        <is>
          <t>2018gn</t>
        </is>
      </c>
      <c r="H329" s="4" t="n">
        <v>2018</v>
      </c>
      <c r="I329" s="4" t="inlineStr">
        <is>
          <t>nom.val.dbt.pc3</t>
        </is>
      </c>
      <c r="J329" t="inlineStr">
        <is>
          <t>PC3</t>
        </is>
      </c>
      <c r="M329" t="n">
        <v>316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</row>
    <row r="330">
      <c r="A330" t="inlineStr">
        <is>
          <t>no_year_in_pairs</t>
        </is>
      </c>
      <c r="B330" s="2" t="n"/>
      <c r="C330" s="3" t="inlineStr">
        <is>
          <t>SM.19.158, Sup. 2</t>
        </is>
      </c>
      <c r="D330" s="4" t="inlineStr">
        <is>
          <t>Dominica</t>
        </is>
      </c>
      <c r="E330" s="4" t="inlineStr">
        <is>
          <t>DMA</t>
        </is>
      </c>
      <c r="F330" s="4" t="n"/>
      <c r="G330" s="4" t="inlineStr">
        <is>
          <t>2018gn</t>
        </is>
      </c>
      <c r="H330" s="4" t="n">
        <v>2018</v>
      </c>
      <c r="I330" s="4" t="inlineStr">
        <is>
          <t>nom.val.dbt.pc4</t>
        </is>
      </c>
      <c r="J330" t="inlineStr">
        <is>
          <t>PC4</t>
        </is>
      </c>
      <c r="M330" t="n">
        <v>342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</row>
    <row r="331">
      <c r="A331" t="inlineStr">
        <is>
          <t>no_year_in_pairs</t>
        </is>
      </c>
      <c r="B331" s="2" t="n"/>
      <c r="C331" s="3" t="inlineStr">
        <is>
          <t>SM.19.158, Sup. 2</t>
        </is>
      </c>
      <c r="D331" s="4" t="inlineStr">
        <is>
          <t>Dominica</t>
        </is>
      </c>
      <c r="E331" s="4" t="inlineStr">
        <is>
          <t>DMA</t>
        </is>
      </c>
      <c r="F331" s="4" t="n"/>
      <c r="G331" s="4" t="inlineStr">
        <is>
          <t>2018gn</t>
        </is>
      </c>
      <c r="H331" s="4" t="n">
        <v>2018</v>
      </c>
      <c r="I331" s="4" t="inlineStr">
        <is>
          <t>nom.val.dbt.pc5</t>
        </is>
      </c>
      <c r="J331" t="inlineStr">
        <is>
          <t>PC5</t>
        </is>
      </c>
      <c r="M331" t="n">
        <v>368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</row>
    <row r="332">
      <c r="A332" t="inlineStr">
        <is>
          <t>no_year_in_pairs</t>
        </is>
      </c>
      <c r="B332" s="2" t="n"/>
      <c r="C332" s="3" t="inlineStr">
        <is>
          <t>SM.19.158, Sup. 2</t>
        </is>
      </c>
      <c r="D332" s="4" t="inlineStr">
        <is>
          <t>Dominica</t>
        </is>
      </c>
      <c r="E332" s="4" t="inlineStr">
        <is>
          <t>DMA</t>
        </is>
      </c>
      <c r="F332" s="4" t="n"/>
      <c r="G332" s="4" t="inlineStr">
        <is>
          <t>2018gn</t>
        </is>
      </c>
      <c r="H332" s="4" t="n">
        <v>2018</v>
      </c>
      <c r="I332" s="4" t="inlineStr">
        <is>
          <t>nom.val.dbt.npc</t>
        </is>
      </c>
      <c r="J332" t="inlineStr">
        <is>
          <t xml:space="preserve">   Non-Paris Club</t>
        </is>
      </c>
      <c r="O332" t="n">
        <v>16.888436352472</v>
      </c>
      <c r="P332" t="n">
        <v>23.43210746536859</v>
      </c>
      <c r="Q332" t="n">
        <v>38.81574273884719</v>
      </c>
      <c r="R332" t="n">
        <v>51.12824379458309</v>
      </c>
      <c r="S332" t="n">
        <v>62.90968897274639</v>
      </c>
      <c r="T332" t="n">
        <v>73.8669691637507</v>
      </c>
      <c r="U332" t="n">
        <v>81.00671140366589</v>
      </c>
      <c r="V332" t="n">
        <v>86.31438498523416</v>
      </c>
      <c r="W332" t="n">
        <v>88.85390814111463</v>
      </c>
      <c r="X332" t="n">
        <v>89.18211254682952</v>
      </c>
      <c r="Y332" t="n">
        <v>87.43932114467984</v>
      </c>
      <c r="Z332" t="n">
        <v>87.11241865305419</v>
      </c>
      <c r="AA332" t="n">
        <v>86.17634528605156</v>
      </c>
      <c r="AB332" t="n">
        <v>86.53866247122644</v>
      </c>
      <c r="AC332" t="n">
        <v>85.82111050443933</v>
      </c>
      <c r="AD332" t="n">
        <v>84.22940486289814</v>
      </c>
      <c r="AE332" t="n">
        <v>82.91065723067388</v>
      </c>
      <c r="AF332" t="n">
        <v>81.89535240738823</v>
      </c>
      <c r="AG332" t="n">
        <v>81.07311404749926</v>
      </c>
      <c r="AH332" t="n">
        <v>80.4726090448621</v>
      </c>
      <c r="AI332" t="n">
        <v>80.402207685101</v>
      </c>
    </row>
    <row r="333">
      <c r="A333" t="inlineStr">
        <is>
          <t>no_year_in_pairs</t>
        </is>
      </c>
      <c r="B333" s="2" t="n"/>
      <c r="C333" s="3" t="inlineStr">
        <is>
          <t>SM.19.158, Sup. 2</t>
        </is>
      </c>
      <c r="D333" s="4" t="inlineStr">
        <is>
          <t>Dominica</t>
        </is>
      </c>
      <c r="E333" s="4" t="inlineStr">
        <is>
          <t>DMA</t>
        </is>
      </c>
      <c r="F333" s="4" t="n"/>
      <c r="G333" s="4" t="inlineStr">
        <is>
          <t>2018gn</t>
        </is>
      </c>
      <c r="H333" s="4" t="n">
        <v>2018</v>
      </c>
      <c r="I333" s="4" t="inlineStr">
        <is>
          <t>nom.val.dbt.npc.eximbk</t>
        </is>
      </c>
      <c r="J333" t="inlineStr">
        <is>
          <t>Export Import Bank of NPC</t>
        </is>
      </c>
      <c r="M333" t="n">
        <v>394</v>
      </c>
      <c r="O333" t="n">
        <v>16.888436352472</v>
      </c>
      <c r="P333" t="n">
        <v>23.43210746536859</v>
      </c>
      <c r="Q333" t="n">
        <v>38.81574273884719</v>
      </c>
      <c r="R333" t="n">
        <v>51.12824379458309</v>
      </c>
      <c r="S333" t="n">
        <v>62.90968897274639</v>
      </c>
      <c r="T333" t="n">
        <v>73.8669691637507</v>
      </c>
      <c r="U333" t="n">
        <v>81.00671140366589</v>
      </c>
      <c r="V333" t="n">
        <v>86.31438498523416</v>
      </c>
      <c r="W333" t="n">
        <v>88.85390814111463</v>
      </c>
      <c r="X333" t="n">
        <v>89.18211254682952</v>
      </c>
      <c r="Y333" t="n">
        <v>87.43932114467984</v>
      </c>
      <c r="Z333" t="n">
        <v>87.11241865305419</v>
      </c>
      <c r="AA333" t="n">
        <v>86.17634528605156</v>
      </c>
      <c r="AB333" t="n">
        <v>86.53866247122644</v>
      </c>
      <c r="AC333" t="n">
        <v>85.82111050443933</v>
      </c>
      <c r="AD333" t="n">
        <v>84.22940486289814</v>
      </c>
      <c r="AE333" t="n">
        <v>82.91065723067388</v>
      </c>
      <c r="AF333" t="n">
        <v>81.89535240738823</v>
      </c>
      <c r="AG333" t="n">
        <v>81.07311404749926</v>
      </c>
      <c r="AH333" t="n">
        <v>80.4726090448621</v>
      </c>
      <c r="AI333" t="n">
        <v>80.402207685101</v>
      </c>
    </row>
    <row r="334">
      <c r="A334" t="inlineStr">
        <is>
          <t>no_year_in_pairs</t>
        </is>
      </c>
      <c r="B334" s="2" t="n"/>
      <c r="C334" s="3" t="inlineStr">
        <is>
          <t>SM.19.158, Sup. 2</t>
        </is>
      </c>
      <c r="D334" s="4" t="inlineStr">
        <is>
          <t>Dominica</t>
        </is>
      </c>
      <c r="E334" s="4" t="inlineStr">
        <is>
          <t>DMA</t>
        </is>
      </c>
      <c r="F334" s="4" t="n"/>
      <c r="G334" s="4" t="inlineStr">
        <is>
          <t>2018gn</t>
        </is>
      </c>
      <c r="H334" s="4" t="n">
        <v>2018</v>
      </c>
      <c r="I334" s="4" t="inlineStr">
        <is>
          <t>nom.val.dbt.npc2</t>
        </is>
      </c>
      <c r="J334" t="inlineStr">
        <is>
          <t>NPC2</t>
        </is>
      </c>
      <c r="M334" t="n">
        <v>420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</row>
    <row r="335">
      <c r="A335" t="inlineStr">
        <is>
          <t>no_year_in_pairs</t>
        </is>
      </c>
      <c r="B335" s="2" t="n"/>
      <c r="C335" s="3" t="inlineStr">
        <is>
          <t>SM.19.158, Sup. 2</t>
        </is>
      </c>
      <c r="D335" s="4" t="inlineStr">
        <is>
          <t>Dominica</t>
        </is>
      </c>
      <c r="E335" s="4" t="inlineStr">
        <is>
          <t>DMA</t>
        </is>
      </c>
      <c r="F335" s="4" t="n"/>
      <c r="G335" s="4" t="inlineStr">
        <is>
          <t>2018gn</t>
        </is>
      </c>
      <c r="H335" s="4" t="n">
        <v>2018</v>
      </c>
      <c r="I335" s="4" t="inlineStr">
        <is>
          <t>nom.val.dbt.npc3</t>
        </is>
      </c>
      <c r="J335" t="inlineStr">
        <is>
          <t>NPC3</t>
        </is>
      </c>
      <c r="M335" t="n">
        <v>446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</row>
    <row r="336">
      <c r="A336" t="inlineStr">
        <is>
          <t>no_year_in_pairs</t>
        </is>
      </c>
      <c r="B336" s="2" t="n"/>
      <c r="C336" s="3" t="inlineStr">
        <is>
          <t>SM.19.158, Sup. 2</t>
        </is>
      </c>
      <c r="D336" s="4" t="inlineStr">
        <is>
          <t>Dominica</t>
        </is>
      </c>
      <c r="E336" s="4" t="inlineStr">
        <is>
          <t>DMA</t>
        </is>
      </c>
      <c r="F336" s="4" t="n"/>
      <c r="G336" s="4" t="inlineStr">
        <is>
          <t>2018gn</t>
        </is>
      </c>
      <c r="H336" s="4" t="n">
        <v>2018</v>
      </c>
      <c r="I336" s="4" t="inlineStr">
        <is>
          <t>nom.val.dbt.npc4</t>
        </is>
      </c>
      <c r="J336" t="inlineStr">
        <is>
          <t>NPC4</t>
        </is>
      </c>
      <c r="M336" t="n">
        <v>472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</row>
    <row r="337">
      <c r="A337" t="inlineStr">
        <is>
          <t>no_year_in_pairs</t>
        </is>
      </c>
      <c r="B337" s="2" t="n"/>
      <c r="C337" s="3" t="inlineStr">
        <is>
          <t>SM.19.158, Sup. 2</t>
        </is>
      </c>
      <c r="D337" s="4" t="inlineStr">
        <is>
          <t>Dominica</t>
        </is>
      </c>
      <c r="E337" s="4" t="inlineStr">
        <is>
          <t>DMA</t>
        </is>
      </c>
      <c r="F337" s="4" t="n"/>
      <c r="G337" s="4" t="inlineStr">
        <is>
          <t>2018gn</t>
        </is>
      </c>
      <c r="H337" s="4" t="n">
        <v>2018</v>
      </c>
      <c r="I337" s="4" t="inlineStr">
        <is>
          <t>nom.val.dbt.npc5</t>
        </is>
      </c>
      <c r="J337" t="inlineStr">
        <is>
          <t>NPC5</t>
        </is>
      </c>
      <c r="M337" t="n">
        <v>498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</row>
    <row r="338">
      <c r="A338" t="inlineStr">
        <is>
          <t>no_year_in_pairs</t>
        </is>
      </c>
      <c r="B338" s="2" t="n"/>
      <c r="C338" s="3" t="inlineStr">
        <is>
          <t>SM.19.158, Sup. 2</t>
        </is>
      </c>
      <c r="D338" s="4" t="inlineStr">
        <is>
          <t>Dominica</t>
        </is>
      </c>
      <c r="E338" s="4" t="inlineStr">
        <is>
          <t>DMA</t>
        </is>
      </c>
      <c r="F338" s="4" t="n"/>
      <c r="G338" s="4" t="inlineStr">
        <is>
          <t>2018gn</t>
        </is>
      </c>
      <c r="H338" s="4" t="n">
        <v>2018</v>
      </c>
      <c r="I338" s="4" t="inlineStr">
        <is>
          <t>nom.val.dbt.prvt</t>
        </is>
      </c>
      <c r="J338" t="inlineStr">
        <is>
          <t>Commercial</t>
        </is>
      </c>
      <c r="O338" t="n">
        <v>19.36898183242197</v>
      </c>
      <c r="P338" t="n">
        <v>30.45197954732266</v>
      </c>
      <c r="Q338" t="n">
        <v>52.32624976874712</v>
      </c>
      <c r="R338" t="n">
        <v>64.72967121421314</v>
      </c>
      <c r="S338" t="n">
        <v>76.7726597450669</v>
      </c>
      <c r="T338" t="n">
        <v>88.96077342377856</v>
      </c>
      <c r="U338" t="n">
        <v>99.71022471065372</v>
      </c>
      <c r="V338" t="n">
        <v>111.9347102789289</v>
      </c>
      <c r="W338" t="n">
        <v>124.7548383551074</v>
      </c>
      <c r="X338" t="n">
        <v>139.1626072519893</v>
      </c>
      <c r="Y338" t="n">
        <v>155.410664205389</v>
      </c>
      <c r="Z338" t="n">
        <v>170.3039461733494</v>
      </c>
      <c r="AA338" t="n">
        <v>186.2659168731759</v>
      </c>
      <c r="AB338" t="n">
        <v>201.244847148364</v>
      </c>
      <c r="AC338" t="n">
        <v>214.8471916184121</v>
      </c>
      <c r="AD338" t="n">
        <v>186.0337810229608</v>
      </c>
      <c r="AE338" t="n">
        <v>199.7282593654526</v>
      </c>
      <c r="AF338" t="n">
        <v>213.6972249301149</v>
      </c>
      <c r="AG338" t="n">
        <v>227.9575461346213</v>
      </c>
      <c r="AH338" t="n">
        <v>244.2332199842302</v>
      </c>
      <c r="AI338" t="n">
        <v>259.6071642931985</v>
      </c>
      <c r="BI338" t="inlineStr">
        <is>
          <t>NOM_NEW_COM</t>
        </is>
      </c>
    </row>
    <row r="339">
      <c r="A339" t="inlineStr">
        <is>
          <t>no_year_in_pairs</t>
        </is>
      </c>
      <c r="B339" s="2" t="n"/>
      <c r="C339" s="3" t="inlineStr">
        <is>
          <t>SM.19.158, Sup. 2</t>
        </is>
      </c>
      <c r="D339" s="4" t="inlineStr">
        <is>
          <t>Dominica</t>
        </is>
      </c>
      <c r="E339" s="4" t="inlineStr">
        <is>
          <t>DMA</t>
        </is>
      </c>
      <c r="F339" s="4" t="n"/>
      <c r="G339" s="4" t="inlineStr">
        <is>
          <t>2018gn</t>
        </is>
      </c>
      <c r="H339" s="4" t="n">
        <v>2018</v>
      </c>
      <c r="I339" s="4" t="inlineStr">
        <is>
          <t>nom.val.dbt.prvt.bnd</t>
        </is>
      </c>
      <c r="J339" t="inlineStr">
        <is>
          <t>Eurobond</t>
        </is>
      </c>
      <c r="M339" t="n">
        <v>524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</row>
    <row r="340">
      <c r="A340" t="inlineStr">
        <is>
          <t>no_year_in_pairs</t>
        </is>
      </c>
      <c r="B340" s="2" t="n"/>
      <c r="C340" s="3" t="inlineStr">
        <is>
          <t>SM.19.158, Sup. 2</t>
        </is>
      </c>
      <c r="D340" s="4" t="inlineStr">
        <is>
          <t>Dominica</t>
        </is>
      </c>
      <c r="E340" s="4" t="inlineStr">
        <is>
          <t>DMA</t>
        </is>
      </c>
      <c r="F340" s="4" t="n"/>
      <c r="G340" s="4" t="inlineStr">
        <is>
          <t>2018gn</t>
        </is>
      </c>
      <c r="H340" s="4" t="n">
        <v>2018</v>
      </c>
      <c r="I340" s="4" t="inlineStr">
        <is>
          <t>nom.val.dbt.prvt.cmbk</t>
        </is>
      </c>
      <c r="J340" t="inlineStr">
        <is>
          <t>Commecial Bank</t>
        </is>
      </c>
      <c r="M340" t="n">
        <v>550</v>
      </c>
      <c r="O340" t="n">
        <v>4.92129497174923</v>
      </c>
      <c r="P340" t="n">
        <v>5.393698320369619</v>
      </c>
      <c r="Q340" t="n">
        <v>16.1768801934768</v>
      </c>
      <c r="R340" t="n">
        <v>7.68734814750119</v>
      </c>
      <c r="S340" t="n">
        <v>8.771253231015116</v>
      </c>
      <c r="T340" t="n">
        <v>10.06295270402109</v>
      </c>
      <c r="U340" t="n">
        <v>9.074081048882892</v>
      </c>
      <c r="V340" t="n">
        <v>10.52674979073489</v>
      </c>
      <c r="W340" t="n">
        <v>9.480768879775461</v>
      </c>
      <c r="X340" t="n">
        <v>9.399635747498451</v>
      </c>
      <c r="Y340" t="n">
        <v>9.922005973394398</v>
      </c>
      <c r="Z340" t="n">
        <v>10.49473956191899</v>
      </c>
      <c r="AA340" t="n">
        <v>11.11076867238098</v>
      </c>
      <c r="AB340" t="n">
        <v>11.52041366005539</v>
      </c>
      <c r="AC340" t="n">
        <v>10.82333447989039</v>
      </c>
      <c r="AD340" t="n">
        <v>10.63913340689628</v>
      </c>
      <c r="AE340" t="n">
        <v>11.1214189840094</v>
      </c>
      <c r="AF340" t="n">
        <v>11.52970501148479</v>
      </c>
      <c r="AG340" t="n">
        <v>11.9647303692724</v>
      </c>
      <c r="AH340" t="n">
        <v>12.41344800636341</v>
      </c>
      <c r="AI340" t="n">
        <v>12.8782317370096</v>
      </c>
    </row>
    <row r="341">
      <c r="A341" t="inlineStr">
        <is>
          <t>no_year_in_pairs</t>
        </is>
      </c>
      <c r="B341" s="2" t="n"/>
      <c r="C341" s="3" t="inlineStr">
        <is>
          <t>SM.19.158, Sup. 2</t>
        </is>
      </c>
      <c r="D341" s="4" t="inlineStr">
        <is>
          <t>Dominica</t>
        </is>
      </c>
      <c r="E341" s="4" t="inlineStr">
        <is>
          <t>DMA</t>
        </is>
      </c>
      <c r="F341" s="4" t="n"/>
      <c r="G341" s="4" t="inlineStr">
        <is>
          <t>2018gn</t>
        </is>
      </c>
      <c r="H341" s="4" t="n">
        <v>2018</v>
      </c>
      <c r="I341" s="4" t="inlineStr">
        <is>
          <t>nom.val.dbt.prvt.com3</t>
        </is>
      </c>
      <c r="J341" t="inlineStr">
        <is>
          <t>COM3</t>
        </is>
      </c>
      <c r="M341" t="n">
        <v>576</v>
      </c>
      <c r="O341" t="n">
        <v>14.44768686067273</v>
      </c>
      <c r="P341" t="n">
        <v>25.05828122695304</v>
      </c>
      <c r="Q341" t="n">
        <v>36.14936957527031</v>
      </c>
      <c r="R341" t="n">
        <v>57.04232306671194</v>
      </c>
      <c r="S341" t="n">
        <v>68.00140651405178</v>
      </c>
      <c r="T341" t="n">
        <v>78.89782071975748</v>
      </c>
      <c r="U341" t="n">
        <v>90.63614366177083</v>
      </c>
      <c r="V341" t="n">
        <v>101.407960488194</v>
      </c>
      <c r="W341" t="n">
        <v>115.2740694753319</v>
      </c>
      <c r="X341" t="n">
        <v>129.7629715044909</v>
      </c>
      <c r="Y341" t="n">
        <v>145.4886582319946</v>
      </c>
      <c r="Z341" t="n">
        <v>159.8092066114304</v>
      </c>
      <c r="AA341" t="n">
        <v>175.1551482007949</v>
      </c>
      <c r="AB341" t="n">
        <v>189.7244334883086</v>
      </c>
      <c r="AC341" t="n">
        <v>204.0238571385217</v>
      </c>
      <c r="AD341" t="n">
        <v>175.3946476160645</v>
      </c>
      <c r="AE341" t="n">
        <v>188.6068403814432</v>
      </c>
      <c r="AF341" t="n">
        <v>202.1675199186301</v>
      </c>
      <c r="AG341" t="n">
        <v>215.992815765349</v>
      </c>
      <c r="AH341" t="n">
        <v>231.8197719778668</v>
      </c>
      <c r="AI341" t="n">
        <v>246.7289325561889</v>
      </c>
    </row>
    <row r="342">
      <c r="A342" t="inlineStr">
        <is>
          <t>no_year_in_pairs</t>
        </is>
      </c>
      <c r="B342" s="2" t="n"/>
      <c r="C342" s="3" t="inlineStr">
        <is>
          <t>SM.19.158, Sup. 2</t>
        </is>
      </c>
      <c r="D342" s="4" t="inlineStr">
        <is>
          <t>Dominica</t>
        </is>
      </c>
      <c r="E342" s="4" t="inlineStr">
        <is>
          <t>DMA</t>
        </is>
      </c>
      <c r="F342" s="4" t="n"/>
      <c r="G342" s="4" t="inlineStr">
        <is>
          <t>2018gn</t>
        </is>
      </c>
      <c r="H342" s="4" t="n">
        <v>2018</v>
      </c>
      <c r="I342" s="4" t="inlineStr">
        <is>
          <t>nom.val.dbt.prvt.com4</t>
        </is>
      </c>
      <c r="J342" t="inlineStr">
        <is>
          <t>COM4</t>
        </is>
      </c>
      <c r="M342" t="n">
        <v>602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</row>
    <row r="343">
      <c r="A343" t="inlineStr">
        <is>
          <t>no_year_in_pairs</t>
        </is>
      </c>
      <c r="B343" s="2" t="n"/>
      <c r="C343" s="3" t="inlineStr">
        <is>
          <t>SM.19.158, Sup. 2</t>
        </is>
      </c>
      <c r="D343" s="4" t="inlineStr">
        <is>
          <t>Dominica</t>
        </is>
      </c>
      <c r="E343" s="4" t="inlineStr">
        <is>
          <t>DMA</t>
        </is>
      </c>
      <c r="F343" s="4" t="n"/>
      <c r="G343" s="4" t="inlineStr">
        <is>
          <t>2018gn</t>
        </is>
      </c>
      <c r="H343" s="4" t="n">
        <v>2018</v>
      </c>
      <c r="I343" s="4" t="inlineStr">
        <is>
          <t>nom.val.dbt.prvt.com5</t>
        </is>
      </c>
      <c r="J343" t="inlineStr">
        <is>
          <t>COM5</t>
        </is>
      </c>
      <c r="M343" t="n">
        <v>628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</row>
    <row r="344">
      <c r="A344" t="inlineStr">
        <is>
          <t>no_year_in_pairs</t>
        </is>
      </c>
      <c r="B344" s="2" t="n"/>
      <c r="C344" s="3" t="inlineStr">
        <is>
          <t>SM.19.158, Sup. 2</t>
        </is>
      </c>
      <c r="D344" s="4" t="inlineStr">
        <is>
          <t>Dominica</t>
        </is>
      </c>
      <c r="E344" s="4" t="inlineStr">
        <is>
          <t>DMA</t>
        </is>
      </c>
      <c r="F344" s="4" t="n"/>
      <c r="G344" s="4" t="inlineStr">
        <is>
          <t>2018gn</t>
        </is>
      </c>
      <c r="H344" s="4" t="n">
        <v>2018</v>
      </c>
      <c r="I344" s="4" t="inlineStr">
        <is>
          <t>nom.val.dbt.lcl.iss.nres</t>
        </is>
      </c>
      <c r="J344" t="inlineStr">
        <is>
          <t>Locally-issued debt held by non-residents</t>
        </is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</row>
    <row r="345">
      <c r="A345" t="inlineStr">
        <is>
          <t>no_year_in_pairs</t>
        </is>
      </c>
      <c r="B345" s="2" t="n"/>
      <c r="C345" s="3" t="inlineStr">
        <is>
          <t>SM.19.158, Sup. 2</t>
        </is>
      </c>
      <c r="D345" s="4" t="inlineStr">
        <is>
          <t>Dominica</t>
        </is>
      </c>
      <c r="E345" s="4" t="inlineStr">
        <is>
          <t>DMA</t>
        </is>
      </c>
      <c r="F345" s="4" t="n"/>
      <c r="G345" s="4" t="inlineStr">
        <is>
          <t>2018gn</t>
        </is>
      </c>
      <c r="H345" s="4" t="n">
        <v>2018</v>
      </c>
      <c r="I345" s="4" t="inlineStr">
        <is>
          <t>pn.new.dbt.lcl.nres.lc</t>
        </is>
      </c>
      <c r="J345" t="inlineStr">
        <is>
          <t>Denominated in local currency (LC)</t>
        </is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</row>
    <row r="346">
      <c r="A346" t="inlineStr">
        <is>
          <t>no_year_in_pairs</t>
        </is>
      </c>
      <c r="B346" s="2" t="n"/>
      <c r="C346" s="3" t="inlineStr">
        <is>
          <t>SM.19.158, Sup. 2</t>
        </is>
      </c>
      <c r="D346" s="4" t="inlineStr">
        <is>
          <t>Dominica</t>
        </is>
      </c>
      <c r="E346" s="4" t="inlineStr">
        <is>
          <t>DMA</t>
        </is>
      </c>
      <c r="F346" s="4" t="n"/>
      <c r="G346" s="4" t="inlineStr">
        <is>
          <t>2018gn</t>
        </is>
      </c>
      <c r="H346" s="4" t="n">
        <v>2018</v>
      </c>
      <c r="I346" s="4" t="inlineStr">
        <is>
          <t>pn.new.dbt.lcl.nres.bnd.1to3.lc</t>
        </is>
      </c>
      <c r="J346" t="inlineStr">
        <is>
          <t>Bonds (1 to 3 years)-LC</t>
        </is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</row>
    <row r="347">
      <c r="A347" t="inlineStr">
        <is>
          <t>no_year_in_pairs</t>
        </is>
      </c>
      <c r="B347" s="2" t="n"/>
      <c r="C347" s="3" t="inlineStr">
        <is>
          <t>SM.19.158, Sup. 2</t>
        </is>
      </c>
      <c r="D347" s="4" t="inlineStr">
        <is>
          <t>Dominica</t>
        </is>
      </c>
      <c r="E347" s="4" t="inlineStr">
        <is>
          <t>DMA</t>
        </is>
      </c>
      <c r="F347" s="4" t="n"/>
      <c r="G347" s="4" t="inlineStr">
        <is>
          <t>2018gn</t>
        </is>
      </c>
      <c r="H347" s="4" t="n">
        <v>2018</v>
      </c>
      <c r="I347" s="4" t="inlineStr">
        <is>
          <t>pn.new.dbt.lcl.nres.bnd.4to7.lc</t>
        </is>
      </c>
      <c r="J347" t="inlineStr">
        <is>
          <t>Bonds (4 to 7 years)-LC</t>
        </is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</row>
    <row r="348">
      <c r="A348" t="inlineStr">
        <is>
          <t>no_year_in_pairs</t>
        </is>
      </c>
      <c r="B348" s="2" t="n"/>
      <c r="C348" s="3" t="inlineStr">
        <is>
          <t>SM.19.158, Sup. 2</t>
        </is>
      </c>
      <c r="D348" s="4" t="inlineStr">
        <is>
          <t>Dominica</t>
        </is>
      </c>
      <c r="E348" s="4" t="inlineStr">
        <is>
          <t>DMA</t>
        </is>
      </c>
      <c r="F348" s="4" t="n"/>
      <c r="G348" s="4" t="inlineStr">
        <is>
          <t>2018gn</t>
        </is>
      </c>
      <c r="H348" s="4" t="n">
        <v>2018</v>
      </c>
      <c r="I348" s="4" t="inlineStr">
        <is>
          <t>pn.new.dbt.lcl.nres.bnd.byd7.lc</t>
        </is>
      </c>
      <c r="J348" t="inlineStr">
        <is>
          <t>Bonds (beyond 7 years)-LC</t>
        </is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</row>
    <row r="349">
      <c r="A349" t="inlineStr">
        <is>
          <t>no_year_in_pairs</t>
        </is>
      </c>
      <c r="B349" s="2" t="n"/>
      <c r="C349" s="3" t="inlineStr">
        <is>
          <t>SM.19.158, Sup. 2</t>
        </is>
      </c>
      <c r="D349" s="4" t="inlineStr">
        <is>
          <t>Dominica</t>
        </is>
      </c>
      <c r="E349" s="4" t="inlineStr">
        <is>
          <t>DMA</t>
        </is>
      </c>
      <c r="F349" s="4" t="n"/>
      <c r="G349" s="4" t="inlineStr">
        <is>
          <t>2018gn</t>
        </is>
      </c>
      <c r="H349" s="4" t="n">
        <v>2018</v>
      </c>
      <c r="I349" s="4" t="inlineStr">
        <is>
          <t>pn.new.dbt.lcl.nres.fx</t>
        </is>
      </c>
      <c r="J349" t="inlineStr">
        <is>
          <t>Denominated in foreign currency (FX)</t>
        </is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</row>
    <row r="350">
      <c r="A350" t="inlineStr">
        <is>
          <t>no_year_in_pairs</t>
        </is>
      </c>
      <c r="B350" s="2" t="n"/>
      <c r="C350" s="3" t="inlineStr">
        <is>
          <t>SM.19.158, Sup. 2</t>
        </is>
      </c>
      <c r="D350" s="4" t="inlineStr">
        <is>
          <t>Dominica</t>
        </is>
      </c>
      <c r="E350" s="4" t="inlineStr">
        <is>
          <t>DMA</t>
        </is>
      </c>
      <c r="F350" s="4" t="n"/>
      <c r="G350" s="4" t="inlineStr">
        <is>
          <t>2018gn</t>
        </is>
      </c>
      <c r="H350" s="4" t="n">
        <v>2018</v>
      </c>
      <c r="I350" s="4" t="inlineStr">
        <is>
          <t>pn.new.dbt.lcl.nres.bnd.1to3.fx</t>
        </is>
      </c>
      <c r="J350" t="inlineStr">
        <is>
          <t>Bonds (1 to 3 years)-FX</t>
        </is>
      </c>
      <c r="M350" t="n">
        <v>654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</row>
    <row r="351">
      <c r="A351" t="inlineStr">
        <is>
          <t>no_year_in_pairs</t>
        </is>
      </c>
      <c r="B351" s="2" t="n"/>
      <c r="C351" s="3" t="inlineStr">
        <is>
          <t>SM.19.158, Sup. 2</t>
        </is>
      </c>
      <c r="D351" s="4" t="inlineStr">
        <is>
          <t>Dominica</t>
        </is>
      </c>
      <c r="E351" s="4" t="inlineStr">
        <is>
          <t>DMA</t>
        </is>
      </c>
      <c r="F351" s="4" t="n"/>
      <c r="G351" s="4" t="inlineStr">
        <is>
          <t>2018gn</t>
        </is>
      </c>
      <c r="H351" s="4" t="n">
        <v>2018</v>
      </c>
      <c r="I351" s="4" t="inlineStr">
        <is>
          <t>pn.new.dbt.lcl.nres.bnd.4to7.fx</t>
        </is>
      </c>
      <c r="J351" t="inlineStr">
        <is>
          <t>Bonds (4 to 7 years)-FX</t>
        </is>
      </c>
      <c r="M351" t="n">
        <v>680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</row>
    <row r="352">
      <c r="A352" t="inlineStr">
        <is>
          <t>no_year_in_pairs</t>
        </is>
      </c>
      <c r="B352" s="2" t="n"/>
      <c r="C352" s="3" t="inlineStr">
        <is>
          <t>SM.19.158, Sup. 2</t>
        </is>
      </c>
      <c r="D352" s="4" t="inlineStr">
        <is>
          <t>Dominica</t>
        </is>
      </c>
      <c r="E352" s="4" t="inlineStr">
        <is>
          <t>DMA</t>
        </is>
      </c>
      <c r="F352" s="4" t="n"/>
      <c r="G352" s="4" t="inlineStr">
        <is>
          <t>2018gn</t>
        </is>
      </c>
      <c r="H352" s="4" t="n">
        <v>2018</v>
      </c>
      <c r="I352" s="4" t="inlineStr">
        <is>
          <t>pn.new.dbt.lcl.nres.bnd.byd7.fx</t>
        </is>
      </c>
      <c r="J352" t="inlineStr">
        <is>
          <t>Bonds (beyond 7 years)-FX</t>
        </is>
      </c>
      <c r="M352" t="n">
        <v>706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</row>
    <row r="353">
      <c r="A353" t="inlineStr">
        <is>
          <t>no_year_in_pairs</t>
        </is>
      </c>
      <c r="B353" s="2" t="n"/>
      <c r="C353" s="3" t="inlineStr">
        <is>
          <t>SM.19.158, Sup. 2</t>
        </is>
      </c>
      <c r="D353" s="4" t="inlineStr">
        <is>
          <t>Dominica</t>
        </is>
      </c>
      <c r="E353" s="4" t="inlineStr">
        <is>
          <t>DMA</t>
        </is>
      </c>
      <c r="F353" s="4" t="n"/>
      <c r="G353" s="4" t="inlineStr">
        <is>
          <t>2018gn</t>
        </is>
      </c>
      <c r="H353" s="4" t="n">
        <v>2018</v>
      </c>
      <c r="I353" s="5" t="n"/>
      <c r="J353" t="inlineStr">
        <is>
          <t>Locally-issued debt held by residents</t>
        </is>
      </c>
    </row>
    <row r="354">
      <c r="A354" t="inlineStr">
        <is>
          <t>no_year_in_pairs</t>
        </is>
      </c>
      <c r="B354" s="2" t="n"/>
      <c r="C354" s="3" t="inlineStr">
        <is>
          <t>SM.19.158, Sup. 2</t>
        </is>
      </c>
      <c r="D354" s="4" t="inlineStr">
        <is>
          <t>Dominica</t>
        </is>
      </c>
      <c r="E354" s="4" t="inlineStr">
        <is>
          <t>DMA</t>
        </is>
      </c>
      <c r="F354" s="4" t="n"/>
      <c r="G354" s="4" t="inlineStr">
        <is>
          <t>2018gn</t>
        </is>
      </c>
      <c r="H354" s="4" t="n">
        <v>2018</v>
      </c>
      <c r="I354" s="4" t="inlineStr">
        <is>
          <t>pn.new.dbt.lcl.fx</t>
        </is>
      </c>
      <c r="J354" t="inlineStr">
        <is>
          <t>Denominated in foreign currency (FX)</t>
        </is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</row>
    <row r="355">
      <c r="A355" t="inlineStr">
        <is>
          <t>no_year_in_pairs</t>
        </is>
      </c>
      <c r="B355" s="2" t="n"/>
      <c r="C355" s="3" t="inlineStr">
        <is>
          <t>SM.19.158, Sup. 2</t>
        </is>
      </c>
      <c r="D355" s="4" t="inlineStr">
        <is>
          <t>Dominica</t>
        </is>
      </c>
      <c r="E355" s="4" t="inlineStr">
        <is>
          <t>DMA</t>
        </is>
      </c>
      <c r="F355" s="4" t="n"/>
      <c r="G355" s="4" t="inlineStr">
        <is>
          <t>2018gn</t>
        </is>
      </c>
      <c r="H355" s="4" t="n">
        <v>2018</v>
      </c>
      <c r="I355" s="4" t="inlineStr">
        <is>
          <t>pn.new.dbt.lcl.fx.bnd.1to3.fx</t>
        </is>
      </c>
      <c r="J355" t="inlineStr">
        <is>
          <t>Bonds (1 to 3 years)-FX</t>
        </is>
      </c>
      <c r="M355" t="n">
        <v>732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</row>
    <row r="356">
      <c r="A356" t="inlineStr">
        <is>
          <t>no_year_in_pairs</t>
        </is>
      </c>
      <c r="B356" s="2" t="n"/>
      <c r="C356" s="3" t="inlineStr">
        <is>
          <t>SM.19.158, Sup. 2</t>
        </is>
      </c>
      <c r="D356" s="4" t="inlineStr">
        <is>
          <t>Dominica</t>
        </is>
      </c>
      <c r="E356" s="4" t="inlineStr">
        <is>
          <t>DMA</t>
        </is>
      </c>
      <c r="F356" s="4" t="n"/>
      <c r="G356" s="4" t="inlineStr">
        <is>
          <t>2018gn</t>
        </is>
      </c>
      <c r="H356" s="4" t="n">
        <v>2018</v>
      </c>
      <c r="I356" s="4" t="inlineStr">
        <is>
          <t>pn.new.dbt.lcl.fx.bnd.4to7.fx</t>
        </is>
      </c>
      <c r="J356" t="inlineStr">
        <is>
          <t>Bonds (4 to 7 years)-FX</t>
        </is>
      </c>
      <c r="M356" t="n">
        <v>758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</row>
    <row r="357">
      <c r="A357" t="inlineStr">
        <is>
          <t>no_year_in_pairs</t>
        </is>
      </c>
      <c r="B357" s="2" t="n"/>
      <c r="C357" s="3" t="inlineStr">
        <is>
          <t>SM.19.158, Sup. 2</t>
        </is>
      </c>
      <c r="D357" s="4" t="inlineStr">
        <is>
          <t>Dominica</t>
        </is>
      </c>
      <c r="E357" s="4" t="inlineStr">
        <is>
          <t>DMA</t>
        </is>
      </c>
      <c r="F357" s="4" t="n"/>
      <c r="G357" s="4" t="inlineStr">
        <is>
          <t>2018gn</t>
        </is>
      </c>
      <c r="H357" s="4" t="n">
        <v>2018</v>
      </c>
      <c r="I357" s="4" t="inlineStr">
        <is>
          <t>pn.new.dbt.lcl.fx.bnd.byd7.fx</t>
        </is>
      </c>
      <c r="J357" t="inlineStr">
        <is>
          <t>Bonds (beyond 7 years)-FX</t>
        </is>
      </c>
      <c r="M357" t="n">
        <v>784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</row>
    <row r="358">
      <c r="A358" t="inlineStr">
        <is>
          <t>no_year_in_pairs</t>
        </is>
      </c>
      <c r="B358" s="2" t="n"/>
      <c r="C358" s="3" t="inlineStr">
        <is>
          <t>SM.19.158, Sup. 2</t>
        </is>
      </c>
      <c r="D358" s="4" t="inlineStr">
        <is>
          <t>Dominica</t>
        </is>
      </c>
      <c r="E358" s="4" t="inlineStr">
        <is>
          <t>DMA</t>
        </is>
      </c>
      <c r="F358" s="4" t="n"/>
      <c r="G358" s="4" t="inlineStr">
        <is>
          <t>2018gn</t>
        </is>
      </c>
      <c r="H358" s="4" t="n">
        <v>2018</v>
      </c>
      <c r="I358" s="5" t="n"/>
    </row>
    <row r="359">
      <c r="A359" t="inlineStr">
        <is>
          <t>no_year_in_pairs</t>
        </is>
      </c>
      <c r="B359" s="2" t="n"/>
      <c r="C359" s="3" t="inlineStr">
        <is>
          <t>SM.19.158, Sup. 2</t>
        </is>
      </c>
      <c r="D359" s="4" t="inlineStr">
        <is>
          <t>Dominica</t>
        </is>
      </c>
      <c r="E359" s="4" t="inlineStr">
        <is>
          <t>DMA</t>
        </is>
      </c>
      <c r="F359" s="4" t="n"/>
      <c r="G359" s="4" t="inlineStr">
        <is>
          <t>2018gn</t>
        </is>
      </c>
      <c r="H359" s="4" t="n">
        <v>2018</v>
      </c>
      <c r="I359" s="4" t="inlineStr">
        <is>
          <t>sht.trm.dbt</t>
        </is>
      </c>
      <c r="J359" t="inlineStr">
        <is>
          <t>Nominal value (=PV) of ST debt (excluding locally-issued debt)</t>
        </is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BI359" t="inlineStr">
        <is>
          <t>NOM_NEW_ST</t>
        </is>
      </c>
    </row>
    <row r="360">
      <c r="A360" t="inlineStr">
        <is>
          <t>no_year_in_pairs</t>
        </is>
      </c>
      <c r="B360" s="2" t="n"/>
      <c r="C360" s="3" t="inlineStr">
        <is>
          <t>SM.19.158, Sup. 2</t>
        </is>
      </c>
      <c r="D360" s="4" t="inlineStr">
        <is>
          <t>Dominica</t>
        </is>
      </c>
      <c r="E360" s="4" t="inlineStr">
        <is>
          <t>DMA</t>
        </is>
      </c>
      <c r="F360" s="4" t="n"/>
      <c r="G360" s="4" t="inlineStr">
        <is>
          <t>2018gn</t>
        </is>
      </c>
      <c r="H360" s="4" t="n">
        <v>2018</v>
      </c>
      <c r="I360" s="4" t="inlineStr">
        <is>
          <t>sht.trm.dbt.int</t>
        </is>
      </c>
      <c r="J360" t="inlineStr">
        <is>
          <t>Interest</t>
        </is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BI360" t="inlineStr">
        <is>
          <t>NOM_NEW_ST_I</t>
        </is>
      </c>
    </row>
    <row r="361">
      <c r="A361" t="inlineStr">
        <is>
          <t>no_year_in_pairs</t>
        </is>
      </c>
      <c r="B361" s="2" t="n"/>
      <c r="C361" s="3" t="inlineStr">
        <is>
          <t>SM.19.158, Sup. 2</t>
        </is>
      </c>
      <c r="D361" s="4" t="inlineStr">
        <is>
          <t>Dominica</t>
        </is>
      </c>
      <c r="E361" s="4" t="inlineStr">
        <is>
          <t>DMA</t>
        </is>
      </c>
      <c r="F361" s="4" t="n"/>
      <c r="G361" s="4" t="inlineStr">
        <is>
          <t>2018gn</t>
        </is>
      </c>
      <c r="H361" s="4" t="n">
        <v>2018</v>
      </c>
      <c r="I361" s="5" t="n"/>
      <c r="N361" t="inlineStr">
        <is>
          <t>Note: interest associated with 2016 ST debt should be included in aggregate data.</t>
        </is>
      </c>
    </row>
    <row r="362">
      <c r="A362" t="inlineStr">
        <is>
          <t>no_year_in_pairs</t>
        </is>
      </c>
      <c r="B362" s="2" t="n"/>
      <c r="C362" s="3" t="inlineStr">
        <is>
          <t>SM.19.158, Sup. 2</t>
        </is>
      </c>
      <c r="D362" s="4" t="inlineStr">
        <is>
          <t>Dominica</t>
        </is>
      </c>
      <c r="E362" s="4" t="inlineStr">
        <is>
          <t>DMA</t>
        </is>
      </c>
      <c r="F362" s="4" t="n"/>
      <c r="G362" s="4" t="inlineStr">
        <is>
          <t>2018gn</t>
        </is>
      </c>
      <c r="H362" s="4" t="n">
        <v>2018</v>
      </c>
      <c r="I362" s="4" t="inlineStr">
        <is>
          <t>sht.trm.dbt.lcl.iss</t>
        </is>
      </c>
      <c r="J362" t="inlineStr">
        <is>
          <t>Nominal value (=PV) of ST debt (locally-issued debt)</t>
        </is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</row>
    <row r="363">
      <c r="A363" t="inlineStr">
        <is>
          <t>no_year_in_pairs</t>
        </is>
      </c>
      <c r="B363" s="2" t="n"/>
      <c r="C363" s="3" t="inlineStr">
        <is>
          <t>SM.19.158, Sup. 2</t>
        </is>
      </c>
      <c r="D363" s="4" t="inlineStr">
        <is>
          <t>Dominica</t>
        </is>
      </c>
      <c r="E363" s="4" t="inlineStr">
        <is>
          <t>DMA</t>
        </is>
      </c>
      <c r="F363" s="4" t="n"/>
      <c r="G363" s="4" t="inlineStr">
        <is>
          <t>2018gn</t>
        </is>
      </c>
      <c r="H363" s="4" t="n">
        <v>2018</v>
      </c>
      <c r="I363" s="4" t="inlineStr">
        <is>
          <t>sht.trm.dbt.lcl.amt</t>
        </is>
      </c>
      <c r="J363" t="inlineStr">
        <is>
          <t>Principal</t>
        </is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</row>
    <row r="364">
      <c r="A364" t="inlineStr">
        <is>
          <t>no_year_in_pairs</t>
        </is>
      </c>
      <c r="B364" s="2" t="n"/>
      <c r="C364" s="3" t="inlineStr">
        <is>
          <t>SM.19.158, Sup. 2</t>
        </is>
      </c>
      <c r="D364" s="4" t="inlineStr">
        <is>
          <t>Dominica</t>
        </is>
      </c>
      <c r="E364" s="4" t="inlineStr">
        <is>
          <t>DMA</t>
        </is>
      </c>
      <c r="F364" s="4" t="n"/>
      <c r="G364" s="4" t="inlineStr">
        <is>
          <t>2018gn</t>
        </is>
      </c>
      <c r="H364" s="4" t="n">
        <v>2018</v>
      </c>
      <c r="I364" s="4" t="inlineStr">
        <is>
          <t>sht.trm.dbt.lcl.int</t>
        </is>
      </c>
      <c r="J364" t="inlineStr">
        <is>
          <t>Interest</t>
        </is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</row>
    <row r="365">
      <c r="A365" t="inlineStr">
        <is>
          <t>no_year_in_pairs</t>
        </is>
      </c>
      <c r="B365" s="2" t="n"/>
      <c r="C365" s="3" t="inlineStr">
        <is>
          <t>SM.19.158, Sup. 2</t>
        </is>
      </c>
      <c r="D365" s="4" t="inlineStr">
        <is>
          <t>Dominica</t>
        </is>
      </c>
      <c r="E365" s="4" t="inlineStr">
        <is>
          <t>DMA</t>
        </is>
      </c>
      <c r="F365" s="4" t="n"/>
      <c r="G365" s="4" t="inlineStr">
        <is>
          <t>2018gn</t>
        </is>
      </c>
      <c r="H365" s="4" t="n">
        <v>2018</v>
      </c>
      <c r="I365" s="5" t="n"/>
      <c r="N365" t="inlineStr">
        <is>
          <t>Note: Debt service associated with 2016 and 2017 ST debt  is captured in aggregate data on existing debt.</t>
        </is>
      </c>
    </row>
    <row r="366">
      <c r="A366" t="inlineStr">
        <is>
          <t>no_year_in_pairs</t>
        </is>
      </c>
      <c r="B366" s="2" t="n"/>
      <c r="C366" s="3" t="inlineStr">
        <is>
          <t>SM.19.158, Sup. 2</t>
        </is>
      </c>
      <c r="D366" s="4" t="inlineStr">
        <is>
          <t>Dominica</t>
        </is>
      </c>
      <c r="E366" s="4" t="inlineStr">
        <is>
          <t>DMA</t>
        </is>
      </c>
      <c r="F366" s="4" t="n"/>
      <c r="G366" s="4" t="inlineStr">
        <is>
          <t>2018gn</t>
        </is>
      </c>
      <c r="H366" s="4" t="n">
        <v>2018</v>
      </c>
      <c r="I366" s="4" t="inlineStr">
        <is>
          <t>sht.trm.dbt.tot</t>
        </is>
      </c>
      <c r="J366" t="inlineStr">
        <is>
          <t>Total ST external debt</t>
        </is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</row>
    <row r="367">
      <c r="A367" t="inlineStr">
        <is>
          <t>no_year_in_pairs</t>
        </is>
      </c>
      <c r="B367" s="2" t="n"/>
      <c r="C367" s="3" t="inlineStr">
        <is>
          <t>SM.19.158, Sup. 2</t>
        </is>
      </c>
      <c r="D367" s="4" t="inlineStr">
        <is>
          <t>Dominica</t>
        </is>
      </c>
      <c r="E367" s="4" t="inlineStr">
        <is>
          <t>DMA</t>
        </is>
      </c>
      <c r="F367" s="4" t="n"/>
      <c r="G367" s="4" t="inlineStr">
        <is>
          <t>2018gn</t>
        </is>
      </c>
      <c r="H367" s="4" t="n">
        <v>2018</v>
      </c>
      <c r="I367" s="4" t="inlineStr">
        <is>
          <t>sht.trm.dbt.tot.amt</t>
        </is>
      </c>
      <c r="J367" t="inlineStr">
        <is>
          <t>Principal</t>
        </is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</row>
    <row r="368">
      <c r="A368" t="inlineStr">
        <is>
          <t>no_year_in_pairs</t>
        </is>
      </c>
      <c r="B368" s="2" t="n"/>
      <c r="C368" s="3" t="inlineStr">
        <is>
          <t>SM.19.158, Sup. 2</t>
        </is>
      </c>
      <c r="D368" s="4" t="inlineStr">
        <is>
          <t>Dominica</t>
        </is>
      </c>
      <c r="E368" s="4" t="inlineStr">
        <is>
          <t>DMA</t>
        </is>
      </c>
      <c r="F368" s="4" t="n"/>
      <c r="G368" s="4" t="inlineStr">
        <is>
          <t>2018gn</t>
        </is>
      </c>
      <c r="H368" s="4" t="n">
        <v>2018</v>
      </c>
      <c r="I368" s="4" t="inlineStr">
        <is>
          <t>sht.trm.dbt.tot.int</t>
        </is>
      </c>
      <c r="J368" t="inlineStr">
        <is>
          <t>Interest</t>
        </is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</row>
    <row r="369">
      <c r="A369" t="inlineStr">
        <is>
          <t>no_year_in_pairs</t>
        </is>
      </c>
      <c r="B369" s="2" t="n"/>
      <c r="C369" s="3" t="inlineStr">
        <is>
          <t>SM.19.158, Sup. 2</t>
        </is>
      </c>
      <c r="D369" s="4" t="inlineStr">
        <is>
          <t>Dominica</t>
        </is>
      </c>
      <c r="E369" s="4" t="inlineStr">
        <is>
          <t>DMA</t>
        </is>
      </c>
      <c r="F369" s="4" t="n"/>
      <c r="G369" s="4" t="inlineStr">
        <is>
          <t>2018gn</t>
        </is>
      </c>
      <c r="H369" s="4" t="n">
        <v>2018</v>
      </c>
      <c r="I369" s="5" t="n"/>
    </row>
    <row r="370">
      <c r="A370" t="inlineStr">
        <is>
          <t>no_year_in_pairs</t>
        </is>
      </c>
      <c r="B370" s="2" t="n"/>
      <c r="C370" s="3" t="inlineStr">
        <is>
          <t>SM.19.158, Sup. 2</t>
        </is>
      </c>
      <c r="D370" s="4" t="inlineStr">
        <is>
          <t>Dominica</t>
        </is>
      </c>
      <c r="E370" s="4" t="inlineStr">
        <is>
          <t>DMA</t>
        </is>
      </c>
      <c r="F370" s="4" t="n"/>
      <c r="G370" s="4" t="inlineStr">
        <is>
          <t>2018gn</t>
        </is>
      </c>
      <c r="H370" s="4" t="n">
        <v>2018</v>
      </c>
      <c r="I370" s="4" t="inlineStr">
        <is>
          <t>pv.net.use.sdr</t>
        </is>
      </c>
      <c r="J370" t="inlineStr">
        <is>
          <t>PV of net use of SDRs</t>
        </is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BI370" t="inlineStr">
        <is>
          <t>PV_SDR</t>
        </is>
      </c>
    </row>
    <row r="371">
      <c r="A371" t="inlineStr">
        <is>
          <t>no_year_in_pairs</t>
        </is>
      </c>
      <c r="B371" s="2" t="n"/>
      <c r="C371" s="3" t="inlineStr">
        <is>
          <t>SM.19.158, Sup. 2</t>
        </is>
      </c>
      <c r="D371" s="4" t="inlineStr">
        <is>
          <t>Dominica</t>
        </is>
      </c>
      <c r="E371" s="4" t="inlineStr">
        <is>
          <t>DMA</t>
        </is>
      </c>
      <c r="F371" s="4" t="n"/>
      <c r="G371" s="4" t="inlineStr">
        <is>
          <t>2018gn</t>
        </is>
      </c>
      <c r="H371" s="4" t="n">
        <v>2018</v>
      </c>
      <c r="I371" s="4" t="inlineStr">
        <is>
          <t>tot.pv.dbt</t>
        </is>
      </c>
      <c r="J371" t="inlineStr">
        <is>
          <t>Total PV of debt</t>
        </is>
      </c>
      <c r="N371" t="n">
        <v>273.0936903341975</v>
      </c>
      <c r="O371" t="n">
        <v>317.7772733523271</v>
      </c>
      <c r="P371" t="n">
        <v>331.1722525608056</v>
      </c>
      <c r="Q371" t="n">
        <v>365.7558215601964</v>
      </c>
      <c r="R371" t="n">
        <v>390.5402735374968</v>
      </c>
      <c r="S371" t="n">
        <v>406.6770389344824</v>
      </c>
      <c r="T371" t="n">
        <v>424.3901272674314</v>
      </c>
      <c r="U371" t="n">
        <v>437.6185005797019</v>
      </c>
      <c r="V371" t="n">
        <v>451.4832723682024</v>
      </c>
      <c r="W371" t="n">
        <v>464.1801332302496</v>
      </c>
      <c r="X371" t="n">
        <v>476.4466401078382</v>
      </c>
      <c r="Y371" t="n">
        <v>489.0520792793016</v>
      </c>
      <c r="Z371" t="n">
        <v>502.1812211130522</v>
      </c>
      <c r="AA371" t="n">
        <v>516.6663164088042</v>
      </c>
      <c r="AB371" t="n">
        <v>536.4874263817975</v>
      </c>
      <c r="AC371" t="n">
        <v>556.235458452131</v>
      </c>
      <c r="AD371" t="n">
        <v>530.6247647151928</v>
      </c>
      <c r="AE371" t="n">
        <v>547.9246544155577</v>
      </c>
      <c r="AF371" t="n">
        <v>566.0588627154891</v>
      </c>
      <c r="AG371" t="n">
        <v>580.6519962618187</v>
      </c>
      <c r="AH371" t="n">
        <v>601.0178601564124</v>
      </c>
      <c r="AI371" t="n">
        <v>621.9886408591933</v>
      </c>
      <c r="BI371" t="inlineStr">
        <is>
          <t>PV_D_TOT</t>
        </is>
      </c>
    </row>
    <row r="372">
      <c r="A372" t="inlineStr">
        <is>
          <t>no_year_in_pairs</t>
        </is>
      </c>
      <c r="B372" s="2" t="n"/>
      <c r="C372" s="3" t="inlineStr">
        <is>
          <t>SM.19.158, Sup. 2</t>
        </is>
      </c>
      <c r="D372" s="4" t="inlineStr">
        <is>
          <t>Dominica</t>
        </is>
      </c>
      <c r="E372" s="4" t="inlineStr">
        <is>
          <t>DMA</t>
        </is>
      </c>
      <c r="F372" s="4" t="n"/>
      <c r="G372" s="4" t="inlineStr">
        <is>
          <t>2018gn</t>
        </is>
      </c>
      <c r="H372" s="4" t="n">
        <v>2018</v>
      </c>
      <c r="I372" s="5" t="n"/>
    </row>
    <row r="373">
      <c r="A373" t="inlineStr">
        <is>
          <t>no_year_in_pairs</t>
        </is>
      </c>
      <c r="B373" s="2" t="n"/>
      <c r="C373" s="3" t="inlineStr">
        <is>
          <t>SM.19.158, Sup. 2</t>
        </is>
      </c>
      <c r="D373" s="4" t="inlineStr">
        <is>
          <t>Dominica</t>
        </is>
      </c>
      <c r="E373" s="4" t="inlineStr">
        <is>
          <t>DMA</t>
        </is>
      </c>
      <c r="F373" s="4" t="n"/>
      <c r="G373" s="4" t="inlineStr">
        <is>
          <t>2018gn</t>
        </is>
      </c>
      <c r="H373" s="4" t="n">
        <v>2018</v>
      </c>
      <c r="I373" s="4" t="inlineStr">
        <is>
          <t>nom.ppg.dbt.delta</t>
        </is>
      </c>
      <c r="J373" t="inlineStr">
        <is>
          <t>Nominal PPG debt check</t>
        </is>
      </c>
      <c r="N373" t="n">
        <v>0</v>
      </c>
      <c r="O373" t="n">
        <v>5.684341886080801e-14</v>
      </c>
      <c r="P373" t="n">
        <v>5.684341886080801e-14</v>
      </c>
      <c r="Q373" t="n">
        <v>0</v>
      </c>
      <c r="R373" t="n">
        <v>-2.842170943040401e-14</v>
      </c>
      <c r="S373" t="n">
        <v>2.842170943040401e-14</v>
      </c>
      <c r="T373" t="n">
        <v>0</v>
      </c>
      <c r="U373" t="n">
        <v>0</v>
      </c>
      <c r="V373" t="n">
        <v>2.842170943040401e-14</v>
      </c>
      <c r="W373" t="n">
        <v>-2.842170943040401e-14</v>
      </c>
      <c r="X373" t="n">
        <v>-5.684341886080801e-14</v>
      </c>
      <c r="Y373" t="n">
        <v>1.4210854715202e-14</v>
      </c>
      <c r="Z373" t="n">
        <v>0</v>
      </c>
      <c r="AA373" t="n">
        <v>-4.263256414560601e-14</v>
      </c>
      <c r="AB373" t="n">
        <v>-4.263256414560601e-14</v>
      </c>
      <c r="AC373" t="n">
        <v>1.4210854715202e-14</v>
      </c>
      <c r="AD373" t="n">
        <v>4.263256414560601e-14</v>
      </c>
      <c r="AE373" t="n">
        <v>1.4210854715202e-14</v>
      </c>
      <c r="AF373" t="n">
        <v>0</v>
      </c>
      <c r="AG373" t="n">
        <v>-5.684341886080801e-14</v>
      </c>
      <c r="AH373" t="n">
        <v>4.973799150320701e-14</v>
      </c>
      <c r="AI373" t="n">
        <v>3.552713678800501e-14</v>
      </c>
    </row>
    <row r="374">
      <c r="A374" t="inlineStr">
        <is>
          <t>no_year_in_pairs</t>
        </is>
      </c>
      <c r="B374" s="2" t="n"/>
      <c r="C374" s="3" t="inlineStr">
        <is>
          <t>SM.19.158, Sup. 2</t>
        </is>
      </c>
      <c r="D374" s="4" t="inlineStr">
        <is>
          <t>Dominica</t>
        </is>
      </c>
      <c r="E374" s="4" t="inlineStr">
        <is>
          <t>DMA</t>
        </is>
      </c>
      <c r="F374" s="4" t="n"/>
      <c r="G374" s="4" t="inlineStr">
        <is>
          <t>2018gn</t>
        </is>
      </c>
      <c r="H374" s="4" t="n">
        <v>2018</v>
      </c>
      <c r="I374" s="4" t="inlineStr">
        <is>
          <t>tot.pub.tds</t>
        </is>
      </c>
      <c r="J374" t="inlineStr">
        <is>
          <t>Total public debt service</t>
        </is>
      </c>
      <c r="N374" t="n">
        <v>32.39914738420706</v>
      </c>
      <c r="O374" t="n">
        <v>11.45658152942483</v>
      </c>
      <c r="P374" t="n">
        <v>55.14265115947259</v>
      </c>
      <c r="Q374" t="n">
        <v>63.89472323274275</v>
      </c>
      <c r="R374" t="n">
        <v>85.64214008886951</v>
      </c>
      <c r="S374" t="n">
        <v>99.8255921889839</v>
      </c>
      <c r="T374" t="n">
        <v>111.8836628836936</v>
      </c>
      <c r="U374" t="n">
        <v>127.7643923307262</v>
      </c>
      <c r="V374" t="n">
        <v>139.9138196867814</v>
      </c>
      <c r="W374" t="n">
        <v>155.2598390967696</v>
      </c>
      <c r="X374" t="n">
        <v>171.3593113818426</v>
      </c>
      <c r="Y374" t="n">
        <v>188.5531931808867</v>
      </c>
      <c r="Z374" t="n">
        <v>204.1888099762187</v>
      </c>
      <c r="AA374" t="n">
        <v>220.062341988202</v>
      </c>
      <c r="AB374" t="n">
        <v>231.0877564460022</v>
      </c>
      <c r="AC374" t="n">
        <v>244.8905774434904</v>
      </c>
      <c r="AD374" t="n">
        <v>261.9036407486346</v>
      </c>
      <c r="AE374" t="n">
        <v>232.1416584727079</v>
      </c>
      <c r="AF374" t="n">
        <v>247.0424674431034</v>
      </c>
      <c r="AG374" t="n">
        <v>266.6987341377238</v>
      </c>
      <c r="AH374" t="n">
        <v>278.2449573572552</v>
      </c>
      <c r="AI374" t="n">
        <v>294.9951018758624</v>
      </c>
      <c r="BI374" t="inlineStr">
        <is>
          <t>DS_TOT</t>
        </is>
      </c>
    </row>
    <row r="375">
      <c r="A375" t="inlineStr">
        <is>
          <t>no_year_in_pairs</t>
        </is>
      </c>
      <c r="B375" s="2" t="n"/>
      <c r="C375" s="3" t="inlineStr">
        <is>
          <t>SM.19.158, Sup. 2</t>
        </is>
      </c>
      <c r="D375" s="4" t="inlineStr">
        <is>
          <t>Dominica</t>
        </is>
      </c>
      <c r="E375" s="4" t="inlineStr">
        <is>
          <t>DMA</t>
        </is>
      </c>
      <c r="F375" s="4" t="n"/>
      <c r="G375" s="4" t="inlineStr">
        <is>
          <t>2018gn</t>
        </is>
      </c>
      <c r="H375" s="4" t="n">
        <v>2018</v>
      </c>
      <c r="I375" s="4" t="inlineStr">
        <is>
          <t>tot.pub.amt</t>
        </is>
      </c>
      <c r="J375" t="inlineStr">
        <is>
          <t xml:space="preserve">    of which: principal</t>
        </is>
      </c>
      <c r="N375" t="n">
        <v>22.810625</v>
      </c>
      <c r="O375" t="n">
        <v>6.840511996296295</v>
      </c>
      <c r="P375" t="n">
        <v>44.99352368109922</v>
      </c>
      <c r="Q375" t="n">
        <v>51.83439869269303</v>
      </c>
      <c r="R375" t="n">
        <v>72.00836879096934</v>
      </c>
      <c r="S375" t="n">
        <v>86.87582610828721</v>
      </c>
      <c r="T375" t="n">
        <v>96.12737571321505</v>
      </c>
      <c r="U375" t="n">
        <v>111.4226449343264</v>
      </c>
      <c r="V375" t="n">
        <v>121.791773681164</v>
      </c>
      <c r="W375" t="n">
        <v>136.166109889377</v>
      </c>
      <c r="X375" t="n">
        <v>151.4697091776256</v>
      </c>
      <c r="Y375" t="n">
        <v>167.964207970515</v>
      </c>
      <c r="Z375" t="n">
        <v>183.0744069863719</v>
      </c>
      <c r="AA375" t="n">
        <v>199.0756212682917</v>
      </c>
      <c r="AB375" t="n">
        <v>211.5689892845884</v>
      </c>
      <c r="AC375" t="n">
        <v>224.554333238399</v>
      </c>
      <c r="AD375" t="n">
        <v>238.3023256294711</v>
      </c>
      <c r="AE375" t="n">
        <v>209.9520493790367</v>
      </c>
      <c r="AF375" t="n">
        <v>224.1595098784233</v>
      </c>
      <c r="AG375" t="n">
        <v>238.638277571353</v>
      </c>
      <c r="AH375" t="n">
        <v>254.4971990951531</v>
      </c>
      <c r="AI375" t="n">
        <v>271.7411798499472</v>
      </c>
      <c r="BI375" t="inlineStr">
        <is>
          <t>DS_TOT_P</t>
        </is>
      </c>
    </row>
    <row r="376">
      <c r="A376" t="inlineStr">
        <is>
          <t>no_year_in_pairs</t>
        </is>
      </c>
      <c r="B376" s="2" t="n"/>
      <c r="C376" s="3" t="inlineStr">
        <is>
          <t>SM.19.158, Sup. 2</t>
        </is>
      </c>
      <c r="D376" s="4" t="inlineStr">
        <is>
          <t>Dominica</t>
        </is>
      </c>
      <c r="E376" s="4" t="inlineStr">
        <is>
          <t>DMA</t>
        </is>
      </c>
      <c r="F376" s="4" t="n"/>
      <c r="G376" s="4" t="inlineStr">
        <is>
          <t>2018gn</t>
        </is>
      </c>
      <c r="H376" s="4" t="n">
        <v>2018</v>
      </c>
      <c r="I376" s="4" t="inlineStr">
        <is>
          <t>tot.pub.int</t>
        </is>
      </c>
      <c r="J376" t="inlineStr">
        <is>
          <t xml:space="preserve">    of which: interest</t>
        </is>
      </c>
      <c r="N376" t="n">
        <v>9.588522384207064</v>
      </c>
      <c r="O376" t="n">
        <v>4.616069533128536</v>
      </c>
      <c r="P376" t="n">
        <v>10.14912747837337</v>
      </c>
      <c r="Q376" t="n">
        <v>12.06032454004972</v>
      </c>
      <c r="R376" t="n">
        <v>13.63377129790017</v>
      </c>
      <c r="S376" t="n">
        <v>12.94976608069669</v>
      </c>
      <c r="T376" t="n">
        <v>15.75628717047859</v>
      </c>
      <c r="U376" t="n">
        <v>16.34174739639977</v>
      </c>
      <c r="V376" t="n">
        <v>18.12204600561738</v>
      </c>
      <c r="W376" t="n">
        <v>19.09372920739253</v>
      </c>
      <c r="X376" t="n">
        <v>19.88960220421708</v>
      </c>
      <c r="Y376" t="n">
        <v>20.5889852103717</v>
      </c>
      <c r="Z376" t="n">
        <v>21.11440298984682</v>
      </c>
      <c r="AA376" t="n">
        <v>20.98672071991027</v>
      </c>
      <c r="AB376" t="n">
        <v>19.51876716141379</v>
      </c>
      <c r="AC376" t="n">
        <v>20.33624420509138</v>
      </c>
      <c r="AD376" t="n">
        <v>23.60131511916361</v>
      </c>
      <c r="AE376" t="n">
        <v>22.18960909367119</v>
      </c>
      <c r="AF376" t="n">
        <v>22.88295756468007</v>
      </c>
      <c r="AG376" t="n">
        <v>28.06045656637074</v>
      </c>
      <c r="AH376" t="n">
        <v>23.74775826210212</v>
      </c>
      <c r="AI376" t="n">
        <v>23.25392202591512</v>
      </c>
      <c r="BI376" t="inlineStr">
        <is>
          <t>DS_TOT_I</t>
        </is>
      </c>
    </row>
    <row r="377">
      <c r="A377" t="inlineStr">
        <is>
          <t>no_year_in_pairs</t>
        </is>
      </c>
      <c r="B377" s="2" t="n"/>
      <c r="C377" s="3" t="inlineStr">
        <is>
          <t>SM.19.158, Sup. 2</t>
        </is>
      </c>
      <c r="D377" s="4" t="inlineStr">
        <is>
          <t>Dominica</t>
        </is>
      </c>
      <c r="E377" s="4" t="inlineStr">
        <is>
          <t>DMA</t>
        </is>
      </c>
      <c r="F377" s="4" t="n"/>
      <c r="G377" s="4" t="inlineStr">
        <is>
          <t>2018gn</t>
        </is>
      </c>
      <c r="H377" s="4" t="n">
        <v>2018</v>
      </c>
      <c r="I377" s="5" t="n"/>
    </row>
    <row r="378">
      <c r="A378" t="inlineStr">
        <is>
          <t>no_year_in_pairs</t>
        </is>
      </c>
      <c r="B378" s="2" t="n"/>
      <c r="C378" s="3" t="inlineStr">
        <is>
          <t>SM.19.158, Sup. 2</t>
        </is>
      </c>
      <c r="D378" s="4" t="inlineStr">
        <is>
          <t>Dominica</t>
        </is>
      </c>
      <c r="E378" s="4" t="inlineStr">
        <is>
          <t>DMA</t>
        </is>
      </c>
      <c r="F378" s="4" t="n"/>
      <c r="G378" s="4" t="inlineStr">
        <is>
          <t>2018gn</t>
        </is>
      </c>
      <c r="H378" s="4" t="n">
        <v>2018</v>
      </c>
      <c r="I378" s="4" t="inlineStr">
        <is>
          <t>ext.dbt.out</t>
        </is>
      </c>
      <c r="J378" t="inlineStr">
        <is>
          <t>External debt outstanding</t>
        </is>
      </c>
      <c r="N378" t="n">
        <v>309.851196319483</v>
      </c>
      <c r="O378" t="n">
        <v>354.2681025080807</v>
      </c>
      <c r="P378" t="n">
        <v>379.2702294872007</v>
      </c>
      <c r="Q378" t="n">
        <v>427.1457158367334</v>
      </c>
      <c r="R378" t="n">
        <v>465.179519315713</v>
      </c>
      <c r="S378" t="n">
        <v>485.8577981306561</v>
      </c>
      <c r="T378" t="n">
        <v>511.1684760322239</v>
      </c>
      <c r="U378" t="n">
        <v>531.8991650061265</v>
      </c>
      <c r="V378" t="n">
        <v>554.7358509050273</v>
      </c>
      <c r="W378" t="n">
        <v>577.1282014783397</v>
      </c>
      <c r="X378" t="n">
        <v>599.7054844701283</v>
      </c>
      <c r="Y378" t="n">
        <v>623.1804843201515</v>
      </c>
      <c r="Z378" t="n">
        <v>647.5574087575911</v>
      </c>
      <c r="AA378" t="n">
        <v>673.0012416020056</v>
      </c>
      <c r="AB378" t="n">
        <v>702.1041869959056</v>
      </c>
      <c r="AC378" t="n">
        <v>731.3290080784878</v>
      </c>
      <c r="AD378" t="n">
        <v>717.8942962815697</v>
      </c>
      <c r="AE378" t="n">
        <v>747.8112728781767</v>
      </c>
      <c r="AF378" t="n">
        <v>778.9984081069413</v>
      </c>
      <c r="AG378" t="n">
        <v>811.5458082741532</v>
      </c>
      <c r="AH378" t="n">
        <v>845.0286246941371</v>
      </c>
      <c r="AI378" t="n">
        <v>878.2743747817307</v>
      </c>
    </row>
    <row r="379">
      <c r="A379" t="inlineStr">
        <is>
          <t>no_year_in_pairs</t>
        </is>
      </c>
      <c r="B379" s="2" t="n"/>
      <c r="C379" s="3" t="inlineStr">
        <is>
          <t>SM.19.158, Sup. 2</t>
        </is>
      </c>
      <c r="D379" s="4" t="inlineStr">
        <is>
          <t>Dominica</t>
        </is>
      </c>
      <c r="E379" s="4" t="inlineStr">
        <is>
          <t>DMA</t>
        </is>
      </c>
      <c r="F379" s="4" t="n"/>
      <c r="G379" s="4" t="inlineStr">
        <is>
          <t>2018gn</t>
        </is>
      </c>
      <c r="H379" s="4" t="n">
        <v>2018</v>
      </c>
      <c r="I379" s="4" t="inlineStr">
        <is>
          <t>ext.dbt.out.fx</t>
        </is>
      </c>
      <c r="J379" t="inlineStr">
        <is>
          <t>FX-denominated debt outstanding</t>
        </is>
      </c>
      <c r="N379" t="n">
        <v>309.851196319483</v>
      </c>
      <c r="O379" t="n">
        <v>354.2681025080807</v>
      </c>
      <c r="P379" t="n">
        <v>379.2702294872007</v>
      </c>
      <c r="Q379" t="n">
        <v>427.1457158367334</v>
      </c>
      <c r="R379" t="n">
        <v>465.179519315713</v>
      </c>
      <c r="S379" t="n">
        <v>485.8577981306561</v>
      </c>
      <c r="T379" t="n">
        <v>511.1684760322239</v>
      </c>
      <c r="U379" t="n">
        <v>531.8991650061265</v>
      </c>
      <c r="V379" t="n">
        <v>554.7358509050273</v>
      </c>
      <c r="W379" t="n">
        <v>577.1282014783397</v>
      </c>
      <c r="X379" t="n">
        <v>599.7054844701285</v>
      </c>
      <c r="Y379" t="n">
        <v>623.1804843201517</v>
      </c>
      <c r="Z379" t="n">
        <v>647.5574087575912</v>
      </c>
      <c r="AA379" t="n">
        <v>673.0012416020057</v>
      </c>
      <c r="AB379" t="n">
        <v>702.1041869959057</v>
      </c>
      <c r="AC379" t="n">
        <v>731.329008078488</v>
      </c>
      <c r="AD379" t="n">
        <v>717.8942962815695</v>
      </c>
      <c r="AE379" t="n">
        <v>747.8112728781769</v>
      </c>
      <c r="AF379" t="n">
        <v>778.9984081069413</v>
      </c>
      <c r="AG379" t="n">
        <v>811.5458082741532</v>
      </c>
      <c r="AH379" t="n">
        <v>845.0286246941371</v>
      </c>
      <c r="AI379" t="n">
        <v>878.2743747817307</v>
      </c>
    </row>
    <row r="380">
      <c r="A380" t="inlineStr">
        <is>
          <t>no_year_in_pairs</t>
        </is>
      </c>
      <c r="B380" s="2" t="n"/>
      <c r="C380" s="3" t="inlineStr">
        <is>
          <t>SM.19.158, Sup. 2</t>
        </is>
      </c>
      <c r="D380" s="4" t="inlineStr">
        <is>
          <t>Dominica</t>
        </is>
      </c>
      <c r="E380" s="4" t="inlineStr">
        <is>
          <t>DMA</t>
        </is>
      </c>
      <c r="F380" s="4" t="n"/>
      <c r="G380" s="4" t="inlineStr">
        <is>
          <t>2018gn</t>
        </is>
      </c>
      <c r="H380" s="4" t="n">
        <v>2018</v>
      </c>
      <c r="I380" s="5" t="n"/>
    </row>
    <row r="381">
      <c r="A381" t="inlineStr">
        <is>
          <t>no_year_in_pairs</t>
        </is>
      </c>
      <c r="B381" s="2" t="n"/>
      <c r="C381" s="3" t="inlineStr">
        <is>
          <t>SM.19.158, Sup. 2</t>
        </is>
      </c>
      <c r="D381" s="4" t="inlineStr">
        <is>
          <t>Dominica</t>
        </is>
      </c>
      <c r="E381" s="4" t="inlineStr">
        <is>
          <t>DMA</t>
        </is>
      </c>
      <c r="F381" s="4" t="n"/>
      <c r="G381" s="4" t="inlineStr">
        <is>
          <t>2018gn</t>
        </is>
      </c>
      <c r="H381" s="4" t="n">
        <v>2018</v>
      </c>
      <c r="I381" s="5" t="n"/>
      <c r="J381" t="inlineStr">
        <is>
          <t>Memorandum item</t>
        </is>
      </c>
    </row>
    <row r="382">
      <c r="A382" t="inlineStr">
        <is>
          <t>no_year_in_pairs</t>
        </is>
      </c>
      <c r="B382" s="2" t="n"/>
      <c r="C382" s="3" t="inlineStr">
        <is>
          <t>SM.19.158, Sup. 2</t>
        </is>
      </c>
      <c r="D382" s="4" t="inlineStr">
        <is>
          <t>Dominica</t>
        </is>
      </c>
      <c r="E382" s="4" t="inlineStr">
        <is>
          <t>DMA</t>
        </is>
      </c>
      <c r="F382" s="4" t="n"/>
      <c r="G382" s="4" t="inlineStr">
        <is>
          <t>2018gn</t>
        </is>
      </c>
      <c r="H382" s="4" t="n">
        <v>2018</v>
      </c>
      <c r="I382" s="4" t="inlineStr">
        <is>
          <t>xcg.rat.eop</t>
        </is>
      </c>
      <c r="J382" t="inlineStr">
        <is>
          <t>Exchange rate (eop)</t>
        </is>
      </c>
      <c r="N382" t="n">
        <v>2.7</v>
      </c>
      <c r="O382" t="n">
        <v>2.7</v>
      </c>
      <c r="P382" t="n">
        <v>2.7</v>
      </c>
      <c r="Q382" t="n">
        <v>2.7</v>
      </c>
      <c r="R382" t="n">
        <v>2.7</v>
      </c>
      <c r="S382" t="n">
        <v>2.7</v>
      </c>
      <c r="T382" t="n">
        <v>2.7</v>
      </c>
      <c r="U382" t="n">
        <v>2.7</v>
      </c>
      <c r="V382" t="n">
        <v>2.7</v>
      </c>
      <c r="W382" t="n">
        <v>2.7</v>
      </c>
      <c r="X382" t="n">
        <v>2.7</v>
      </c>
      <c r="Y382" t="n">
        <v>2.7</v>
      </c>
      <c r="Z382" t="n">
        <v>2.7</v>
      </c>
      <c r="AA382" t="n">
        <v>2.7</v>
      </c>
      <c r="AB382" t="n">
        <v>2.7</v>
      </c>
      <c r="AC382" t="n">
        <v>2.7</v>
      </c>
      <c r="AD382" t="n">
        <v>2.7</v>
      </c>
      <c r="AE382" t="n">
        <v>2.7</v>
      </c>
      <c r="AF382" t="n">
        <v>2.7</v>
      </c>
      <c r="AG382" t="n">
        <v>2.7</v>
      </c>
      <c r="AH382" t="n">
        <v>2.7</v>
      </c>
      <c r="AI382" t="n">
        <v>2.7</v>
      </c>
    </row>
    <row r="383">
      <c r="A383" t="inlineStr">
        <is>
          <t>no_year_in_pairs</t>
        </is>
      </c>
      <c r="B383" s="2" t="n"/>
      <c r="C383" s="3" t="inlineStr">
        <is>
          <t>SM.19.158, Sup. 2</t>
        </is>
      </c>
      <c r="D383" s="4" t="inlineStr">
        <is>
          <t>Dominica</t>
        </is>
      </c>
      <c r="E383" s="4" t="inlineStr">
        <is>
          <t>DMA</t>
        </is>
      </c>
      <c r="F383" s="4" t="n"/>
      <c r="G383" s="4" t="inlineStr">
        <is>
          <t>2018gn</t>
        </is>
      </c>
      <c r="H383" s="4" t="n">
        <v>2018</v>
      </c>
      <c r="I383" s="4" t="inlineStr">
        <is>
          <t>xcg.rat.pa</t>
        </is>
      </c>
      <c r="J383" t="inlineStr">
        <is>
          <t>Exchange rate (pa)</t>
        </is>
      </c>
      <c r="N383" t="n">
        <v>2.7</v>
      </c>
      <c r="O383" t="n">
        <v>2.7</v>
      </c>
      <c r="P383" t="n">
        <v>2.7</v>
      </c>
      <c r="Q383" t="n">
        <v>2.7</v>
      </c>
      <c r="R383" t="n">
        <v>2.7</v>
      </c>
      <c r="S383" t="n">
        <v>2.7</v>
      </c>
      <c r="T383" t="n">
        <v>2.7</v>
      </c>
      <c r="U383" t="n">
        <v>2.7</v>
      </c>
      <c r="V383" t="n">
        <v>2.7</v>
      </c>
      <c r="W383" t="n">
        <v>2.7</v>
      </c>
      <c r="X383" t="n">
        <v>2.7</v>
      </c>
      <c r="Y383" t="n">
        <v>2.7</v>
      </c>
      <c r="Z383" t="n">
        <v>2.7</v>
      </c>
      <c r="AA383" t="n">
        <v>2.7</v>
      </c>
      <c r="AB383" t="n">
        <v>2.7</v>
      </c>
      <c r="AC383" t="n">
        <v>2.7</v>
      </c>
      <c r="AD383" t="n">
        <v>2.7</v>
      </c>
      <c r="AE383" t="n">
        <v>2.7</v>
      </c>
      <c r="AF383" t="n">
        <v>2.7</v>
      </c>
      <c r="AG383" t="n">
        <v>2.7</v>
      </c>
      <c r="AH383" t="n">
        <v>2.7</v>
      </c>
      <c r="AI383" t="n">
        <v>2.7</v>
      </c>
    </row>
    <row r="384">
      <c r="A384" t="inlineStr">
        <is>
          <t>no_year_in_pairs</t>
        </is>
      </c>
      <c r="B384" s="2" t="n"/>
      <c r="C384" s="3" t="inlineStr">
        <is>
          <t>SM.19.158, Sup. 2</t>
        </is>
      </c>
      <c r="D384" s="4" t="inlineStr">
        <is>
          <t>Dominica</t>
        </is>
      </c>
      <c r="E384" s="4" t="inlineStr">
        <is>
          <t>DMA</t>
        </is>
      </c>
      <c r="F384" s="4" t="n"/>
      <c r="G384" s="4" t="inlineStr">
        <is>
          <t>2018gn</t>
        </is>
      </c>
      <c r="H384" s="4" t="n">
        <v>2018</v>
      </c>
      <c r="I384" s="5" t="n"/>
    </row>
    <row r="385">
      <c r="A385" t="inlineStr">
        <is>
          <t>no_year_in_pairs</t>
        </is>
      </c>
      <c r="B385" s="2" t="n"/>
      <c r="C385" s="3" t="inlineStr">
        <is>
          <t>SM.19.158, Sup. 2</t>
        </is>
      </c>
      <c r="D385" s="4" t="inlineStr">
        <is>
          <t>Dominica</t>
        </is>
      </c>
      <c r="E385" s="4" t="inlineStr">
        <is>
          <t>DMA</t>
        </is>
      </c>
      <c r="F385" s="4" t="n"/>
      <c r="G385" s="4" t="inlineStr">
        <is>
          <t>2018gn</t>
        </is>
      </c>
      <c r="H385" s="4" t="n">
        <v>2018</v>
      </c>
      <c r="I385" s="5" t="n"/>
      <c r="J385" t="inlineStr">
        <is>
          <t>Calculation of grant implicit in new borrowing and average discount rates</t>
        </is>
      </c>
    </row>
    <row r="386">
      <c r="A386" t="inlineStr">
        <is>
          <t>no_year_in_pairs</t>
        </is>
      </c>
      <c r="B386" s="2" t="n"/>
      <c r="C386" s="3" t="inlineStr">
        <is>
          <t>SM.19.158, Sup. 2</t>
        </is>
      </c>
      <c r="D386" s="4" t="inlineStr">
        <is>
          <t>Dominica</t>
        </is>
      </c>
      <c r="E386" s="4" t="inlineStr">
        <is>
          <t>DMA</t>
        </is>
      </c>
      <c r="F386" s="4" t="n"/>
      <c r="G386" s="4" t="inlineStr">
        <is>
          <t>2018gn</t>
        </is>
      </c>
      <c r="H386" s="4" t="n">
        <v>2018</v>
      </c>
      <c r="I386" s="5" t="n"/>
    </row>
    <row r="387">
      <c r="A387" t="inlineStr">
        <is>
          <t>no_year_in_pairs</t>
        </is>
      </c>
      <c r="B387" s="2" t="n"/>
      <c r="C387" s="3" t="inlineStr">
        <is>
          <t>SM.19.158, Sup. 2</t>
        </is>
      </c>
      <c r="D387" s="4" t="inlineStr">
        <is>
          <t>Dominica</t>
        </is>
      </c>
      <c r="E387" s="4" t="inlineStr">
        <is>
          <t>DMA</t>
        </is>
      </c>
      <c r="F387" s="4" t="n"/>
      <c r="G387" s="4" t="inlineStr">
        <is>
          <t>2018gn</t>
        </is>
      </c>
      <c r="H387" s="4" t="n">
        <v>2018</v>
      </c>
      <c r="I387" s="4" t="inlineStr">
        <is>
          <t>pv.new.dis.ppg</t>
        </is>
      </c>
      <c r="J387" t="inlineStr">
        <is>
          <t>PV of new disbursements PPG</t>
        </is>
      </c>
      <c r="O387" t="n">
        <v>42.48548003084457</v>
      </c>
      <c r="P387" t="n">
        <v>52.64876670033465</v>
      </c>
      <c r="Q387" t="n">
        <v>81.91967960409329</v>
      </c>
      <c r="R387" t="n">
        <v>92.13880098816003</v>
      </c>
      <c r="S387" t="n">
        <v>96.43534390909458</v>
      </c>
      <c r="T387" t="n">
        <v>109.2628992699186</v>
      </c>
      <c r="U387" t="n">
        <v>119.7732592796251</v>
      </c>
      <c r="V387" t="n">
        <v>131.8976664462967</v>
      </c>
      <c r="W387" t="n">
        <v>145.3825363404067</v>
      </c>
      <c r="X387" t="n">
        <v>160.4168115979189</v>
      </c>
      <c r="Y387" t="n">
        <v>177.3363003469582</v>
      </c>
      <c r="Z387" t="n">
        <v>192.8653478460041</v>
      </c>
      <c r="AA387" t="n">
        <v>209.4383762283012</v>
      </c>
      <c r="AB387" t="n">
        <v>225.0755505985553</v>
      </c>
      <c r="AC387" t="n">
        <v>237.8142381947339</v>
      </c>
      <c r="AD387" t="n">
        <v>208.4811740890899</v>
      </c>
      <c r="AE387" t="n">
        <v>222.9103099373133</v>
      </c>
      <c r="AF387" t="n">
        <v>237.7804430222567</v>
      </c>
      <c r="AG387" t="n">
        <v>252.988924548279</v>
      </c>
      <c r="AH387" t="n">
        <v>269.5782214387579</v>
      </c>
      <c r="AI387" t="n">
        <v>285.9149895708225</v>
      </c>
      <c r="BI387" t="inlineStr">
        <is>
          <t>PV_NEW_DIS_GE</t>
        </is>
      </c>
    </row>
    <row r="388">
      <c r="A388" t="inlineStr">
        <is>
          <t>no_year_in_pairs</t>
        </is>
      </c>
      <c r="B388" s="2" t="n"/>
      <c r="C388" s="3" t="inlineStr">
        <is>
          <t>SM.19.158, Sup. 2</t>
        </is>
      </c>
      <c r="D388" s="4" t="inlineStr">
        <is>
          <t>Dominica</t>
        </is>
      </c>
      <c r="E388" s="4" t="inlineStr">
        <is>
          <t>DMA</t>
        </is>
      </c>
      <c r="F388" s="4" t="n"/>
      <c r="G388" s="4" t="inlineStr">
        <is>
          <t>2018gn</t>
        </is>
      </c>
      <c r="H388" s="4" t="n">
        <v>2018</v>
      </c>
      <c r="I388" s="4" t="inlineStr">
        <is>
          <t>new.dis.grt.lmt</t>
        </is>
      </c>
      <c r="J388" t="inlineStr">
        <is>
          <t>Grant element of new disbursement (percent)</t>
        </is>
      </c>
      <c r="O388" t="n">
        <v>17.11349979120595</v>
      </c>
      <c r="P388" t="n">
        <v>24.78280264025517</v>
      </c>
      <c r="Q388" t="n">
        <v>17.841967655061</v>
      </c>
      <c r="R388" t="n">
        <v>16.26955458300976</v>
      </c>
      <c r="S388" t="n">
        <v>10.33783045479478</v>
      </c>
      <c r="T388" t="n">
        <v>10.02581479400638</v>
      </c>
      <c r="U388" t="n">
        <v>9.367962398285803</v>
      </c>
      <c r="V388" t="n">
        <v>8.802412174431256</v>
      </c>
      <c r="W388" t="n">
        <v>8.309820922727274</v>
      </c>
      <c r="X388" t="n">
        <v>7.83132210537028</v>
      </c>
      <c r="Y388" t="n">
        <v>7.366781149032168</v>
      </c>
      <c r="Z388" t="n">
        <v>7.031038787603146</v>
      </c>
      <c r="AA388" t="n">
        <v>6.717047279490736</v>
      </c>
      <c r="AB388" t="n">
        <v>6.480350149994906</v>
      </c>
      <c r="AC388" t="n">
        <v>6.290869779656819</v>
      </c>
      <c r="AD388" t="n">
        <v>7.287149742988336</v>
      </c>
      <c r="AE388" t="n">
        <v>7.069989953622678</v>
      </c>
      <c r="AF388" t="n">
        <v>6.879354955909915</v>
      </c>
      <c r="AG388" t="n">
        <v>6.710071616624399</v>
      </c>
      <c r="AH388" t="n">
        <v>6.389955234727646</v>
      </c>
      <c r="AI388" t="n">
        <v>6.25336317547251</v>
      </c>
      <c r="BI388" t="inlineStr">
        <is>
          <t>NEW_DIS_GE_PCT</t>
        </is>
      </c>
    </row>
    <row r="389">
      <c r="A389" t="inlineStr">
        <is>
          <t>no_year_in_pairs</t>
        </is>
      </c>
      <c r="B389" s="2" t="n"/>
      <c r="C389" s="3" t="inlineStr">
        <is>
          <t>SM.19.158, Sup. 2</t>
        </is>
      </c>
      <c r="D389" s="4" t="inlineStr">
        <is>
          <t>Dominica</t>
        </is>
      </c>
      <c r="E389" s="4" t="inlineStr">
        <is>
          <t>DMA</t>
        </is>
      </c>
      <c r="F389" s="4" t="n"/>
      <c r="G389" s="4" t="inlineStr">
        <is>
          <t>2018gn</t>
        </is>
      </c>
      <c r="H389" s="4" t="n">
        <v>2018</v>
      </c>
      <c r="I389" s="4" t="inlineStr">
        <is>
          <t>new.dis.grt.ipct</t>
        </is>
      </c>
      <c r="J389" t="inlineStr">
        <is>
          <t>Grant implicit in new disbursements (US billion)</t>
        </is>
      </c>
      <c r="O389" t="n">
        <v>8.771938154049389</v>
      </c>
      <c r="P389" t="n">
        <v>17.3468839598846</v>
      </c>
      <c r="Q389" t="n">
        <v>17.79020543813242</v>
      </c>
      <c r="R389" t="n">
        <v>17.90337128178898</v>
      </c>
      <c r="S389" t="n">
        <v>11.11876101413562</v>
      </c>
      <c r="T389" t="n">
        <v>12.1751543448643</v>
      </c>
      <c r="U389" t="n">
        <v>12.38007462860398</v>
      </c>
      <c r="V389" t="n">
        <v>12.730793133768</v>
      </c>
      <c r="W389" t="n">
        <v>13.17592412228282</v>
      </c>
      <c r="X389" t="n">
        <v>13.63018057149542</v>
      </c>
      <c r="Y389" t="n">
        <v>14.10290747357992</v>
      </c>
      <c r="Z389" t="n">
        <v>14.58598357780734</v>
      </c>
      <c r="AA389" t="n">
        <v>15.08107788440498</v>
      </c>
      <c r="AB389" t="n">
        <v>15.59638407993306</v>
      </c>
      <c r="AC389" t="n">
        <v>15.96491612624725</v>
      </c>
      <c r="AD389" t="n">
        <v>16.38643974346288</v>
      </c>
      <c r="AE389" t="n">
        <v>16.9587160383306</v>
      </c>
      <c r="AF389" t="n">
        <v>17.56620208493102</v>
      </c>
      <c r="AG389" t="n">
        <v>18.19675319028596</v>
      </c>
      <c r="AH389" t="n">
        <v>18.40179407637898</v>
      </c>
      <c r="AI389" t="n">
        <v>19.07194036671832</v>
      </c>
      <c r="BI389" t="inlineStr">
        <is>
          <t>NEW_DIS_GE_USD</t>
        </is>
      </c>
    </row>
    <row r="390">
      <c r="A390" t="inlineStr">
        <is>
          <t>no_year_in_pairs</t>
        </is>
      </c>
      <c r="B390" s="2" t="n"/>
      <c r="C390" s="3" t="inlineStr">
        <is>
          <t>SM.19.158, Sup. 2</t>
        </is>
      </c>
      <c r="D390" s="4" t="inlineStr">
        <is>
          <t>Dominica</t>
        </is>
      </c>
      <c r="E390" s="4" t="inlineStr">
        <is>
          <t>DMA</t>
        </is>
      </c>
      <c r="F390" s="4" t="n"/>
      <c r="G390" s="4" t="inlineStr">
        <is>
          <t>2018gn</t>
        </is>
      </c>
      <c r="H390" s="4" t="n">
        <v>2018</v>
      </c>
      <c r="I390" s="4" t="inlineStr">
        <is>
          <t>avg.disc.rat</t>
        </is>
      </c>
      <c r="J390" t="inlineStr">
        <is>
          <t>Average discount rate</t>
        </is>
      </c>
      <c r="O390" t="n">
        <v>5</v>
      </c>
      <c r="P390" t="n">
        <v>5</v>
      </c>
      <c r="Q390" t="n">
        <v>5</v>
      </c>
      <c r="R390" t="n">
        <v>5.000000000000001</v>
      </c>
      <c r="S390" t="n">
        <v>5</v>
      </c>
      <c r="T390" t="n">
        <v>5</v>
      </c>
      <c r="U390" t="n">
        <v>5</v>
      </c>
      <c r="V390" t="n">
        <v>5</v>
      </c>
      <c r="W390" t="n">
        <v>5.000000000000001</v>
      </c>
      <c r="X390" t="n">
        <v>5</v>
      </c>
      <c r="Y390" t="n">
        <v>5</v>
      </c>
      <c r="Z390" t="n">
        <v>5</v>
      </c>
      <c r="AA390" t="n">
        <v>5</v>
      </c>
      <c r="AB390" t="n">
        <v>5</v>
      </c>
      <c r="AC390" t="n">
        <v>5</v>
      </c>
      <c r="AD390" t="n">
        <v>5.000000000000001</v>
      </c>
      <c r="AE390" t="n">
        <v>4.999999999999999</v>
      </c>
      <c r="AF390" t="n">
        <v>5</v>
      </c>
      <c r="AG390" t="n">
        <v>5</v>
      </c>
      <c r="AH390" t="n">
        <v>5</v>
      </c>
      <c r="AI390" t="n">
        <v>5</v>
      </c>
      <c r="BI390" t="inlineStr">
        <is>
          <t>DIS_RATE_AVG</t>
        </is>
      </c>
    </row>
    <row r="391">
      <c r="A391" t="inlineStr">
        <is>
          <t>no_year_in_pairs</t>
        </is>
      </c>
      <c r="B391" s="2" t="n"/>
      <c r="C391" s="3" t="inlineStr">
        <is>
          <t>SM.19.158, Sup. 2</t>
        </is>
      </c>
      <c r="D391" s="4" t="inlineStr">
        <is>
          <t>Dominica</t>
        </is>
      </c>
      <c r="E391" s="4" t="inlineStr">
        <is>
          <t>DMA</t>
        </is>
      </c>
      <c r="F391" s="4" t="n"/>
      <c r="G391" s="4" t="inlineStr">
        <is>
          <t>2018gn</t>
        </is>
      </c>
      <c r="H391" s="4" t="n">
        <v>2018</v>
      </c>
      <c r="I391" s="5" t="n"/>
    </row>
    <row r="392">
      <c r="A392" t="inlineStr">
        <is>
          <t>no_year_in_pairs</t>
        </is>
      </c>
      <c r="B392" s="2" t="n"/>
      <c r="C392" s="3" t="inlineStr">
        <is>
          <t>SM.19.158, Sup. 2</t>
        </is>
      </c>
      <c r="D392" s="4" t="inlineStr">
        <is>
          <t>Dominica</t>
        </is>
      </c>
      <c r="E392" s="4" t="inlineStr">
        <is>
          <t>DMA</t>
        </is>
      </c>
      <c r="F392" s="4" t="n"/>
      <c r="G392" s="4" t="inlineStr">
        <is>
          <t>2018gn</t>
        </is>
      </c>
      <c r="H392" s="4" t="n">
        <v>2018</v>
      </c>
      <c r="I392" s="5" t="n"/>
    </row>
    <row r="393">
      <c r="A393" t="inlineStr">
        <is>
          <t>no_year_in_pairs</t>
        </is>
      </c>
      <c r="B393" s="2" t="n"/>
      <c r="C393" s="3" t="inlineStr">
        <is>
          <t>SM.19.158, Sup. 2</t>
        </is>
      </c>
      <c r="D393" s="4" t="inlineStr">
        <is>
          <t>Dominica</t>
        </is>
      </c>
      <c r="E393" s="4" t="inlineStr">
        <is>
          <t>DMA</t>
        </is>
      </c>
      <c r="F393" s="4" t="n"/>
      <c r="G393" s="4" t="inlineStr">
        <is>
          <t>2018gn</t>
        </is>
      </c>
      <c r="H393" s="4" t="n">
        <v>2018</v>
      </c>
      <c r="I393" s="5" t="n"/>
      <c r="J393" t="inlineStr">
        <is>
          <t xml:space="preserve">1/ After rescheduling if a rescheduling has been agreed or is imminent. For HIPCs that have reached their decision or completion points, </t>
        </is>
      </c>
    </row>
    <row r="394">
      <c r="A394" t="inlineStr">
        <is>
          <t>no_year_in_pairs</t>
        </is>
      </c>
      <c r="B394" s="2" t="n"/>
      <c r="C394" s="3" t="inlineStr">
        <is>
          <t>SM.19.158, Sup. 2</t>
        </is>
      </c>
      <c r="D394" s="4" t="inlineStr">
        <is>
          <t>Dominica</t>
        </is>
      </c>
      <c r="E394" s="4" t="inlineStr">
        <is>
          <t>DMA</t>
        </is>
      </c>
      <c r="F394" s="4" t="n"/>
      <c r="G394" s="4" t="inlineStr">
        <is>
          <t>2018gn</t>
        </is>
      </c>
      <c r="H394" s="4" t="n">
        <v>2018</v>
      </c>
      <c r="I394" s="5" t="n"/>
      <c r="J394" t="inlineStr">
        <is>
          <t>enter debt service due after HIPC assistance (including additional bilateral assistance for completion point cases).</t>
        </is>
      </c>
    </row>
    <row r="395">
      <c r="A395" t="inlineStr">
        <is>
          <t>no_year_in_pairs</t>
        </is>
      </c>
      <c r="B395" s="2" t="n"/>
      <c r="C395" s="3" t="inlineStr">
        <is>
          <t>SM.19.158, Sup. 2</t>
        </is>
      </c>
      <c r="D395" s="4" t="inlineStr">
        <is>
          <t>Dominica</t>
        </is>
      </c>
      <c r="E395" s="4" t="inlineStr">
        <is>
          <t>DMA</t>
        </is>
      </c>
      <c r="F395" s="4" t="n"/>
      <c r="G395" s="4" t="inlineStr">
        <is>
          <t>2018gn</t>
        </is>
      </c>
      <c r="H395" s="4" t="n">
        <v>2018</v>
      </c>
      <c r="I395" s="5" t="n"/>
    </row>
    <row r="396">
      <c r="A396" t="inlineStr">
        <is>
          <t>no_year_in_pairs</t>
        </is>
      </c>
      <c r="B396" s="2" t="n"/>
      <c r="C396" s="3" t="inlineStr">
        <is>
          <t>SM.19.158, Sup. 2</t>
        </is>
      </c>
      <c r="D396" s="4" t="inlineStr">
        <is>
          <t>Dominica</t>
        </is>
      </c>
      <c r="E396" s="4" t="inlineStr">
        <is>
          <t>DMA</t>
        </is>
      </c>
      <c r="F396" s="4" t="n"/>
      <c r="G396" s="4" t="inlineStr">
        <is>
          <t>2018gn</t>
        </is>
      </c>
      <c r="H396" s="4" t="n">
        <v>2018</v>
      </c>
      <c r="I396" s="5" t="n"/>
    </row>
    <row r="397">
      <c r="A397" t="inlineStr">
        <is>
          <t>no_year_in_pairs</t>
        </is>
      </c>
      <c r="B397" s="2" t="n"/>
      <c r="C397" s="3" t="inlineStr">
        <is>
          <t>SM.19.158, Sup. 2</t>
        </is>
      </c>
      <c r="D397" s="4" t="inlineStr">
        <is>
          <t>Dominica</t>
        </is>
      </c>
      <c r="E397" s="4" t="inlineStr">
        <is>
          <t>DMA</t>
        </is>
      </c>
      <c r="F397" s="4" t="n"/>
      <c r="G397" s="4" t="inlineStr">
        <is>
          <t>2018gn</t>
        </is>
      </c>
      <c r="H397" s="4" t="n">
        <v>2018</v>
      </c>
      <c r="I397" s="4" t="inlineStr">
        <is>
          <t>css.loan</t>
        </is>
      </c>
      <c r="J397" t="inlineStr">
        <is>
          <t>Concessional loans</t>
        </is>
      </c>
      <c r="K397" t="inlineStr">
        <is>
          <t>Minimum Concessionality Requirement</t>
        </is>
      </c>
      <c r="M397" t="n">
        <v>0.35</v>
      </c>
      <c r="O397" t="n">
        <v>15</v>
      </c>
      <c r="P397" t="n">
        <v>33</v>
      </c>
      <c r="Q397" t="n">
        <v>32</v>
      </c>
      <c r="R397" t="n">
        <v>33</v>
      </c>
      <c r="S397" t="n">
        <v>19</v>
      </c>
      <c r="T397" t="n">
        <v>21.52</v>
      </c>
      <c r="U397" t="n">
        <v>21.9256796871657</v>
      </c>
      <c r="V397" t="n">
        <v>22.6996542264938</v>
      </c>
      <c r="W397" t="n">
        <v>23.5009504039322</v>
      </c>
      <c r="X397" t="n">
        <v>24.3305317527934</v>
      </c>
      <c r="Y397" t="n">
        <v>25.1893972227495</v>
      </c>
      <c r="Z397" t="n">
        <v>26.078581179832</v>
      </c>
      <c r="AA397" t="n">
        <v>26.9991523647746</v>
      </c>
      <c r="AB397" t="n">
        <v>27.9522201429585</v>
      </c>
      <c r="AC397" t="n">
        <v>28.9389303377825</v>
      </c>
      <c r="AD397" t="n">
        <v>29.9604725222658</v>
      </c>
      <c r="AE397" t="n">
        <v>31.018075073269</v>
      </c>
      <c r="AF397" t="n">
        <v>32.113010919168</v>
      </c>
      <c r="AG397" t="n">
        <v>33.2465979226196</v>
      </c>
      <c r="AH397" t="n">
        <v>33.6794597259981</v>
      </c>
      <c r="AI397" t="n">
        <v>34.8944903565267</v>
      </c>
    </row>
    <row r="398">
      <c r="A398" t="inlineStr">
        <is>
          <t>no_year_in_pairs</t>
        </is>
      </c>
      <c r="B398" s="2" t="n"/>
      <c r="C398" s="3" t="inlineStr">
        <is>
          <t>SM.19.158, Sup. 2</t>
        </is>
      </c>
      <c r="D398" s="4" t="inlineStr">
        <is>
          <t>Dominica</t>
        </is>
      </c>
      <c r="E398" s="4" t="inlineStr">
        <is>
          <t>DMA</t>
        </is>
      </c>
      <c r="F398" s="4" t="n"/>
      <c r="G398" s="4" t="inlineStr">
        <is>
          <t>2018gn</t>
        </is>
      </c>
      <c r="H398" s="4" t="n">
        <v>2018</v>
      </c>
      <c r="I398" s="4" t="inlineStr">
        <is>
          <t>css.loan.mlt</t>
        </is>
      </c>
      <c r="J398" t="inlineStr">
        <is>
          <t>Multilaterals</t>
        </is>
      </c>
    </row>
    <row r="399">
      <c r="A399" t="inlineStr">
        <is>
          <t>no_year_in_pairs</t>
        </is>
      </c>
      <c r="B399" s="2" t="n"/>
      <c r="C399" s="3" t="inlineStr">
        <is>
          <t>SM.19.158, Sup. 2</t>
        </is>
      </c>
      <c r="D399" s="4" t="inlineStr">
        <is>
          <t>Dominica</t>
        </is>
      </c>
      <c r="E399" s="4" t="inlineStr">
        <is>
          <t>DMA</t>
        </is>
      </c>
      <c r="F399" s="4" t="n"/>
      <c r="G399" s="4" t="inlineStr">
        <is>
          <t>2018gn</t>
        </is>
      </c>
      <c r="H399" s="4" t="n">
        <v>2018</v>
      </c>
      <c r="I399" s="4" t="inlineStr">
        <is>
          <t>css.loan.mlt.imf</t>
        </is>
      </c>
      <c r="J399" t="inlineStr">
        <is>
          <t>IMF</t>
        </is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</row>
    <row r="400">
      <c r="A400" t="inlineStr">
        <is>
          <t>no_year_in_pairs</t>
        </is>
      </c>
      <c r="B400" s="2" t="n"/>
      <c r="C400" s="3" t="inlineStr">
        <is>
          <t>SM.19.158, Sup. 2</t>
        </is>
      </c>
      <c r="D400" s="4" t="inlineStr">
        <is>
          <t>Dominica</t>
        </is>
      </c>
      <c r="E400" s="4" t="inlineStr">
        <is>
          <t>DMA</t>
        </is>
      </c>
      <c r="F400" s="4" t="n"/>
      <c r="G400" s="4" t="inlineStr">
        <is>
          <t>2018gn</t>
        </is>
      </c>
      <c r="H400" s="4" t="n">
        <v>2018</v>
      </c>
      <c r="I400" s="4" t="inlineStr">
        <is>
          <t>css.loan.mlt.ida.reg</t>
        </is>
      </c>
      <c r="J400" t="inlineStr">
        <is>
          <t>IDA - small economy</t>
        </is>
      </c>
      <c r="O400" t="n">
        <v>5</v>
      </c>
      <c r="P400" t="n">
        <v>16</v>
      </c>
      <c r="Q400" t="n">
        <v>16</v>
      </c>
      <c r="R400" t="n">
        <v>16</v>
      </c>
      <c r="S400" t="n">
        <v>11</v>
      </c>
      <c r="T400" t="n">
        <v>11.52</v>
      </c>
      <c r="U400" t="n">
        <v>11.9256796871657</v>
      </c>
      <c r="V400" t="n">
        <v>12.346655117517</v>
      </c>
      <c r="W400" t="n">
        <v>12.782491163789</v>
      </c>
      <c r="X400" t="n">
        <v>13.2337119050441</v>
      </c>
      <c r="Y400" t="n">
        <v>13.7008606837914</v>
      </c>
      <c r="Z400" t="n">
        <v>14.1845001059863</v>
      </c>
      <c r="AA400" t="n">
        <v>14.6852114744593</v>
      </c>
      <c r="AB400" t="n">
        <v>15.2035981883468</v>
      </c>
      <c r="AC400" t="n">
        <v>15.7402834768042</v>
      </c>
      <c r="AD400" t="n">
        <v>16.2959143650091</v>
      </c>
      <c r="AE400" t="n">
        <v>16.8711589840836</v>
      </c>
      <c r="AF400" t="n">
        <v>17.4667096973338</v>
      </c>
      <c r="AG400" t="n">
        <v>18.0832833084411</v>
      </c>
      <c r="AH400" t="n">
        <v>18.3512515538356</v>
      </c>
      <c r="AI400" t="n">
        <v>19.0121234773756</v>
      </c>
    </row>
    <row r="401">
      <c r="A401" t="inlineStr">
        <is>
          <t>no_year_in_pairs</t>
        </is>
      </c>
      <c r="B401" s="2" t="n"/>
      <c r="C401" s="3" t="inlineStr">
        <is>
          <t>SM.19.158, Sup. 2</t>
        </is>
      </c>
      <c r="D401" s="4" t="inlineStr">
        <is>
          <t>Dominica</t>
        </is>
      </c>
      <c r="E401" s="4" t="inlineStr">
        <is>
          <t>DMA</t>
        </is>
      </c>
      <c r="F401" s="4" t="n"/>
      <c r="G401" s="4" t="inlineStr">
        <is>
          <t>2018gn</t>
        </is>
      </c>
      <c r="H401" s="4" t="n">
        <v>2018</v>
      </c>
      <c r="I401" s="4" t="inlineStr">
        <is>
          <t>css.loan.mlt.ida.bld</t>
        </is>
      </c>
      <c r="J401" t="inlineStr">
        <is>
          <t>IDA - small economy</t>
        </is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</row>
    <row r="402">
      <c r="A402" t="inlineStr">
        <is>
          <t>no_year_in_pairs</t>
        </is>
      </c>
      <c r="B402" s="2" t="n"/>
      <c r="C402" s="3" t="inlineStr">
        <is>
          <t>SM.19.158, Sup. 2</t>
        </is>
      </c>
      <c r="D402" s="4" t="inlineStr">
        <is>
          <t>Dominica</t>
        </is>
      </c>
      <c r="E402" s="4" t="inlineStr">
        <is>
          <t>DMA</t>
        </is>
      </c>
      <c r="F402" s="4" t="n"/>
      <c r="G402" s="4" t="inlineStr">
        <is>
          <t>2018gn</t>
        </is>
      </c>
      <c r="H402" s="4" t="n">
        <v>2018</v>
      </c>
      <c r="I402" s="4" t="inlineStr">
        <is>
          <t>css.loan.mlt.afdb</t>
        </is>
      </c>
      <c r="J402" t="inlineStr">
        <is>
          <t>CDB</t>
        </is>
      </c>
      <c r="O402" t="n">
        <v>10</v>
      </c>
      <c r="P402" t="n">
        <v>17</v>
      </c>
      <c r="Q402" t="n">
        <v>16</v>
      </c>
      <c r="R402" t="n">
        <v>17</v>
      </c>
      <c r="S402" t="n">
        <v>8</v>
      </c>
      <c r="T402" t="n">
        <v>10</v>
      </c>
      <c r="U402" t="n">
        <v>10</v>
      </c>
      <c r="V402" t="n">
        <v>10.3529991089768</v>
      </c>
      <c r="W402" t="n">
        <v>10.7184592401432</v>
      </c>
      <c r="X402" t="n">
        <v>11.0968198477493</v>
      </c>
      <c r="Y402" t="n">
        <v>11.4885365389581</v>
      </c>
      <c r="Z402" t="n">
        <v>11.8940810738457</v>
      </c>
      <c r="AA402" t="n">
        <v>12.3139408903153</v>
      </c>
      <c r="AB402" t="n">
        <v>12.7486219546117</v>
      </c>
      <c r="AC402" t="n">
        <v>13.1986468609783</v>
      </c>
      <c r="AD402" t="n">
        <v>13.6645581572567</v>
      </c>
      <c r="AE402" t="n">
        <v>14.1469160891854</v>
      </c>
      <c r="AF402" t="n">
        <v>14.6463012218342</v>
      </c>
      <c r="AG402" t="n">
        <v>15.1633146141785</v>
      </c>
      <c r="AH402" t="n">
        <v>15.3282081721625</v>
      </c>
      <c r="AI402" t="n">
        <v>15.8823668791511</v>
      </c>
    </row>
    <row r="403">
      <c r="A403" t="inlineStr">
        <is>
          <t>no_year_in_pairs</t>
        </is>
      </c>
      <c r="B403" s="2" t="n"/>
      <c r="C403" s="3" t="inlineStr">
        <is>
          <t>SM.19.158, Sup. 2</t>
        </is>
      </c>
      <c r="D403" s="4" t="inlineStr">
        <is>
          <t>Dominica</t>
        </is>
      </c>
      <c r="E403" s="4" t="inlineStr">
        <is>
          <t>DMA</t>
        </is>
      </c>
      <c r="F403" s="4" t="n"/>
      <c r="G403" s="4" t="inlineStr">
        <is>
          <t>2018gn</t>
        </is>
      </c>
      <c r="H403" s="4" t="n">
        <v>2018</v>
      </c>
      <c r="I403" s="4" t="inlineStr">
        <is>
          <t>css.loan.mlt2</t>
        </is>
      </c>
      <c r="J403" t="inlineStr">
        <is>
          <t>MULTI2</t>
        </is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</row>
    <row r="404">
      <c r="A404" t="inlineStr">
        <is>
          <t>no_year_in_pairs</t>
        </is>
      </c>
      <c r="B404" s="2" t="n"/>
      <c r="C404" s="3" t="inlineStr">
        <is>
          <t>SM.19.158, Sup. 2</t>
        </is>
      </c>
      <c r="D404" s="4" t="inlineStr">
        <is>
          <t>Dominica</t>
        </is>
      </c>
      <c r="E404" s="4" t="inlineStr">
        <is>
          <t>DMA</t>
        </is>
      </c>
      <c r="F404" s="4" t="n"/>
      <c r="G404" s="4" t="inlineStr">
        <is>
          <t>2018gn</t>
        </is>
      </c>
      <c r="H404" s="4" t="n">
        <v>2018</v>
      </c>
      <c r="I404" s="4" t="inlineStr">
        <is>
          <t>css.loan.mlt3</t>
        </is>
      </c>
      <c r="J404" t="inlineStr">
        <is>
          <t>MULTI3</t>
        </is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</row>
    <row r="405">
      <c r="A405" t="inlineStr">
        <is>
          <t>no_year_in_pairs</t>
        </is>
      </c>
      <c r="B405" s="2" t="n"/>
      <c r="C405" s="3" t="inlineStr">
        <is>
          <t>SM.19.158, Sup. 2</t>
        </is>
      </c>
      <c r="D405" s="4" t="inlineStr">
        <is>
          <t>Dominica</t>
        </is>
      </c>
      <c r="E405" s="4" t="inlineStr">
        <is>
          <t>DMA</t>
        </is>
      </c>
      <c r="F405" s="4" t="n"/>
      <c r="G405" s="4" t="inlineStr">
        <is>
          <t>2018gn</t>
        </is>
      </c>
      <c r="H405" s="4" t="n">
        <v>2018</v>
      </c>
      <c r="I405" s="4" t="inlineStr">
        <is>
          <t>css.loan.blt</t>
        </is>
      </c>
      <c r="J405" t="inlineStr">
        <is>
          <t>Official Bilaterals</t>
        </is>
      </c>
    </row>
    <row r="406">
      <c r="A406" t="inlineStr">
        <is>
          <t>no_year_in_pairs</t>
        </is>
      </c>
      <c r="B406" s="2" t="n"/>
      <c r="C406" s="3" t="inlineStr">
        <is>
          <t>SM.19.158, Sup. 2</t>
        </is>
      </c>
      <c r="D406" s="4" t="inlineStr">
        <is>
          <t>Dominica</t>
        </is>
      </c>
      <c r="E406" s="4" t="inlineStr">
        <is>
          <t>DMA</t>
        </is>
      </c>
      <c r="F406" s="4" t="n"/>
      <c r="G406" s="4" t="inlineStr">
        <is>
          <t>2018gn</t>
        </is>
      </c>
      <c r="H406" s="4" t="n">
        <v>2018</v>
      </c>
      <c r="I406" s="4" t="inlineStr">
        <is>
          <t>css.loan.pc</t>
        </is>
      </c>
      <c r="J406" t="inlineStr">
        <is>
          <t xml:space="preserve">   Paris Club</t>
        </is>
      </c>
    </row>
    <row r="407">
      <c r="A407" t="inlineStr">
        <is>
          <t>no_year_in_pairs</t>
        </is>
      </c>
      <c r="B407" s="2" t="n"/>
      <c r="C407" s="3" t="inlineStr">
        <is>
          <t>SM.19.158, Sup. 2</t>
        </is>
      </c>
      <c r="D407" s="4" t="inlineStr">
        <is>
          <t>Dominica</t>
        </is>
      </c>
      <c r="E407" s="4" t="inlineStr">
        <is>
          <t>DMA</t>
        </is>
      </c>
      <c r="F407" s="4" t="n"/>
      <c r="G407" s="4" t="inlineStr">
        <is>
          <t>2018gn</t>
        </is>
      </c>
      <c r="H407" s="4" t="n">
        <v>2018</v>
      </c>
      <c r="I407" s="4" t="inlineStr">
        <is>
          <t>css.loan.pc1</t>
        </is>
      </c>
      <c r="J407" t="inlineStr">
        <is>
          <t>Export Credit Agencies</t>
        </is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</row>
    <row r="408">
      <c r="A408" t="inlineStr">
        <is>
          <t>no_year_in_pairs</t>
        </is>
      </c>
      <c r="B408" s="2" t="n"/>
      <c r="C408" s="3" t="inlineStr">
        <is>
          <t>SM.19.158, Sup. 2</t>
        </is>
      </c>
      <c r="D408" s="4" t="inlineStr">
        <is>
          <t>Dominica</t>
        </is>
      </c>
      <c r="E408" s="4" t="inlineStr">
        <is>
          <t>DMA</t>
        </is>
      </c>
      <c r="F408" s="4" t="n"/>
      <c r="G408" s="4" t="inlineStr">
        <is>
          <t>2018gn</t>
        </is>
      </c>
      <c r="H408" s="4" t="n">
        <v>2018</v>
      </c>
      <c r="I408" s="4" t="inlineStr">
        <is>
          <t>css.loan.pc2</t>
        </is>
      </c>
      <c r="J408" t="inlineStr">
        <is>
          <t>PC2</t>
        </is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</row>
    <row r="409">
      <c r="A409" t="inlineStr">
        <is>
          <t>no_year_in_pairs</t>
        </is>
      </c>
      <c r="B409" s="2" t="n"/>
      <c r="C409" s="3" t="inlineStr">
        <is>
          <t>SM.19.158, Sup. 2</t>
        </is>
      </c>
      <c r="D409" s="4" t="inlineStr">
        <is>
          <t>Dominica</t>
        </is>
      </c>
      <c r="E409" s="4" t="inlineStr">
        <is>
          <t>DMA</t>
        </is>
      </c>
      <c r="F409" s="4" t="n"/>
      <c r="G409" s="4" t="inlineStr">
        <is>
          <t>2018gn</t>
        </is>
      </c>
      <c r="H409" s="4" t="n">
        <v>2018</v>
      </c>
      <c r="I409" s="4" t="inlineStr">
        <is>
          <t>css.loan.pc3</t>
        </is>
      </c>
      <c r="J409" t="inlineStr">
        <is>
          <t>PC3</t>
        </is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</row>
    <row r="410">
      <c r="A410" t="inlineStr">
        <is>
          <t>no_year_in_pairs</t>
        </is>
      </c>
      <c r="B410" s="2" t="n"/>
      <c r="C410" s="3" t="inlineStr">
        <is>
          <t>SM.19.158, Sup. 2</t>
        </is>
      </c>
      <c r="D410" s="4" t="inlineStr">
        <is>
          <t>Dominica</t>
        </is>
      </c>
      <c r="E410" s="4" t="inlineStr">
        <is>
          <t>DMA</t>
        </is>
      </c>
      <c r="F410" s="4" t="n"/>
      <c r="G410" s="4" t="inlineStr">
        <is>
          <t>2018gn</t>
        </is>
      </c>
      <c r="H410" s="4" t="n">
        <v>2018</v>
      </c>
      <c r="I410" s="4" t="inlineStr">
        <is>
          <t>css.loan.pc4</t>
        </is>
      </c>
      <c r="J410" t="inlineStr">
        <is>
          <t>PC4</t>
        </is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</row>
    <row r="411">
      <c r="A411" t="inlineStr">
        <is>
          <t>no_year_in_pairs</t>
        </is>
      </c>
      <c r="B411" s="2" t="n"/>
      <c r="C411" s="3" t="inlineStr">
        <is>
          <t>SM.19.158, Sup. 2</t>
        </is>
      </c>
      <c r="D411" s="4" t="inlineStr">
        <is>
          <t>Dominica</t>
        </is>
      </c>
      <c r="E411" s="4" t="inlineStr">
        <is>
          <t>DMA</t>
        </is>
      </c>
      <c r="F411" s="4" t="n"/>
      <c r="G411" s="4" t="inlineStr">
        <is>
          <t>2018gn</t>
        </is>
      </c>
      <c r="H411" s="4" t="n">
        <v>2018</v>
      </c>
      <c r="I411" s="4" t="inlineStr">
        <is>
          <t>css.loan.pc5</t>
        </is>
      </c>
      <c r="J411" t="inlineStr">
        <is>
          <t>PC5</t>
        </is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</row>
    <row r="412">
      <c r="A412" t="inlineStr">
        <is>
          <t>no_year_in_pairs</t>
        </is>
      </c>
      <c r="B412" s="2" t="n"/>
      <c r="C412" s="3" t="inlineStr">
        <is>
          <t>SM.19.158, Sup. 2</t>
        </is>
      </c>
      <c r="D412" s="4" t="inlineStr">
        <is>
          <t>Dominica</t>
        </is>
      </c>
      <c r="E412" s="4" t="inlineStr">
        <is>
          <t>DMA</t>
        </is>
      </c>
      <c r="F412" s="4" t="n"/>
      <c r="G412" s="4" t="inlineStr">
        <is>
          <t>2018gn</t>
        </is>
      </c>
      <c r="H412" s="4" t="n">
        <v>2018</v>
      </c>
      <c r="I412" s="4" t="inlineStr">
        <is>
          <t>css.loan.npc</t>
        </is>
      </c>
      <c r="J412" t="inlineStr">
        <is>
          <t xml:space="preserve">   Non-Paris Club</t>
        </is>
      </c>
    </row>
    <row r="413">
      <c r="A413" t="inlineStr">
        <is>
          <t>no_year_in_pairs</t>
        </is>
      </c>
      <c r="B413" s="2" t="n"/>
      <c r="C413" s="3" t="inlineStr">
        <is>
          <t>SM.19.158, Sup. 2</t>
        </is>
      </c>
      <c r="D413" s="4" t="inlineStr">
        <is>
          <t>Dominica</t>
        </is>
      </c>
      <c r="E413" s="4" t="inlineStr">
        <is>
          <t>DMA</t>
        </is>
      </c>
      <c r="F413" s="4" t="n"/>
      <c r="G413" s="4" t="inlineStr">
        <is>
          <t>2018gn</t>
        </is>
      </c>
      <c r="H413" s="4" t="n">
        <v>2018</v>
      </c>
      <c r="I413" s="4" t="inlineStr">
        <is>
          <t>css.loan.npc.eximbk</t>
        </is>
      </c>
      <c r="J413" t="inlineStr">
        <is>
          <t>Export Import Bank of NPC</t>
        </is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</row>
    <row r="414">
      <c r="A414" t="inlineStr">
        <is>
          <t>no_year_in_pairs</t>
        </is>
      </c>
      <c r="B414" s="2" t="n"/>
      <c r="C414" s="3" t="inlineStr">
        <is>
          <t>SM.19.158, Sup. 2</t>
        </is>
      </c>
      <c r="D414" s="4" t="inlineStr">
        <is>
          <t>Dominica</t>
        </is>
      </c>
      <c r="E414" s="4" t="inlineStr">
        <is>
          <t>DMA</t>
        </is>
      </c>
      <c r="F414" s="4" t="n"/>
      <c r="G414" s="4" t="inlineStr">
        <is>
          <t>2018gn</t>
        </is>
      </c>
      <c r="H414" s="4" t="n">
        <v>2018</v>
      </c>
      <c r="I414" s="4" t="inlineStr">
        <is>
          <t>css.loan.npc2</t>
        </is>
      </c>
      <c r="J414" t="inlineStr">
        <is>
          <t>NPC2</t>
        </is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</row>
    <row r="415">
      <c r="A415" t="inlineStr">
        <is>
          <t>no_year_in_pairs</t>
        </is>
      </c>
      <c r="B415" s="2" t="n"/>
      <c r="C415" s="3" t="inlineStr">
        <is>
          <t>SM.19.158, Sup. 2</t>
        </is>
      </c>
      <c r="D415" s="4" t="inlineStr">
        <is>
          <t>Dominica</t>
        </is>
      </c>
      <c r="E415" s="4" t="inlineStr">
        <is>
          <t>DMA</t>
        </is>
      </c>
      <c r="F415" s="4" t="n"/>
      <c r="G415" s="4" t="inlineStr">
        <is>
          <t>2018gn</t>
        </is>
      </c>
      <c r="H415" s="4" t="n">
        <v>2018</v>
      </c>
      <c r="I415" s="4" t="inlineStr">
        <is>
          <t>css.loan.npc3</t>
        </is>
      </c>
      <c r="J415" t="inlineStr">
        <is>
          <t>NPC3</t>
        </is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</row>
    <row r="416">
      <c r="A416" t="inlineStr">
        <is>
          <t>no_year_in_pairs</t>
        </is>
      </c>
      <c r="B416" s="2" t="n"/>
      <c r="C416" s="3" t="inlineStr">
        <is>
          <t>SM.19.158, Sup. 2</t>
        </is>
      </c>
      <c r="D416" s="4" t="inlineStr">
        <is>
          <t>Dominica</t>
        </is>
      </c>
      <c r="E416" s="4" t="inlineStr">
        <is>
          <t>DMA</t>
        </is>
      </c>
      <c r="F416" s="4" t="n"/>
      <c r="G416" s="4" t="inlineStr">
        <is>
          <t>2018gn</t>
        </is>
      </c>
      <c r="H416" s="4" t="n">
        <v>2018</v>
      </c>
      <c r="I416" s="4" t="inlineStr">
        <is>
          <t>css.loan.npc4</t>
        </is>
      </c>
      <c r="J416" t="inlineStr">
        <is>
          <t>NPC4</t>
        </is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</row>
    <row r="417">
      <c r="A417" t="inlineStr">
        <is>
          <t>no_year_in_pairs</t>
        </is>
      </c>
      <c r="B417" s="2" t="n"/>
      <c r="C417" s="3" t="inlineStr">
        <is>
          <t>SM.19.158, Sup. 2</t>
        </is>
      </c>
      <c r="D417" s="4" t="inlineStr">
        <is>
          <t>Dominica</t>
        </is>
      </c>
      <c r="E417" s="4" t="inlineStr">
        <is>
          <t>DMA</t>
        </is>
      </c>
      <c r="F417" s="4" t="n"/>
      <c r="G417" s="4" t="inlineStr">
        <is>
          <t>2018gn</t>
        </is>
      </c>
      <c r="H417" s="4" t="n">
        <v>2018</v>
      </c>
      <c r="I417" s="4" t="inlineStr">
        <is>
          <t>css.loan.npc5</t>
        </is>
      </c>
      <c r="J417" t="inlineStr">
        <is>
          <t>NPC5</t>
        </is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</row>
    <row r="418">
      <c r="A418" t="inlineStr">
        <is>
          <t>no_year_in_pairs</t>
        </is>
      </c>
      <c r="B418" s="2" t="n"/>
      <c r="C418" s="3" t="inlineStr">
        <is>
          <t>SM.19.158, Sup. 2</t>
        </is>
      </c>
      <c r="D418" s="4" t="inlineStr">
        <is>
          <t>Dominica</t>
        </is>
      </c>
      <c r="E418" s="4" t="inlineStr">
        <is>
          <t>DMA</t>
        </is>
      </c>
      <c r="F418" s="4" t="n"/>
      <c r="G418" s="4" t="inlineStr">
        <is>
          <t>2018gn</t>
        </is>
      </c>
      <c r="H418" s="4" t="n">
        <v>2018</v>
      </c>
      <c r="I418" s="4" t="inlineStr">
        <is>
          <t>css.loan.prvt</t>
        </is>
      </c>
      <c r="J418" t="inlineStr">
        <is>
          <t>Commercial</t>
        </is>
      </c>
    </row>
    <row r="419">
      <c r="A419" t="inlineStr">
        <is>
          <t>no_year_in_pairs</t>
        </is>
      </c>
      <c r="B419" s="2" t="n"/>
      <c r="C419" s="3" t="inlineStr">
        <is>
          <t>SM.19.158, Sup. 2</t>
        </is>
      </c>
      <c r="D419" s="4" t="inlineStr">
        <is>
          <t>Dominica</t>
        </is>
      </c>
      <c r="E419" s="4" t="inlineStr">
        <is>
          <t>DMA</t>
        </is>
      </c>
      <c r="F419" s="4" t="n"/>
      <c r="G419" s="4" t="inlineStr">
        <is>
          <t>2018gn</t>
        </is>
      </c>
      <c r="H419" s="4" t="n">
        <v>2018</v>
      </c>
      <c r="I419" s="4" t="inlineStr">
        <is>
          <t>css.loan.prvt.bnd</t>
        </is>
      </c>
      <c r="J419" t="inlineStr">
        <is>
          <t>Eurobond</t>
        </is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</row>
    <row r="420">
      <c r="A420" t="inlineStr">
        <is>
          <t>no_year_in_pairs</t>
        </is>
      </c>
      <c r="B420" s="2" t="n"/>
      <c r="C420" s="3" t="inlineStr">
        <is>
          <t>SM.19.158, Sup. 2</t>
        </is>
      </c>
      <c r="D420" s="4" t="inlineStr">
        <is>
          <t>Dominica</t>
        </is>
      </c>
      <c r="E420" s="4" t="inlineStr">
        <is>
          <t>DMA</t>
        </is>
      </c>
      <c r="F420" s="4" t="n"/>
      <c r="G420" s="4" t="inlineStr">
        <is>
          <t>2018gn</t>
        </is>
      </c>
      <c r="H420" s="4" t="n">
        <v>2018</v>
      </c>
      <c r="I420" s="4" t="inlineStr">
        <is>
          <t>css.loan.prvt.cmbk</t>
        </is>
      </c>
      <c r="J420" t="inlineStr">
        <is>
          <t>Commecial Bank</t>
        </is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</row>
    <row r="421">
      <c r="A421" t="inlineStr">
        <is>
          <t>no_year_in_pairs</t>
        </is>
      </c>
      <c r="B421" s="2" t="n"/>
      <c r="C421" s="3" t="inlineStr">
        <is>
          <t>SM.19.158, Sup. 2</t>
        </is>
      </c>
      <c r="D421" s="4" t="inlineStr">
        <is>
          <t>Dominica</t>
        </is>
      </c>
      <c r="E421" s="4" t="inlineStr">
        <is>
          <t>DMA</t>
        </is>
      </c>
      <c r="F421" s="4" t="n"/>
      <c r="G421" s="4" t="inlineStr">
        <is>
          <t>2018gn</t>
        </is>
      </c>
      <c r="H421" s="4" t="n">
        <v>2018</v>
      </c>
      <c r="I421" s="4" t="inlineStr">
        <is>
          <t>css.loan.prvt.com3</t>
        </is>
      </c>
      <c r="J421" t="inlineStr">
        <is>
          <t>COM3</t>
        </is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</row>
    <row r="422">
      <c r="A422" t="inlineStr">
        <is>
          <t>no_year_in_pairs</t>
        </is>
      </c>
      <c r="B422" s="2" t="n"/>
      <c r="C422" s="3" t="inlineStr">
        <is>
          <t>SM.19.158, Sup. 2</t>
        </is>
      </c>
      <c r="D422" s="4" t="inlineStr">
        <is>
          <t>Dominica</t>
        </is>
      </c>
      <c r="E422" s="4" t="inlineStr">
        <is>
          <t>DMA</t>
        </is>
      </c>
      <c r="F422" s="4" t="n"/>
      <c r="G422" s="4" t="inlineStr">
        <is>
          <t>2018gn</t>
        </is>
      </c>
      <c r="H422" s="4" t="n">
        <v>2018</v>
      </c>
      <c r="I422" s="4" t="inlineStr">
        <is>
          <t>css.loan.prvt.com4</t>
        </is>
      </c>
      <c r="J422" t="inlineStr">
        <is>
          <t>COM4</t>
        </is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</row>
    <row r="423">
      <c r="A423" t="inlineStr">
        <is>
          <t>no_year_in_pairs</t>
        </is>
      </c>
      <c r="B423" s="2" t="n"/>
      <c r="C423" s="3" t="inlineStr">
        <is>
          <t>SM.19.158, Sup. 2</t>
        </is>
      </c>
      <c r="D423" s="4" t="inlineStr">
        <is>
          <t>Dominica</t>
        </is>
      </c>
      <c r="E423" s="4" t="inlineStr">
        <is>
          <t>DMA</t>
        </is>
      </c>
      <c r="F423" s="4" t="n"/>
      <c r="G423" s="4" t="inlineStr">
        <is>
          <t>2018gn</t>
        </is>
      </c>
      <c r="H423" s="4" t="n">
        <v>2018</v>
      </c>
      <c r="I423" s="4" t="inlineStr">
        <is>
          <t>css.loan.prvt.com5</t>
        </is>
      </c>
      <c r="J423" t="inlineStr">
        <is>
          <t>COM5</t>
        </is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</row>
    <row r="424">
      <c r="A424" t="inlineStr">
        <is>
          <t>no_year_in_pairs</t>
        </is>
      </c>
      <c r="C424" t="inlineStr">
        <is>
          <t>SM.19.158, Sup. 2</t>
        </is>
      </c>
      <c r="D424" t="inlineStr">
        <is>
          <t>Dominica</t>
        </is>
      </c>
      <c r="E424" t="inlineStr">
        <is>
          <t>DMA</t>
        </is>
      </c>
      <c r="G424" t="inlineStr">
        <is>
          <t>2018gn</t>
        </is>
      </c>
      <c r="H424" t="n">
        <v>2018</v>
      </c>
      <c r="I424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t="inlineStr">
        <is>
          <t>link.staff.report</t>
        </is>
      </c>
      <c r="C1" t="inlineStr">
        <is>
          <t>dsa.vintage</t>
        </is>
      </c>
      <c r="D1" t="inlineStr">
        <is>
          <t>country.name</t>
        </is>
      </c>
      <c r="E1" t="inlineStr">
        <is>
          <t>country.code</t>
        </is>
      </c>
      <c r="F1" t="inlineStr">
        <is>
          <t>issue.date</t>
        </is>
      </c>
      <c r="G1" t="inlineStr">
        <is>
          <t>methodo.gn</t>
        </is>
      </c>
      <c r="H1" t="inlineStr">
        <is>
          <t>first.year.proj</t>
        </is>
      </c>
      <c r="I1" t="inlineStr">
        <is>
          <t>indicator</t>
        </is>
      </c>
      <c r="K1" t="inlineStr">
        <is>
          <t>Units</t>
        </is>
      </c>
      <c r="L1" t="inlineStr">
        <is>
          <t>Scale</t>
        </is>
      </c>
      <c r="M1" t="inlineStr">
        <is>
          <t>Descriptor</t>
        </is>
      </c>
      <c r="P1" t="n">
        <v>2005</v>
      </c>
      <c r="Q1" t="n">
        <v>2006</v>
      </c>
      <c r="R1" t="n">
        <v>2007</v>
      </c>
      <c r="S1" t="n">
        <v>2008</v>
      </c>
      <c r="T1" t="n">
        <v>2009</v>
      </c>
      <c r="U1" t="n">
        <v>2010</v>
      </c>
      <c r="V1" t="n">
        <v>2011</v>
      </c>
      <c r="W1" t="n">
        <v>2012</v>
      </c>
      <c r="X1" t="n">
        <v>2013</v>
      </c>
      <c r="Y1" t="n">
        <v>2014</v>
      </c>
      <c r="Z1" t="n">
        <v>2015</v>
      </c>
      <c r="AA1" t="n">
        <v>2016</v>
      </c>
      <c r="AB1" t="n">
        <v>2017</v>
      </c>
      <c r="AC1" t="n">
        <v>2018</v>
      </c>
      <c r="AD1" t="n">
        <v>2019</v>
      </c>
      <c r="AE1" t="n">
        <v>2020</v>
      </c>
      <c r="AF1" t="n">
        <v>2021</v>
      </c>
      <c r="AG1" t="n">
        <v>2022</v>
      </c>
      <c r="AH1" t="n">
        <v>2023</v>
      </c>
      <c r="AI1" t="n">
        <v>2024</v>
      </c>
      <c r="AJ1" t="n">
        <v>2025</v>
      </c>
      <c r="AK1" t="n">
        <v>2026</v>
      </c>
      <c r="AL1" t="n">
        <v>2027</v>
      </c>
      <c r="AM1" t="n">
        <v>2028</v>
      </c>
      <c r="AN1" t="n">
        <v>2029</v>
      </c>
      <c r="AO1" t="n">
        <v>2030</v>
      </c>
      <c r="AP1" t="n">
        <v>2031</v>
      </c>
      <c r="AQ1" t="n">
        <v>2032</v>
      </c>
      <c r="AR1" t="n">
        <v>2033</v>
      </c>
      <c r="AS1" t="n">
        <v>2034</v>
      </c>
      <c r="AT1" t="n">
        <v>2035</v>
      </c>
      <c r="AU1" t="n">
        <v>2036</v>
      </c>
      <c r="AV1" t="n">
        <v>2037</v>
      </c>
      <c r="AW1" t="n">
        <v>2038</v>
      </c>
    </row>
    <row r="2">
      <c r="A2" t="inlineStr">
        <is>
          <t>no_year_in_pairs</t>
        </is>
      </c>
      <c r="C2" t="inlineStr">
        <is>
          <t>SM.19.158, Sup. 2</t>
        </is>
      </c>
      <c r="D2" t="inlineStr">
        <is>
          <t>Dominica</t>
        </is>
      </c>
      <c r="E2" t="inlineStr">
        <is>
          <t>DMA</t>
        </is>
      </c>
      <c r="G2" t="inlineStr">
        <is>
          <t>2018gn</t>
        </is>
      </c>
      <c r="H2" t="n">
        <v>2018</v>
      </c>
      <c r="I2" t="inlineStr">
        <is>
          <t>dod.ext.dbt.all</t>
        </is>
      </c>
      <c r="K2" t="inlineStr">
        <is>
          <t>US Dollars</t>
        </is>
      </c>
      <c r="L2" t="inlineStr">
        <is>
          <t>Millions</t>
        </is>
      </c>
      <c r="M2" t="inlineStr">
        <is>
          <t>Total External Debt (public external + private external)</t>
        </is>
      </c>
      <c r="P2" t="n">
        <v>273.3621481481481</v>
      </c>
      <c r="Q2" t="n">
        <v>305.7398148148149</v>
      </c>
      <c r="R2" t="n">
        <v>325.038185185186</v>
      </c>
      <c r="S2" t="n">
        <v>304.5638518518523</v>
      </c>
      <c r="T2" t="n">
        <v>317.401</v>
      </c>
      <c r="U2" t="n">
        <v>338.8516986185189</v>
      </c>
      <c r="V2" t="n">
        <v>364.870335018519</v>
      </c>
      <c r="W2" t="n">
        <v>375.280216407407</v>
      </c>
      <c r="X2" t="n">
        <v>434.818925121401</v>
      </c>
      <c r="Y2" t="n">
        <v>465.950736945076</v>
      </c>
      <c r="Z2" t="n">
        <v>458.748467229188</v>
      </c>
      <c r="AA2" t="n">
        <v>447.658758691553</v>
      </c>
      <c r="AB2" t="n">
        <v>437.191196319483</v>
      </c>
      <c r="AC2" t="n">
        <v>498.2255099154877</v>
      </c>
      <c r="AD2" t="n">
        <v>537.1331308848207</v>
      </c>
      <c r="AE2" t="n">
        <v>583.2110673348384</v>
      </c>
      <c r="AF2" t="n">
        <v>622.182273691036</v>
      </c>
      <c r="AG2" t="n">
        <v>663.1426844345681</v>
      </c>
      <c r="AH2" t="n">
        <v>695.4502473461179</v>
      </c>
      <c r="AI2" t="n">
        <v>709.2355726768195</v>
      </c>
      <c r="AJ2" t="n">
        <v>716.2076024285752</v>
      </c>
      <c r="AK2" t="n">
        <v>738.5999530018878</v>
      </c>
      <c r="AL2" t="n">
        <v>761.1772359936763</v>
      </c>
      <c r="AM2" t="n">
        <v>784.6522358436996</v>
      </c>
      <c r="AN2" t="n">
        <v>809.0291602811392</v>
      </c>
      <c r="AO2" t="n">
        <v>834.4729931255536</v>
      </c>
      <c r="AP2" t="n">
        <v>863.5759385194535</v>
      </c>
      <c r="AQ2" t="n">
        <v>892.8007596020359</v>
      </c>
      <c r="AR2" t="n">
        <v>879.3660478051177</v>
      </c>
      <c r="AS2" t="n">
        <v>909.2830244017248</v>
      </c>
      <c r="AT2" t="n">
        <v>940.4701596304892</v>
      </c>
      <c r="AU2" t="n">
        <v>973.0175597977011</v>
      </c>
      <c r="AV2" t="n">
        <v>1006.500376217685</v>
      </c>
      <c r="AW2" t="n">
        <v>1039.746126305279</v>
      </c>
    </row>
    <row r="3">
      <c r="A3" t="inlineStr">
        <is>
          <t>no_year_in_pairs</t>
        </is>
      </c>
      <c r="C3" t="inlineStr">
        <is>
          <t>SM.19.158, Sup. 2</t>
        </is>
      </c>
      <c r="D3" t="inlineStr">
        <is>
          <t>Dominica</t>
        </is>
      </c>
      <c r="E3" t="inlineStr">
        <is>
          <t>DMA</t>
        </is>
      </c>
      <c r="G3" t="inlineStr">
        <is>
          <t>2018gn</t>
        </is>
      </c>
      <c r="H3" t="n">
        <v>2018</v>
      </c>
      <c r="I3" t="inlineStr">
        <is>
          <t>dod.ext.mlt</t>
        </is>
      </c>
      <c r="K3" t="inlineStr">
        <is>
          <t>US Dollars</t>
        </is>
      </c>
      <c r="L3" t="inlineStr">
        <is>
          <t>Millions</t>
        </is>
      </c>
      <c r="M3" t="inlineStr">
        <is>
          <t>Total MLT debt outstanding at year-end 1/</t>
        </is>
      </c>
      <c r="P3" t="n">
        <v>273.3621481481481</v>
      </c>
      <c r="Q3" t="n">
        <v>305.7398148148149</v>
      </c>
      <c r="R3" t="n">
        <v>325.038185185186</v>
      </c>
      <c r="S3" t="n">
        <v>304.5638518518523</v>
      </c>
      <c r="T3" t="n">
        <v>317.401</v>
      </c>
      <c r="U3" t="n">
        <v>338.8516986185189</v>
      </c>
      <c r="V3" t="n">
        <v>364.870335018519</v>
      </c>
      <c r="W3" t="n">
        <v>375.280216407407</v>
      </c>
      <c r="X3" t="n">
        <v>434.818925121401</v>
      </c>
      <c r="Y3" t="n">
        <v>465.950736945076</v>
      </c>
      <c r="Z3" t="n">
        <v>458.748467229188</v>
      </c>
      <c r="AA3" t="n">
        <v>447.658758691553</v>
      </c>
      <c r="AB3" t="n">
        <v>437.191196319483</v>
      </c>
      <c r="AC3" t="n">
        <v>498.2255099154877</v>
      </c>
      <c r="AD3" t="n">
        <v>537.1331308848207</v>
      </c>
      <c r="AE3" t="n">
        <v>583.2110673348384</v>
      </c>
      <c r="AF3" t="n">
        <v>622.182273691036</v>
      </c>
      <c r="AG3" t="n">
        <v>663.1426844345681</v>
      </c>
      <c r="AH3" t="n">
        <v>695.4502473461179</v>
      </c>
      <c r="AI3" t="n">
        <v>709.2355726768195</v>
      </c>
      <c r="AJ3" t="n">
        <v>716.2076024285752</v>
      </c>
      <c r="AK3" t="n">
        <v>738.5999530018878</v>
      </c>
      <c r="AL3" t="n">
        <v>761.1772359936763</v>
      </c>
      <c r="AM3" t="n">
        <v>784.6522358436996</v>
      </c>
      <c r="AN3" t="n">
        <v>809.0291602811392</v>
      </c>
      <c r="AO3" t="n">
        <v>834.4729931255536</v>
      </c>
      <c r="AP3" t="n">
        <v>863.5759385194535</v>
      </c>
      <c r="AQ3" t="n">
        <v>892.8007596020359</v>
      </c>
      <c r="AR3" t="n">
        <v>879.3660478051177</v>
      </c>
      <c r="AS3" t="n">
        <v>909.2830244017248</v>
      </c>
      <c r="AT3" t="n">
        <v>940.4701596304892</v>
      </c>
      <c r="AU3" t="n">
        <v>973.0175597977011</v>
      </c>
      <c r="AV3" t="n">
        <v>1006.500376217685</v>
      </c>
      <c r="AW3" t="n">
        <v>1039.746126305279</v>
      </c>
    </row>
    <row r="4">
      <c r="A4" t="inlineStr">
        <is>
          <t>no_year_in_pairs</t>
        </is>
      </c>
      <c r="C4" t="inlineStr">
        <is>
          <t>SM.19.158, Sup. 2</t>
        </is>
      </c>
      <c r="D4" t="inlineStr">
        <is>
          <t>Dominica</t>
        </is>
      </c>
      <c r="E4" t="inlineStr">
        <is>
          <t>DMA</t>
        </is>
      </c>
      <c r="G4" t="inlineStr">
        <is>
          <t>2018gn</t>
        </is>
      </c>
      <c r="H4" t="n">
        <v>2018</v>
      </c>
      <c r="I4" t="inlineStr">
        <is>
          <t>dod.ext.ppg</t>
        </is>
      </c>
      <c r="K4" t="inlineStr">
        <is>
          <t>US Dollars</t>
        </is>
      </c>
      <c r="L4" t="inlineStr">
        <is>
          <t>Millions</t>
        </is>
      </c>
      <c r="M4" t="inlineStr">
        <is>
          <t>Public and publicly guaranteed external debt</t>
        </is>
      </c>
      <c r="P4" t="n">
        <v>212.121037037037</v>
      </c>
      <c r="Q4" t="n">
        <v>222.670925925926</v>
      </c>
      <c r="R4" t="n">
        <v>224.32262962963</v>
      </c>
      <c r="S4" t="n">
        <v>214.040518518519</v>
      </c>
      <c r="T4" t="n">
        <v>215.132851851852</v>
      </c>
      <c r="U4" t="n">
        <v>243.755772692593</v>
      </c>
      <c r="V4" t="n">
        <v>244.621129092593</v>
      </c>
      <c r="W4" t="n">
        <v>262.513586037037</v>
      </c>
      <c r="X4" t="n">
        <v>320.77976401029</v>
      </c>
      <c r="Y4" t="n">
        <v>325.252379991724</v>
      </c>
      <c r="Z4" t="n">
        <v>325.219948710669</v>
      </c>
      <c r="AA4" t="n">
        <v>319.221351284146</v>
      </c>
      <c r="AB4" t="n">
        <v>309.851196319483</v>
      </c>
      <c r="AC4" t="n">
        <v>354.2681025080807</v>
      </c>
      <c r="AD4" t="n">
        <v>379.2702294872007</v>
      </c>
      <c r="AE4" t="n">
        <v>427.1457158367334</v>
      </c>
      <c r="AF4" t="n">
        <v>465.179519315713</v>
      </c>
      <c r="AG4" t="n">
        <v>485.8577981306561</v>
      </c>
      <c r="AH4" t="n">
        <v>511.1684760322239</v>
      </c>
      <c r="AI4" t="n">
        <v>531.8991650061265</v>
      </c>
      <c r="AJ4" t="n">
        <v>554.7358509050273</v>
      </c>
      <c r="AK4" t="n">
        <v>577.1282014783397</v>
      </c>
      <c r="AL4" t="n">
        <v>599.7054844701283</v>
      </c>
      <c r="AM4" t="n">
        <v>623.1804843201515</v>
      </c>
      <c r="AN4" t="n">
        <v>647.5574087575911</v>
      </c>
      <c r="AO4" t="n">
        <v>673.0012416020056</v>
      </c>
      <c r="AP4" t="n">
        <v>702.1041869959056</v>
      </c>
      <c r="AQ4" t="n">
        <v>731.3290080784878</v>
      </c>
      <c r="AR4" t="n">
        <v>717.8942962815697</v>
      </c>
      <c r="AS4" t="n">
        <v>747.8112728781767</v>
      </c>
      <c r="AT4" t="n">
        <v>778.9984081069413</v>
      </c>
      <c r="AU4" t="n">
        <v>811.5458082741532</v>
      </c>
      <c r="AV4" t="n">
        <v>845.0286246941371</v>
      </c>
      <c r="AW4" t="n">
        <v>878.2743747817307</v>
      </c>
    </row>
    <row r="5">
      <c r="A5" t="inlineStr">
        <is>
          <t>no_year_in_pairs</t>
        </is>
      </c>
      <c r="C5" t="inlineStr">
        <is>
          <t>SM.19.158, Sup. 2</t>
        </is>
      </c>
      <c r="D5" t="inlineStr">
        <is>
          <t>Dominica</t>
        </is>
      </c>
      <c r="E5" t="inlineStr">
        <is>
          <t>DMA</t>
        </is>
      </c>
      <c r="G5" t="inlineStr">
        <is>
          <t>2018gn</t>
        </is>
      </c>
      <c r="H5" t="n">
        <v>2018</v>
      </c>
      <c r="I5" t="inlineStr">
        <is>
          <t>dod.ext.ppg,mlg.trm</t>
        </is>
      </c>
      <c r="K5" t="inlineStr">
        <is>
          <t>US Dollars</t>
        </is>
      </c>
      <c r="L5" t="inlineStr">
        <is>
          <t>Millions</t>
        </is>
      </c>
      <c r="M5" t="inlineStr">
        <is>
          <t>Medium and Long Term (MLT) external</t>
        </is>
      </c>
      <c r="P5" t="n">
        <v>212.121037037037</v>
      </c>
      <c r="Q5" t="n">
        <v>222.670925925926</v>
      </c>
      <c r="R5" t="n">
        <v>224.32262962963</v>
      </c>
      <c r="S5" t="n">
        <v>214.040518518519</v>
      </c>
      <c r="T5" t="n">
        <v>215.132851851852</v>
      </c>
      <c r="U5" t="n">
        <v>243.755772692593</v>
      </c>
      <c r="V5" t="n">
        <v>244.621129092593</v>
      </c>
      <c r="W5" t="n">
        <v>262.513586037037</v>
      </c>
      <c r="X5" t="n">
        <v>320.77976401029</v>
      </c>
      <c r="Y5" t="n">
        <v>325.252379991724</v>
      </c>
      <c r="Z5" t="n">
        <v>325.219948710669</v>
      </c>
      <c r="AA5" t="n">
        <v>319.221351284146</v>
      </c>
      <c r="AB5" t="n">
        <v>309.851196319483</v>
      </c>
      <c r="AC5" t="n">
        <v>354.2681025080807</v>
      </c>
      <c r="AD5" t="n">
        <v>379.2702294872007</v>
      </c>
      <c r="AE5" t="n">
        <v>427.1457158367334</v>
      </c>
      <c r="AF5" t="n">
        <v>465.179519315713</v>
      </c>
      <c r="AG5" t="n">
        <v>485.8577981306561</v>
      </c>
      <c r="AH5" t="n">
        <v>511.1684760322239</v>
      </c>
      <c r="AI5" t="n">
        <v>531.8991650061265</v>
      </c>
      <c r="AJ5" t="n">
        <v>554.7358509050273</v>
      </c>
      <c r="AK5" t="n">
        <v>577.1282014783397</v>
      </c>
      <c r="AL5" t="n">
        <v>599.7054844701283</v>
      </c>
      <c r="AM5" t="n">
        <v>623.1804843201515</v>
      </c>
      <c r="AN5" t="n">
        <v>647.5574087575911</v>
      </c>
      <c r="AO5" t="n">
        <v>673.0012416020056</v>
      </c>
      <c r="AP5" t="n">
        <v>702.1041869959056</v>
      </c>
      <c r="AQ5" t="n">
        <v>731.3290080784878</v>
      </c>
      <c r="AR5" t="n">
        <v>717.8942962815697</v>
      </c>
      <c r="AS5" t="n">
        <v>747.8112728781767</v>
      </c>
      <c r="AT5" t="n">
        <v>778.9984081069413</v>
      </c>
      <c r="AU5" t="n">
        <v>811.5458082741532</v>
      </c>
      <c r="AV5" t="n">
        <v>845.0286246941371</v>
      </c>
      <c r="AW5" t="n">
        <v>878.2743747817307</v>
      </c>
    </row>
    <row r="6">
      <c r="A6" t="inlineStr">
        <is>
          <t>no_year_in_pairs</t>
        </is>
      </c>
      <c r="C6" t="inlineStr">
        <is>
          <t>SM.19.158, Sup. 2</t>
        </is>
      </c>
      <c r="D6" t="inlineStr">
        <is>
          <t>Dominica</t>
        </is>
      </c>
      <c r="E6" t="inlineStr">
        <is>
          <t>DMA</t>
        </is>
      </c>
      <c r="G6" t="inlineStr">
        <is>
          <t>2018gn</t>
        </is>
      </c>
      <c r="H6" t="n">
        <v>2018</v>
      </c>
      <c r="I6" t="inlineStr">
        <is>
          <t>dod.ext.ppg,sht.trm</t>
        </is>
      </c>
      <c r="K6" t="inlineStr">
        <is>
          <t>US Dollars</t>
        </is>
      </c>
      <c r="L6" t="inlineStr">
        <is>
          <t>Millions</t>
        </is>
      </c>
      <c r="M6" t="inlineStr">
        <is>
          <t>Short Term</t>
        </is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</row>
    <row r="7">
      <c r="A7" t="inlineStr">
        <is>
          <t>no_year_in_pairs</t>
        </is>
      </c>
      <c r="C7" t="inlineStr">
        <is>
          <t>SM.19.158, Sup. 2</t>
        </is>
      </c>
      <c r="D7" t="inlineStr">
        <is>
          <t>Dominica</t>
        </is>
      </c>
      <c r="E7" t="inlineStr">
        <is>
          <t>DMA</t>
        </is>
      </c>
      <c r="G7" t="inlineStr">
        <is>
          <t>2018gn</t>
        </is>
      </c>
      <c r="H7" t="n">
        <v>2018</v>
      </c>
      <c r="I7" t="inlineStr">
        <is>
          <t>dod.ext.png</t>
        </is>
      </c>
      <c r="K7" t="inlineStr">
        <is>
          <t>US Dollars</t>
        </is>
      </c>
      <c r="L7" t="inlineStr">
        <is>
          <t>Millions</t>
        </is>
      </c>
      <c r="M7" t="inlineStr">
        <is>
          <t>Private sector external debt</t>
        </is>
      </c>
      <c r="P7" t="n">
        <v>61.2411111111111</v>
      </c>
      <c r="Q7" t="n">
        <v>83.06888888888889</v>
      </c>
      <c r="R7" t="n">
        <v>100.715555555556</v>
      </c>
      <c r="S7" t="n">
        <v>90.5233333333333</v>
      </c>
      <c r="T7" t="n">
        <v>102.268148148148</v>
      </c>
      <c r="U7" t="n">
        <v>95.0959259259259</v>
      </c>
      <c r="V7" t="n">
        <v>120.249205925926</v>
      </c>
      <c r="W7" t="n">
        <v>112.76663037037</v>
      </c>
      <c r="X7" t="n">
        <v>114.039161111111</v>
      </c>
      <c r="Y7" t="n">
        <v>140.698356953352</v>
      </c>
      <c r="Z7" t="n">
        <v>133.528518518519</v>
      </c>
      <c r="AA7" t="n">
        <v>128.437407407407</v>
      </c>
      <c r="AB7" t="n">
        <v>127.34</v>
      </c>
      <c r="AC7" t="n">
        <v>143.957407407407</v>
      </c>
      <c r="AD7" t="n">
        <v>157.86290139762</v>
      </c>
      <c r="AE7" t="n">
        <v>156.065351498105</v>
      </c>
      <c r="AF7" t="n">
        <v>157.002754375323</v>
      </c>
      <c r="AG7" t="n">
        <v>177.284886303912</v>
      </c>
      <c r="AH7" t="n">
        <v>184.281771313894</v>
      </c>
      <c r="AI7" t="n">
        <v>177.336407670693</v>
      </c>
      <c r="AJ7" t="n">
        <v>161.471751523548</v>
      </c>
      <c r="AK7" t="n">
        <v>161.471751523548</v>
      </c>
      <c r="AL7" t="n">
        <v>161.471751523548</v>
      </c>
      <c r="AM7" t="n">
        <v>161.471751523548</v>
      </c>
      <c r="AN7" t="n">
        <v>161.471751523548</v>
      </c>
      <c r="AO7" t="n">
        <v>161.471751523548</v>
      </c>
      <c r="AP7" t="n">
        <v>161.471751523548</v>
      </c>
      <c r="AQ7" t="n">
        <v>161.471751523548</v>
      </c>
      <c r="AR7" t="n">
        <v>161.471751523548</v>
      </c>
      <c r="AS7" t="n">
        <v>161.471751523548</v>
      </c>
      <c r="AT7" t="n">
        <v>161.471751523548</v>
      </c>
      <c r="AU7" t="n">
        <v>161.471751523548</v>
      </c>
      <c r="AV7" t="n">
        <v>161.471751523548</v>
      </c>
      <c r="AW7" t="n">
        <v>161.471751523548</v>
      </c>
    </row>
    <row r="8">
      <c r="A8" t="inlineStr">
        <is>
          <t>no_year_in_pairs</t>
        </is>
      </c>
      <c r="C8" t="inlineStr">
        <is>
          <t>SM.19.158, Sup. 2</t>
        </is>
      </c>
      <c r="D8" t="inlineStr">
        <is>
          <t>Dominica</t>
        </is>
      </c>
      <c r="E8" t="inlineStr">
        <is>
          <t>DMA</t>
        </is>
      </c>
      <c r="G8" t="inlineStr">
        <is>
          <t>2018gn</t>
        </is>
      </c>
      <c r="H8" t="n">
        <v>2018</v>
      </c>
      <c r="I8" t="inlineStr">
        <is>
          <t>dod.ext.png.mlg.trm</t>
        </is>
      </c>
      <c r="K8" t="inlineStr">
        <is>
          <t>US Dollars</t>
        </is>
      </c>
      <c r="L8" t="inlineStr">
        <is>
          <t>Millions</t>
        </is>
      </c>
      <c r="M8" t="inlineStr">
        <is>
          <t>Medium and Long Term (MLT) external</t>
        </is>
      </c>
      <c r="P8" t="n">
        <v>61.2411111111111</v>
      </c>
      <c r="Q8" t="n">
        <v>83.06888888888889</v>
      </c>
      <c r="R8" t="n">
        <v>100.715555555556</v>
      </c>
      <c r="S8" t="n">
        <v>90.5233333333333</v>
      </c>
      <c r="T8" t="n">
        <v>102.268148148148</v>
      </c>
      <c r="U8" t="n">
        <v>95.0959259259259</v>
      </c>
      <c r="V8" t="n">
        <v>120.249205925926</v>
      </c>
      <c r="W8" t="n">
        <v>112.76663037037</v>
      </c>
      <c r="X8" t="n">
        <v>114.039161111111</v>
      </c>
      <c r="Y8" t="n">
        <v>140.698356953352</v>
      </c>
      <c r="Z8" t="n">
        <v>133.528518518519</v>
      </c>
      <c r="AA8" t="n">
        <v>128.437407407407</v>
      </c>
      <c r="AB8" t="n">
        <v>127.34</v>
      </c>
      <c r="AC8" t="n">
        <v>143.957407407407</v>
      </c>
      <c r="AD8" t="n">
        <v>157.86290139762</v>
      </c>
      <c r="AE8" t="n">
        <v>156.065351498105</v>
      </c>
      <c r="AF8" t="n">
        <v>157.002754375323</v>
      </c>
      <c r="AG8" t="n">
        <v>177.284886303912</v>
      </c>
      <c r="AH8" t="n">
        <v>184.281771313894</v>
      </c>
      <c r="AI8" t="n">
        <v>177.336407670693</v>
      </c>
      <c r="AJ8" t="n">
        <v>161.471751523548</v>
      </c>
      <c r="AK8" t="n">
        <v>161.471751523548</v>
      </c>
      <c r="AL8" t="n">
        <v>161.471751523548</v>
      </c>
      <c r="AM8" t="n">
        <v>161.471751523548</v>
      </c>
      <c r="AN8" t="n">
        <v>161.471751523548</v>
      </c>
      <c r="AO8" t="n">
        <v>161.471751523548</v>
      </c>
      <c r="AP8" t="n">
        <v>161.471751523548</v>
      </c>
      <c r="AQ8" t="n">
        <v>161.471751523548</v>
      </c>
      <c r="AR8" t="n">
        <v>161.471751523548</v>
      </c>
      <c r="AS8" t="n">
        <v>161.471751523548</v>
      </c>
      <c r="AT8" t="n">
        <v>161.471751523548</v>
      </c>
      <c r="AU8" t="n">
        <v>161.471751523548</v>
      </c>
      <c r="AV8" t="n">
        <v>161.471751523548</v>
      </c>
      <c r="AW8" t="n">
        <v>161.471751523548</v>
      </c>
    </row>
    <row r="9">
      <c r="A9" t="inlineStr">
        <is>
          <t>no_year_in_pairs</t>
        </is>
      </c>
      <c r="C9" t="inlineStr">
        <is>
          <t>SM.19.158, Sup. 2</t>
        </is>
      </c>
      <c r="D9" t="inlineStr">
        <is>
          <t>Dominica</t>
        </is>
      </c>
      <c r="E9" t="inlineStr">
        <is>
          <t>DMA</t>
        </is>
      </c>
      <c r="G9" t="inlineStr">
        <is>
          <t>2018gn</t>
        </is>
      </c>
      <c r="H9" t="n">
        <v>2018</v>
      </c>
      <c r="I9" t="inlineStr">
        <is>
          <t>dod.ext.png.sht.trm</t>
        </is>
      </c>
      <c r="K9" t="inlineStr">
        <is>
          <t>US Dollars</t>
        </is>
      </c>
      <c r="L9" t="inlineStr">
        <is>
          <t>Millions</t>
        </is>
      </c>
      <c r="M9" t="inlineStr">
        <is>
          <t>Short Term</t>
        </is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</row>
    <row r="10">
      <c r="A10" t="inlineStr">
        <is>
          <t>no_year_in_pairs</t>
        </is>
      </c>
      <c r="C10" t="inlineStr">
        <is>
          <t>SM.19.158, Sup. 2</t>
        </is>
      </c>
      <c r="D10" t="inlineStr">
        <is>
          <t>Dominica</t>
        </is>
      </c>
      <c r="E10" t="inlineStr">
        <is>
          <t>DMA</t>
        </is>
      </c>
      <c r="G10" t="inlineStr">
        <is>
          <t>2018gn</t>
        </is>
      </c>
      <c r="H10" t="n">
        <v>2018</v>
      </c>
      <c r="I10" t="inlineStr">
        <is>
          <t>dod.pub.dbt.all</t>
        </is>
      </c>
      <c r="K10" t="inlineStr">
        <is>
          <t>National Currency</t>
        </is>
      </c>
      <c r="L10" t="inlineStr">
        <is>
          <t>Millions</t>
        </is>
      </c>
      <c r="M10" t="inlineStr">
        <is>
          <t>Total public domestic debt</t>
        </is>
      </c>
      <c r="P10" t="n">
        <v>0</v>
      </c>
      <c r="Q10" t="n">
        <v>246.43655052</v>
      </c>
      <c r="R10" t="n">
        <v>246.47926924</v>
      </c>
      <c r="S10" t="n">
        <v>245.10994748</v>
      </c>
      <c r="T10" t="n">
        <v>248.55384592</v>
      </c>
      <c r="U10" t="n">
        <v>239.40031082</v>
      </c>
      <c r="V10" t="n">
        <v>268.00669983</v>
      </c>
      <c r="W10" t="n">
        <v>262.6533177</v>
      </c>
      <c r="X10" t="n">
        <v>255.5056518</v>
      </c>
      <c r="Y10" t="n">
        <v>251.75557599</v>
      </c>
      <c r="Z10" t="n">
        <v>256.44059799</v>
      </c>
      <c r="AA10" t="n">
        <v>250.9913278</v>
      </c>
      <c r="AB10" t="n">
        <v>249.1209115</v>
      </c>
      <c r="AC10" t="n">
        <v>150.8356010991654</v>
      </c>
      <c r="AD10" t="n">
        <v>237.6851311088718</v>
      </c>
      <c r="AE10" t="n">
        <v>279.9567407087681</v>
      </c>
      <c r="AF10" t="n">
        <v>251.0709295921978</v>
      </c>
      <c r="AG10" t="n">
        <v>316.6759334883615</v>
      </c>
      <c r="AH10" t="n">
        <v>297.3621098738176</v>
      </c>
      <c r="AI10" t="n">
        <v>291.9022623253132</v>
      </c>
      <c r="AJ10" t="n">
        <v>287.8818134265564</v>
      </c>
      <c r="AK10" t="n">
        <v>286.8550745896929</v>
      </c>
      <c r="AL10" t="n">
        <v>287.0503991742349</v>
      </c>
      <c r="AM10" t="n">
        <v>286.5273816967748</v>
      </c>
      <c r="AN10" t="n">
        <v>285.3436059971155</v>
      </c>
      <c r="AO10" t="n">
        <v>283.125019452687</v>
      </c>
      <c r="AP10" t="n">
        <v>263.972247407561</v>
      </c>
      <c r="AQ10" t="n">
        <v>246.7584613032336</v>
      </c>
      <c r="AR10" t="n">
        <v>347.9510126296526</v>
      </c>
      <c r="AS10" t="n">
        <v>334.7665329146162</v>
      </c>
      <c r="AT10" t="n">
        <v>321.0693859991305</v>
      </c>
      <c r="AU10" t="n">
        <v>307.7168780857927</v>
      </c>
      <c r="AV10" t="n">
        <v>348.3932173323973</v>
      </c>
      <c r="AW10" t="n">
        <v>398.3582222627469</v>
      </c>
    </row>
    <row r="11">
      <c r="A11" t="inlineStr">
        <is>
          <t>no_year_in_pairs</t>
        </is>
      </c>
      <c r="C11" t="inlineStr">
        <is>
          <t>SM.19.158, Sup. 2</t>
        </is>
      </c>
      <c r="D11" t="inlineStr">
        <is>
          <t>Dominica</t>
        </is>
      </c>
      <c r="E11" t="inlineStr">
        <is>
          <t>DMA</t>
        </is>
      </c>
      <c r="G11" t="inlineStr">
        <is>
          <t>2018gn</t>
        </is>
      </c>
      <c r="H11" t="n">
        <v>2018</v>
      </c>
      <c r="I11" t="inlineStr">
        <is>
          <t>dod.pub.dbt.mlg.trm</t>
        </is>
      </c>
      <c r="K11" t="inlineStr">
        <is>
          <t>National Currency</t>
        </is>
      </c>
      <c r="L11" t="inlineStr">
        <is>
          <t>Millions</t>
        </is>
      </c>
      <c r="M11" t="inlineStr">
        <is>
          <t xml:space="preserve">Medium and Long Term (MLT) </t>
        </is>
      </c>
      <c r="P11" t="n">
        <v>0</v>
      </c>
      <c r="Q11" t="n">
        <v>246.43655052</v>
      </c>
      <c r="R11" t="n">
        <v>246.47926924</v>
      </c>
      <c r="S11" t="n">
        <v>245.10994748</v>
      </c>
      <c r="T11" t="n">
        <v>248.55384592</v>
      </c>
      <c r="U11" t="n">
        <v>239.40031082</v>
      </c>
      <c r="V11" t="n">
        <v>268.00669983</v>
      </c>
      <c r="W11" t="n">
        <v>262.6533177</v>
      </c>
      <c r="X11" t="n">
        <v>255.5056518</v>
      </c>
      <c r="Y11" t="n">
        <v>251.75557599</v>
      </c>
      <c r="Z11" t="n">
        <v>256.44059799</v>
      </c>
      <c r="AA11" t="n">
        <v>250.9913278</v>
      </c>
      <c r="AB11" t="n">
        <v>249.1209115</v>
      </c>
      <c r="AC11" t="n">
        <v>150.8356010991654</v>
      </c>
      <c r="AD11" t="n">
        <v>237.6851311088718</v>
      </c>
      <c r="AE11" t="n">
        <v>279.9567407087681</v>
      </c>
      <c r="AF11" t="n">
        <v>251.0709295921978</v>
      </c>
      <c r="AG11" t="n">
        <v>316.6759334883615</v>
      </c>
      <c r="AH11" t="n">
        <v>297.3621098738176</v>
      </c>
      <c r="AI11" t="n">
        <v>291.9022623253132</v>
      </c>
      <c r="AJ11" t="n">
        <v>287.8818134265564</v>
      </c>
      <c r="AK11" t="n">
        <v>286.8550745896929</v>
      </c>
      <c r="AL11" t="n">
        <v>287.0503991742349</v>
      </c>
      <c r="AM11" t="n">
        <v>286.5273816967748</v>
      </c>
      <c r="AN11" t="n">
        <v>285.3436059971155</v>
      </c>
      <c r="AO11" t="n">
        <v>283.125019452687</v>
      </c>
      <c r="AP11" t="n">
        <v>263.972247407561</v>
      </c>
      <c r="AQ11" t="n">
        <v>246.7584613032336</v>
      </c>
      <c r="AR11" t="n">
        <v>347.9510126296526</v>
      </c>
      <c r="AS11" t="n">
        <v>334.7665329146162</v>
      </c>
      <c r="AT11" t="n">
        <v>321.0693859991305</v>
      </c>
      <c r="AU11" t="n">
        <v>307.7168780857927</v>
      </c>
      <c r="AV11" t="n">
        <v>348.3932173323973</v>
      </c>
      <c r="AW11" t="n">
        <v>398.3582222627469</v>
      </c>
    </row>
    <row r="12">
      <c r="A12" t="inlineStr">
        <is>
          <t>no_year_in_pairs</t>
        </is>
      </c>
      <c r="C12" t="inlineStr">
        <is>
          <t>SM.19.158, Sup. 2</t>
        </is>
      </c>
      <c r="D12" t="inlineStr">
        <is>
          <t>Dominica</t>
        </is>
      </c>
      <c r="E12" t="inlineStr">
        <is>
          <t>DMA</t>
        </is>
      </c>
      <c r="G12" t="inlineStr">
        <is>
          <t>2018gn</t>
        </is>
      </c>
      <c r="H12" t="n">
        <v>2018</v>
      </c>
      <c r="I12" t="inlineStr">
        <is>
          <t>dod.pub.dbt.sht.trm</t>
        </is>
      </c>
      <c r="K12" t="inlineStr">
        <is>
          <t>National Currency</t>
        </is>
      </c>
      <c r="L12" t="inlineStr">
        <is>
          <t>Millions</t>
        </is>
      </c>
      <c r="M12" t="inlineStr">
        <is>
          <t>Short Term</t>
        </is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</row>
    <row r="13">
      <c r="A13" t="inlineStr">
        <is>
          <t>no_year_in_pairs</t>
        </is>
      </c>
      <c r="C13" t="inlineStr">
        <is>
          <t>SM.19.158, Sup. 2</t>
        </is>
      </c>
      <c r="D13" t="inlineStr">
        <is>
          <t>Dominica</t>
        </is>
      </c>
      <c r="E13" t="inlineStr">
        <is>
          <t>DMA</t>
        </is>
      </c>
      <c r="G13" t="inlineStr">
        <is>
          <t>2018gn</t>
        </is>
      </c>
      <c r="H13" t="n">
        <v>2018</v>
      </c>
      <c r="I13" t="inlineStr">
        <is>
          <t>int.all</t>
        </is>
      </c>
      <c r="K13" t="inlineStr">
        <is>
          <t>US Dollars</t>
        </is>
      </c>
      <c r="L13" t="inlineStr">
        <is>
          <t>Millions</t>
        </is>
      </c>
      <c r="M13" t="inlineStr">
        <is>
          <t>Total debt interest due</t>
        </is>
      </c>
    </row>
    <row r="14">
      <c r="A14" t="inlineStr">
        <is>
          <t>no_year_in_pairs</t>
        </is>
      </c>
      <c r="C14" t="inlineStr">
        <is>
          <t>SM.19.158, Sup. 2</t>
        </is>
      </c>
      <c r="D14" t="inlineStr">
        <is>
          <t>Dominica</t>
        </is>
      </c>
      <c r="E14" t="inlineStr">
        <is>
          <t>DMA</t>
        </is>
      </c>
      <c r="G14" t="inlineStr">
        <is>
          <t>2018gn</t>
        </is>
      </c>
      <c r="H14" t="n">
        <v>2018</v>
      </c>
      <c r="I14" t="inlineStr">
        <is>
          <t>int.ext.all</t>
        </is>
      </c>
      <c r="K14" t="inlineStr">
        <is>
          <t>US Dollars</t>
        </is>
      </c>
      <c r="L14" t="inlineStr">
        <is>
          <t>Millions</t>
        </is>
      </c>
      <c r="M14" t="inlineStr">
        <is>
          <t>Total external debt interest due (include interest from new debt)</t>
        </is>
      </c>
      <c r="P14" t="n">
        <v>11.61300823633338</v>
      </c>
      <c r="Q14" t="n">
        <v>8.54039391851852</v>
      </c>
      <c r="R14" t="n">
        <v>8.28236393892762</v>
      </c>
      <c r="S14" t="n">
        <v>7.035490740740741</v>
      </c>
      <c r="T14" t="n">
        <v>9.08603703703703</v>
      </c>
      <c r="U14" t="n">
        <v>6.68894603703704</v>
      </c>
      <c r="V14" t="n">
        <v>7.150133703703711</v>
      </c>
      <c r="W14" t="n">
        <v>17.84195460248321</v>
      </c>
      <c r="X14" t="n">
        <v>9.08677294380661</v>
      </c>
      <c r="Y14" t="n">
        <v>10.21377534991724</v>
      </c>
      <c r="Z14" t="n">
        <v>9.734706904143721</v>
      </c>
      <c r="AA14" t="n">
        <v>10.90423373654517</v>
      </c>
      <c r="AB14" t="n">
        <v>10.29241036023187</v>
      </c>
      <c r="AC14" t="n">
        <v>8.215004718313725</v>
      </c>
      <c r="AD14" t="n">
        <v>13.8114527623816</v>
      </c>
      <c r="AE14" t="n">
        <v>15.78969865392434</v>
      </c>
      <c r="AF14" t="n">
        <v>17.43773289405228</v>
      </c>
      <c r="AG14" t="n">
        <v>16.82980690877185</v>
      </c>
      <c r="AH14" t="n">
        <v>19.71392847715411</v>
      </c>
      <c r="AI14" t="n">
        <v>20.37854118448847</v>
      </c>
      <c r="AJ14" t="n">
        <v>22.15883979370608</v>
      </c>
      <c r="AK14" t="n">
        <v>23.13052299548123</v>
      </c>
      <c r="AL14" t="n">
        <v>23.92639599230579</v>
      </c>
      <c r="AM14" t="n">
        <v>24.6257789984604</v>
      </c>
      <c r="AN14" t="n">
        <v>25.15119677793552</v>
      </c>
      <c r="AO14" t="n">
        <v>25.02351450799897</v>
      </c>
      <c r="AP14" t="n">
        <v>23.55556094950249</v>
      </c>
      <c r="AQ14" t="n">
        <v>24.37303799318008</v>
      </c>
      <c r="AR14" t="n">
        <v>27.63810890725231</v>
      </c>
      <c r="AS14" t="n">
        <v>26.22640288175989</v>
      </c>
      <c r="AT14" t="n">
        <v>26.91975135276877</v>
      </c>
      <c r="AU14" t="n">
        <v>32.09725035445944</v>
      </c>
      <c r="AV14" t="n">
        <v>27.78455205019082</v>
      </c>
      <c r="AW14" t="n">
        <v>27.29071581400382</v>
      </c>
    </row>
    <row r="15">
      <c r="A15" t="inlineStr">
        <is>
          <t>no_year_in_pairs</t>
        </is>
      </c>
      <c r="C15" t="inlineStr">
        <is>
          <t>SM.19.158, Sup. 2</t>
        </is>
      </c>
      <c r="D15" t="inlineStr">
        <is>
          <t>Dominica</t>
        </is>
      </c>
      <c r="E15" t="inlineStr">
        <is>
          <t>DMA</t>
        </is>
      </c>
      <c r="G15" t="inlineStr">
        <is>
          <t>2018gn</t>
        </is>
      </c>
      <c r="H15" t="n">
        <v>2018</v>
      </c>
      <c r="I15" t="inlineStr">
        <is>
          <t>int.ext.ppg</t>
        </is>
      </c>
      <c r="K15" t="inlineStr">
        <is>
          <t>US Dollars</t>
        </is>
      </c>
      <c r="L15" t="inlineStr">
        <is>
          <t>Millions</t>
        </is>
      </c>
      <c r="M15" t="inlineStr">
        <is>
          <t>Public and publicly guaranteed</t>
        </is>
      </c>
      <c r="P15" t="n">
        <v>10.0819804585556</v>
      </c>
      <c r="Q15" t="n">
        <v>6.463671696296299</v>
      </c>
      <c r="R15" t="n">
        <v>5.76447505003873</v>
      </c>
      <c r="S15" t="n">
        <v>4.77240740740741</v>
      </c>
      <c r="T15" t="n">
        <v>6.52933333333333</v>
      </c>
      <c r="U15" t="n">
        <v>4.31154788888889</v>
      </c>
      <c r="V15" t="n">
        <v>4.33757814814815</v>
      </c>
      <c r="W15" t="n">
        <v>15.1627971950758</v>
      </c>
      <c r="X15" t="n">
        <v>6.40985627713994</v>
      </c>
      <c r="Y15" t="n">
        <v>7.219275349917241</v>
      </c>
      <c r="Z15" t="n">
        <v>6.39649394118076</v>
      </c>
      <c r="AA15" t="n">
        <v>7.69329855135998</v>
      </c>
      <c r="AB15" t="n">
        <v>7.10891036023187</v>
      </c>
      <c r="AC15" t="n">
        <v>4.616069533128536</v>
      </c>
      <c r="AD15" t="n">
        <v>10.14912747837337</v>
      </c>
      <c r="AE15" t="n">
        <v>12.06032454004972</v>
      </c>
      <c r="AF15" t="n">
        <v>13.63377129790017</v>
      </c>
      <c r="AG15" t="n">
        <v>12.94976608069669</v>
      </c>
      <c r="AH15" t="n">
        <v>15.75628717047859</v>
      </c>
      <c r="AI15" t="n">
        <v>16.34174739639977</v>
      </c>
      <c r="AJ15" t="n">
        <v>18.12204600561738</v>
      </c>
      <c r="AK15" t="n">
        <v>19.09372920739253</v>
      </c>
      <c r="AL15" t="n">
        <v>19.88960220421708</v>
      </c>
      <c r="AM15" t="n">
        <v>20.5889852103717</v>
      </c>
      <c r="AN15" t="n">
        <v>21.11440298984682</v>
      </c>
      <c r="AO15" t="n">
        <v>20.98672071991027</v>
      </c>
      <c r="AP15" t="n">
        <v>19.51876716141379</v>
      </c>
      <c r="AQ15" t="n">
        <v>20.33624420509138</v>
      </c>
      <c r="AR15" t="n">
        <v>23.60131511916361</v>
      </c>
      <c r="AS15" t="n">
        <v>22.18960909367119</v>
      </c>
      <c r="AT15" t="n">
        <v>22.88295756468007</v>
      </c>
      <c r="AU15" t="n">
        <v>28.06045656637074</v>
      </c>
      <c r="AV15" t="n">
        <v>23.74775826210212</v>
      </c>
      <c r="AW15" t="n">
        <v>23.25392202591512</v>
      </c>
    </row>
    <row r="16">
      <c r="A16" t="inlineStr">
        <is>
          <t>no_year_in_pairs</t>
        </is>
      </c>
      <c r="C16" t="inlineStr">
        <is>
          <t>SM.19.158, Sup. 2</t>
        </is>
      </c>
      <c r="D16" t="inlineStr">
        <is>
          <t>Dominica</t>
        </is>
      </c>
      <c r="E16" t="inlineStr">
        <is>
          <t>DMA</t>
        </is>
      </c>
      <c r="G16" t="inlineStr">
        <is>
          <t>2018gn</t>
        </is>
      </c>
      <c r="H16" t="n">
        <v>2018</v>
      </c>
      <c r="I16" t="inlineStr">
        <is>
          <t>int.ext.png</t>
        </is>
      </c>
      <c r="K16" t="inlineStr">
        <is>
          <t>US Dollars</t>
        </is>
      </c>
      <c r="L16" t="inlineStr">
        <is>
          <t>Millions</t>
        </is>
      </c>
      <c r="M16" t="inlineStr">
        <is>
          <t xml:space="preserve">Private </t>
        </is>
      </c>
      <c r="P16" t="n">
        <v>1.53102777777778</v>
      </c>
      <c r="Q16" t="n">
        <v>2.07672222222222</v>
      </c>
      <c r="R16" t="n">
        <v>2.51788888888889</v>
      </c>
      <c r="S16" t="n">
        <v>2.26308333333333</v>
      </c>
      <c r="T16" t="n">
        <v>2.5567037037037</v>
      </c>
      <c r="U16" t="n">
        <v>2.37739814814815</v>
      </c>
      <c r="V16" t="n">
        <v>2.81255555555556</v>
      </c>
      <c r="W16" t="n">
        <v>2.67915740740741</v>
      </c>
      <c r="X16" t="n">
        <v>2.67691666666667</v>
      </c>
      <c r="Y16" t="n">
        <v>2.9945</v>
      </c>
      <c r="Z16" t="n">
        <v>3.33821296296296</v>
      </c>
      <c r="AA16" t="n">
        <v>3.21093518518519</v>
      </c>
      <c r="AB16" t="n">
        <v>3.1835</v>
      </c>
      <c r="AC16" t="n">
        <v>3.59893518518519</v>
      </c>
      <c r="AD16" t="n">
        <v>3.66232528400822</v>
      </c>
      <c r="AE16" t="n">
        <v>3.72937411387462</v>
      </c>
      <c r="AF16" t="n">
        <v>3.80396159615211</v>
      </c>
      <c r="AG16" t="n">
        <v>3.88004082807516</v>
      </c>
      <c r="AH16" t="n">
        <v>3.95764130667552</v>
      </c>
      <c r="AI16" t="n">
        <v>4.036793788088699</v>
      </c>
      <c r="AJ16" t="n">
        <v>4.036793788088699</v>
      </c>
      <c r="AK16" t="n">
        <v>4.036793788088699</v>
      </c>
      <c r="AL16" t="n">
        <v>4.036793788088699</v>
      </c>
      <c r="AM16" t="n">
        <v>4.036793788088699</v>
      </c>
      <c r="AN16" t="n">
        <v>4.036793788088699</v>
      </c>
      <c r="AO16" t="n">
        <v>4.036793788088699</v>
      </c>
      <c r="AP16" t="n">
        <v>4.036793788088699</v>
      </c>
      <c r="AQ16" t="n">
        <v>4.036793788088699</v>
      </c>
      <c r="AR16" t="n">
        <v>4.036793788088699</v>
      </c>
      <c r="AS16" t="n">
        <v>4.036793788088699</v>
      </c>
      <c r="AT16" t="n">
        <v>4.036793788088699</v>
      </c>
      <c r="AU16" t="n">
        <v>4.036793788088699</v>
      </c>
      <c r="AV16" t="n">
        <v>4.036793788088699</v>
      </c>
      <c r="AW16" t="n">
        <v>4.036793788088699</v>
      </c>
    </row>
    <row r="17">
      <c r="A17" t="inlineStr">
        <is>
          <t>no_year_in_pairs</t>
        </is>
      </c>
      <c r="C17" t="inlineStr">
        <is>
          <t>SM.19.158, Sup. 2</t>
        </is>
      </c>
      <c r="D17" t="inlineStr">
        <is>
          <t>Dominica</t>
        </is>
      </c>
      <c r="E17" t="inlineStr">
        <is>
          <t>DMA</t>
        </is>
      </c>
      <c r="G17" t="inlineStr">
        <is>
          <t>2018gn</t>
        </is>
      </c>
      <c r="H17" t="n">
        <v>2018</v>
      </c>
      <c r="I17" t="inlineStr">
        <is>
          <t>int.dom.all</t>
        </is>
      </c>
      <c r="K17" t="inlineStr">
        <is>
          <t>US Dollars</t>
        </is>
      </c>
      <c r="L17" t="inlineStr">
        <is>
          <t>Millions</t>
        </is>
      </c>
      <c r="M17" t="inlineStr">
        <is>
          <t>Total public domestic debt interest due</t>
        </is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2.448706666666666</v>
      </c>
      <c r="Z17" t="n">
        <v>1.063843888888889</v>
      </c>
      <c r="AA17" t="n">
        <v>1.332109296296296</v>
      </c>
      <c r="AB17" t="n">
        <v>0.6927467777777777</v>
      </c>
      <c r="AC17" t="n">
        <v>0.5684969999999999</v>
      </c>
      <c r="AD17" t="n">
        <v>-1.153865771461198</v>
      </c>
      <c r="AE17" t="n">
        <v>1.600463855968083</v>
      </c>
      <c r="AF17" t="n">
        <v>2.915036076853783</v>
      </c>
      <c r="AG17" t="n">
        <v>2.228603815505219</v>
      </c>
      <c r="AH17" t="n">
        <v>4.109989088369372</v>
      </c>
      <c r="AI17" t="n">
        <v>3.741704232616647</v>
      </c>
      <c r="AJ17" t="n">
        <v>3.610703994778223</v>
      </c>
      <c r="AK17" t="n">
        <v>3.590852464297947</v>
      </c>
      <c r="AL17" t="n">
        <v>3.730785328433293</v>
      </c>
      <c r="AM17" t="n">
        <v>3.819331551027077</v>
      </c>
      <c r="AN17" t="n">
        <v>3.887782668345417</v>
      </c>
      <c r="AO17" t="n">
        <v>3.925144838423613</v>
      </c>
      <c r="AP17" t="n">
        <v>3.939753130060979</v>
      </c>
      <c r="AQ17" t="n">
        <v>3.500848945109204</v>
      </c>
      <c r="AR17" t="n">
        <v>3.106823810893719</v>
      </c>
      <c r="AS17" t="n">
        <v>5.833278527871295</v>
      </c>
      <c r="AT17" t="n">
        <v>4.812500513794528</v>
      </c>
      <c r="AU17" t="n">
        <v>4.4902970889576</v>
      </c>
      <c r="AV17" t="n">
        <v>4.173588306869653</v>
      </c>
      <c r="AW17" t="n">
        <v>5.28003492369763</v>
      </c>
    </row>
    <row r="18">
      <c r="A18" t="inlineStr">
        <is>
          <t>no_year_in_pairs</t>
        </is>
      </c>
      <c r="C18" t="inlineStr">
        <is>
          <t>SM.19.158, Sup. 2</t>
        </is>
      </c>
      <c r="D18" t="inlineStr">
        <is>
          <t>Dominica</t>
        </is>
      </c>
      <c r="E18" t="inlineStr">
        <is>
          <t>DMA</t>
        </is>
      </c>
      <c r="G18" t="inlineStr">
        <is>
          <t>2018gn</t>
        </is>
      </c>
      <c r="H18" t="n">
        <v>2018</v>
      </c>
      <c r="I18" t="inlineStr">
        <is>
          <t>amt.all</t>
        </is>
      </c>
      <c r="K18" t="inlineStr">
        <is>
          <t>US Dollars</t>
        </is>
      </c>
      <c r="L18" t="inlineStr">
        <is>
          <t>Millions</t>
        </is>
      </c>
      <c r="M18" t="inlineStr">
        <is>
          <t>Total debt amortization due</t>
        </is>
      </c>
    </row>
    <row r="19">
      <c r="A19" t="inlineStr">
        <is>
          <t>no_year_in_pairs</t>
        </is>
      </c>
      <c r="C19" t="inlineStr">
        <is>
          <t>SM.19.158, Sup. 2</t>
        </is>
      </c>
      <c r="D19" t="inlineStr">
        <is>
          <t>Dominica</t>
        </is>
      </c>
      <c r="E19" t="inlineStr">
        <is>
          <t>DMA</t>
        </is>
      </c>
      <c r="G19" t="inlineStr">
        <is>
          <t>2018gn</t>
        </is>
      </c>
      <c r="H19" t="n">
        <v>2018</v>
      </c>
      <c r="I19" t="inlineStr">
        <is>
          <t>amt.ext.all</t>
        </is>
      </c>
      <c r="K19" t="inlineStr">
        <is>
          <t>US Dollars</t>
        </is>
      </c>
      <c r="L19" t="inlineStr">
        <is>
          <t>Millions</t>
        </is>
      </c>
      <c r="M19" t="inlineStr">
        <is>
          <t>Total external amortization due (include amortization from new debt)</t>
        </is>
      </c>
      <c r="P19" t="n">
        <v>0</v>
      </c>
      <c r="Q19" t="n">
        <v>10.8595925925926</v>
      </c>
      <c r="R19" t="n">
        <v>10.443037037037</v>
      </c>
      <c r="S19" t="n">
        <v>10.0148518518519</v>
      </c>
      <c r="T19" t="n">
        <v>12.117</v>
      </c>
      <c r="U19" t="n">
        <v>10.4749040740741</v>
      </c>
      <c r="V19" t="n">
        <v>13.9658275718519</v>
      </c>
      <c r="W19" t="n">
        <v>18.5304636518442</v>
      </c>
      <c r="X19" t="n">
        <v>15.4373486064475</v>
      </c>
      <c r="Y19" t="n">
        <v>17.3305127669757</v>
      </c>
      <c r="Z19" t="n">
        <v>21.201572452072</v>
      </c>
      <c r="AA19" t="n">
        <v>22.3417634951179</v>
      </c>
      <c r="AB19" t="n">
        <v>28.0515053555206</v>
      </c>
      <c r="AC19" t="n">
        <v>6.840511996296295</v>
      </c>
      <c r="AD19" t="n">
        <v>44.99352368109922</v>
      </c>
      <c r="AE19" t="n">
        <v>51.83439869269303</v>
      </c>
      <c r="AF19" t="n">
        <v>72.00836879096934</v>
      </c>
      <c r="AG19" t="n">
        <v>86.87582610828721</v>
      </c>
      <c r="AH19" t="n">
        <v>96.12737571321505</v>
      </c>
      <c r="AI19" t="n">
        <v>111.4226449343264</v>
      </c>
      <c r="AJ19" t="n">
        <v>121.791773681164</v>
      </c>
      <c r="AK19" t="n">
        <v>136.166109889377</v>
      </c>
      <c r="AL19" t="n">
        <v>151.4697091776256</v>
      </c>
      <c r="AM19" t="n">
        <v>167.964207970515</v>
      </c>
      <c r="AN19" t="n">
        <v>183.0744069863719</v>
      </c>
      <c r="AO19" t="n">
        <v>199.0756212682917</v>
      </c>
      <c r="AP19" t="n">
        <v>211.5689892845884</v>
      </c>
      <c r="AQ19" t="n">
        <v>224.554333238399</v>
      </c>
      <c r="AR19" t="n">
        <v>238.3023256294711</v>
      </c>
      <c r="AS19" t="n">
        <v>209.9520493790367</v>
      </c>
      <c r="AT19" t="n">
        <v>224.1595098784233</v>
      </c>
      <c r="AU19" t="n">
        <v>238.638277571353</v>
      </c>
      <c r="AV19" t="n">
        <v>254.4971990951531</v>
      </c>
      <c r="AW19" t="n">
        <v>271.7411798499472</v>
      </c>
    </row>
    <row r="20">
      <c r="A20" t="inlineStr">
        <is>
          <t>no_year_in_pairs</t>
        </is>
      </c>
      <c r="C20" t="inlineStr">
        <is>
          <t>SM.19.158, Sup. 2</t>
        </is>
      </c>
      <c r="D20" t="inlineStr">
        <is>
          <t>Dominica</t>
        </is>
      </c>
      <c r="E20" t="inlineStr">
        <is>
          <t>DMA</t>
        </is>
      </c>
      <c r="G20" t="inlineStr">
        <is>
          <t>2018gn</t>
        </is>
      </c>
      <c r="H20" t="n">
        <v>2018</v>
      </c>
      <c r="I20" t="inlineStr">
        <is>
          <t>amt.ext.ppg</t>
        </is>
      </c>
      <c r="K20" t="inlineStr">
        <is>
          <t>US Dollars</t>
        </is>
      </c>
      <c r="L20" t="inlineStr">
        <is>
          <t>Millions</t>
        </is>
      </c>
      <c r="M20" t="inlineStr">
        <is>
          <t>Public and publicly guaranteed</t>
        </is>
      </c>
      <c r="P20" t="n">
        <v>0</v>
      </c>
      <c r="Q20" t="n">
        <v>10.8595925925926</v>
      </c>
      <c r="R20" t="n">
        <v>10.443037037037</v>
      </c>
      <c r="S20" t="n">
        <v>10.0148518518519</v>
      </c>
      <c r="T20" t="n">
        <v>12.117</v>
      </c>
      <c r="U20" t="n">
        <v>10.4749040740741</v>
      </c>
      <c r="V20" t="n">
        <v>13.9658275718519</v>
      </c>
      <c r="W20" t="n">
        <v>18.5304636518442</v>
      </c>
      <c r="X20" t="n">
        <v>15.4373486064475</v>
      </c>
      <c r="Y20" t="n">
        <v>17.3305127669757</v>
      </c>
      <c r="Z20" t="n">
        <v>21.201572452072</v>
      </c>
      <c r="AA20" t="n">
        <v>22.3417634951179</v>
      </c>
      <c r="AB20" t="n">
        <v>28.0515053555206</v>
      </c>
      <c r="AC20" t="n">
        <v>6.840511996296295</v>
      </c>
      <c r="AD20" t="n">
        <v>44.99352368109922</v>
      </c>
      <c r="AE20" t="n">
        <v>51.83439869269303</v>
      </c>
      <c r="AF20" t="n">
        <v>72.00836879096934</v>
      </c>
      <c r="AG20" t="n">
        <v>86.87582610828721</v>
      </c>
      <c r="AH20" t="n">
        <v>96.12737571321505</v>
      </c>
      <c r="AI20" t="n">
        <v>111.4226449343264</v>
      </c>
      <c r="AJ20" t="n">
        <v>121.791773681164</v>
      </c>
      <c r="AK20" t="n">
        <v>136.166109889377</v>
      </c>
      <c r="AL20" t="n">
        <v>151.4697091776256</v>
      </c>
      <c r="AM20" t="n">
        <v>167.964207970515</v>
      </c>
      <c r="AN20" t="n">
        <v>183.0744069863719</v>
      </c>
      <c r="AO20" t="n">
        <v>199.0756212682917</v>
      </c>
      <c r="AP20" t="n">
        <v>211.5689892845884</v>
      </c>
      <c r="AQ20" t="n">
        <v>224.554333238399</v>
      </c>
      <c r="AR20" t="n">
        <v>238.3023256294711</v>
      </c>
      <c r="AS20" t="n">
        <v>209.9520493790367</v>
      </c>
      <c r="AT20" t="n">
        <v>224.1595098784233</v>
      </c>
      <c r="AU20" t="n">
        <v>238.638277571353</v>
      </c>
      <c r="AV20" t="n">
        <v>254.4971990951531</v>
      </c>
      <c r="AW20" t="n">
        <v>271.7411798499472</v>
      </c>
    </row>
    <row r="21">
      <c r="A21" t="inlineStr">
        <is>
          <t>no_year_in_pairs</t>
        </is>
      </c>
      <c r="C21" t="inlineStr">
        <is>
          <t>SM.19.158, Sup. 2</t>
        </is>
      </c>
      <c r="D21" t="inlineStr">
        <is>
          <t>Dominica</t>
        </is>
      </c>
      <c r="E21" t="inlineStr">
        <is>
          <t>DMA</t>
        </is>
      </c>
      <c r="G21" t="inlineStr">
        <is>
          <t>2018gn</t>
        </is>
      </c>
      <c r="H21" t="n">
        <v>2018</v>
      </c>
      <c r="I21" t="inlineStr">
        <is>
          <t>amt.ext.png</t>
        </is>
      </c>
      <c r="K21" t="inlineStr">
        <is>
          <t>US Dollars</t>
        </is>
      </c>
      <c r="L21" t="inlineStr">
        <is>
          <t>Millions</t>
        </is>
      </c>
      <c r="M21" t="inlineStr">
        <is>
          <t xml:space="preserve">MLT private external debt </t>
        </is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no_year_in_pairs</t>
        </is>
      </c>
      <c r="C22" t="inlineStr">
        <is>
          <t>SM.19.158, Sup. 2</t>
        </is>
      </c>
      <c r="D22" t="inlineStr">
        <is>
          <t>Dominica</t>
        </is>
      </c>
      <c r="E22" t="inlineStr">
        <is>
          <t>DMA</t>
        </is>
      </c>
      <c r="G22" t="inlineStr">
        <is>
          <t>2018gn</t>
        </is>
      </c>
      <c r="H22" t="n">
        <v>2018</v>
      </c>
      <c r="I22" t="inlineStr">
        <is>
          <t>amt.dom.all</t>
        </is>
      </c>
      <c r="K22" t="inlineStr">
        <is>
          <t>US Dollars</t>
        </is>
      </c>
      <c r="L22" t="inlineStr">
        <is>
          <t>Millions</t>
        </is>
      </c>
      <c r="M22" t="inlineStr">
        <is>
          <t>Total MLT public domestic debt amortization debt</t>
        </is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2.003136259259259</v>
      </c>
      <c r="Z22" t="n">
        <v>0.9051378148148148</v>
      </c>
      <c r="AA22" t="n">
        <v>1.818312148148148</v>
      </c>
      <c r="AB22" t="n">
        <v>1.981576481481482</v>
      </c>
      <c r="AC22" t="n">
        <v>1.129170703703704</v>
      </c>
      <c r="AD22" t="n">
        <v>-4.006080317504474</v>
      </c>
      <c r="AE22" t="n">
        <v>0.8860797963814648</v>
      </c>
      <c r="AF22" t="n">
        <v>3.167792243478089</v>
      </c>
      <c r="AG22" t="n">
        <v>2.005760272092938</v>
      </c>
      <c r="AH22" t="n">
        <v>5.67718860705667</v>
      </c>
      <c r="AI22" t="n">
        <v>5.378120936395779</v>
      </c>
      <c r="AJ22" t="n">
        <v>5.766471919452086</v>
      </c>
      <c r="AK22" t="n">
        <v>11.32923077578004</v>
      </c>
      <c r="AL22" t="n">
        <v>8.781512558783971</v>
      </c>
      <c r="AM22" t="n">
        <v>7.59446982098512</v>
      </c>
      <c r="AN22" t="n">
        <v>9.638826004914522</v>
      </c>
      <c r="AO22" t="n">
        <v>7.106762865268068</v>
      </c>
      <c r="AP22" t="n">
        <v>8.126794417922707</v>
      </c>
      <c r="AQ22" t="n">
        <v>7.706265459265974</v>
      </c>
      <c r="AR22" t="n">
        <v>7.196615413224361</v>
      </c>
      <c r="AS22" t="n">
        <v>11.92596660170419</v>
      </c>
      <c r="AT22" t="n">
        <v>11.5495127904883</v>
      </c>
      <c r="AU22" t="n">
        <v>11.3668946816788</v>
      </c>
      <c r="AV22" t="n">
        <v>10.91933300852813</v>
      </c>
      <c r="AW22" t="n">
        <v>13.68297831761293</v>
      </c>
    </row>
    <row r="23">
      <c r="A23" t="inlineStr">
        <is>
          <t>no_year_in_pairs</t>
        </is>
      </c>
      <c r="C23" t="inlineStr">
        <is>
          <t>SM.19.158, Sup. 2</t>
        </is>
      </c>
      <c r="D23" t="inlineStr">
        <is>
          <t>Dominica</t>
        </is>
      </c>
      <c r="E23" t="inlineStr">
        <is>
          <t>DMA</t>
        </is>
      </c>
      <c r="G23" t="inlineStr">
        <is>
          <t>2018gn</t>
        </is>
      </c>
      <c r="H23" t="n">
        <v>2018</v>
      </c>
    </row>
    <row r="24">
      <c r="A24" t="inlineStr">
        <is>
          <t>no_year_in_pairs</t>
        </is>
      </c>
      <c r="C24" t="inlineStr">
        <is>
          <t>SM.19.158, Sup. 2</t>
        </is>
      </c>
      <c r="D24" t="inlineStr">
        <is>
          <t>Dominica</t>
        </is>
      </c>
      <c r="E24" t="inlineStr">
        <is>
          <t>DMA</t>
        </is>
      </c>
      <c r="G24" t="inlineStr">
        <is>
          <t>2018gn</t>
        </is>
      </c>
      <c r="H24" t="n">
        <v>2018</v>
      </c>
      <c r="I24" t="inlineStr">
        <is>
          <t>cab</t>
        </is>
      </c>
      <c r="K24" t="inlineStr">
        <is>
          <t>US Dollars</t>
        </is>
      </c>
      <c r="L24" t="inlineStr">
        <is>
          <t>Millions</t>
        </is>
      </c>
      <c r="M24" t="inlineStr">
        <is>
          <t>Current account balance</t>
        </is>
      </c>
      <c r="P24" t="n">
        <v>-76.0811155555555</v>
      </c>
      <c r="Q24" t="n">
        <v>-49.851557037037</v>
      </c>
      <c r="R24" t="n">
        <v>-86.94947518518519</v>
      </c>
      <c r="S24" t="n">
        <v>-129.885324814815</v>
      </c>
      <c r="T24" t="n">
        <v>-111.079073703704</v>
      </c>
      <c r="U24" t="n">
        <v>-78.6036796296296</v>
      </c>
      <c r="V24" t="n">
        <v>-70.5892925925926</v>
      </c>
      <c r="W24" t="n">
        <v>-84.23725</v>
      </c>
      <c r="X24" t="n">
        <v>-49.4000222222222</v>
      </c>
      <c r="Y24" t="n">
        <v>-36.2219</v>
      </c>
      <c r="Z24" t="n">
        <v>-40.9587</v>
      </c>
      <c r="AA24" t="n">
        <v>-50.9643</v>
      </c>
      <c r="AB24" t="n">
        <v>-66.3648</v>
      </c>
      <c r="AC24" t="n">
        <v>-224.1169</v>
      </c>
      <c r="AD24" t="n">
        <v>-191.4852</v>
      </c>
      <c r="AE24" t="n">
        <v>-164.4125</v>
      </c>
      <c r="AF24" t="n">
        <v>-150.0137</v>
      </c>
      <c r="AG24" t="n">
        <v>-132.8963</v>
      </c>
      <c r="AH24" t="n">
        <v>-99.9312</v>
      </c>
      <c r="AI24" t="n">
        <v>-72.7683</v>
      </c>
      <c r="AJ24" t="n">
        <v>-66.2473</v>
      </c>
      <c r="AK24" t="n">
        <v>-68.2694</v>
      </c>
      <c r="AL24" t="n">
        <v>-70.3755</v>
      </c>
      <c r="AM24" t="n">
        <v>-72.61360000000001</v>
      </c>
      <c r="AN24" t="n">
        <v>-74.9627</v>
      </c>
      <c r="AO24" t="n">
        <v>-77.4096</v>
      </c>
      <c r="AP24" t="n">
        <v>-79.95229999999999</v>
      </c>
      <c r="AQ24" t="n">
        <v>-82.5487</v>
      </c>
      <c r="AR24" t="n">
        <v>-85.22790000000001</v>
      </c>
      <c r="AS24" t="n">
        <v>-87.7033</v>
      </c>
      <c r="AT24" t="n">
        <v>-82.7817</v>
      </c>
      <c r="AU24" t="n">
        <v>-77.592</v>
      </c>
      <c r="AV24" t="n">
        <v>-72.1234</v>
      </c>
      <c r="AW24" t="n">
        <v>-66.3584</v>
      </c>
    </row>
    <row r="25">
      <c r="A25" t="inlineStr">
        <is>
          <t>no_year_in_pairs</t>
        </is>
      </c>
      <c r="C25" t="inlineStr">
        <is>
          <t>SM.19.158, Sup. 2</t>
        </is>
      </c>
      <c r="D25" t="inlineStr">
        <is>
          <t>Dominica</t>
        </is>
      </c>
      <c r="E25" t="inlineStr">
        <is>
          <t>DMA</t>
        </is>
      </c>
      <c r="G25" t="inlineStr">
        <is>
          <t>2018gn</t>
        </is>
      </c>
      <c r="H25" t="n">
        <v>2018</v>
      </c>
      <c r="I25" t="inlineStr">
        <is>
          <t>tb.x.gs</t>
        </is>
      </c>
      <c r="K25" t="inlineStr">
        <is>
          <t>US Dollars</t>
        </is>
      </c>
      <c r="L25" t="inlineStr">
        <is>
          <t>Millions</t>
        </is>
      </c>
      <c r="M25" t="inlineStr">
        <is>
          <t>Exports of goods and services</t>
        </is>
      </c>
      <c r="P25" t="n">
        <v>129.357542592593</v>
      </c>
      <c r="Q25" t="n">
        <v>144.430703333333</v>
      </c>
      <c r="R25" t="n">
        <v>147.844255185185</v>
      </c>
      <c r="S25" t="n">
        <v>156.733717037037</v>
      </c>
      <c r="T25" t="n">
        <v>147.949173703704</v>
      </c>
      <c r="U25" t="n">
        <v>175.645608518519</v>
      </c>
      <c r="V25" t="n">
        <v>188.272808518519</v>
      </c>
      <c r="W25" t="n">
        <v>158.361769259259</v>
      </c>
      <c r="X25" t="n">
        <v>193.466980740741</v>
      </c>
      <c r="Y25" t="n">
        <v>272.781599115018</v>
      </c>
      <c r="Z25" t="n">
        <v>255.90036710847</v>
      </c>
      <c r="AA25" t="n">
        <v>257.177702115651</v>
      </c>
      <c r="AB25" t="n">
        <v>213.188378870585</v>
      </c>
      <c r="AC25" t="n">
        <v>161.167550618847</v>
      </c>
      <c r="AD25" t="n">
        <v>227.19371987379</v>
      </c>
      <c r="AE25" t="n">
        <v>285.263147478233</v>
      </c>
      <c r="AF25" t="n">
        <v>309.138829417844</v>
      </c>
      <c r="AG25" t="n">
        <v>345.26089195085</v>
      </c>
      <c r="AH25" t="n">
        <v>365.284040571377</v>
      </c>
      <c r="AI25" t="n">
        <v>385.614547244987</v>
      </c>
      <c r="AJ25" t="n">
        <v>399.192608491606</v>
      </c>
      <c r="AK25" t="n">
        <v>413.249975300229</v>
      </c>
      <c r="AL25" t="n">
        <v>427.803567157197</v>
      </c>
      <c r="AM25" t="n">
        <v>442.870900806716</v>
      </c>
      <c r="AN25" t="n">
        <v>458.470111334064</v>
      </c>
      <c r="AO25" t="n">
        <v>474.619973993026</v>
      </c>
      <c r="AP25" t="n">
        <v>491.33992680385</v>
      </c>
      <c r="AQ25" t="n">
        <v>508.650093948896</v>
      </c>
      <c r="AR25" t="n">
        <v>526.571309994162</v>
      </c>
      <c r="AS25" t="n">
        <v>545.1251449658261</v>
      </c>
      <c r="AT25" t="n">
        <v>564.333930311989</v>
      </c>
      <c r="AU25" t="n">
        <v>584.220785780872</v>
      </c>
      <c r="AV25" t="n">
        <v>604.809647247807</v>
      </c>
      <c r="AW25" t="n">
        <v>626.1252955245251</v>
      </c>
    </row>
    <row r="26">
      <c r="A26" t="inlineStr">
        <is>
          <t>no_year_in_pairs</t>
        </is>
      </c>
      <c r="C26" t="inlineStr">
        <is>
          <t>SM.19.158, Sup. 2</t>
        </is>
      </c>
      <c r="D26" t="inlineStr">
        <is>
          <t>Dominica</t>
        </is>
      </c>
      <c r="E26" t="inlineStr">
        <is>
          <t>DMA</t>
        </is>
      </c>
      <c r="G26" t="inlineStr">
        <is>
          <t>2018gn</t>
        </is>
      </c>
      <c r="H26" t="n">
        <v>2018</v>
      </c>
      <c r="I26" t="inlineStr">
        <is>
          <t>tb.m.gs</t>
        </is>
      </c>
      <c r="K26" t="inlineStr">
        <is>
          <t>US Dollars</t>
        </is>
      </c>
      <c r="L26" t="inlineStr">
        <is>
          <t>Millions</t>
        </is>
      </c>
      <c r="M26" t="inlineStr">
        <is>
          <t>Imports of goods and services (use positive values)</t>
        </is>
      </c>
      <c r="P26" t="n">
        <v>196.125121111111</v>
      </c>
      <c r="Q26" t="n">
        <v>198.852566296296</v>
      </c>
      <c r="R26" t="n">
        <v>236.331767407407</v>
      </c>
      <c r="S26" t="n">
        <v>287.322125925926</v>
      </c>
      <c r="T26" t="n">
        <v>264.465896666667</v>
      </c>
      <c r="U26" t="n">
        <v>264.518701111111</v>
      </c>
      <c r="V26" t="n">
        <v>264.806942962963</v>
      </c>
      <c r="W26" t="n">
        <v>249.877325925926</v>
      </c>
      <c r="X26" t="n">
        <v>243.662774814815</v>
      </c>
      <c r="Y26" t="n">
        <v>338.666027326128</v>
      </c>
      <c r="Z26" t="n">
        <v>326.948762248441</v>
      </c>
      <c r="AA26" t="n">
        <v>329.324672755379</v>
      </c>
      <c r="AB26" t="n">
        <v>322.069276250701</v>
      </c>
      <c r="AC26" t="n">
        <v>437.156727409496</v>
      </c>
      <c r="AD26" t="n">
        <v>486.859186166709</v>
      </c>
      <c r="AE26" t="n">
        <v>490.093300781131</v>
      </c>
      <c r="AF26" t="n">
        <v>474.190424327359</v>
      </c>
      <c r="AG26" t="n">
        <v>468.7887938639061</v>
      </c>
      <c r="AH26" t="n">
        <v>450.467737040059</v>
      </c>
      <c r="AI26" t="n">
        <v>466.767689366171</v>
      </c>
      <c r="AJ26" t="n">
        <v>474.662994682618</v>
      </c>
      <c r="AK26" t="n">
        <v>491.575760733972</v>
      </c>
      <c r="AL26" t="n">
        <v>509.092351697307</v>
      </c>
      <c r="AM26" t="n">
        <v>527.234341376271</v>
      </c>
      <c r="AN26" t="n">
        <v>546.024166140784</v>
      </c>
      <c r="AO26" t="n">
        <v>565.4849857149121</v>
      </c>
      <c r="AP26" t="n">
        <v>585.640810589391</v>
      </c>
      <c r="AQ26" t="n">
        <v>606.516525477183</v>
      </c>
      <c r="AR26" t="n">
        <v>628.137934736979</v>
      </c>
      <c r="AS26" t="n">
        <v>650.024024793644</v>
      </c>
      <c r="AT26" t="n">
        <v>665.271875273699</v>
      </c>
      <c r="AU26" t="n">
        <v>680.950409146361</v>
      </c>
      <c r="AV26" t="n">
        <v>697.073258809781</v>
      </c>
      <c r="AW26" t="n">
        <v>713.654529364811</v>
      </c>
    </row>
    <row r="27">
      <c r="A27" t="inlineStr">
        <is>
          <t>no_year_in_pairs</t>
        </is>
      </c>
      <c r="C27" t="inlineStr">
        <is>
          <t>SM.19.158, Sup. 2</t>
        </is>
      </c>
      <c r="D27" t="inlineStr">
        <is>
          <t>Dominica</t>
        </is>
      </c>
      <c r="E27" t="inlineStr">
        <is>
          <t>DMA</t>
        </is>
      </c>
      <c r="G27" t="inlineStr">
        <is>
          <t>2018gn</t>
        </is>
      </c>
      <c r="H27" t="n">
        <v>2018</v>
      </c>
      <c r="I27" t="inlineStr">
        <is>
          <t>net.crt.trsfr.all</t>
        </is>
      </c>
      <c r="K27" t="inlineStr">
        <is>
          <t>US Dollars</t>
        </is>
      </c>
      <c r="L27" t="inlineStr">
        <is>
          <t>Millions</t>
        </is>
      </c>
      <c r="M27" t="inlineStr">
        <is>
          <t>Current transfers, net total</t>
        </is>
      </c>
      <c r="P27" t="n">
        <v>19.6659740740741</v>
      </c>
      <c r="Q27" t="n">
        <v>19.5746222222222</v>
      </c>
      <c r="R27" t="n">
        <v>21.1529037037037</v>
      </c>
      <c r="S27" t="n">
        <v>19.0391592592593</v>
      </c>
      <c r="T27" t="n">
        <v>19.091697037037</v>
      </c>
      <c r="U27" t="n">
        <v>19.7106051851852</v>
      </c>
      <c r="V27" t="n">
        <v>16.4926296296296</v>
      </c>
      <c r="W27" t="n">
        <v>16.8094333333333</v>
      </c>
      <c r="X27" t="n">
        <v>20.3030940740741</v>
      </c>
      <c r="Y27" t="n">
        <v>46.3112824059187</v>
      </c>
      <c r="Z27" t="n">
        <v>51.8686681434973</v>
      </c>
      <c r="AA27" t="n">
        <v>36.37876859121371</v>
      </c>
      <c r="AB27" t="n">
        <v>54.1312823823819</v>
      </c>
      <c r="AC27" t="n">
        <v>51.8172075113846</v>
      </c>
      <c r="AD27" t="n">
        <v>54.3695789227389</v>
      </c>
      <c r="AE27" t="n">
        <v>22.3955452336141</v>
      </c>
      <c r="AF27" t="n">
        <v>9.97331629301611</v>
      </c>
      <c r="AG27" t="n">
        <v>10.5053655231635</v>
      </c>
      <c r="AH27" t="n">
        <v>10.9319775714127</v>
      </c>
      <c r="AI27" t="n">
        <v>11.3222368905065</v>
      </c>
      <c r="AJ27" t="n">
        <v>11.692050755476</v>
      </c>
      <c r="AK27" t="n">
        <v>12.0743218279336</v>
      </c>
      <c r="AL27" t="n">
        <v>12.4694779028647</v>
      </c>
      <c r="AM27" t="n">
        <v>12.877961637529</v>
      </c>
      <c r="AN27" t="n">
        <v>13.3002310713208</v>
      </c>
      <c r="AO27" t="n">
        <v>13.7367601638851</v>
      </c>
      <c r="AP27" t="n">
        <v>14.188039352132</v>
      </c>
      <c r="AQ27" t="n">
        <v>14.6545761268132</v>
      </c>
      <c r="AR27" t="n">
        <v>15.1368956293516</v>
      </c>
      <c r="AS27" t="n">
        <v>15.4991985206694</v>
      </c>
      <c r="AT27" t="n">
        <v>15.9847372117736</v>
      </c>
      <c r="AU27" t="n">
        <v>16.4816926281894</v>
      </c>
      <c r="AV27" t="n">
        <v>16.9894550984803</v>
      </c>
      <c r="AW27" t="n">
        <v>17.5071935309655</v>
      </c>
    </row>
    <row r="28">
      <c r="A28" t="inlineStr">
        <is>
          <t>no_year_in_pairs</t>
        </is>
      </c>
      <c r="C28" t="inlineStr">
        <is>
          <t>SM.19.158, Sup. 2</t>
        </is>
      </c>
      <c r="D28" t="inlineStr">
        <is>
          <t>Dominica</t>
        </is>
      </c>
      <c r="E28" t="inlineStr">
        <is>
          <t>DMA</t>
        </is>
      </c>
      <c r="G28" t="inlineStr">
        <is>
          <t>2018gn</t>
        </is>
      </c>
      <c r="H28" t="n">
        <v>2018</v>
      </c>
      <c r="I28" t="inlineStr">
        <is>
          <t>net.crt.trsfr.off</t>
        </is>
      </c>
      <c r="K28" t="inlineStr">
        <is>
          <t>US Dollars</t>
        </is>
      </c>
      <c r="L28" t="inlineStr">
        <is>
          <t>Millions</t>
        </is>
      </c>
      <c r="M28" t="inlineStr">
        <is>
          <t>Current transfers, official</t>
        </is>
      </c>
      <c r="P28" t="n">
        <v>0.234696296296296</v>
      </c>
      <c r="Q28" t="n">
        <v>0.283103703703704</v>
      </c>
      <c r="R28" t="n">
        <v>-0.338074074074074</v>
      </c>
      <c r="S28" t="n">
        <v>-0.0583888888888887</v>
      </c>
      <c r="T28" t="n">
        <v>0.301585925925926</v>
      </c>
      <c r="U28" t="n">
        <v>0.6466548148148149</v>
      </c>
      <c r="V28" t="n">
        <v>-2.05263814814815</v>
      </c>
      <c r="W28" t="n">
        <v>0.411555555555556</v>
      </c>
      <c r="X28" t="n">
        <v>5.41194222222222</v>
      </c>
      <c r="Y28" t="n">
        <v>12.4968708181635</v>
      </c>
      <c r="Z28" t="n">
        <v>16.51111269</v>
      </c>
      <c r="AA28" t="n">
        <v>10.3578007459259</v>
      </c>
      <c r="AB28" t="n">
        <v>27.604418662963</v>
      </c>
      <c r="AC28" t="n">
        <v>21.8607917527323</v>
      </c>
      <c r="AD28" t="n">
        <v>25.6963532924745</v>
      </c>
      <c r="AE28" t="n">
        <v>1.67323284093426</v>
      </c>
      <c r="AF28" t="n">
        <v>1.74104227490741</v>
      </c>
      <c r="AG28" t="n">
        <v>1.80992730424796</v>
      </c>
      <c r="AH28" t="n">
        <v>1.87944379116096</v>
      </c>
      <c r="AI28" t="n">
        <v>1.95170570362212</v>
      </c>
      <c r="AJ28" t="n">
        <v>1.99073981769456</v>
      </c>
      <c r="AK28" t="n">
        <v>2.03055461404845</v>
      </c>
      <c r="AL28" t="n">
        <v>2.07116570632942</v>
      </c>
      <c r="AM28" t="n">
        <v>2.11258902045601</v>
      </c>
      <c r="AN28" t="n">
        <v>2.15484080086513</v>
      </c>
      <c r="AO28" t="n">
        <v>2.19793761688243</v>
      </c>
      <c r="AP28" t="n">
        <v>2.24189636922008</v>
      </c>
      <c r="AQ28" t="n">
        <v>2.28673429660448</v>
      </c>
      <c r="AR28" t="n">
        <v>2.33246898253657</v>
      </c>
      <c r="AS28" t="n">
        <v>2.24277561322174</v>
      </c>
      <c r="AT28" t="n">
        <v>2.26036257569306</v>
      </c>
      <c r="AU28" t="n">
        <v>2.27284756745519</v>
      </c>
      <c r="AV28" t="n">
        <v>2.27903780710221</v>
      </c>
      <c r="AW28" t="n">
        <v>2.27749850920176</v>
      </c>
    </row>
    <row r="29">
      <c r="A29" t="inlineStr">
        <is>
          <t>no_year_in_pairs</t>
        </is>
      </c>
      <c r="C29" t="inlineStr">
        <is>
          <t>SM.19.158, Sup. 2</t>
        </is>
      </c>
      <c r="D29" t="inlineStr">
        <is>
          <t>Dominica</t>
        </is>
      </c>
      <c r="E29" t="inlineStr">
        <is>
          <t>DMA</t>
        </is>
      </c>
      <c r="G29" t="inlineStr">
        <is>
          <t>2018gn</t>
        </is>
      </c>
      <c r="H29" t="n">
        <v>2018</v>
      </c>
    </row>
    <row r="30">
      <c r="A30" t="inlineStr">
        <is>
          <t>no_year_in_pairs</t>
        </is>
      </c>
      <c r="C30" t="inlineStr">
        <is>
          <t>SM.19.158, Sup. 2</t>
        </is>
      </c>
      <c r="D30" t="inlineStr">
        <is>
          <t>Dominica</t>
        </is>
      </c>
      <c r="E30" t="inlineStr">
        <is>
          <t>DMA</t>
        </is>
      </c>
      <c r="G30" t="inlineStr">
        <is>
          <t>2018gn</t>
        </is>
      </c>
      <c r="H30" t="n">
        <v>2018</v>
      </c>
      <c r="I30" t="inlineStr">
        <is>
          <t>net.fdi.exc.dbt.liab</t>
        </is>
      </c>
      <c r="K30" t="inlineStr">
        <is>
          <t>US Dollars</t>
        </is>
      </c>
      <c r="L30" t="inlineStr">
        <is>
          <t>Millions</t>
        </is>
      </c>
      <c r="M30" t="inlineStr">
        <is>
          <t>Net foreign direct investment, excluding debt-creating liabilities</t>
        </is>
      </c>
      <c r="P30" t="n">
        <v>-19.2355592592593</v>
      </c>
      <c r="Q30" t="n">
        <v>-25.9075259259259</v>
      </c>
      <c r="R30" t="n">
        <v>-40.4867748148148</v>
      </c>
      <c r="S30" t="n">
        <v>-56.548262962963</v>
      </c>
      <c r="T30" t="n">
        <v>-57.2355003703704</v>
      </c>
      <c r="U30" t="n">
        <v>-42.8602237037037</v>
      </c>
      <c r="V30" t="n">
        <v>-34.563342962963</v>
      </c>
      <c r="W30" t="n">
        <v>-58.5227703703704</v>
      </c>
      <c r="X30" t="n">
        <v>-23.3483366666667</v>
      </c>
      <c r="Y30" t="n">
        <v>-16.0742531735405</v>
      </c>
      <c r="Z30" t="n">
        <v>-22.5618487703704</v>
      </c>
      <c r="AA30" t="n">
        <v>-40.2799126775926</v>
      </c>
      <c r="AB30" t="n">
        <v>-24.0638334196949</v>
      </c>
      <c r="AC30" t="n">
        <v>-35.8233031481481</v>
      </c>
      <c r="AD30" t="n">
        <v>-36.8952001851852</v>
      </c>
      <c r="AE30" t="n">
        <v>-38.3271181481481</v>
      </c>
      <c r="AF30" t="n">
        <v>-37.2512007407407</v>
      </c>
      <c r="AG30" t="n">
        <v>-30.7139518518519</v>
      </c>
      <c r="AH30" t="n">
        <v>-31.9752954863534</v>
      </c>
      <c r="AI30" t="n">
        <v>-33.0985100128544</v>
      </c>
      <c r="AJ30" t="n">
        <v>-34.2668842557201</v>
      </c>
      <c r="AK30" t="n">
        <v>-35.4765024846098</v>
      </c>
      <c r="AL30" t="n">
        <v>-36.7288208967486</v>
      </c>
      <c r="AM30" t="n">
        <v>-38.0253436958637</v>
      </c>
      <c r="AN30" t="n">
        <v>-39.367635893918</v>
      </c>
      <c r="AO30" t="n">
        <v>-40.7573105093762</v>
      </c>
      <c r="AP30" t="n">
        <v>-42.1960397687223</v>
      </c>
      <c r="AQ30" t="n">
        <v>-43.6855551064592</v>
      </c>
      <c r="AR30" t="n">
        <v>-45.22765196575889</v>
      </c>
      <c r="AS30" t="n">
        <v>-46.824183397596</v>
      </c>
      <c r="AT30" t="n">
        <v>-47.6201945153551</v>
      </c>
      <c r="AU30" t="n">
        <v>-48.4297378221162</v>
      </c>
      <c r="AV30" t="n">
        <v>-49.2530433650921</v>
      </c>
      <c r="AW30" t="n">
        <v>-50.0903451022987</v>
      </c>
    </row>
    <row r="31">
      <c r="A31" t="inlineStr">
        <is>
          <t>no_year_in_pairs</t>
        </is>
      </c>
      <c r="C31" t="inlineStr">
        <is>
          <t>SM.19.158, Sup. 2</t>
        </is>
      </c>
      <c r="D31" t="inlineStr">
        <is>
          <t>Dominica</t>
        </is>
      </c>
      <c r="E31" t="inlineStr">
        <is>
          <t>DMA</t>
        </is>
      </c>
      <c r="G31" t="inlineStr">
        <is>
          <t>2018gn</t>
        </is>
      </c>
      <c r="H31" t="n">
        <v>2018</v>
      </c>
      <c r="I31" t="inlineStr">
        <is>
          <t>exc.fin</t>
        </is>
      </c>
      <c r="K31" t="inlineStr">
        <is>
          <t>US Dollars</t>
        </is>
      </c>
      <c r="L31" t="inlineStr">
        <is>
          <t>Millions</t>
        </is>
      </c>
      <c r="M31" t="inlineStr">
        <is>
          <t>Exceptional financing</t>
        </is>
      </c>
      <c r="P31" t="n">
        <v>1.22849667738655e-05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</row>
    <row r="32">
      <c r="A32" t="inlineStr">
        <is>
          <t>no_year_in_pairs</t>
        </is>
      </c>
      <c r="C32" t="inlineStr">
        <is>
          <t>SM.19.158, Sup. 2</t>
        </is>
      </c>
      <c r="D32" t="inlineStr">
        <is>
          <t>Dominica</t>
        </is>
      </c>
      <c r="E32" t="inlineStr">
        <is>
          <t>DMA</t>
        </is>
      </c>
      <c r="G32" t="inlineStr">
        <is>
          <t>2018gn</t>
        </is>
      </c>
      <c r="H32" t="n">
        <v>2018</v>
      </c>
      <c r="I32" t="inlineStr">
        <is>
          <t>grss.res</t>
        </is>
      </c>
      <c r="K32" t="inlineStr">
        <is>
          <t>US Dollars</t>
        </is>
      </c>
      <c r="L32" t="inlineStr">
        <is>
          <t>Millions</t>
        </is>
      </c>
      <c r="M32" t="inlineStr">
        <is>
          <t>Gross Reserves (Flow, negative = increase)</t>
        </is>
      </c>
      <c r="P32" t="n">
        <v>10.0489493893108</v>
      </c>
      <c r="Q32" t="n">
        <v>15.6670031632964</v>
      </c>
      <c r="R32" t="n">
        <v>-5.04176315996592</v>
      </c>
      <c r="S32" t="n">
        <v>-2.10980423199968</v>
      </c>
      <c r="T32" t="n">
        <v>1.3591853727442</v>
      </c>
      <c r="U32" t="n">
        <v>0.849051379785887</v>
      </c>
      <c r="V32" t="n">
        <v>5.29566451327796</v>
      </c>
      <c r="W32" t="n">
        <v>16.5995931845609</v>
      </c>
      <c r="X32" t="n">
        <v>-9.193493747036019</v>
      </c>
      <c r="Y32" t="n">
        <v>12.9172648401958</v>
      </c>
      <c r="Z32" t="n">
        <v>32.7097601018638</v>
      </c>
      <c r="AA32" t="n">
        <v>94.15270329287971</v>
      </c>
      <c r="AB32" t="n">
        <v>-10.8841906919413</v>
      </c>
      <c r="AC32" t="n">
        <v>-24.6730477903558</v>
      </c>
      <c r="AD32" t="n">
        <v>-8.545960799102179</v>
      </c>
      <c r="AE32" t="n">
        <v>-8.63874983219274</v>
      </c>
      <c r="AF32" t="n">
        <v>-3.50101247601703</v>
      </c>
      <c r="AG32" t="n">
        <v>3.60195125637489</v>
      </c>
      <c r="AH32" t="n">
        <v>4.00434072808603</v>
      </c>
      <c r="AI32" t="n">
        <v>4.10779529804651</v>
      </c>
      <c r="AJ32" t="n">
        <v>4.22544409249782</v>
      </c>
      <c r="AK32" t="n">
        <v>6.12009028735699</v>
      </c>
      <c r="AL32" t="n">
        <v>6.24249209310414</v>
      </c>
      <c r="AM32" t="n">
        <v>6.36734193496622</v>
      </c>
      <c r="AN32" t="n">
        <v>6.49468877366554</v>
      </c>
      <c r="AO32" t="n">
        <v>6.624582549138849</v>
      </c>
      <c r="AP32" t="n">
        <v>6.75707420012163</v>
      </c>
      <c r="AQ32" t="n">
        <v>6.89221568412406</v>
      </c>
      <c r="AR32" t="n">
        <v>7.03005999780655</v>
      </c>
      <c r="AS32" t="n">
        <v>7.17066119776268</v>
      </c>
      <c r="AT32" t="n">
        <v>7.31407442171793</v>
      </c>
      <c r="AU32" t="n">
        <v>7.46035591015229</v>
      </c>
      <c r="AV32" t="n">
        <v>7.60956302835533</v>
      </c>
      <c r="AW32" t="n">
        <v>7.76175428892244</v>
      </c>
    </row>
    <row r="33">
      <c r="A33" t="inlineStr">
        <is>
          <t>no_year_in_pairs</t>
        </is>
      </c>
      <c r="C33" t="inlineStr">
        <is>
          <t>SM.19.158, Sup. 2</t>
        </is>
      </c>
      <c r="D33" t="inlineStr">
        <is>
          <t>Dominica</t>
        </is>
      </c>
      <c r="E33" t="inlineStr">
        <is>
          <t>DMA</t>
        </is>
      </c>
      <c r="G33" t="inlineStr">
        <is>
          <t>2018gn</t>
        </is>
      </c>
      <c r="H33" t="n">
        <v>2018</v>
      </c>
      <c r="I33" t="inlineStr">
        <is>
          <t>fuel.cmdt.xprt.shr</t>
        </is>
      </c>
      <c r="M33" t="inlineStr">
        <is>
          <t>Share of commodity exports (fuel) (% of exports of G&amp;S)</t>
        </is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</row>
    <row r="34">
      <c r="A34" t="inlineStr">
        <is>
          <t>no_year_in_pairs</t>
        </is>
      </c>
      <c r="C34" t="inlineStr">
        <is>
          <t>SM.19.158, Sup. 2</t>
        </is>
      </c>
      <c r="D34" t="inlineStr">
        <is>
          <t>Dominica</t>
        </is>
      </c>
      <c r="E34" t="inlineStr">
        <is>
          <t>DMA</t>
        </is>
      </c>
      <c r="G34" t="inlineStr">
        <is>
          <t>2018gn</t>
        </is>
      </c>
      <c r="H34" t="n">
        <v>2018</v>
      </c>
      <c r="I34" t="inlineStr">
        <is>
          <t>non.fuel.cmdt.xprt.shr</t>
        </is>
      </c>
      <c r="M34" t="inlineStr">
        <is>
          <t>Share of commodity exports (non-fuel) (% of exports of G&amp;S)</t>
        </is>
      </c>
      <c r="P34" t="n">
        <v>0.3317087510237371</v>
      </c>
      <c r="Q34" t="n">
        <v>0.3064471448603124</v>
      </c>
      <c r="R34" t="n">
        <v>0.2639248906899627</v>
      </c>
      <c r="S34" t="n">
        <v>0.2800069590074922</v>
      </c>
      <c r="T34" t="n">
        <v>0.2488472386271365</v>
      </c>
      <c r="U34" t="n">
        <v>0.2210545804349136</v>
      </c>
      <c r="V34" t="n">
        <v>0.1778693370175951</v>
      </c>
      <c r="W34" t="n">
        <v>0.231694748940961</v>
      </c>
      <c r="X34" t="n">
        <v>0.1982664271193613</v>
      </c>
      <c r="Y34" t="n">
        <v>0.1411912239564677</v>
      </c>
      <c r="Z34" t="n">
        <v>0.1362895444122781</v>
      </c>
      <c r="AA34" t="n">
        <v>0.09886123446259737</v>
      </c>
      <c r="AB34" t="n">
        <v>0.102318450022693</v>
      </c>
      <c r="AC34" t="n">
        <v>0.140670637318601</v>
      </c>
      <c r="AD34" t="n">
        <v>0.1135120692377014</v>
      </c>
      <c r="AE34" t="n">
        <v>0.1019864193894711</v>
      </c>
      <c r="AF34" t="n">
        <v>0.1037208566547833</v>
      </c>
      <c r="AG34" t="n">
        <v>0.1035108020653131</v>
      </c>
      <c r="AH34" t="n">
        <v>0.1090658944740267</v>
      </c>
      <c r="AI34" t="n">
        <v>0.1131731285927104</v>
      </c>
      <c r="AJ34" t="n">
        <v>0.1130973020002925</v>
      </c>
      <c r="AK34" t="n">
        <v>0.1130240485092743</v>
      </c>
      <c r="AL34" t="n">
        <v>0.1129532812086108</v>
      </c>
      <c r="AM34" t="n">
        <v>0.1128849160957627</v>
      </c>
      <c r="AN34" t="n">
        <v>0.1128188719811765</v>
      </c>
      <c r="AO34" t="n">
        <v>0.1127550703957774</v>
      </c>
      <c r="AP34" t="n">
        <v>0.1126934355013919</v>
      </c>
      <c r="AQ34" t="n">
        <v>0.1126338940040146</v>
      </c>
      <c r="AR34" t="n">
        <v>0.1125763750698332</v>
      </c>
      <c r="AS34" t="n">
        <v>0.1125208102439341</v>
      </c>
      <c r="AT34" t="n">
        <v>0.1124671333716076</v>
      </c>
      <c r="AU34" t="n">
        <v>0.1124152805221749</v>
      </c>
      <c r="AV34" t="n">
        <v>0.1123651899152644</v>
      </c>
      <c r="AW34" t="n">
        <v>0.1123168018494591</v>
      </c>
    </row>
    <row r="35">
      <c r="A35" t="inlineStr">
        <is>
          <t>no_year_in_pairs</t>
        </is>
      </c>
      <c r="C35" t="inlineStr">
        <is>
          <t>SM.19.158, Sup. 2</t>
        </is>
      </c>
      <c r="D35" t="inlineStr">
        <is>
          <t>Dominica</t>
        </is>
      </c>
      <c r="E35" t="inlineStr">
        <is>
          <t>DMA</t>
        </is>
      </c>
      <c r="G35" t="inlineStr">
        <is>
          <t>2018gn</t>
        </is>
      </c>
      <c r="H35" t="n">
        <v>2018</v>
      </c>
      <c r="I35" t="inlineStr">
        <is>
          <t>fuel.cmdt.impt.shr</t>
        </is>
      </c>
      <c r="M35" t="inlineStr">
        <is>
          <t>Share of commodity imports (fuel) (% of imports of G&amp;S)</t>
        </is>
      </c>
      <c r="P35" t="n">
        <v>0.09835664125275057</v>
      </c>
      <c r="Q35" t="n">
        <v>0.1142474080401379</v>
      </c>
      <c r="R35" t="n">
        <v>0.1252735244890484</v>
      </c>
      <c r="S35" t="n">
        <v>0.1510665471432284</v>
      </c>
      <c r="T35" t="n">
        <v>0.1226901319675999</v>
      </c>
      <c r="U35" t="n">
        <v>0.1215386776833269</v>
      </c>
      <c r="V35" t="n">
        <v>0.156739088744884</v>
      </c>
      <c r="W35" t="n">
        <v>0.1651534870192155</v>
      </c>
      <c r="X35" t="n">
        <v>0.1656228627527613</v>
      </c>
      <c r="Y35" t="n">
        <v>0.1242650182291033</v>
      </c>
      <c r="Z35" t="n">
        <v>0.08983775083901563</v>
      </c>
      <c r="AA35" t="n">
        <v>0.08488432891021071</v>
      </c>
      <c r="AB35" t="n">
        <v>0.08639758082236332</v>
      </c>
      <c r="AC35" t="n">
        <v>0.08236684326754763</v>
      </c>
      <c r="AD35" t="n">
        <v>0.06410567929003624</v>
      </c>
      <c r="AE35" t="n">
        <v>0.06358020386322692</v>
      </c>
      <c r="AF35" t="n">
        <v>0.05824444403522741</v>
      </c>
      <c r="AG35" t="n">
        <v>0.05252608449372723</v>
      </c>
      <c r="AH35" t="n">
        <v>0.04923518144116232</v>
      </c>
      <c r="AI35" t="n">
        <v>0.04446361439377119</v>
      </c>
      <c r="AJ35" t="n">
        <v>0.04561473210796008</v>
      </c>
      <c r="AK35" t="n">
        <v>0.04594994518804696</v>
      </c>
      <c r="AL35" t="n">
        <v>0.04628751119388238</v>
      </c>
      <c r="AM35" t="n">
        <v>0.04662744860106683</v>
      </c>
      <c r="AN35" t="n">
        <v>0.04696976933385857</v>
      </c>
      <c r="AO35" t="n">
        <v>0.04731449370018692</v>
      </c>
      <c r="AP35" t="n">
        <v>0.04766162780158024</v>
      </c>
      <c r="AQ35" t="n">
        <v>0.04801119603050778</v>
      </c>
      <c r="AR35" t="n">
        <v>0.04836320822542415</v>
      </c>
      <c r="AS35" t="n">
        <v>0.04875572966704583</v>
      </c>
      <c r="AT35" t="n">
        <v>0.04969822291603271</v>
      </c>
      <c r="AU35" t="n">
        <v>0.05065350469527157</v>
      </c>
      <c r="AV35" t="n">
        <v>0.05162160387819541</v>
      </c>
      <c r="AW35" t="n">
        <v>0.05260255955692297</v>
      </c>
    </row>
    <row r="36">
      <c r="A36" t="inlineStr">
        <is>
          <t>no_year_in_pairs</t>
        </is>
      </c>
      <c r="C36" t="inlineStr">
        <is>
          <t>SM.19.158, Sup. 2</t>
        </is>
      </c>
      <c r="D36" t="inlineStr">
        <is>
          <t>Dominica</t>
        </is>
      </c>
      <c r="E36" t="inlineStr">
        <is>
          <t>DMA</t>
        </is>
      </c>
      <c r="G36" t="inlineStr">
        <is>
          <t>2018gn</t>
        </is>
      </c>
      <c r="H36" t="n">
        <v>2018</v>
      </c>
      <c r="I36" t="inlineStr">
        <is>
          <t>non.fuel.cmdt.impt.shr</t>
        </is>
      </c>
      <c r="M36" t="inlineStr">
        <is>
          <t>Share of commodity imports (non-fuel) (% of imports of G&amp;S)</t>
        </is>
      </c>
      <c r="P36" t="n">
        <v>0.6457187786888746</v>
      </c>
      <c r="Q36" t="n">
        <v>0.6243327563831496</v>
      </c>
      <c r="R36" t="n">
        <v>0.6039741267553794</v>
      </c>
      <c r="S36" t="n">
        <v>0.6054955714049881</v>
      </c>
      <c r="T36" t="n">
        <v>0.6268399513209806</v>
      </c>
      <c r="U36" t="n">
        <v>0.6229139126063296</v>
      </c>
      <c r="V36" t="n">
        <v>0.5945121491485577</v>
      </c>
      <c r="W36" t="n">
        <v>0.5684702031121109</v>
      </c>
      <c r="X36" t="n">
        <v>0.5675034310473523</v>
      </c>
      <c r="Y36" t="n">
        <v>0.4740962178413326</v>
      </c>
      <c r="Z36" t="n">
        <v>0.5076770994918562</v>
      </c>
      <c r="AA36" t="n">
        <v>0.4859393935943295</v>
      </c>
      <c r="AB36" t="n">
        <v>0.4540632478916551</v>
      </c>
      <c r="AC36" t="n">
        <v>0.5097143305024356</v>
      </c>
      <c r="AD36" t="n">
        <v>0.4651921771205262</v>
      </c>
      <c r="AE36" t="n">
        <v>0.4762473264676508</v>
      </c>
      <c r="AF36" t="n">
        <v>0.5070796648317224</v>
      </c>
      <c r="AG36" t="n">
        <v>0.4879226582374691</v>
      </c>
      <c r="AH36" t="n">
        <v>0.4750323538589259</v>
      </c>
      <c r="AI36" t="n">
        <v>0.4803849297497882</v>
      </c>
      <c r="AJ36" t="n">
        <v>0.4689463157299768</v>
      </c>
      <c r="AK36" t="n">
        <v>0.468796360049973</v>
      </c>
      <c r="AL36" t="n">
        <v>0.4686453498973928</v>
      </c>
      <c r="AM36" t="n">
        <v>0.4684932840239938</v>
      </c>
      <c r="AN36" t="n">
        <v>0.4683401471575914</v>
      </c>
      <c r="AO36" t="n">
        <v>0.4681859357350394</v>
      </c>
      <c r="AP36" t="n">
        <v>0.4680306476893449</v>
      </c>
      <c r="AQ36" t="n">
        <v>0.467874272437581</v>
      </c>
      <c r="AR36" t="n">
        <v>0.4677168005876145</v>
      </c>
      <c r="AS36" t="n">
        <v>0.4670690703225723</v>
      </c>
      <c r="AT36" t="n">
        <v>0.469773680207646</v>
      </c>
      <c r="AU36" t="n">
        <v>0.4725036870590404</v>
      </c>
      <c r="AV36" t="n">
        <v>0.4752580947473927</v>
      </c>
      <c r="AW36" t="n">
        <v>0.4780358902177512</v>
      </c>
    </row>
    <row r="37">
      <c r="A37" t="inlineStr">
        <is>
          <t>no_year_in_pairs</t>
        </is>
      </c>
      <c r="C37" t="inlineStr">
        <is>
          <t>SM.19.158, Sup. 2</t>
        </is>
      </c>
      <c r="D37" t="inlineStr">
        <is>
          <t>Dominica</t>
        </is>
      </c>
      <c r="E37" t="inlineStr">
        <is>
          <t>DMA</t>
        </is>
      </c>
      <c r="G37" t="inlineStr">
        <is>
          <t>2018gn</t>
        </is>
      </c>
      <c r="H37" t="n">
        <v>2018</v>
      </c>
      <c r="I37" t="inlineStr">
        <is>
          <t>fuel.cmdt.impt.shr.2xprt</t>
        </is>
      </c>
      <c r="M37" t="inlineStr">
        <is>
          <t>Share of commodity imports (fuel) (% of exports of G&amp;S)</t>
        </is>
      </c>
      <c r="P37" t="n">
        <v>0.1491231805363807</v>
      </c>
      <c r="Q37" t="n">
        <v>0.1572961271887565</v>
      </c>
      <c r="R37" t="n">
        <v>0.2002520383004956</v>
      </c>
      <c r="S37" t="n">
        <v>0.2769331468813742</v>
      </c>
      <c r="T37" t="n">
        <v>0.2193142073773587</v>
      </c>
      <c r="U37" t="n">
        <v>0.1830347677161879</v>
      </c>
      <c r="V37" t="n">
        <v>0.2204545587859051</v>
      </c>
      <c r="W37" t="n">
        <v>0.2605939040510617</v>
      </c>
      <c r="X37" t="n">
        <v>0.2085943873036974</v>
      </c>
      <c r="Y37" t="n">
        <v>0.1542785151043656</v>
      </c>
      <c r="Z37" t="n">
        <v>0.1147803802389614</v>
      </c>
      <c r="AA37" t="n">
        <v>0.1086972300104157</v>
      </c>
      <c r="AB37" t="n">
        <v>0.1305230917026751</v>
      </c>
      <c r="AC37" t="n">
        <v>0.2234148221005557</v>
      </c>
      <c r="AD37" t="n">
        <v>0.1373736864960397</v>
      </c>
      <c r="AE37" t="n">
        <v>0.1092332895122521</v>
      </c>
      <c r="AF37" t="n">
        <v>0.08934159996589994</v>
      </c>
      <c r="AG37" t="n">
        <v>0.07131893698436406</v>
      </c>
      <c r="AH37" t="n">
        <v>0.06071675272717895</v>
      </c>
      <c r="AI37" t="n">
        <v>0.05382104668956782</v>
      </c>
      <c r="AJ37" t="n">
        <v>0.05423854270704759</v>
      </c>
      <c r="AK37" t="n">
        <v>0.05465911823730479</v>
      </c>
      <c r="AL37" t="n">
        <v>0.05508279906242612</v>
      </c>
      <c r="AM37" t="n">
        <v>0.05550961263984359</v>
      </c>
      <c r="AN37" t="n">
        <v>0.0559395879912828</v>
      </c>
      <c r="AO37" t="n">
        <v>0.05637275559446144</v>
      </c>
      <c r="AP37" t="n">
        <v>0.05680913114734601</v>
      </c>
      <c r="AQ37" t="n">
        <v>0.05724875340994853</v>
      </c>
      <c r="AR37" t="n">
        <v>0.05769164623175008</v>
      </c>
      <c r="AS37" t="n">
        <v>0.058137834812061</v>
      </c>
      <c r="AT37" t="n">
        <v>0.05858735082407821</v>
      </c>
      <c r="AU37" t="n">
        <v>0.05904022175595727</v>
      </c>
      <c r="AV37" t="n">
        <v>0.05949647100390523</v>
      </c>
      <c r="AW37" t="n">
        <v>0.05995613841560545</v>
      </c>
    </row>
    <row r="38">
      <c r="A38" t="inlineStr">
        <is>
          <t>no_year_in_pairs</t>
        </is>
      </c>
      <c r="C38" t="inlineStr">
        <is>
          <t>SM.19.158, Sup. 2</t>
        </is>
      </c>
      <c r="D38" t="inlineStr">
        <is>
          <t>Dominica</t>
        </is>
      </c>
      <c r="E38" t="inlineStr">
        <is>
          <t>DMA</t>
        </is>
      </c>
      <c r="G38" t="inlineStr">
        <is>
          <t>2018gn</t>
        </is>
      </c>
      <c r="H38" t="n">
        <v>2018</v>
      </c>
      <c r="I38" t="inlineStr">
        <is>
          <t>non.fuel.cmdt.impt.shr.2xprt</t>
        </is>
      </c>
      <c r="M38" t="inlineStr">
        <is>
          <t>Share of commodity imports (non-fuel) (% of exports of G&amp;S)</t>
        </is>
      </c>
      <c r="P38" t="n">
        <v>0.9790049434761425</v>
      </c>
      <c r="Q38" t="n">
        <v>0.8595829554544377</v>
      </c>
      <c r="R38" t="n">
        <v>0.9654637758204043</v>
      </c>
      <c r="S38" t="n">
        <v>1.109986275471946</v>
      </c>
      <c r="T38" t="n">
        <v>1.120505006162415</v>
      </c>
      <c r="U38" t="n">
        <v>0.9380956373258476</v>
      </c>
      <c r="V38" t="n">
        <v>0.8361852463410049</v>
      </c>
      <c r="W38" t="n">
        <v>0.8969829958749159</v>
      </c>
      <c r="X38" t="n">
        <v>0.7147445016016962</v>
      </c>
      <c r="Y38" t="n">
        <v>0.5886037884797598</v>
      </c>
      <c r="Z38" t="n">
        <v>0.64862900032646</v>
      </c>
      <c r="AA38" t="n">
        <v>0.622261690877208</v>
      </c>
      <c r="AB38" t="n">
        <v>0.6859652594350942</v>
      </c>
      <c r="AC38" t="n">
        <v>1.382567692941719</v>
      </c>
      <c r="AD38" t="n">
        <v>0.9968721181634516</v>
      </c>
      <c r="AE38" t="n">
        <v>0.8182116276850304</v>
      </c>
      <c r="AF38" t="n">
        <v>0.7778133917603886</v>
      </c>
      <c r="AG38" t="n">
        <v>0.6624922769607381</v>
      </c>
      <c r="AH38" t="n">
        <v>0.5858091942065824</v>
      </c>
      <c r="AI38" t="n">
        <v>0.5814826366578523</v>
      </c>
      <c r="AJ38" t="n">
        <v>0.5576041686013629</v>
      </c>
      <c r="AK38" t="n">
        <v>0.5576501901868469</v>
      </c>
      <c r="AL38" t="n">
        <v>0.557694656163545</v>
      </c>
      <c r="AM38" t="n">
        <v>0.5577375880683531</v>
      </c>
      <c r="AN38" t="n">
        <v>0.5577790830854009</v>
      </c>
      <c r="AO38" t="n">
        <v>0.5578191641486663</v>
      </c>
      <c r="AP38" t="n">
        <v>0.5578578758629755</v>
      </c>
      <c r="AQ38" t="n">
        <v>0.5578952632760492</v>
      </c>
      <c r="AR38" t="n">
        <v>0.5579313942610143</v>
      </c>
      <c r="AS38" t="n">
        <v>0.5569475555319267</v>
      </c>
      <c r="AT38" t="n">
        <v>0.5537983814178755</v>
      </c>
      <c r="AU38" t="n">
        <v>0.5507362744650777</v>
      </c>
      <c r="AV38" t="n">
        <v>0.5477586384225684</v>
      </c>
      <c r="AW38" t="n">
        <v>0.5448629542542973</v>
      </c>
    </row>
    <row r="39">
      <c r="A39" t="inlineStr">
        <is>
          <t>no_year_in_pairs</t>
        </is>
      </c>
      <c r="C39" t="inlineStr">
        <is>
          <t>SM.19.158, Sup. 2</t>
        </is>
      </c>
      <c r="D39" t="inlineStr">
        <is>
          <t>Dominica</t>
        </is>
      </c>
      <c r="E39" t="inlineStr">
        <is>
          <t>DMA</t>
        </is>
      </c>
      <c r="G39" t="inlineStr">
        <is>
          <t>2018gn</t>
        </is>
      </c>
      <c r="H39" t="n">
        <v>2018</v>
      </c>
    </row>
    <row r="40">
      <c r="A40" t="inlineStr">
        <is>
          <t>no_year_in_pairs</t>
        </is>
      </c>
      <c r="C40" t="inlineStr">
        <is>
          <t>SM.19.158, Sup. 2</t>
        </is>
      </c>
      <c r="D40" t="inlineStr">
        <is>
          <t>Dominica</t>
        </is>
      </c>
      <c r="E40" t="inlineStr">
        <is>
          <t>DMA</t>
        </is>
      </c>
      <c r="G40" t="inlineStr">
        <is>
          <t>2018gn</t>
        </is>
      </c>
      <c r="H40" t="n">
        <v>2018</v>
      </c>
      <c r="I40" t="inlineStr">
        <is>
          <t>prm.bal</t>
        </is>
      </c>
      <c r="K40" t="inlineStr">
        <is>
          <t>National Currency</t>
        </is>
      </c>
      <c r="L40" t="inlineStr">
        <is>
          <t>Millions</t>
        </is>
      </c>
      <c r="M40" t="inlineStr">
        <is>
          <t>Public sector primary balance</t>
        </is>
      </c>
      <c r="P40" t="n">
        <v>58.10182303755562</v>
      </c>
      <c r="Q40" t="n">
        <v>60.64367551628703</v>
      </c>
      <c r="R40" t="n">
        <v>54.28947275846502</v>
      </c>
      <c r="S40" t="n">
        <v>43.06949501574809</v>
      </c>
      <c r="T40" t="n">
        <v>24.76067573424507</v>
      </c>
      <c r="U40" t="n">
        <v>-54.05878426000004</v>
      </c>
      <c r="V40" t="n">
        <v>-44.89678602000004</v>
      </c>
      <c r="W40" t="n">
        <v>-52.02872132303889</v>
      </c>
      <c r="X40" t="n">
        <v>113.194764415501</v>
      </c>
      <c r="Y40" t="n">
        <v>82.04649471603898</v>
      </c>
      <c r="Z40" t="n">
        <v>212.403750802275</v>
      </c>
      <c r="AA40" t="n">
        <v>248.7043512784621</v>
      </c>
      <c r="AB40" t="n">
        <v>32.57246928841403</v>
      </c>
      <c r="AC40" t="n">
        <v>-150.2153455255728</v>
      </c>
      <c r="AD40" t="n">
        <v>-137.7330628716397</v>
      </c>
      <c r="AE40" t="n">
        <v>-118.8771816069864</v>
      </c>
      <c r="AF40" t="n">
        <v>-20.09498235460228</v>
      </c>
      <c r="AG40" t="n">
        <v>-68.826512943701</v>
      </c>
      <c r="AH40" t="n">
        <v>3.481456214571722</v>
      </c>
      <c r="AI40" t="n">
        <v>2.325956051666026</v>
      </c>
      <c r="AJ40" t="n">
        <v>1.191990513857036</v>
      </c>
      <c r="AK40" t="n">
        <v>0.5989454018729248</v>
      </c>
      <c r="AL40" t="n">
        <v>-0.01382187869478457</v>
      </c>
      <c r="AM40" t="n">
        <v>-0.6492876431329933</v>
      </c>
      <c r="AN40" t="n">
        <v>-1.311692373061192</v>
      </c>
      <c r="AO40" t="n">
        <v>-2.00165512834451</v>
      </c>
      <c r="AP40" t="n">
        <v>-2.720313898628319</v>
      </c>
      <c r="AQ40" t="n">
        <v>-3.469960417512084</v>
      </c>
      <c r="AR40" t="n">
        <v>-4.252337010501833</v>
      </c>
      <c r="AS40" t="n">
        <v>-5.069262051940996</v>
      </c>
      <c r="AT40" t="n">
        <v>-5.930877094369407</v>
      </c>
      <c r="AU40" t="n">
        <v>-6.847566916451569</v>
      </c>
      <c r="AV40" t="n">
        <v>-61.04908552318466</v>
      </c>
      <c r="AW40" t="n">
        <v>-63.92907107965584</v>
      </c>
    </row>
    <row r="41">
      <c r="A41" t="inlineStr">
        <is>
          <t>no_year_in_pairs</t>
        </is>
      </c>
      <c r="C41" t="inlineStr">
        <is>
          <t>SM.19.158, Sup. 2</t>
        </is>
      </c>
      <c r="D41" t="inlineStr">
        <is>
          <t>Dominica</t>
        </is>
      </c>
      <c r="E41" t="inlineStr">
        <is>
          <t>DMA</t>
        </is>
      </c>
      <c r="G41" t="inlineStr">
        <is>
          <t>2018gn</t>
        </is>
      </c>
      <c r="H41" t="n">
        <v>2018</v>
      </c>
      <c r="I41" t="inlineStr">
        <is>
          <t>ovrl.bal.rev.all</t>
        </is>
      </c>
      <c r="K41" t="inlineStr">
        <is>
          <t>National Currency</t>
        </is>
      </c>
      <c r="L41" t="inlineStr">
        <is>
          <t>Millions</t>
        </is>
      </c>
      <c r="M41" t="inlineStr">
        <is>
          <t>Public sector revenues (including grants)</t>
        </is>
      </c>
      <c r="P41" t="n">
        <v>403.29014446244</v>
      </c>
      <c r="Q41" t="n">
        <v>442.634061478636</v>
      </c>
      <c r="R41" t="n">
        <v>524.691351310188</v>
      </c>
      <c r="S41" t="n">
        <v>560.089399711465</v>
      </c>
      <c r="T41" t="n">
        <v>584.475923284903</v>
      </c>
      <c r="U41" t="n">
        <v>598.4671832499999</v>
      </c>
      <c r="V41" t="n">
        <v>534.62272742</v>
      </c>
      <c r="W41" t="n">
        <v>530.372739976961</v>
      </c>
      <c r="X41" t="n">
        <v>547.512945243</v>
      </c>
      <c r="Y41" t="n">
        <v>516.706614832895</v>
      </c>
      <c r="Z41" t="n">
        <v>796.532424457679</v>
      </c>
      <c r="AA41" t="n">
        <v>1016.78174072116</v>
      </c>
      <c r="AB41" t="n">
        <v>910.814644170762</v>
      </c>
      <c r="AC41" t="n">
        <v>793.15204367764</v>
      </c>
      <c r="AD41" t="n">
        <v>819.5733068096631</v>
      </c>
      <c r="AE41" t="n">
        <v>794.593364700374</v>
      </c>
      <c r="AF41" t="n">
        <v>775.231515753444</v>
      </c>
      <c r="AG41" t="n">
        <v>765.2378184965461</v>
      </c>
      <c r="AH41" t="n">
        <v>770.533640082086</v>
      </c>
      <c r="AI41" t="n">
        <v>796.808258670147</v>
      </c>
      <c r="AJ41" t="n">
        <v>824.047940525642</v>
      </c>
      <c r="AK41" t="n">
        <v>852.8166626472221</v>
      </c>
      <c r="AL41" t="n">
        <v>882.5913020041689</v>
      </c>
      <c r="AM41" t="n">
        <v>913.40708459573</v>
      </c>
      <c r="AN41" t="n">
        <v>945.3004978840941</v>
      </c>
      <c r="AO41" t="n">
        <v>978.3092249852721</v>
      </c>
      <c r="AP41" t="n">
        <v>1012.47236150945</v>
      </c>
      <c r="AQ41" t="n">
        <v>1047.83029500184</v>
      </c>
      <c r="AR41" t="n">
        <v>1084.42493403027</v>
      </c>
      <c r="AS41" t="n">
        <v>1122.29954651159</v>
      </c>
      <c r="AT41" t="n">
        <v>1161.49896661454</v>
      </c>
      <c r="AU41" t="n">
        <v>1161.49896661454</v>
      </c>
      <c r="AV41" t="n">
        <v>1161.49896661454</v>
      </c>
      <c r="AW41" t="n">
        <v>1161.49896661454</v>
      </c>
    </row>
    <row r="42">
      <c r="A42" t="inlineStr">
        <is>
          <t>no_year_in_pairs</t>
        </is>
      </c>
      <c r="C42" t="inlineStr">
        <is>
          <t>SM.19.158, Sup. 2</t>
        </is>
      </c>
      <c r="D42" t="inlineStr">
        <is>
          <t>Dominica</t>
        </is>
      </c>
      <c r="E42" t="inlineStr">
        <is>
          <t>DMA</t>
        </is>
      </c>
      <c r="G42" t="inlineStr">
        <is>
          <t>2018gn</t>
        </is>
      </c>
      <c r="H42" t="n">
        <v>2018</v>
      </c>
      <c r="I42" t="inlineStr">
        <is>
          <t>ovrl.bal.rev.grt</t>
        </is>
      </c>
      <c r="K42" t="inlineStr">
        <is>
          <t>National Currency</t>
        </is>
      </c>
      <c r="L42" t="inlineStr">
        <is>
          <t>Millions</t>
        </is>
      </c>
      <c r="M42" t="inlineStr">
        <is>
          <t>Public sector grants</t>
        </is>
      </c>
      <c r="P42" t="n">
        <v>60.31242482</v>
      </c>
      <c r="Q42" t="n">
        <v>66.73337863</v>
      </c>
      <c r="R42" t="n">
        <v>107.824112857</v>
      </c>
      <c r="S42" t="n">
        <v>113.81943866</v>
      </c>
      <c r="T42" t="n">
        <v>114.14025421</v>
      </c>
      <c r="U42" t="n">
        <v>126.85867312</v>
      </c>
      <c r="V42" t="n">
        <v>64.05162593</v>
      </c>
      <c r="W42" t="n">
        <v>35.855471576961</v>
      </c>
      <c r="X42" t="n">
        <v>43.949264</v>
      </c>
      <c r="Y42" t="n">
        <v>28.7</v>
      </c>
      <c r="Z42" t="n">
        <v>30.94431532</v>
      </c>
      <c r="AA42" t="n">
        <v>15.05420126</v>
      </c>
      <c r="AB42" t="n">
        <v>65.505583</v>
      </c>
      <c r="AC42" t="n">
        <v>22.563776</v>
      </c>
      <c r="AD42" t="n">
        <v>31.42327392</v>
      </c>
      <c r="AE42" t="n">
        <v>51.4920836249514</v>
      </c>
      <c r="AF42" t="n">
        <v>54.506218040063</v>
      </c>
      <c r="AG42" t="n">
        <v>57.1474072259379</v>
      </c>
      <c r="AH42" t="n">
        <v>59.3211647224803</v>
      </c>
      <c r="AI42" t="n">
        <v>61.4101744053728</v>
      </c>
      <c r="AJ42" t="n">
        <v>63.5779480900936</v>
      </c>
      <c r="AK42" t="n">
        <v>65.82224512940751</v>
      </c>
      <c r="AL42" t="n">
        <v>68.1457642195287</v>
      </c>
      <c r="AM42" t="n">
        <v>70.5513032519915</v>
      </c>
      <c r="AN42" t="n">
        <v>73.04175931365059</v>
      </c>
      <c r="AO42" t="n">
        <v>75.62012576917151</v>
      </c>
      <c r="AP42" t="n">
        <v>78.28950976608721</v>
      </c>
      <c r="AQ42" t="n">
        <v>81.05312056476041</v>
      </c>
      <c r="AR42" t="n">
        <v>83.9142899609493</v>
      </c>
      <c r="AS42" t="n">
        <v>86.87645843350511</v>
      </c>
      <c r="AT42" t="n">
        <v>89.94319124264621</v>
      </c>
      <c r="AU42" t="n">
        <v>93.11817950202381</v>
      </c>
      <c r="AV42" t="n">
        <v>96.4052446213385</v>
      </c>
      <c r="AW42" t="n">
        <v>99.80834290578119</v>
      </c>
    </row>
    <row r="43">
      <c r="A43" t="inlineStr">
        <is>
          <t>no_year_in_pairs</t>
        </is>
      </c>
      <c r="C43" t="inlineStr">
        <is>
          <t>SM.19.158, Sup. 2</t>
        </is>
      </c>
      <c r="D43" t="inlineStr">
        <is>
          <t>Dominica</t>
        </is>
      </c>
      <c r="E43" t="inlineStr">
        <is>
          <t>DMA</t>
        </is>
      </c>
      <c r="G43" t="inlineStr">
        <is>
          <t>2018gn</t>
        </is>
      </c>
      <c r="H43" t="n">
        <v>2018</v>
      </c>
      <c r="I43" t="inlineStr">
        <is>
          <t>ovrl.bal.rev.prvtz</t>
        </is>
      </c>
      <c r="K43" t="inlineStr">
        <is>
          <t>National Currency</t>
        </is>
      </c>
      <c r="L43" t="inlineStr">
        <is>
          <t>Millions</t>
        </is>
      </c>
      <c r="M43" t="inlineStr">
        <is>
          <t>Privatization receipts</t>
        </is>
      </c>
      <c r="P43" t="n">
        <v>1.47730807</v>
      </c>
      <c r="Q43" t="n">
        <v>0.88891924</v>
      </c>
      <c r="R43" t="n">
        <v>0.82958212</v>
      </c>
      <c r="S43" t="n">
        <v>0.34192579</v>
      </c>
      <c r="T43" t="n">
        <v>1.05990213</v>
      </c>
      <c r="U43" t="n">
        <v>1.82339195</v>
      </c>
      <c r="V43" t="n">
        <v>2.358</v>
      </c>
      <c r="W43" t="n">
        <v>2.408513</v>
      </c>
      <c r="X43" t="n">
        <v>0.340448</v>
      </c>
      <c r="Y43" t="n">
        <v>0.17526301</v>
      </c>
      <c r="Z43" t="n">
        <v>0.131244</v>
      </c>
      <c r="AA43" t="n">
        <v>0.07219</v>
      </c>
      <c r="AB43" t="n">
        <v>0.132733</v>
      </c>
      <c r="AC43" t="n">
        <v>0.141617306909878</v>
      </c>
      <c r="AD43" t="n">
        <v>0.154282406647032</v>
      </c>
      <c r="AE43" t="n">
        <v>0.164166567821901</v>
      </c>
      <c r="AF43" t="n">
        <v>0.173776202294781</v>
      </c>
      <c r="AG43" t="n">
        <v>0.182196816359877</v>
      </c>
      <c r="AH43" t="n">
        <v>0.189127169190105</v>
      </c>
      <c r="AI43" t="n">
        <v>0.195787329852569</v>
      </c>
      <c r="AJ43" t="n">
        <v>0.202698605151259</v>
      </c>
      <c r="AK43" t="n">
        <v>0.209853851476123</v>
      </c>
      <c r="AL43" t="n">
        <v>0.217261672784582</v>
      </c>
      <c r="AM43" t="n">
        <v>0.224930989287627</v>
      </c>
      <c r="AN43" t="n">
        <v>0.232871037449821</v>
      </c>
      <c r="AO43" t="n">
        <v>0.241091360687719</v>
      </c>
      <c r="AP43" t="n">
        <v>0.249601865179327</v>
      </c>
      <c r="AQ43" t="n">
        <v>0.258412782657793</v>
      </c>
      <c r="AR43" t="n">
        <v>0.2675347355224419</v>
      </c>
      <c r="AS43" t="n">
        <v>0.276978692674995</v>
      </c>
      <c r="AT43" t="n">
        <v>0.286756020843933</v>
      </c>
      <c r="AU43" t="n">
        <v>0.296878488002443</v>
      </c>
      <c r="AV43" t="n">
        <v>0.307358277532333</v>
      </c>
      <c r="AW43" t="n">
        <v>0.318208002887919</v>
      </c>
    </row>
    <row r="44">
      <c r="A44" t="inlineStr">
        <is>
          <t>no_year_in_pairs</t>
        </is>
      </c>
      <c r="C44" t="inlineStr">
        <is>
          <t>SM.19.158, Sup. 2</t>
        </is>
      </c>
      <c r="D44" t="inlineStr">
        <is>
          <t>Dominica</t>
        </is>
      </c>
      <c r="E44" t="inlineStr">
        <is>
          <t>DMA</t>
        </is>
      </c>
      <c r="G44" t="inlineStr">
        <is>
          <t>2018gn</t>
        </is>
      </c>
      <c r="H44" t="n">
        <v>2018</v>
      </c>
      <c r="I44" t="inlineStr">
        <is>
          <t>ovrl.bal.prm.exp</t>
        </is>
      </c>
      <c r="K44" t="inlineStr">
        <is>
          <t>National Currency</t>
        </is>
      </c>
      <c r="L44" t="inlineStr">
        <is>
          <t>Millions</t>
        </is>
      </c>
      <c r="M44" t="inlineStr">
        <is>
          <t xml:space="preserve">Public sector PRIMARY expenditure </t>
        </is>
      </c>
      <c r="P44" t="n">
        <v>345.1883214248844</v>
      </c>
      <c r="Q44" t="n">
        <v>381.990385962349</v>
      </c>
      <c r="R44" t="n">
        <v>470.401878551723</v>
      </c>
      <c r="S44" t="n">
        <v>517.0199046957169</v>
      </c>
      <c r="T44" t="n">
        <v>559.715247550658</v>
      </c>
      <c r="U44" t="n">
        <v>652.52596751</v>
      </c>
      <c r="V44" t="n">
        <v>579.5195134400001</v>
      </c>
      <c r="W44" t="n">
        <v>582.4014612999999</v>
      </c>
      <c r="X44" t="n">
        <v>434.318180827499</v>
      </c>
      <c r="Y44" t="n">
        <v>434.660120116856</v>
      </c>
      <c r="Z44" t="n">
        <v>584.128673655404</v>
      </c>
      <c r="AA44" t="n">
        <v>768.0773894426979</v>
      </c>
      <c r="AB44" t="n">
        <v>878.242174882348</v>
      </c>
      <c r="AC44" t="n">
        <v>943.3673892032128</v>
      </c>
      <c r="AD44" t="n">
        <v>957.3063696813028</v>
      </c>
      <c r="AE44" t="n">
        <v>913.4705463073603</v>
      </c>
      <c r="AF44" t="n">
        <v>795.3264981080463</v>
      </c>
      <c r="AG44" t="n">
        <v>834.0643314402471</v>
      </c>
      <c r="AH44" t="n">
        <v>767.0521838675143</v>
      </c>
      <c r="AI44" t="n">
        <v>794.482302618481</v>
      </c>
      <c r="AJ44" t="n">
        <v>822.855950011785</v>
      </c>
      <c r="AK44" t="n">
        <v>852.2177172453491</v>
      </c>
      <c r="AL44" t="n">
        <v>882.6051238828637</v>
      </c>
      <c r="AM44" t="n">
        <v>914.056372238863</v>
      </c>
      <c r="AN44" t="n">
        <v>946.6121902571552</v>
      </c>
      <c r="AO44" t="n">
        <v>980.3108801136166</v>
      </c>
      <c r="AP44" t="n">
        <v>1015.192675408078</v>
      </c>
      <c r="AQ44" t="n">
        <v>1051.300255419352</v>
      </c>
      <c r="AR44" t="n">
        <v>1088.677271040772</v>
      </c>
      <c r="AS44" t="n">
        <v>1127.368808563531</v>
      </c>
      <c r="AT44" t="n">
        <v>1167.429843708909</v>
      </c>
      <c r="AU44" t="n">
        <v>1168.346533530992</v>
      </c>
      <c r="AV44" t="n">
        <v>1222.548052137725</v>
      </c>
      <c r="AW44" t="n">
        <v>1225.428037694196</v>
      </c>
    </row>
    <row r="45">
      <c r="A45" t="inlineStr">
        <is>
          <t>no_year_in_pairs</t>
        </is>
      </c>
      <c r="C45" t="inlineStr">
        <is>
          <t>SM.19.158, Sup. 2</t>
        </is>
      </c>
      <c r="D45" t="inlineStr">
        <is>
          <t>Dominica</t>
        </is>
      </c>
      <c r="E45" t="inlineStr">
        <is>
          <t>DMA</t>
        </is>
      </c>
      <c r="G45" t="inlineStr">
        <is>
          <t>2018gn</t>
        </is>
      </c>
      <c r="H45" t="n">
        <v>2018</v>
      </c>
      <c r="I45" t="inlineStr">
        <is>
          <t>ovrl.bal.int.exp</t>
        </is>
      </c>
      <c r="K45" t="inlineStr">
        <is>
          <t>National Currency</t>
        </is>
      </c>
      <c r="L45" t="inlineStr">
        <is>
          <t>Millions</t>
        </is>
      </c>
      <c r="M45" t="inlineStr">
        <is>
          <t xml:space="preserve">Public sector interest expenditure </t>
        </is>
      </c>
      <c r="P45" t="n">
        <v>27.22134723810012</v>
      </c>
      <c r="Q45" t="n">
        <v>17.45191358000001</v>
      </c>
      <c r="R45" t="n">
        <v>15.56408263510457</v>
      </c>
      <c r="S45" t="n">
        <v>12.88550000000001</v>
      </c>
      <c r="T45" t="n">
        <v>17.62919999999999</v>
      </c>
      <c r="U45" t="n">
        <v>11.6411793</v>
      </c>
      <c r="V45" t="n">
        <v>11.71146100000001</v>
      </c>
      <c r="W45" t="n">
        <v>40.93955242670467</v>
      </c>
      <c r="X45" t="n">
        <v>17.30661194827784</v>
      </c>
      <c r="Y45" t="n">
        <v>26.10355144477655</v>
      </c>
      <c r="Z45" t="n">
        <v>20.14291214118806</v>
      </c>
      <c r="AA45" t="n">
        <v>24.36860118867195</v>
      </c>
      <c r="AB45" t="n">
        <v>21.06447427262605</v>
      </c>
      <c r="AC45" t="n">
        <v>13.99832963944705</v>
      </c>
      <c r="AD45" t="n">
        <v>24.28720660866288</v>
      </c>
      <c r="AE45" t="n">
        <v>36.88412866924808</v>
      </c>
      <c r="AF45" t="n">
        <v>44.68177991183568</v>
      </c>
      <c r="AG45" t="n">
        <v>40.98159871974516</v>
      </c>
      <c r="AH45" t="n">
        <v>53.63894589888951</v>
      </c>
      <c r="AI45" t="n">
        <v>54.22531939834434</v>
      </c>
      <c r="AJ45" t="n">
        <v>58.67842500106813</v>
      </c>
      <c r="AK45" t="n">
        <v>61.24837051356429</v>
      </c>
      <c r="AL45" t="n">
        <v>63.77504633815602</v>
      </c>
      <c r="AM45" t="n">
        <v>65.90245525577672</v>
      </c>
      <c r="AN45" t="n">
        <v>67.50590127711904</v>
      </c>
      <c r="AO45" t="n">
        <v>67.2620370075015</v>
      </c>
      <c r="AP45" t="n">
        <v>63.33800478698188</v>
      </c>
      <c r="AQ45" t="n">
        <v>64.36015150554158</v>
      </c>
      <c r="AR45" t="n">
        <v>72.11197511115479</v>
      </c>
      <c r="AS45" t="n">
        <v>75.6617965781647</v>
      </c>
      <c r="AT45" t="n">
        <v>74.77773681188143</v>
      </c>
      <c r="AU45" t="n">
        <v>87.88703486938651</v>
      </c>
      <c r="AV45" t="n">
        <v>75.38763573622379</v>
      </c>
      <c r="AW45" t="n">
        <v>77.04168376395442</v>
      </c>
    </row>
    <row r="46">
      <c r="A46" t="inlineStr">
        <is>
          <t>no_year_in_pairs</t>
        </is>
      </c>
      <c r="C46" t="inlineStr">
        <is>
          <t>SM.19.158, Sup. 2</t>
        </is>
      </c>
      <c r="D46" t="inlineStr">
        <is>
          <t>Dominica</t>
        </is>
      </c>
      <c r="E46" t="inlineStr">
        <is>
          <t>DMA</t>
        </is>
      </c>
      <c r="G46" t="inlineStr">
        <is>
          <t>2018gn</t>
        </is>
      </c>
      <c r="H46" t="n">
        <v>2018</v>
      </c>
      <c r="I46" t="inlineStr">
        <is>
          <t>pub.sec.asset</t>
        </is>
      </c>
      <c r="K46" t="inlineStr">
        <is>
          <t>National Currency</t>
        </is>
      </c>
      <c r="L46" t="inlineStr">
        <is>
          <t>Millions</t>
        </is>
      </c>
      <c r="M46" t="inlineStr">
        <is>
          <t>Public Sector Assets (e.g. Deposits)</t>
        </is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57.3645</v>
      </c>
      <c r="Z46" t="n">
        <v>166.81725</v>
      </c>
      <c r="AA46" t="n">
        <v>216.73725</v>
      </c>
      <c r="AB46" t="n">
        <v>187.647</v>
      </c>
      <c r="AC46" t="n">
        <v>45.2152784502691</v>
      </c>
      <c r="AD46" t="n">
        <v>40.47080962994399</v>
      </c>
      <c r="AE46" t="n">
        <v>59.09849396516596</v>
      </c>
      <c r="AF46" t="n">
        <v>72.14297367769773</v>
      </c>
      <c r="AG46" t="n">
        <v>86.2586200271211</v>
      </c>
      <c r="AH46" t="n">
        <v>87.62046873168273</v>
      </c>
      <c r="AI46" t="n">
        <v>88.4277492967786</v>
      </c>
      <c r="AJ46" t="n">
        <v>90.51408115786789</v>
      </c>
      <c r="AK46" t="n">
        <v>91.00772036229125</v>
      </c>
      <c r="AL46" t="n">
        <v>89.89062486759251</v>
      </c>
      <c r="AM46" t="n">
        <v>87.55041447813737</v>
      </c>
      <c r="AN46" t="n">
        <v>84.57644896282549</v>
      </c>
      <c r="AO46" t="n">
        <v>82.88020223072645</v>
      </c>
      <c r="AP46" t="n">
        <v>77.23037891558548</v>
      </c>
      <c r="AQ46" t="n">
        <v>71.98779518275158</v>
      </c>
      <c r="AR46" t="n">
        <v>61.36094724866387</v>
      </c>
      <c r="AS46" t="n">
        <v>48.97584438758138</v>
      </c>
      <c r="AT46" t="n">
        <v>39.47604202100952</v>
      </c>
      <c r="AU46" t="n">
        <v>19.92253693590395</v>
      </c>
      <c r="AV46" t="n">
        <v>15.18403045270948</v>
      </c>
      <c r="AW46" t="n">
        <v>14.52947164133112</v>
      </c>
    </row>
    <row r="47">
      <c r="A47" t="inlineStr">
        <is>
          <t>no_year_in_pairs</t>
        </is>
      </c>
      <c r="C47" t="inlineStr">
        <is>
          <t>SM.19.158, Sup. 2</t>
        </is>
      </c>
      <c r="D47" t="inlineStr">
        <is>
          <t>Dominica</t>
        </is>
      </c>
      <c r="E47" t="inlineStr">
        <is>
          <t>DMA</t>
        </is>
      </c>
      <c r="G47" t="inlineStr">
        <is>
          <t>2018gn</t>
        </is>
      </c>
      <c r="H47" t="n">
        <v>2018</v>
      </c>
      <c r="I47" t="inlineStr">
        <is>
          <t>recog.conting.liab</t>
        </is>
      </c>
      <c r="K47" t="inlineStr">
        <is>
          <t>National Currency</t>
        </is>
      </c>
      <c r="L47" t="inlineStr">
        <is>
          <t>Millions</t>
        </is>
      </c>
      <c r="M47" t="inlineStr">
        <is>
          <t>Recognition of contingent liabilities (e.g., bank recapitalization)</t>
        </is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</row>
    <row r="48">
      <c r="A48" t="inlineStr">
        <is>
          <t>no_year_in_pairs</t>
        </is>
      </c>
      <c r="C48" t="inlineStr">
        <is>
          <t>SM.19.158, Sup. 2</t>
        </is>
      </c>
      <c r="D48" t="inlineStr">
        <is>
          <t>Dominica</t>
        </is>
      </c>
      <c r="E48" t="inlineStr">
        <is>
          <t>DMA</t>
        </is>
      </c>
      <c r="G48" t="inlineStr">
        <is>
          <t>2018gn</t>
        </is>
      </c>
      <c r="H48" t="n">
        <v>2018</v>
      </c>
      <c r="I48" t="inlineStr">
        <is>
          <t>oth.dbt.crtg.flw</t>
        </is>
      </c>
      <c r="K48" t="inlineStr">
        <is>
          <t>National Currency</t>
        </is>
      </c>
      <c r="L48" t="inlineStr">
        <is>
          <t>Millions</t>
        </is>
      </c>
      <c r="M48" t="inlineStr">
        <is>
          <t>Other debt creating or reducing flow (please specify)</t>
        </is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</row>
    <row r="49">
      <c r="A49" t="inlineStr">
        <is>
          <t>no_year_in_pairs</t>
        </is>
      </c>
      <c r="C49" t="inlineStr">
        <is>
          <t>SM.19.158, Sup. 2</t>
        </is>
      </c>
      <c r="D49" t="inlineStr">
        <is>
          <t>Dominica</t>
        </is>
      </c>
      <c r="E49" t="inlineStr">
        <is>
          <t>DMA</t>
        </is>
      </c>
      <c r="G49" t="inlineStr">
        <is>
          <t>2018gn</t>
        </is>
      </c>
      <c r="H49" t="n">
        <v>2018</v>
      </c>
      <c r="I49" t="inlineStr">
        <is>
          <t>dbt.rlf</t>
        </is>
      </c>
      <c r="K49" t="inlineStr">
        <is>
          <t>National Currency</t>
        </is>
      </c>
      <c r="L49" t="inlineStr">
        <is>
          <t>Millions</t>
        </is>
      </c>
      <c r="M49" t="inlineStr">
        <is>
          <t>Debt relief</t>
        </is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</row>
    <row r="50">
      <c r="A50" t="inlineStr">
        <is>
          <t>no_year_in_pairs</t>
        </is>
      </c>
      <c r="C50" t="inlineStr">
        <is>
          <t>SM.19.158, Sup. 2</t>
        </is>
      </c>
      <c r="D50" t="inlineStr">
        <is>
          <t>Dominica</t>
        </is>
      </c>
      <c r="E50" t="inlineStr">
        <is>
          <t>DMA</t>
        </is>
      </c>
      <c r="G50" t="inlineStr">
        <is>
          <t>2018gn</t>
        </is>
      </c>
      <c r="H50" t="n">
        <v>2018</v>
      </c>
      <c r="I50" t="inlineStr">
        <is>
          <t>css.loan</t>
        </is>
      </c>
      <c r="K50" t="inlineStr">
        <is>
          <t>US Dollars</t>
        </is>
      </c>
      <c r="L50" t="inlineStr">
        <is>
          <t>Millions</t>
        </is>
      </c>
      <c r="M50" t="inlineStr">
        <is>
          <t>Concessional loans</t>
        </is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15</v>
      </c>
      <c r="AD50" t="n">
        <v>33</v>
      </c>
      <c r="AE50" t="n">
        <v>32</v>
      </c>
      <c r="AF50" t="n">
        <v>33</v>
      </c>
      <c r="AG50" t="n">
        <v>19</v>
      </c>
      <c r="AH50" t="n">
        <v>21.52</v>
      </c>
      <c r="AI50" t="n">
        <v>21.9256796871657</v>
      </c>
      <c r="AJ50" t="n">
        <v>22.6996542264938</v>
      </c>
      <c r="AK50" t="n">
        <v>23.5009504039322</v>
      </c>
      <c r="AL50" t="n">
        <v>24.3305317527934</v>
      </c>
      <c r="AM50" t="n">
        <v>25.1893972227495</v>
      </c>
      <c r="AN50" t="n">
        <v>26.078581179832</v>
      </c>
      <c r="AO50" t="n">
        <v>26.9991523647746</v>
      </c>
      <c r="AP50" t="n">
        <v>27.9522201429585</v>
      </c>
      <c r="AQ50" t="n">
        <v>28.9389303377825</v>
      </c>
      <c r="AR50" t="n">
        <v>29.9604725222658</v>
      </c>
      <c r="AS50" t="n">
        <v>31.018075073269</v>
      </c>
      <c r="AT50" t="n">
        <v>32.113010919168</v>
      </c>
      <c r="AU50" t="n">
        <v>33.2465979226196</v>
      </c>
      <c r="AV50" t="n">
        <v>33.6794597259981</v>
      </c>
      <c r="AW50" t="n">
        <v>34.8944903565267</v>
      </c>
    </row>
    <row r="51">
      <c r="A51" t="inlineStr">
        <is>
          <t>no_year_in_pairs</t>
        </is>
      </c>
      <c r="C51" t="inlineStr">
        <is>
          <t>SM.19.158, Sup. 2</t>
        </is>
      </c>
      <c r="D51" t="inlineStr">
        <is>
          <t>Dominica</t>
        </is>
      </c>
      <c r="E51" t="inlineStr">
        <is>
          <t>DMA</t>
        </is>
      </c>
      <c r="G51" t="inlineStr">
        <is>
          <t>2018gn</t>
        </is>
      </c>
      <c r="H51" t="n">
        <v>2018</v>
      </c>
    </row>
    <row r="52">
      <c r="A52" t="inlineStr">
        <is>
          <t>no_year_in_pairs</t>
        </is>
      </c>
      <c r="C52" t="inlineStr">
        <is>
          <t>SM.19.158, Sup. 2</t>
        </is>
      </c>
      <c r="D52" t="inlineStr">
        <is>
          <t>Dominica</t>
        </is>
      </c>
      <c r="E52" t="inlineStr">
        <is>
          <t>DMA</t>
        </is>
      </c>
      <c r="G52" t="inlineStr">
        <is>
          <t>2018gn</t>
        </is>
      </c>
      <c r="H52" t="n">
        <v>2018</v>
      </c>
      <c r="I52" t="inlineStr">
        <is>
          <t>gdp.crt.usd</t>
        </is>
      </c>
      <c r="K52" t="inlineStr">
        <is>
          <t>US Dollars</t>
        </is>
      </c>
      <c r="L52" t="inlineStr">
        <is>
          <t>Millions</t>
        </is>
      </c>
      <c r="M52" t="inlineStr">
        <is>
          <t>Gross domestic product, current prices, U.S. dollars</t>
        </is>
      </c>
      <c r="P52" t="n">
        <v>377.25262962963</v>
      </c>
      <c r="Q52" t="n">
        <v>405.813</v>
      </c>
      <c r="R52" t="n">
        <v>439.783037037037</v>
      </c>
      <c r="S52" t="n">
        <v>473.632259259259</v>
      </c>
      <c r="T52" t="n">
        <v>491.44937037037</v>
      </c>
      <c r="U52" t="n">
        <v>497.424851851852</v>
      </c>
      <c r="V52" t="n">
        <v>493.511666666667</v>
      </c>
      <c r="W52" t="n">
        <v>493.9886296296301</v>
      </c>
      <c r="X52" t="n">
        <v>512.8228148148149</v>
      </c>
      <c r="Y52" t="n">
        <v>532.2485185185179</v>
      </c>
      <c r="Z52" t="n">
        <v>558.1494444444439</v>
      </c>
      <c r="AA52" t="n">
        <v>549.506888888889</v>
      </c>
      <c r="AB52" t="n">
        <v>528.516592592593</v>
      </c>
      <c r="AC52" t="n">
        <v>563.892148148148</v>
      </c>
      <c r="AD52" t="n">
        <v>614.3220740740741</v>
      </c>
      <c r="AE52" t="n">
        <v>653.6788518518521</v>
      </c>
      <c r="AF52" t="n">
        <v>691.942518518518</v>
      </c>
      <c r="AG52" t="n">
        <v>725.471740740741</v>
      </c>
      <c r="AH52" t="n">
        <v>753.067037037037</v>
      </c>
      <c r="AI52" t="n">
        <v>779.586481481481</v>
      </c>
      <c r="AJ52" t="n">
        <v>807.1058148148151</v>
      </c>
      <c r="AK52" t="n">
        <v>835.596592592593</v>
      </c>
      <c r="AL52" t="n">
        <v>865.093074074074</v>
      </c>
      <c r="AM52" t="n">
        <v>895.630777777778</v>
      </c>
      <c r="AN52" t="n">
        <v>927.2464814814821</v>
      </c>
      <c r="AO52" t="n">
        <v>959.978185185185</v>
      </c>
      <c r="AP52" t="n">
        <v>993.8653333333331</v>
      </c>
      <c r="AQ52" t="n">
        <v>1028.94866666667</v>
      </c>
      <c r="AR52" t="n">
        <v>1065.27048148148</v>
      </c>
      <c r="AS52" t="n">
        <v>1102.87445377818</v>
      </c>
      <c r="AT52" t="n">
        <v>1141.80584362476</v>
      </c>
      <c r="AU52" t="n">
        <v>1182.11150876641</v>
      </c>
      <c r="AV52" t="n">
        <v>1223.83996102338</v>
      </c>
      <c r="AW52" t="n">
        <v>1267.04142467974</v>
      </c>
    </row>
    <row r="53">
      <c r="A53" t="inlineStr">
        <is>
          <t>no_year_in_pairs</t>
        </is>
      </c>
      <c r="C53" t="inlineStr">
        <is>
          <t>SM.19.158, Sup. 2</t>
        </is>
      </c>
      <c r="D53" t="inlineStr">
        <is>
          <t>Dominica</t>
        </is>
      </c>
      <c r="E53" t="inlineStr">
        <is>
          <t>DMA</t>
        </is>
      </c>
      <c r="G53" t="inlineStr">
        <is>
          <t>2018gn</t>
        </is>
      </c>
      <c r="H53" t="n">
        <v>2018</v>
      </c>
      <c r="I53" t="inlineStr">
        <is>
          <t>gdp.cst.lcu</t>
        </is>
      </c>
      <c r="K53" t="inlineStr">
        <is>
          <t>National Currency</t>
        </is>
      </c>
      <c r="L53" t="inlineStr">
        <is>
          <t>Millions</t>
        </is>
      </c>
      <c r="M53" t="inlineStr">
        <is>
          <t>Gross domestic product, constant prices</t>
        </is>
      </c>
      <c r="P53" t="n">
        <v>1006.7723</v>
      </c>
      <c r="Q53" t="n">
        <v>1053.6754</v>
      </c>
      <c r="R53" t="n">
        <v>1120.6234</v>
      </c>
      <c r="S53" t="n">
        <v>1200.4201</v>
      </c>
      <c r="T53" t="n">
        <v>1186.3781</v>
      </c>
      <c r="U53" t="n">
        <v>1194.357</v>
      </c>
      <c r="V53" t="n">
        <v>1191.6855</v>
      </c>
      <c r="W53" t="n">
        <v>1179.0681</v>
      </c>
      <c r="X53" t="n">
        <v>1171.903</v>
      </c>
      <c r="Y53" t="n">
        <v>1223.3366</v>
      </c>
      <c r="Z53" t="n">
        <v>1192.1354</v>
      </c>
      <c r="AA53" t="n">
        <v>1222.2016</v>
      </c>
      <c r="AB53" t="n">
        <v>1105.7208</v>
      </c>
      <c r="AC53" t="n">
        <v>1111.6114</v>
      </c>
      <c r="AD53" t="n">
        <v>1218.7342</v>
      </c>
      <c r="AE53" t="n">
        <v>1278.4688</v>
      </c>
      <c r="AF53" t="n">
        <v>1331.3321</v>
      </c>
      <c r="AG53" t="n">
        <v>1378.6617</v>
      </c>
      <c r="AH53" t="n">
        <v>1407.1371</v>
      </c>
      <c r="AI53" t="n">
        <v>1428.0064</v>
      </c>
      <c r="AJ53" t="n">
        <v>1449.4265</v>
      </c>
      <c r="AK53" t="n">
        <v>1471.1679</v>
      </c>
      <c r="AL53" t="n">
        <v>1493.2354</v>
      </c>
      <c r="AM53" t="n">
        <v>1515.6339</v>
      </c>
      <c r="AN53" t="n">
        <v>1538.3684</v>
      </c>
      <c r="AO53" t="n">
        <v>1561.444</v>
      </c>
      <c r="AP53" t="n">
        <v>1584.8656</v>
      </c>
      <c r="AQ53" t="n">
        <v>1608.6386</v>
      </c>
      <c r="AR53" t="n">
        <v>1632.7682</v>
      </c>
      <c r="AS53" t="n">
        <v>1657.2597</v>
      </c>
      <c r="AT53" t="n">
        <v>1682.1186</v>
      </c>
      <c r="AU53" t="n">
        <v>1707.3504</v>
      </c>
      <c r="AV53" t="n">
        <v>1732.9606</v>
      </c>
      <c r="AW53" t="n">
        <v>1758.9551</v>
      </c>
    </row>
    <row r="54">
      <c r="A54" t="inlineStr">
        <is>
          <t>no_year_in_pairs</t>
        </is>
      </c>
      <c r="C54" t="inlineStr">
        <is>
          <t>SM.19.158, Sup. 2</t>
        </is>
      </c>
      <c r="D54" t="inlineStr">
        <is>
          <t>Dominica</t>
        </is>
      </c>
      <c r="E54" t="inlineStr">
        <is>
          <t>DMA</t>
        </is>
      </c>
      <c r="G54" t="inlineStr">
        <is>
          <t>2018gn</t>
        </is>
      </c>
      <c r="H54" t="n">
        <v>2018</v>
      </c>
      <c r="I54" t="inlineStr">
        <is>
          <t>gdp.def</t>
        </is>
      </c>
      <c r="L54" t="inlineStr">
        <is>
          <t>None</t>
        </is>
      </c>
      <c r="M54" t="inlineStr">
        <is>
          <t>US Gross domestic product deflator</t>
        </is>
      </c>
      <c r="P54" t="n">
        <v>87.42064137361039</v>
      </c>
      <c r="Q54" t="n">
        <v>90.06633742441279</v>
      </c>
      <c r="R54" t="n">
        <v>92.4859329228003</v>
      </c>
      <c r="S54" t="n">
        <v>94.2847255710228</v>
      </c>
      <c r="T54" t="n">
        <v>95.0035587890583</v>
      </c>
      <c r="U54" t="n">
        <v>96.1105857841173</v>
      </c>
      <c r="V54" t="n">
        <v>98.1182935701919</v>
      </c>
      <c r="W54" t="n">
        <v>100.000308699142</v>
      </c>
      <c r="X54" t="n">
        <v>101.754734281579</v>
      </c>
      <c r="Y54" t="n">
        <v>103.680067693009</v>
      </c>
      <c r="Z54" t="n">
        <v>104.78886848693</v>
      </c>
      <c r="AA54" t="n">
        <v>105.934300534566</v>
      </c>
      <c r="AB54" t="n">
        <v>107.948168215083</v>
      </c>
      <c r="AC54" t="n">
        <v>110.378727497755</v>
      </c>
      <c r="AD54" t="n">
        <v>112.364944293115</v>
      </c>
      <c r="AE54" t="n">
        <v>114.658370911831</v>
      </c>
      <c r="AF54" t="n">
        <v>117.348960375953</v>
      </c>
      <c r="AG54" t="n">
        <v>120.124266555206</v>
      </c>
      <c r="AH54" t="n">
        <v>122.896391805879</v>
      </c>
      <c r="AI54" t="n">
        <v>125.660383860827</v>
      </c>
      <c r="AJ54" t="n">
        <v>128.173591538044</v>
      </c>
      <c r="AK54" t="n">
        <v>130.737063368804</v>
      </c>
      <c r="AL54" t="n">
        <v>133.351804636181</v>
      </c>
      <c r="AM54" t="n">
        <v>136.018840728904</v>
      </c>
      <c r="AN54" t="n">
        <v>138.739217543482</v>
      </c>
      <c r="AO54" t="n">
        <v>141.514001894352</v>
      </c>
      <c r="AP54" t="n">
        <v>144.344281932239</v>
      </c>
      <c r="AQ54" t="n">
        <v>147.231167570884</v>
      </c>
      <c r="AR54" t="n">
        <v>150.175790922301</v>
      </c>
      <c r="AS54" t="n">
        <v>153.179306740747</v>
      </c>
      <c r="AT54" t="n">
        <v>156.242892875562</v>
      </c>
      <c r="AU54" t="n">
        <v>159.367750733074</v>
      </c>
      <c r="AV54" t="n">
        <v>162.555105747735</v>
      </c>
      <c r="AW54" t="n">
        <v>165.80620786269</v>
      </c>
    </row>
    <row r="55">
      <c r="A55" t="inlineStr">
        <is>
          <t>no_year_in_pairs</t>
        </is>
      </c>
      <c r="C55" t="inlineStr">
        <is>
          <t>SM.19.158, Sup. 2</t>
        </is>
      </c>
      <c r="D55" t="inlineStr">
        <is>
          <t>Dominica</t>
        </is>
      </c>
      <c r="E55" t="inlineStr">
        <is>
          <t>DMA</t>
        </is>
      </c>
      <c r="G55" t="inlineStr">
        <is>
          <t>2018gn</t>
        </is>
      </c>
      <c r="H55" t="n">
        <v>2018</v>
      </c>
      <c r="I55" t="inlineStr">
        <is>
          <t>exc.rat.eop.lcu2usd</t>
        </is>
      </c>
      <c r="K55" t="inlineStr">
        <is>
          <t>National Currency</t>
        </is>
      </c>
      <c r="L55" t="inlineStr">
        <is>
          <t>None</t>
        </is>
      </c>
      <c r="M55" t="inlineStr">
        <is>
          <t>Exchange rate, national currency per U.S. Dollar, end of period</t>
        </is>
      </c>
      <c r="P55" t="n">
        <v>2.7</v>
      </c>
      <c r="Q55" t="n">
        <v>2.7</v>
      </c>
      <c r="R55" t="n">
        <v>2.7</v>
      </c>
      <c r="S55" t="n">
        <v>2.7</v>
      </c>
      <c r="T55" t="n">
        <v>2.7</v>
      </c>
      <c r="U55" t="n">
        <v>2.7</v>
      </c>
      <c r="V55" t="n">
        <v>2.7</v>
      </c>
      <c r="W55" t="n">
        <v>2.7</v>
      </c>
      <c r="X55" t="n">
        <v>2.7</v>
      </c>
      <c r="Y55" t="n">
        <v>2.7</v>
      </c>
      <c r="Z55" t="n">
        <v>2.7</v>
      </c>
      <c r="AA55" t="n">
        <v>2.7</v>
      </c>
      <c r="AB55" t="n">
        <v>2.7</v>
      </c>
      <c r="AC55" t="n">
        <v>2.7</v>
      </c>
      <c r="AD55" t="n">
        <v>2.7</v>
      </c>
      <c r="AE55" t="n">
        <v>2.7</v>
      </c>
      <c r="AF55" t="n">
        <v>2.7</v>
      </c>
      <c r="AG55" t="n">
        <v>2.7</v>
      </c>
      <c r="AH55" t="n">
        <v>2.7</v>
      </c>
      <c r="AI55" t="n">
        <v>2.7</v>
      </c>
      <c r="AJ55" t="n">
        <v>2.7</v>
      </c>
      <c r="AK55" t="n">
        <v>2.7</v>
      </c>
      <c r="AL55" t="n">
        <v>2.7</v>
      </c>
      <c r="AM55" t="n">
        <v>2.7</v>
      </c>
      <c r="AN55" t="n">
        <v>2.7</v>
      </c>
      <c r="AO55" t="n">
        <v>2.7</v>
      </c>
      <c r="AP55" t="n">
        <v>2.7</v>
      </c>
      <c r="AQ55" t="n">
        <v>2.7</v>
      </c>
      <c r="AR55" t="n">
        <v>2.7</v>
      </c>
      <c r="AS55" t="n">
        <v>2.7</v>
      </c>
      <c r="AT55" t="n">
        <v>2.7</v>
      </c>
      <c r="AU55" t="n">
        <v>2.7</v>
      </c>
      <c r="AV55" t="n">
        <v>2.7</v>
      </c>
      <c r="AW55" t="n">
        <v>2.7</v>
      </c>
    </row>
    <row r="56">
      <c r="A56" t="inlineStr">
        <is>
          <t>no_year_in_pairs</t>
        </is>
      </c>
      <c r="C56" t="inlineStr">
        <is>
          <t>SM.19.158, Sup. 2</t>
        </is>
      </c>
      <c r="D56" t="inlineStr">
        <is>
          <t>Dominica</t>
        </is>
      </c>
      <c r="E56" t="inlineStr">
        <is>
          <t>DMA</t>
        </is>
      </c>
      <c r="G56" t="inlineStr">
        <is>
          <t>2018gn</t>
        </is>
      </c>
      <c r="H56" t="n">
        <v>2018</v>
      </c>
      <c r="I56" t="inlineStr">
        <is>
          <t>exc.rat.avg.lcu2usd</t>
        </is>
      </c>
      <c r="K56" t="inlineStr">
        <is>
          <t>National Currency</t>
        </is>
      </c>
      <c r="L56" t="inlineStr">
        <is>
          <t>None</t>
        </is>
      </c>
      <c r="M56" t="inlineStr">
        <is>
          <t>Exchange rate, national currency per U.S. Dollar, average</t>
        </is>
      </c>
      <c r="P56" t="n">
        <v>2.7</v>
      </c>
      <c r="Q56" t="n">
        <v>2.7</v>
      </c>
      <c r="R56" t="n">
        <v>2.7</v>
      </c>
      <c r="S56" t="n">
        <v>2.7</v>
      </c>
      <c r="T56" t="n">
        <v>2.7</v>
      </c>
      <c r="U56" t="n">
        <v>2.7</v>
      </c>
      <c r="V56" t="n">
        <v>2.7</v>
      </c>
      <c r="W56" t="n">
        <v>2.7</v>
      </c>
      <c r="X56" t="n">
        <v>2.7</v>
      </c>
      <c r="Y56" t="n">
        <v>2.7</v>
      </c>
      <c r="Z56" t="n">
        <v>2.7</v>
      </c>
      <c r="AA56" t="n">
        <v>2.7</v>
      </c>
      <c r="AB56" t="n">
        <v>2.7</v>
      </c>
      <c r="AC56" t="n">
        <v>2.7</v>
      </c>
      <c r="AD56" t="n">
        <v>2.7</v>
      </c>
      <c r="AE56" t="n">
        <v>2.7</v>
      </c>
      <c r="AF56" t="n">
        <v>2.7</v>
      </c>
      <c r="AG56" t="n">
        <v>2.7</v>
      </c>
      <c r="AH56" t="n">
        <v>2.7</v>
      </c>
      <c r="AI56" t="n">
        <v>2.7</v>
      </c>
      <c r="AJ56" t="n">
        <v>2.7</v>
      </c>
      <c r="AK56" t="n">
        <v>2.7</v>
      </c>
      <c r="AL56" t="n">
        <v>2.7</v>
      </c>
      <c r="AM56" t="n">
        <v>2.7</v>
      </c>
      <c r="AN56" t="n">
        <v>2.7</v>
      </c>
      <c r="AO56" t="n">
        <v>2.7</v>
      </c>
      <c r="AP56" t="n">
        <v>2.7</v>
      </c>
      <c r="AQ56" t="n">
        <v>2.7</v>
      </c>
      <c r="AR56" t="n">
        <v>2.7</v>
      </c>
      <c r="AS56" t="n">
        <v>2.7</v>
      </c>
      <c r="AT56" t="n">
        <v>2.7</v>
      </c>
      <c r="AU56" t="n">
        <v>2.7</v>
      </c>
      <c r="AV56" t="n">
        <v>2.7</v>
      </c>
      <c r="AW56" t="n">
        <v>2.7</v>
      </c>
    </row>
    <row r="57">
      <c r="A57" t="inlineStr">
        <is>
          <t>no_year_in_pairs</t>
        </is>
      </c>
      <c r="C57" t="inlineStr">
        <is>
          <t>SM.19.158, Sup. 2</t>
        </is>
      </c>
      <c r="D57" t="inlineStr">
        <is>
          <t>Dominica</t>
        </is>
      </c>
      <c r="E57" t="inlineStr">
        <is>
          <t>DMA</t>
        </is>
      </c>
      <c r="G57" t="inlineStr">
        <is>
          <t>2018gn</t>
        </is>
      </c>
      <c r="H57" t="n">
        <v>2018</v>
      </c>
      <c r="I57" t="inlineStr">
        <is>
          <t>pub.inv.cst.prc</t>
        </is>
      </c>
      <c r="K57" t="inlineStr">
        <is>
          <t>National Currency</t>
        </is>
      </c>
      <c r="L57" t="inlineStr">
        <is>
          <t>Millions</t>
        </is>
      </c>
      <c r="M57" t="inlineStr">
        <is>
          <t>Public Investment, constant prices</t>
        </is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49.27575161167905</v>
      </c>
      <c r="AA57" t="n">
        <v>150.3876029123199</v>
      </c>
      <c r="AB57" t="n">
        <v>235.838903606968</v>
      </c>
      <c r="AC57" t="n">
        <v>270.4860110720602</v>
      </c>
      <c r="AD57" t="n">
        <v>256.4523150822793</v>
      </c>
      <c r="AE57" t="n">
        <v>230.2353904681597</v>
      </c>
      <c r="AF57" t="n">
        <v>175.7877122354666</v>
      </c>
      <c r="AG57" t="n">
        <v>131.2802780804596</v>
      </c>
      <c r="AH57" t="n">
        <v>95.02926318486531</v>
      </c>
      <c r="AI57" t="n">
        <v>61.53003380790829</v>
      </c>
      <c r="AJ57" t="n">
        <v>62.45047512381068</v>
      </c>
      <c r="AK57" t="n">
        <v>63.38723287274044</v>
      </c>
      <c r="AL57" t="n">
        <v>64.33804092840714</v>
      </c>
      <c r="AM57" t="n">
        <v>65.30310984719729</v>
      </c>
      <c r="AN57" t="n">
        <v>66.28265653231668</v>
      </c>
      <c r="AO57" t="n">
        <v>67.27689961554401</v>
      </c>
      <c r="AP57" t="n">
        <v>68.28605010401952</v>
      </c>
      <c r="AQ57" t="n">
        <v>69.310340791665</v>
      </c>
      <c r="AR57" t="n">
        <v>70.34999656592022</v>
      </c>
      <c r="AS57" t="n">
        <v>71.41305524363226</v>
      </c>
      <c r="AT57" t="n">
        <v>72.49916564436172</v>
      </c>
      <c r="AU57" t="n">
        <v>73.60184447691068</v>
      </c>
      <c r="AV57" t="n">
        <v>74.83330504774577</v>
      </c>
      <c r="AW57" t="n">
        <v>76.12013212914442</v>
      </c>
    </row>
    <row r="58">
      <c r="A58" t="inlineStr">
        <is>
          <t>no_year_in_pairs</t>
        </is>
      </c>
      <c r="C58" t="inlineStr">
        <is>
          <t>SM.19.158, Sup. 2</t>
        </is>
      </c>
      <c r="D58" t="inlineStr">
        <is>
          <t>Dominica</t>
        </is>
      </c>
      <c r="E58" t="inlineStr">
        <is>
          <t>DMA</t>
        </is>
      </c>
      <c r="G58" t="inlineStr">
        <is>
          <t>2018gn</t>
        </is>
      </c>
      <c r="H58" t="n">
        <v>2018</v>
      </c>
      <c r="I58" t="inlineStr">
        <is>
          <t>prv.inv.cst.prc</t>
        </is>
      </c>
      <c r="K58" t="inlineStr">
        <is>
          <t>National Currency</t>
        </is>
      </c>
      <c r="L58" t="inlineStr">
        <is>
          <t>Millions</t>
        </is>
      </c>
      <c r="M58" t="inlineStr">
        <is>
          <t>Private Investment, constant price</t>
        </is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95.37083199999999</v>
      </c>
      <c r="AA58" t="n">
        <v>85.55411200000002</v>
      </c>
      <c r="AB58" t="n">
        <v>66.343248</v>
      </c>
      <c r="AC58" t="n">
        <v>83.37085499999999</v>
      </c>
      <c r="AD58" t="n">
        <v>79.21772300000001</v>
      </c>
      <c r="AE58" t="n">
        <v>63.92344000000001</v>
      </c>
      <c r="AF58" t="n">
        <v>39.939963</v>
      </c>
      <c r="AG58" t="n">
        <v>24.81591060000001</v>
      </c>
      <c r="AH58" t="n">
        <v>28.142742</v>
      </c>
      <c r="AI58" t="n">
        <v>35.70016</v>
      </c>
      <c r="AJ58" t="n">
        <v>36.2356625</v>
      </c>
      <c r="AK58" t="n">
        <v>36.7791975</v>
      </c>
      <c r="AL58" t="n">
        <v>37.330885</v>
      </c>
      <c r="AM58" t="n">
        <v>37.8908475</v>
      </c>
      <c r="AN58" t="n">
        <v>38.45921000000001</v>
      </c>
      <c r="AO58" t="n">
        <v>39.0361</v>
      </c>
      <c r="AP58" t="n">
        <v>39.62164000000001</v>
      </c>
      <c r="AQ58" t="n">
        <v>40.215965</v>
      </c>
      <c r="AR58" t="n">
        <v>40.819205</v>
      </c>
      <c r="AS58" t="n">
        <v>41.4314925</v>
      </c>
      <c r="AT58" t="n">
        <v>42.052965</v>
      </c>
      <c r="AU58" t="n">
        <v>42.68376000000001</v>
      </c>
      <c r="AV58" t="n">
        <v>38.5178875</v>
      </c>
      <c r="AW58" t="n">
        <v>38.5178875</v>
      </c>
    </row>
    <row r="59">
      <c r="A59" t="inlineStr">
        <is>
          <t>no_year_in_pairs</t>
        </is>
      </c>
      <c r="C59" t="inlineStr">
        <is>
          <t>SM.19.158, Sup. 2</t>
        </is>
      </c>
      <c r="D59" t="inlineStr">
        <is>
          <t>Dominica</t>
        </is>
      </c>
      <c r="E59" t="inlineStr">
        <is>
          <t>DMA</t>
        </is>
      </c>
      <c r="G59" t="inlineStr">
        <is>
          <t>2018gn</t>
        </is>
      </c>
      <c r="H59" t="n">
        <v>2018</v>
      </c>
      <c r="I59" t="inlineStr">
        <is>
          <t>pub.inv.2gdp.vtg-1</t>
        </is>
      </c>
      <c r="K59" t="inlineStr">
        <is>
          <t>Percent of GDP</t>
        </is>
      </c>
      <c r="L59" t="inlineStr">
        <is>
          <t>Unit</t>
        </is>
      </c>
      <c r="M59" t="inlineStr">
        <is>
          <t>Public Investment in percent of GDP (real), previous DSA vintage</t>
        </is>
      </c>
      <c r="P59" t="n">
        <v>8.85748794931648</v>
      </c>
      <c r="Q59" t="n">
        <v>8.972570416637071</v>
      </c>
      <c r="R59" t="n">
        <v>10.8242135604904</v>
      </c>
      <c r="S59" t="n">
        <v>12.7608482542157</v>
      </c>
      <c r="T59" t="n">
        <v>13.8065079246998</v>
      </c>
      <c r="U59" t="n">
        <v>12.1771620736815</v>
      </c>
      <c r="V59" t="n">
        <v>6.87821686614354</v>
      </c>
      <c r="W59" t="n">
        <v>3.69507064068848</v>
      </c>
      <c r="X59" t="n">
        <v>2.34274771176496</v>
      </c>
      <c r="Y59" t="n">
        <v>0.66898834795121</v>
      </c>
      <c r="Z59" t="n">
        <v>4.13340226384344</v>
      </c>
      <c r="AA59" t="n">
        <v>12.3046478512481</v>
      </c>
      <c r="AB59" t="n">
        <v>21.3289741503432</v>
      </c>
      <c r="AC59" t="n">
        <v>24.3327849167488</v>
      </c>
      <c r="AD59" t="n">
        <v>21.0425140348305</v>
      </c>
      <c r="AE59" t="n">
        <v>18.0086827670851</v>
      </c>
      <c r="AF59" t="n">
        <v>13.2038964759782</v>
      </c>
      <c r="AG59" t="n">
        <v>9.52229818819654</v>
      </c>
      <c r="AH59" t="n">
        <v>6.75337628329644</v>
      </c>
      <c r="AI59" t="n">
        <v>4.30880658573437</v>
      </c>
      <c r="AJ59" t="n">
        <v>4.3086334577028</v>
      </c>
      <c r="AK59" t="n">
        <v>4.30863349266528</v>
      </c>
      <c r="AL59" t="n">
        <v>4.30863351675209</v>
      </c>
      <c r="AM59" t="n">
        <v>4.30863349303531</v>
      </c>
      <c r="AN59" t="n">
        <v>4.30863351927384</v>
      </c>
      <c r="AO59" t="n">
        <v>4.30863352227451</v>
      </c>
      <c r="AP59" t="n">
        <v>4.3086334957374</v>
      </c>
      <c r="AQ59" t="n">
        <v>4.30863344890922</v>
      </c>
      <c r="AR59" t="n">
        <v>4.30863343406126</v>
      </c>
      <c r="AS59" t="n">
        <v>4.30910467705407</v>
      </c>
      <c r="AT59" t="n">
        <v>4.30999131953964</v>
      </c>
      <c r="AU59" t="n">
        <v>4.3108810281071</v>
      </c>
      <c r="AV59" t="n">
        <v>4.31823464698192</v>
      </c>
      <c r="AW59" t="n">
        <v>4.32757676015405</v>
      </c>
    </row>
    <row r="60">
      <c r="A60" t="inlineStr">
        <is>
          <t>no_year_in_pairs</t>
        </is>
      </c>
      <c r="C60" t="inlineStr">
        <is>
          <t>SM.19.158, Sup. 2</t>
        </is>
      </c>
      <c r="D60" t="inlineStr">
        <is>
          <t>Dominica</t>
        </is>
      </c>
      <c r="E60" t="inlineStr">
        <is>
          <t>DMA</t>
        </is>
      </c>
      <c r="G60" t="inlineStr">
        <is>
          <t>2018gn</t>
        </is>
      </c>
      <c r="H60" t="n">
        <v>2018</v>
      </c>
      <c r="I60" t="inlineStr">
        <is>
          <t>prv.inv.2gdp.vtg-1</t>
        </is>
      </c>
      <c r="K60" t="inlineStr">
        <is>
          <t>Percent of GDP</t>
        </is>
      </c>
      <c r="L60" t="inlineStr">
        <is>
          <t>Unit</t>
        </is>
      </c>
      <c r="M60" t="inlineStr">
        <is>
          <t>Private Investment in percent of GDP (real), previous DSA vintage</t>
        </is>
      </c>
      <c r="P60" t="n">
        <v>11.1748224255899</v>
      </c>
      <c r="Q60" t="n">
        <v>10.2287894678581</v>
      </c>
      <c r="R60" t="n">
        <v>8.616511071100129</v>
      </c>
      <c r="S60" t="n">
        <v>8.33745851116179</v>
      </c>
      <c r="T60" t="n">
        <v>5.57477697074781</v>
      </c>
      <c r="U60" t="n">
        <v>1.87114822706872</v>
      </c>
      <c r="V60" t="n">
        <v>1.16672870742291</v>
      </c>
      <c r="W60" t="n">
        <v>2.70745052871786</v>
      </c>
      <c r="X60" t="n">
        <v>2.93987083115426</v>
      </c>
      <c r="Y60" t="n">
        <v>6.03913633017558</v>
      </c>
      <c r="Z60" t="n">
        <v>8</v>
      </c>
      <c r="AA60" t="n">
        <v>7</v>
      </c>
      <c r="AB60" t="n">
        <v>6</v>
      </c>
      <c r="AC60" t="n">
        <v>7.5</v>
      </c>
      <c r="AD60" t="n">
        <v>6.5</v>
      </c>
      <c r="AE60" t="n">
        <v>5</v>
      </c>
      <c r="AF60" t="n">
        <v>3</v>
      </c>
      <c r="AG60" t="n">
        <v>1.8</v>
      </c>
      <c r="AH60" t="n">
        <v>2</v>
      </c>
      <c r="AI60" t="n">
        <v>2.5</v>
      </c>
      <c r="AJ60" t="n">
        <v>2.5</v>
      </c>
      <c r="AK60" t="n">
        <v>2.5</v>
      </c>
      <c r="AL60" t="n">
        <v>2.5</v>
      </c>
      <c r="AM60" t="n">
        <v>2.5</v>
      </c>
      <c r="AN60" t="n">
        <v>2.5</v>
      </c>
      <c r="AO60" t="n">
        <v>2.5</v>
      </c>
      <c r="AP60" t="n">
        <v>2.5</v>
      </c>
      <c r="AQ60" t="n">
        <v>2.5</v>
      </c>
      <c r="AR60" t="n">
        <v>2.5</v>
      </c>
      <c r="AS60" t="n">
        <v>2.5</v>
      </c>
      <c r="AT60" t="n">
        <v>2.5</v>
      </c>
      <c r="AU60" t="n">
        <v>2.5</v>
      </c>
      <c r="AV60" t="n">
        <v>2.5</v>
      </c>
      <c r="AW60" t="n">
        <v>2.5</v>
      </c>
    </row>
    <row r="61">
      <c r="A61" t="inlineStr">
        <is>
          <t>no_year_in_pairs</t>
        </is>
      </c>
      <c r="C61" t="inlineStr">
        <is>
          <t>SM.19.158, Sup. 2</t>
        </is>
      </c>
      <c r="D61" t="inlineStr">
        <is>
          <t>Dominica</t>
        </is>
      </c>
      <c r="E61" t="inlineStr">
        <is>
          <t>DMA</t>
        </is>
      </c>
      <c r="G61" t="inlineStr">
        <is>
          <t>2018gn</t>
        </is>
      </c>
      <c r="H61" t="n">
        <v>2018</v>
      </c>
    </row>
    <row r="62">
      <c r="A62" t="inlineStr">
        <is>
          <t>no_year_in_pairs</t>
        </is>
      </c>
      <c r="C62" t="inlineStr">
        <is>
          <t>SM.19.158, Sup. 2</t>
        </is>
      </c>
      <c r="D62" t="inlineStr">
        <is>
          <t>Dominica</t>
        </is>
      </c>
      <c r="E62" t="inlineStr">
        <is>
          <t>DMA</t>
        </is>
      </c>
      <c r="G62" t="inlineStr">
        <is>
          <t>2018gn</t>
        </is>
      </c>
      <c r="H62" t="n">
        <v>2018</v>
      </c>
      <c r="K62" t="inlineStr">
        <is>
          <t>Units</t>
        </is>
      </c>
      <c r="L62" t="inlineStr">
        <is>
          <t>Scale</t>
        </is>
      </c>
      <c r="M62" t="inlineStr">
        <is>
          <t>Calculated variables</t>
        </is>
      </c>
      <c r="P62" t="n">
        <v>2005</v>
      </c>
      <c r="Q62" t="n">
        <v>2006</v>
      </c>
      <c r="R62" t="n">
        <v>2007</v>
      </c>
      <c r="S62" t="n">
        <v>2008</v>
      </c>
      <c r="T62" t="n">
        <v>2009</v>
      </c>
      <c r="U62" t="n">
        <v>2010</v>
      </c>
      <c r="V62" t="n">
        <v>2011</v>
      </c>
      <c r="W62" t="n">
        <v>2012</v>
      </c>
      <c r="X62" t="n">
        <v>2013</v>
      </c>
      <c r="Y62" t="n">
        <v>2014</v>
      </c>
      <c r="Z62" t="n">
        <v>2015</v>
      </c>
      <c r="AA62" t="n">
        <v>2016</v>
      </c>
      <c r="AB62" t="n">
        <v>2017</v>
      </c>
      <c r="AC62" t="n">
        <v>2018</v>
      </c>
      <c r="AD62" t="n">
        <v>2019</v>
      </c>
      <c r="AE62" t="n">
        <v>2020</v>
      </c>
      <c r="AF62" t="n">
        <v>2021</v>
      </c>
      <c r="AG62" t="n">
        <v>2022</v>
      </c>
      <c r="AH62" t="n">
        <v>2023</v>
      </c>
      <c r="AI62" t="n">
        <v>2024</v>
      </c>
      <c r="AJ62" t="n">
        <v>2025</v>
      </c>
      <c r="AK62" t="n">
        <v>2026</v>
      </c>
      <c r="AL62" t="n">
        <v>2027</v>
      </c>
      <c r="AM62" t="n">
        <v>2028</v>
      </c>
      <c r="AN62" t="n">
        <v>2029</v>
      </c>
      <c r="AO62" t="n">
        <v>2030</v>
      </c>
      <c r="AP62" t="n">
        <v>2031</v>
      </c>
      <c r="AQ62" t="n">
        <v>2032</v>
      </c>
      <c r="AR62" t="n">
        <v>2033</v>
      </c>
      <c r="AS62" t="n">
        <v>2034</v>
      </c>
      <c r="AT62" t="n">
        <v>2035</v>
      </c>
      <c r="AU62" t="n">
        <v>2036</v>
      </c>
      <c r="AV62" t="n">
        <v>2037</v>
      </c>
      <c r="AW62" t="n">
        <v>2038</v>
      </c>
    </row>
    <row r="63">
      <c r="A63" t="inlineStr">
        <is>
          <t>no_year_in_pairs</t>
        </is>
      </c>
      <c r="C63" t="inlineStr">
        <is>
          <t>SM.19.158, Sup. 2</t>
        </is>
      </c>
      <c r="D63" t="inlineStr">
        <is>
          <t>Dominica</t>
        </is>
      </c>
      <c r="E63" t="inlineStr">
        <is>
          <t>DMA</t>
        </is>
      </c>
      <c r="G63" t="inlineStr">
        <is>
          <t>2018gn</t>
        </is>
      </c>
      <c r="H63" t="n">
        <v>2018</v>
      </c>
    </row>
    <row r="64">
      <c r="A64" t="inlineStr">
        <is>
          <t>no_year_in_pairs</t>
        </is>
      </c>
      <c r="C64" t="inlineStr">
        <is>
          <t>SM.19.158, Sup. 2</t>
        </is>
      </c>
      <c r="D64" t="inlineStr">
        <is>
          <t>Dominica</t>
        </is>
      </c>
      <c r="E64" t="inlineStr">
        <is>
          <t>DMA</t>
        </is>
      </c>
      <c r="G64" t="inlineStr">
        <is>
          <t>2018gn</t>
        </is>
      </c>
      <c r="H64" t="n">
        <v>2018</v>
      </c>
      <c r="M64" t="inlineStr">
        <is>
          <t>External Sector</t>
        </is>
      </c>
    </row>
    <row r="65">
      <c r="A65" t="inlineStr">
        <is>
          <t>no_year_in_pairs</t>
        </is>
      </c>
      <c r="C65" t="inlineStr">
        <is>
          <t>SM.19.158, Sup. 2</t>
        </is>
      </c>
      <c r="D65" t="inlineStr">
        <is>
          <t>Dominica</t>
        </is>
      </c>
      <c r="E65" t="inlineStr">
        <is>
          <t>DMA</t>
        </is>
      </c>
      <c r="G65" t="inlineStr">
        <is>
          <t>2018gn</t>
        </is>
      </c>
      <c r="H65" t="n">
        <v>2018</v>
      </c>
      <c r="I65" t="inlineStr">
        <is>
          <t>ext.paid.int.rat</t>
        </is>
      </c>
      <c r="M65" t="inlineStr">
        <is>
          <t>External interest rate (paid)</t>
        </is>
      </c>
      <c r="P65" t="n">
        <v>0</v>
      </c>
      <c r="Q65" t="n">
        <v>3.124205006572479</v>
      </c>
      <c r="R65" t="n">
        <v>2.708958250643347</v>
      </c>
      <c r="S65" t="n">
        <v>2.164512067015255</v>
      </c>
      <c r="T65" t="n">
        <v>2.983294629940756</v>
      </c>
      <c r="U65" t="n">
        <v>2.107411771556183</v>
      </c>
      <c r="V65" t="n">
        <v>2.110107086036293</v>
      </c>
      <c r="W65" t="n">
        <v>4.889943875973814</v>
      </c>
      <c r="X65" t="n">
        <v>2.421330127869555</v>
      </c>
      <c r="Y65" t="n">
        <v>2.348972126055821</v>
      </c>
      <c r="Z65" t="n">
        <v>2.089213758511815</v>
      </c>
      <c r="AA65" t="n">
        <v>2.37695262556539</v>
      </c>
      <c r="AB65" t="n">
        <v>2.299164298787589</v>
      </c>
      <c r="AC65" t="n">
        <v>1.879041661285079</v>
      </c>
      <c r="AD65" t="n">
        <v>2.772128782551577</v>
      </c>
      <c r="AE65" t="n">
        <v>2.939624786859439</v>
      </c>
      <c r="AF65" t="n">
        <v>2.989952329563865</v>
      </c>
      <c r="AG65" t="n">
        <v>2.704964062851012</v>
      </c>
      <c r="AH65" t="n">
        <v>2.972803431280146</v>
      </c>
      <c r="AI65" t="n">
        <v>2.930265861900872</v>
      </c>
      <c r="AJ65" t="n">
        <v>3.124327183713231</v>
      </c>
      <c r="AK65" t="n">
        <v>3.229583561672392</v>
      </c>
      <c r="AL65" t="n">
        <v>3.23942560449156</v>
      </c>
      <c r="AM65" t="n">
        <v>3.235222735781472</v>
      </c>
      <c r="AN65" t="n">
        <v>3.205394138830385</v>
      </c>
      <c r="AO65" t="n">
        <v>3.093029984148316</v>
      </c>
      <c r="AP65" t="n">
        <v>2.822806866555879</v>
      </c>
      <c r="AQ65" t="n">
        <v>2.822338708853574</v>
      </c>
      <c r="AR65" t="n">
        <v>3.095663686439059</v>
      </c>
      <c r="AS65" t="n">
        <v>2.98242159192074</v>
      </c>
      <c r="AT65" t="n">
        <v>2.96054700575555</v>
      </c>
      <c r="AU65" t="n">
        <v>3.412894074924233</v>
      </c>
      <c r="AV65" t="n">
        <v>2.85550366182163</v>
      </c>
      <c r="AW65" t="n">
        <v>2.711446161258206</v>
      </c>
    </row>
    <row r="66">
      <c r="A66" t="inlineStr">
        <is>
          <t>no_year_in_pairs</t>
        </is>
      </c>
      <c r="C66" t="inlineStr">
        <is>
          <t>SM.19.158, Sup. 2</t>
        </is>
      </c>
      <c r="D66" t="inlineStr">
        <is>
          <t>Dominica</t>
        </is>
      </c>
      <c r="E66" t="inlineStr">
        <is>
          <t>DMA</t>
        </is>
      </c>
      <c r="G66" t="inlineStr">
        <is>
          <t>2018gn</t>
        </is>
      </c>
      <c r="H66" t="n">
        <v>2018</v>
      </c>
      <c r="I66" t="inlineStr">
        <is>
          <t>prv.dbt.2gdp</t>
        </is>
      </c>
      <c r="M66" t="inlineStr">
        <is>
          <t>Private debt in percent of GDP</t>
        </is>
      </c>
      <c r="P66" t="n">
        <v>16.23344843778423</v>
      </c>
      <c r="Q66" t="n">
        <v>20.46974564365579</v>
      </c>
      <c r="R66" t="n">
        <v>22.9011915134585</v>
      </c>
      <c r="S66" t="n">
        <v>19.1125776514691</v>
      </c>
      <c r="T66" t="n">
        <v>20.80949825433205</v>
      </c>
      <c r="U66" t="n">
        <v>19.11764673033431</v>
      </c>
      <c r="V66" t="n">
        <v>24.36603104808584</v>
      </c>
      <c r="W66" t="n">
        <v>22.82777853711273</v>
      </c>
      <c r="X66" t="n">
        <v>22.2375365948357</v>
      </c>
      <c r="Y66" t="n">
        <v>26.43471086495036</v>
      </c>
      <c r="Z66" t="n">
        <v>23.92343481617672</v>
      </c>
      <c r="AA66" t="n">
        <v>23.37321151098021</v>
      </c>
      <c r="AB66" t="n">
        <v>24.09385093764881</v>
      </c>
      <c r="AC66" t="n">
        <v>25.5292448884367</v>
      </c>
      <c r="AD66" t="n">
        <v>25.69709083554518</v>
      </c>
      <c r="AE66" t="n">
        <v>23.8749274289625</v>
      </c>
      <c r="AF66" t="n">
        <v>22.69014407605323</v>
      </c>
      <c r="AG66" t="n">
        <v>24.4371870533366</v>
      </c>
      <c r="AH66" t="n">
        <v>24.47083224342891</v>
      </c>
      <c r="AI66" t="n">
        <v>22.74749651041834</v>
      </c>
      <c r="AJ66" t="n">
        <v>20.00626789692955</v>
      </c>
      <c r="AK66" t="n">
        <v>19.32412757004574</v>
      </c>
      <c r="AL66" t="n">
        <v>18.66524612931093</v>
      </c>
      <c r="AM66" t="n">
        <v>18.02883013066932</v>
      </c>
      <c r="AN66" t="n">
        <v>17.41411315635957</v>
      </c>
      <c r="AO66" t="n">
        <v>16.82035633886818</v>
      </c>
      <c r="AP66" t="n">
        <v>16.24684412544973</v>
      </c>
      <c r="AQ66" t="n">
        <v>15.6928869976229</v>
      </c>
      <c r="AR66" t="n">
        <v>15.1578171300671</v>
      </c>
      <c r="AS66" t="n">
        <v>14.64099118176008</v>
      </c>
      <c r="AT66" t="n">
        <v>14.14178710199469</v>
      </c>
      <c r="AU66" t="n">
        <v>13.65960404971029</v>
      </c>
      <c r="AV66" t="n">
        <v>13.19386167032204</v>
      </c>
      <c r="AW66" t="n">
        <v>12.74399939720692</v>
      </c>
    </row>
    <row r="67">
      <c r="A67" t="inlineStr">
        <is>
          <t>no_year_in_pairs</t>
        </is>
      </c>
      <c r="C67" t="inlineStr">
        <is>
          <t>SM.19.158, Sup. 2</t>
        </is>
      </c>
      <c r="D67" t="inlineStr">
        <is>
          <t>Dominica</t>
        </is>
      </c>
      <c r="E67" t="inlineStr">
        <is>
          <t>DMA</t>
        </is>
      </c>
      <c r="G67" t="inlineStr">
        <is>
          <t>2018gn</t>
        </is>
      </c>
      <c r="H67" t="n">
        <v>2018</v>
      </c>
      <c r="I67" t="inlineStr">
        <is>
          <t>prv.tds.2xprt</t>
        </is>
      </c>
      <c r="M67" t="inlineStr">
        <is>
          <t>Private debt service in percent of exports</t>
        </is>
      </c>
      <c r="P67" t="n">
        <v>1.183562819061659</v>
      </c>
      <c r="Q67" t="n">
        <v>1.437867554677299</v>
      </c>
      <c r="R67" t="n">
        <v>1.70306846602532</v>
      </c>
      <c r="S67" t="n">
        <v>1.443903313285521</v>
      </c>
      <c r="T67" t="n">
        <v>1.728095966810858</v>
      </c>
      <c r="U67" t="n">
        <v>1.353519833601471</v>
      </c>
      <c r="V67" t="n">
        <v>1.493872417205116</v>
      </c>
      <c r="W67" t="n">
        <v>1.691795576633953</v>
      </c>
      <c r="X67" t="n">
        <v>1.383655575963074</v>
      </c>
      <c r="Y67" t="n">
        <v>1.097764662174802</v>
      </c>
      <c r="Z67" t="n">
        <v>1.304497137179945</v>
      </c>
      <c r="AA67" t="n">
        <v>1.24852783066755</v>
      </c>
      <c r="AB67" t="n">
        <v>1.493280270184206</v>
      </c>
      <c r="AC67" t="n">
        <v>2.233039573640036</v>
      </c>
      <c r="AD67" t="n">
        <v>1.611983502907873</v>
      </c>
      <c r="AE67" t="n">
        <v>1.307345216808698</v>
      </c>
      <c r="AF67" t="n">
        <v>1.230502684931413</v>
      </c>
      <c r="AG67" t="n">
        <v>1.12379968844763</v>
      </c>
      <c r="AH67" t="n">
        <v>1.083442162018625</v>
      </c>
      <c r="AI67" t="n">
        <v>1.046846862217587</v>
      </c>
      <c r="AJ67" t="n">
        <v>1.011239612712815</v>
      </c>
      <c r="AK67" t="n">
        <v>0.9768406604636672</v>
      </c>
      <c r="AL67" t="n">
        <v>0.9436091930961796</v>
      </c>
      <c r="AM67" t="n">
        <v>0.9115057640353964</v>
      </c>
      <c r="AN67" t="n">
        <v>0.8804922476499872</v>
      </c>
      <c r="AO67" t="n">
        <v>0.8505317958127097</v>
      </c>
      <c r="AP67" t="n">
        <v>0.821588795835891</v>
      </c>
      <c r="AQ67" t="n">
        <v>0.7936288297420969</v>
      </c>
      <c r="AR67" t="n">
        <v>0.7666186348309509</v>
      </c>
      <c r="AS67" t="n">
        <v>0.7405260655040535</v>
      </c>
      <c r="AT67" t="n">
        <v>0.7153200563108052</v>
      </c>
      <c r="AU67" t="n">
        <v>0.6909705861788371</v>
      </c>
      <c r="AV67" t="n">
        <v>0.6674486437936588</v>
      </c>
      <c r="AW67" t="n">
        <v>0.6447261940929808</v>
      </c>
    </row>
    <row r="68">
      <c r="A68" t="inlineStr">
        <is>
          <t>no_year_in_pairs</t>
        </is>
      </c>
      <c r="C68" t="inlineStr">
        <is>
          <t>SM.19.158, Sup. 2</t>
        </is>
      </c>
      <c r="D68" t="inlineStr">
        <is>
          <t>Dominica</t>
        </is>
      </c>
      <c r="E68" t="inlineStr">
        <is>
          <t>DMA</t>
        </is>
      </c>
      <c r="G68" t="inlineStr">
        <is>
          <t>2018gn</t>
        </is>
      </c>
      <c r="H68" t="n">
        <v>2018</v>
      </c>
      <c r="I68" t="inlineStr">
        <is>
          <t>nicab.2gdp</t>
        </is>
      </c>
      <c r="M68" t="inlineStr">
        <is>
          <t>Non-interest current account in percent of GDP</t>
        </is>
      </c>
      <c r="P68" t="n">
        <v>-17.08884239786852</v>
      </c>
      <c r="Q68" t="n">
        <v>-10.17985207928738</v>
      </c>
      <c r="R68" t="n">
        <v>-17.88770930690364</v>
      </c>
      <c r="S68" t="n">
        <v>-25.93780969780358</v>
      </c>
      <c r="T68" t="n">
        <v>-20.75351863607072</v>
      </c>
      <c r="U68" t="n">
        <v>-14.45740664642363</v>
      </c>
      <c r="V68" t="n">
        <v>-12.85464218452563</v>
      </c>
      <c r="W68" t="n">
        <v>-13.44065256062613</v>
      </c>
      <c r="X68" t="n">
        <v>-7.861048321918572</v>
      </c>
      <c r="Y68" t="n">
        <v>-4.886462572498055</v>
      </c>
      <c r="Z68" t="n">
        <v>-5.594199440068456</v>
      </c>
      <c r="AA68" t="n">
        <v>-7.290184540626392</v>
      </c>
      <c r="AB68" t="n">
        <v>-10.60939058974664</v>
      </c>
      <c r="AC68" t="n">
        <v>-38.28779953590765</v>
      </c>
      <c r="AD68" t="n">
        <v>-28.92192137250056</v>
      </c>
      <c r="AE68" t="n">
        <v>-22.73636372433219</v>
      </c>
      <c r="AF68" t="n">
        <v>-19.15996828606503</v>
      </c>
      <c r="AG68" t="n">
        <v>-15.99876143662312</v>
      </c>
      <c r="AH68" t="n">
        <v>-10.65207578842688</v>
      </c>
      <c r="AI68" t="n">
        <v>-6.720198471881281</v>
      </c>
      <c r="AJ68" t="n">
        <v>-5.462537798269947</v>
      </c>
      <c r="AK68" t="n">
        <v>-5.401993905272766</v>
      </c>
      <c r="AL68" t="n">
        <v>-5.369260880675712</v>
      </c>
      <c r="AM68" t="n">
        <v>-5.357991506344397</v>
      </c>
      <c r="AN68" t="n">
        <v>-5.371980828924748</v>
      </c>
      <c r="AO68" t="n">
        <v>-5.457007909184464</v>
      </c>
      <c r="AP68" t="n">
        <v>-5.674484978900312</v>
      </c>
      <c r="AQ68" t="n">
        <v>-5.653893521751951</v>
      </c>
      <c r="AR68" t="n">
        <v>-5.406119111895142</v>
      </c>
      <c r="AS68" t="n">
        <v>-5.574242553867776</v>
      </c>
      <c r="AT68" t="n">
        <v>-4.892420980251136</v>
      </c>
      <c r="AU68" t="n">
        <v>-3.848600517646301</v>
      </c>
      <c r="AV68" t="n">
        <v>-3.622928598665209</v>
      </c>
      <c r="AW68" t="n">
        <v>-3.083378603495226</v>
      </c>
    </row>
    <row r="69">
      <c r="A69" t="inlineStr">
        <is>
          <t>no_year_in_pairs</t>
        </is>
      </c>
      <c r="C69" t="inlineStr">
        <is>
          <t>SM.19.158, Sup. 2</t>
        </is>
      </c>
      <c r="D69" t="inlineStr">
        <is>
          <t>Dominica</t>
        </is>
      </c>
      <c r="E69" t="inlineStr">
        <is>
          <t>DMA</t>
        </is>
      </c>
      <c r="G69" t="inlineStr">
        <is>
          <t>2018gn</t>
        </is>
      </c>
      <c r="H69" t="n">
        <v>2018</v>
      </c>
      <c r="I69" t="inlineStr">
        <is>
          <t>off.trsfr.crt.2gdp</t>
        </is>
      </c>
      <c r="M69" t="inlineStr">
        <is>
          <t>Current official transfers in percent of GDP</t>
        </is>
      </c>
      <c r="P69" t="n">
        <v>0.06221197093489063</v>
      </c>
      <c r="Q69" t="n">
        <v>0.06976210809010654</v>
      </c>
      <c r="R69" t="n">
        <v>-0.07687292269201429</v>
      </c>
      <c r="S69" t="n">
        <v>-0.012327895270522</v>
      </c>
      <c r="T69" t="n">
        <v>0.06136663186660356</v>
      </c>
      <c r="U69" t="n">
        <v>0.1300005040776306</v>
      </c>
      <c r="V69" t="n">
        <v>-0.4159249490518256</v>
      </c>
      <c r="W69" t="n">
        <v>0.08331275881068789</v>
      </c>
      <c r="X69" t="n">
        <v>1.055323996101172</v>
      </c>
      <c r="Y69" t="n">
        <v>2.347939051657259</v>
      </c>
      <c r="Z69" t="n">
        <v>2.958188502083773</v>
      </c>
      <c r="AA69" t="n">
        <v>1.884926459588073</v>
      </c>
      <c r="AB69" t="n">
        <v>5.222999438400199</v>
      </c>
      <c r="AC69" t="n">
        <v>3.876768248063803</v>
      </c>
      <c r="AD69" t="n">
        <v>4.182879694044019</v>
      </c>
      <c r="AE69" t="n">
        <v>0.2559716956107793</v>
      </c>
      <c r="AF69" t="n">
        <v>0.2516166051820409</v>
      </c>
      <c r="AG69" t="n">
        <v>0.2494828127143779</v>
      </c>
      <c r="AH69" t="n">
        <v>0.2495719104311992</v>
      </c>
      <c r="AI69" t="n">
        <v>0.2503514042358985</v>
      </c>
      <c r="AJ69" t="n">
        <v>0.2466516510169514</v>
      </c>
      <c r="AK69" t="n">
        <v>0.2430065694437885</v>
      </c>
      <c r="AL69" t="n">
        <v>0.2394153610056616</v>
      </c>
      <c r="AM69" t="n">
        <v>0.2358772245073719</v>
      </c>
      <c r="AN69" t="n">
        <v>0.2323913699216516</v>
      </c>
      <c r="AO69" t="n">
        <v>0.2289570378579422</v>
      </c>
      <c r="AP69" t="n">
        <v>0.2255734548765239</v>
      </c>
      <c r="AQ69" t="n">
        <v>0.2222398814133721</v>
      </c>
      <c r="AR69" t="n">
        <v>0.2189555632192856</v>
      </c>
      <c r="AS69" t="n">
        <v>0.2033572910804612</v>
      </c>
      <c r="AT69" t="n">
        <v>0.1979638296925637</v>
      </c>
      <c r="AU69" t="n">
        <v>0.1922701496940009</v>
      </c>
      <c r="AV69" t="n">
        <v>0.1862202477190293</v>
      </c>
      <c r="AW69" t="n">
        <v>0.1797493329610297</v>
      </c>
    </row>
    <row r="70">
      <c r="A70" t="inlineStr">
        <is>
          <t>no_year_in_pairs</t>
        </is>
      </c>
      <c r="C70" t="inlineStr">
        <is>
          <t>SM.19.158, Sup. 2</t>
        </is>
      </c>
      <c r="D70" t="inlineStr">
        <is>
          <t>Dominica</t>
        </is>
      </c>
      <c r="E70" t="inlineStr">
        <is>
          <t>DMA</t>
        </is>
      </c>
      <c r="G70" t="inlineStr">
        <is>
          <t>2018gn</t>
        </is>
      </c>
      <c r="H70" t="n">
        <v>2018</v>
      </c>
      <c r="I70" t="inlineStr">
        <is>
          <t>tot.grss.fin.2gdp</t>
        </is>
      </c>
      <c r="M70" t="inlineStr">
        <is>
          <t>Total gross financing</t>
        </is>
      </c>
      <c r="P70" t="inlineStr">
        <is>
          <t>...</t>
        </is>
      </c>
      <c r="Q70" t="n">
        <v>86.6186755555555</v>
      </c>
      <c r="R70" t="n">
        <v>137.879287037037</v>
      </c>
      <c r="S70" t="n">
        <v>196.4484396296299</v>
      </c>
      <c r="T70" t="n">
        <v>180.4315740740744</v>
      </c>
      <c r="U70" t="n">
        <v>131.9388074074074</v>
      </c>
      <c r="V70" t="n">
        <v>119.1184631274075</v>
      </c>
      <c r="W70" t="n">
        <v>161.2904840222146</v>
      </c>
      <c r="X70" t="n">
        <v>88.1857074953364</v>
      </c>
      <c r="Y70" t="n">
        <v>69.6266659405162</v>
      </c>
      <c r="Z70" t="n">
        <v>84.7221212224424</v>
      </c>
      <c r="AA70" t="n">
        <v>113.5859761727105</v>
      </c>
      <c r="AB70" t="n">
        <v>118.4801387752155</v>
      </c>
      <c r="AC70" t="n">
        <v>266.7807151444444</v>
      </c>
      <c r="AD70" t="n">
        <v>273.3739238662844</v>
      </c>
      <c r="AE70" t="n">
        <v>254.5740168408411</v>
      </c>
      <c r="AF70" t="n">
        <v>259.2732695317101</v>
      </c>
      <c r="AG70" t="n">
        <v>250.4860779601391</v>
      </c>
      <c r="AH70" t="n">
        <v>228.0338711995685</v>
      </c>
      <c r="AI70" t="n">
        <v>217.2894549471808</v>
      </c>
      <c r="AJ70" t="n">
        <v>222.3059579368841</v>
      </c>
      <c r="AK70" t="n">
        <v>239.9120123739868</v>
      </c>
      <c r="AL70" t="n">
        <v>258.5740300743741</v>
      </c>
      <c r="AM70" t="n">
        <v>278.6031516663787</v>
      </c>
      <c r="AN70" t="n">
        <v>297.4047428802899</v>
      </c>
      <c r="AO70" t="n">
        <v>317.2425317776679</v>
      </c>
      <c r="AP70" t="n">
        <v>333.7173290533107</v>
      </c>
      <c r="AQ70" t="n">
        <v>350.7885883448582</v>
      </c>
      <c r="AR70" t="n">
        <v>368.75787759523</v>
      </c>
      <c r="AS70" t="n">
        <v>344.4795327766327</v>
      </c>
      <c r="AT70" t="n">
        <v>354.5614043937784</v>
      </c>
      <c r="AU70" t="n">
        <v>364.6600153934692</v>
      </c>
      <c r="AV70" t="n">
        <v>375.8736424602452</v>
      </c>
      <c r="AW70" t="n">
        <v>388.1899249522459</v>
      </c>
    </row>
    <row r="71">
      <c r="A71" t="inlineStr">
        <is>
          <t>no_year_in_pairs</t>
        </is>
      </c>
      <c r="C71" t="inlineStr">
        <is>
          <t>SM.19.158, Sup. 2</t>
        </is>
      </c>
      <c r="D71" t="inlineStr">
        <is>
          <t>Dominica</t>
        </is>
      </c>
      <c r="E71" t="inlineStr">
        <is>
          <t>DMA</t>
        </is>
      </c>
      <c r="G71" t="inlineStr">
        <is>
          <t>2018gn</t>
        </is>
      </c>
      <c r="H71" t="n">
        <v>2018</v>
      </c>
      <c r="I71" t="inlineStr">
        <is>
          <t>tot.grss.fin.prv.2gdp</t>
        </is>
      </c>
      <c r="M71" t="inlineStr">
        <is>
          <t>o/w covered by private sector</t>
        </is>
      </c>
      <c r="P71" t="inlineStr">
        <is>
          <t>...</t>
        </is>
      </c>
      <c r="Q71" t="n">
        <v>21.8277777777778</v>
      </c>
      <c r="R71" t="n">
        <v>17.6466666666671</v>
      </c>
      <c r="S71" t="n">
        <v>-10.1922222222227</v>
      </c>
      <c r="T71" t="n">
        <v>11.7448148148147</v>
      </c>
      <c r="U71" t="n">
        <v>-7.172222222222103</v>
      </c>
      <c r="V71" t="n">
        <v>25.15328000000011</v>
      </c>
      <c r="W71" t="n">
        <v>-7.482575555556011</v>
      </c>
      <c r="X71" t="n">
        <v>1.272530740741004</v>
      </c>
      <c r="Y71" t="n">
        <v>26.659195842241</v>
      </c>
      <c r="Z71" t="n">
        <v>-7.169838434832997</v>
      </c>
      <c r="AA71" t="n">
        <v>-5.091111111112014</v>
      </c>
      <c r="AB71" t="n">
        <v>-1.09740740740699</v>
      </c>
      <c r="AC71" t="n">
        <v>16.61740740740697</v>
      </c>
      <c r="AD71" t="n">
        <v>13.90549399021302</v>
      </c>
      <c r="AE71" t="n">
        <v>-1.797549899514991</v>
      </c>
      <c r="AF71" t="n">
        <v>0.9374028772180054</v>
      </c>
      <c r="AG71" t="n">
        <v>20.282131928589</v>
      </c>
      <c r="AH71" t="n">
        <v>6.996885009982009</v>
      </c>
      <c r="AI71" t="n">
        <v>-6.945363643201006</v>
      </c>
      <c r="AJ71" t="n">
        <v>-15.86465614714501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</row>
    <row r="72">
      <c r="A72" t="inlineStr">
        <is>
          <t>no_year_in_pairs</t>
        </is>
      </c>
      <c r="C72" t="inlineStr">
        <is>
          <t>SM.19.158, Sup. 2</t>
        </is>
      </c>
      <c r="D72" t="inlineStr">
        <is>
          <t>Dominica</t>
        </is>
      </c>
      <c r="E72" t="inlineStr">
        <is>
          <t>DMA</t>
        </is>
      </c>
      <c r="G72" t="inlineStr">
        <is>
          <t>2018gn</t>
        </is>
      </c>
      <c r="H72" t="n">
        <v>2018</v>
      </c>
      <c r="I72" t="inlineStr">
        <is>
          <t>tot.grss.fin.pub.2gdp</t>
        </is>
      </c>
      <c r="M72" t="inlineStr">
        <is>
          <t>o/w covered by public sector</t>
        </is>
      </c>
      <c r="P72" t="inlineStr">
        <is>
          <t>...</t>
        </is>
      </c>
      <c r="Q72" t="n">
        <v>64.7908977777777</v>
      </c>
      <c r="R72" t="n">
        <v>120.2326203703699</v>
      </c>
      <c r="S72" t="n">
        <v>206.6406618518526</v>
      </c>
      <c r="T72" t="n">
        <v>168.6867592592597</v>
      </c>
      <c r="U72" t="n">
        <v>139.1110296296295</v>
      </c>
      <c r="V72" t="n">
        <v>93.9651831274074</v>
      </c>
      <c r="W72" t="n">
        <v>168.7730595777706</v>
      </c>
      <c r="X72" t="n">
        <v>86.9131767545954</v>
      </c>
      <c r="Y72" t="n">
        <v>42.9674700982752</v>
      </c>
      <c r="Z72" t="n">
        <v>91.89195965727539</v>
      </c>
      <c r="AA72" t="n">
        <v>118.6770872838225</v>
      </c>
      <c r="AB72" t="n">
        <v>119.5775461826225</v>
      </c>
      <c r="AC72" t="n">
        <v>250.1633077370374</v>
      </c>
      <c r="AD72" t="n">
        <v>259.4684298760714</v>
      </c>
      <c r="AE72" t="n">
        <v>256.3715667403561</v>
      </c>
      <c r="AF72" t="n">
        <v>258.3358666544921</v>
      </c>
      <c r="AG72" t="n">
        <v>230.2039460315501</v>
      </c>
      <c r="AH72" t="n">
        <v>221.0369861895865</v>
      </c>
      <c r="AI72" t="n">
        <v>224.2348185903818</v>
      </c>
      <c r="AJ72" t="n">
        <v>238.1706140840291</v>
      </c>
      <c r="AK72" t="n">
        <v>239.9120123739868</v>
      </c>
      <c r="AL72" t="n">
        <v>258.5740300743741</v>
      </c>
      <c r="AM72" t="n">
        <v>278.6031516663787</v>
      </c>
      <c r="AN72" t="n">
        <v>297.4047428802899</v>
      </c>
      <c r="AO72" t="n">
        <v>317.2425317776679</v>
      </c>
      <c r="AP72" t="n">
        <v>333.7173290533107</v>
      </c>
      <c r="AQ72" t="n">
        <v>350.7885883448582</v>
      </c>
      <c r="AR72" t="n">
        <v>368.75787759523</v>
      </c>
      <c r="AS72" t="n">
        <v>344.4795327766327</v>
      </c>
      <c r="AT72" t="n">
        <v>354.5614043937784</v>
      </c>
      <c r="AU72" t="n">
        <v>364.6600153934692</v>
      </c>
      <c r="AV72" t="n">
        <v>375.8736424602452</v>
      </c>
      <c r="AW72" t="n">
        <v>388.1899249522459</v>
      </c>
    </row>
    <row r="73">
      <c r="A73" t="inlineStr">
        <is>
          <t>no_year_in_pairs</t>
        </is>
      </c>
      <c r="C73" t="inlineStr">
        <is>
          <t>SM.19.158, Sup. 2</t>
        </is>
      </c>
      <c r="D73" t="inlineStr">
        <is>
          <t>Dominica</t>
        </is>
      </c>
      <c r="E73" t="inlineStr">
        <is>
          <t>DMA</t>
        </is>
      </c>
      <c r="G73" t="inlineStr">
        <is>
          <t>2018gn</t>
        </is>
      </c>
      <c r="H73" t="n">
        <v>2018</v>
      </c>
      <c r="I73" t="inlineStr">
        <is>
          <t>fin.gap.rsdl</t>
        </is>
      </c>
      <c r="M73" t="inlineStr">
        <is>
          <t>Residual financing gaps after private and public external financing ((-): overfinancing)</t>
        </is>
      </c>
      <c r="AC73" t="n">
        <v>198.9058895521435</v>
      </c>
      <c r="AD73" t="n">
        <v>189.4727792158521</v>
      </c>
      <c r="AE73" t="n">
        <v>156.6616816981304</v>
      </c>
      <c r="AF73" t="n">
        <v>148.293694384543</v>
      </c>
      <c r="AG73" t="n">
        <v>122.6498411083199</v>
      </c>
      <c r="AH73" t="n">
        <v>99.59893257480357</v>
      </c>
      <c r="AI73" t="n">
        <v>92.08148468215273</v>
      </c>
      <c r="AJ73" t="n">
        <v>93.54215450396438</v>
      </c>
      <c r="AK73" t="n">
        <v>81.35355191129736</v>
      </c>
      <c r="AL73" t="n">
        <v>84.52703790495985</v>
      </c>
      <c r="AM73" t="n">
        <v>87.16394384584061</v>
      </c>
      <c r="AN73" t="n">
        <v>89.95341145647836</v>
      </c>
      <c r="AO73" t="n">
        <v>92.72307766496169</v>
      </c>
      <c r="AP73" t="n">
        <v>93.04539437482231</v>
      </c>
      <c r="AQ73" t="n">
        <v>97.00943402387705</v>
      </c>
      <c r="AR73" t="n">
        <v>143.8902637626771</v>
      </c>
      <c r="AS73" t="n">
        <v>104.6105068009888</v>
      </c>
      <c r="AT73" t="n">
        <v>99.21475928659066</v>
      </c>
      <c r="AU73" t="n">
        <v>93.47433765490422</v>
      </c>
      <c r="AV73" t="n">
        <v>87.89362694510834</v>
      </c>
      <c r="AW73" t="n">
        <v>83.20299501470504</v>
      </c>
    </row>
    <row r="74">
      <c r="A74" t="inlineStr">
        <is>
          <t>no_year_in_pairs</t>
        </is>
      </c>
      <c r="C74" t="inlineStr">
        <is>
          <t>SM.19.158, Sup. 2</t>
        </is>
      </c>
      <c r="D74" t="inlineStr">
        <is>
          <t>Dominica</t>
        </is>
      </c>
      <c r="E74" t="inlineStr">
        <is>
          <t>DMA</t>
        </is>
      </c>
      <c r="G74" t="inlineStr">
        <is>
          <t>2018gn</t>
        </is>
      </c>
      <c r="H74" t="n">
        <v>2018</v>
      </c>
      <c r="M74" t="inlineStr">
        <is>
          <t xml:space="preserve">(Note) 
- This line is equal to External GFNs - (Private financing) - (Public external financing)
- Nonzero value should be consistent with other BoP components not shown in this GFN calculation (e.g., reserve accumulation).
</t>
        </is>
      </c>
    </row>
    <row r="75">
      <c r="A75" t="inlineStr">
        <is>
          <t>no_year_in_pairs</t>
        </is>
      </c>
      <c r="C75" t="inlineStr">
        <is>
          <t>SM.19.158, Sup. 2</t>
        </is>
      </c>
      <c r="D75" t="inlineStr">
        <is>
          <t>Dominica</t>
        </is>
      </c>
      <c r="E75" t="inlineStr">
        <is>
          <t>DMA</t>
        </is>
      </c>
      <c r="G75" t="inlineStr">
        <is>
          <t>2018gn</t>
        </is>
      </c>
      <c r="H75" t="n">
        <v>2018</v>
      </c>
      <c r="M75" t="inlineStr">
        <is>
          <t>Public Sector</t>
        </is>
      </c>
    </row>
    <row r="76">
      <c r="A76" t="inlineStr">
        <is>
          <t>no_year_in_pairs</t>
        </is>
      </c>
      <c r="C76" t="inlineStr">
        <is>
          <t>SM.19.158, Sup. 2</t>
        </is>
      </c>
      <c r="D76" t="inlineStr">
        <is>
          <t>Dominica</t>
        </is>
      </c>
      <c r="E76" t="inlineStr">
        <is>
          <t>DMA</t>
        </is>
      </c>
      <c r="G76" t="inlineStr">
        <is>
          <t>2018gn</t>
        </is>
      </c>
      <c r="H76" t="n">
        <v>2018</v>
      </c>
      <c r="K76" t="inlineStr">
        <is>
          <t>National Currency</t>
        </is>
      </c>
      <c r="L76" t="inlineStr">
        <is>
          <t>Millions</t>
        </is>
      </c>
      <c r="M76" t="inlineStr">
        <is>
          <t>Total public debt outstanding at year-end</t>
        </is>
      </c>
      <c r="P76" t="n">
        <v>572.7267999999999</v>
      </c>
      <c r="Q76" t="n">
        <v>847.6480505200002</v>
      </c>
      <c r="R76" t="n">
        <v>852.1503692400011</v>
      </c>
      <c r="S76" t="n">
        <v>823.0193474800013</v>
      </c>
      <c r="T76" t="n">
        <v>829.4125459200004</v>
      </c>
      <c r="U76" t="n">
        <v>897.5408970900012</v>
      </c>
      <c r="V76" t="n">
        <v>928.4837483800012</v>
      </c>
      <c r="W76" t="n">
        <v>971.4399999999999</v>
      </c>
      <c r="X76" t="n">
        <v>1121.611014627783</v>
      </c>
      <c r="Y76" t="n">
        <v>1129.937001967655</v>
      </c>
      <c r="Z76" t="n">
        <v>1134.534459508806</v>
      </c>
      <c r="AA76" t="n">
        <v>1112.888976267194</v>
      </c>
      <c r="AB76" t="n">
        <v>1085.719141562604</v>
      </c>
      <c r="AC76" t="n">
        <v>1107.359477870983</v>
      </c>
      <c r="AD76" t="n">
        <v>1261.714750724314</v>
      </c>
      <c r="AE76" t="n">
        <v>1433.250173467948</v>
      </c>
      <c r="AF76" t="n">
        <v>1507.055631744623</v>
      </c>
      <c r="AG76" t="n">
        <v>1628.491988441133</v>
      </c>
      <c r="AH76" t="n">
        <v>1677.516995160822</v>
      </c>
      <c r="AI76" t="n">
        <v>1728.030007841855</v>
      </c>
      <c r="AJ76" t="n">
        <v>1785.66861087013</v>
      </c>
      <c r="AK76" t="n">
        <v>1845.10121858121</v>
      </c>
      <c r="AL76" t="n">
        <v>1906.255207243581</v>
      </c>
      <c r="AM76" t="n">
        <v>1969.114689361184</v>
      </c>
      <c r="AN76" t="n">
        <v>2033.748609642612</v>
      </c>
      <c r="AO76" t="n">
        <v>2100.228371778102</v>
      </c>
      <c r="AP76" t="n">
        <v>2159.653552296506</v>
      </c>
      <c r="AQ76" t="n">
        <v>2221.346783115151</v>
      </c>
      <c r="AR76" t="n">
        <v>2286.265612589891</v>
      </c>
      <c r="AS76" t="n">
        <v>2353.856969685693</v>
      </c>
      <c r="AT76" t="n">
        <v>2424.365087887872</v>
      </c>
      <c r="AU76" t="n">
        <v>2498.890560426007</v>
      </c>
      <c r="AV76" t="n">
        <v>2629.970504006568</v>
      </c>
      <c r="AW76" t="n">
        <v>2769.69903417342</v>
      </c>
    </row>
    <row r="77">
      <c r="A77" t="inlineStr">
        <is>
          <t>no_year_in_pairs</t>
        </is>
      </c>
      <c r="C77" t="inlineStr">
        <is>
          <t>SM.19.158, Sup. 2</t>
        </is>
      </c>
      <c r="D77" t="inlineStr">
        <is>
          <t>Dominica</t>
        </is>
      </c>
      <c r="E77" t="inlineStr">
        <is>
          <t>DMA</t>
        </is>
      </c>
      <c r="G77" t="inlineStr">
        <is>
          <t>2018gn</t>
        </is>
      </c>
      <c r="H77" t="n">
        <v>2018</v>
      </c>
      <c r="K77" t="inlineStr">
        <is>
          <t>National Currency</t>
        </is>
      </c>
      <c r="L77" t="inlineStr">
        <is>
          <t>Millions</t>
        </is>
      </c>
      <c r="M77" t="inlineStr">
        <is>
          <t>Total public external debt</t>
        </is>
      </c>
      <c r="P77" t="n">
        <v>572.7267999999999</v>
      </c>
      <c r="Q77" t="n">
        <v>601.2115000000002</v>
      </c>
      <c r="R77" t="n">
        <v>605.671100000001</v>
      </c>
      <c r="S77" t="n">
        <v>577.9094000000014</v>
      </c>
      <c r="T77" t="n">
        <v>580.8587000000005</v>
      </c>
      <c r="U77" t="n">
        <v>658.1405862700012</v>
      </c>
      <c r="V77" t="n">
        <v>660.4770485500012</v>
      </c>
      <c r="W77" t="n">
        <v>708.7866822999999</v>
      </c>
      <c r="X77" t="n">
        <v>866.1053628277831</v>
      </c>
      <c r="Y77" t="n">
        <v>878.1814259776548</v>
      </c>
      <c r="Z77" t="n">
        <v>878.0938615188063</v>
      </c>
      <c r="AA77" t="n">
        <v>861.8976484671942</v>
      </c>
      <c r="AB77" t="n">
        <v>836.5982300626041</v>
      </c>
      <c r="AC77" t="n">
        <v>956.5238767718179</v>
      </c>
      <c r="AD77" t="n">
        <v>1024.029619615442</v>
      </c>
      <c r="AE77" t="n">
        <v>1153.29343275918</v>
      </c>
      <c r="AF77" t="n">
        <v>1255.984702152425</v>
      </c>
      <c r="AG77" t="n">
        <v>1311.816054952772</v>
      </c>
      <c r="AH77" t="n">
        <v>1380.154885287004</v>
      </c>
      <c r="AI77" t="n">
        <v>1436.127745516542</v>
      </c>
      <c r="AJ77" t="n">
        <v>1497.786797443574</v>
      </c>
      <c r="AK77" t="n">
        <v>1558.246143991517</v>
      </c>
      <c r="AL77" t="n">
        <v>1619.204808069347</v>
      </c>
      <c r="AM77" t="n">
        <v>1682.587307664409</v>
      </c>
      <c r="AN77" t="n">
        <v>1748.405003645496</v>
      </c>
      <c r="AO77" t="n">
        <v>1817.103352325415</v>
      </c>
      <c r="AP77" t="n">
        <v>1895.681304888945</v>
      </c>
      <c r="AQ77" t="n">
        <v>1974.588321811917</v>
      </c>
      <c r="AR77" t="n">
        <v>1938.314599960238</v>
      </c>
      <c r="AS77" t="n">
        <v>2019.090436771077</v>
      </c>
      <c r="AT77" t="n">
        <v>2103.295701888741</v>
      </c>
      <c r="AU77" t="n">
        <v>2191.173682340214</v>
      </c>
      <c r="AV77" t="n">
        <v>2281.57728667417</v>
      </c>
      <c r="AW77" t="n">
        <v>2371.340811910673</v>
      </c>
    </row>
    <row r="78">
      <c r="A78" t="inlineStr">
        <is>
          <t>no_year_in_pairs</t>
        </is>
      </c>
      <c r="C78" t="inlineStr">
        <is>
          <t>SM.19.158, Sup. 2</t>
        </is>
      </c>
      <c r="D78" t="inlineStr">
        <is>
          <t>Dominica</t>
        </is>
      </c>
      <c r="E78" t="inlineStr">
        <is>
          <t>DMA</t>
        </is>
      </c>
      <c r="G78" t="inlineStr">
        <is>
          <t>2018gn</t>
        </is>
      </c>
      <c r="H78" t="n">
        <v>2018</v>
      </c>
      <c r="I78" t="inlineStr">
        <is>
          <t>dod.pub.dbt.eoy</t>
        </is>
      </c>
      <c r="K78" t="inlineStr">
        <is>
          <t>National Currency</t>
        </is>
      </c>
      <c r="L78" t="inlineStr">
        <is>
          <t>Millions</t>
        </is>
      </c>
      <c r="M78" t="inlineStr">
        <is>
          <t>Total public domestic debt</t>
        </is>
      </c>
      <c r="P78" t="n">
        <v>0</v>
      </c>
      <c r="Q78" t="n">
        <v>246.43655052</v>
      </c>
      <c r="R78" t="n">
        <v>246.47926924</v>
      </c>
      <c r="S78" t="n">
        <v>245.10994748</v>
      </c>
      <c r="T78" t="n">
        <v>248.55384592</v>
      </c>
      <c r="U78" t="n">
        <v>239.40031082</v>
      </c>
      <c r="V78" t="n">
        <v>268.00669983</v>
      </c>
      <c r="W78" t="n">
        <v>262.6533177</v>
      </c>
      <c r="X78" t="n">
        <v>255.5056518</v>
      </c>
      <c r="Y78" t="n">
        <v>251.75557599</v>
      </c>
      <c r="Z78" t="n">
        <v>256.44059799</v>
      </c>
      <c r="AA78" t="n">
        <v>250.9913278</v>
      </c>
      <c r="AB78" t="n">
        <v>249.1209115</v>
      </c>
      <c r="AC78" t="n">
        <v>150.8356010991654</v>
      </c>
      <c r="AD78" t="n">
        <v>237.6851311088718</v>
      </c>
      <c r="AE78" t="n">
        <v>279.9567407087681</v>
      </c>
      <c r="AF78" t="n">
        <v>251.0709295921978</v>
      </c>
      <c r="AG78" t="n">
        <v>316.6759334883615</v>
      </c>
      <c r="AH78" t="n">
        <v>297.3621098738176</v>
      </c>
      <c r="AI78" t="n">
        <v>291.9022623253132</v>
      </c>
      <c r="AJ78" t="n">
        <v>287.8818134265564</v>
      </c>
      <c r="AK78" t="n">
        <v>286.8550745896929</v>
      </c>
      <c r="AL78" t="n">
        <v>287.0503991742349</v>
      </c>
      <c r="AM78" t="n">
        <v>286.5273816967748</v>
      </c>
      <c r="AN78" t="n">
        <v>285.3436059971155</v>
      </c>
      <c r="AO78" t="n">
        <v>283.125019452687</v>
      </c>
      <c r="AP78" t="n">
        <v>263.972247407561</v>
      </c>
      <c r="AQ78" t="n">
        <v>246.7584613032336</v>
      </c>
      <c r="AR78" t="n">
        <v>347.9510126296526</v>
      </c>
      <c r="AS78" t="n">
        <v>334.7665329146162</v>
      </c>
      <c r="AT78" t="n">
        <v>321.0693859991305</v>
      </c>
      <c r="AU78" t="n">
        <v>307.7168780857927</v>
      </c>
      <c r="AV78" t="n">
        <v>348.3932173323973</v>
      </c>
      <c r="AW78" t="n">
        <v>398.3582222627469</v>
      </c>
    </row>
    <row r="79">
      <c r="A79" t="inlineStr">
        <is>
          <t>no_year_in_pairs</t>
        </is>
      </c>
      <c r="C79" t="inlineStr">
        <is>
          <t>SM.19.158, Sup. 2</t>
        </is>
      </c>
      <c r="D79" t="inlineStr">
        <is>
          <t>Dominica</t>
        </is>
      </c>
      <c r="E79" t="inlineStr">
        <is>
          <t>DMA</t>
        </is>
      </c>
      <c r="G79" t="inlineStr">
        <is>
          <t>2018gn</t>
        </is>
      </c>
      <c r="H79" t="n">
        <v>2018</v>
      </c>
      <c r="I79" t="inlineStr">
        <is>
          <t>dod.pub.ext</t>
        </is>
      </c>
      <c r="K79" t="inlineStr">
        <is>
          <t>National Currency</t>
        </is>
      </c>
      <c r="L79" t="inlineStr">
        <is>
          <t>Millions</t>
        </is>
      </c>
      <c r="M79" t="inlineStr">
        <is>
          <t>Foreign-currency denominated public debt (end of period)</t>
        </is>
      </c>
      <c r="P79" t="n">
        <v>0</v>
      </c>
      <c r="Q79" t="n">
        <v>601.2115000000002</v>
      </c>
      <c r="R79" t="n">
        <v>605.671100000001</v>
      </c>
      <c r="S79" t="n">
        <v>577.9094000000014</v>
      </c>
      <c r="T79" t="n">
        <v>580.8587000000005</v>
      </c>
      <c r="U79" t="n">
        <v>658.1405862700012</v>
      </c>
      <c r="V79" t="n">
        <v>660.4770485500012</v>
      </c>
      <c r="W79" t="n">
        <v>708.7866822999999</v>
      </c>
      <c r="X79" t="n">
        <v>866.1053628277831</v>
      </c>
      <c r="Y79" t="n">
        <v>878.1814259776548</v>
      </c>
      <c r="Z79" t="n">
        <v>878.0938615188063</v>
      </c>
      <c r="AA79" t="n">
        <v>861.8976484671942</v>
      </c>
      <c r="AB79" t="n">
        <v>836.5982300626041</v>
      </c>
      <c r="AC79" t="n">
        <v>956.5238767718179</v>
      </c>
      <c r="AD79" t="n">
        <v>1024.029619615442</v>
      </c>
      <c r="AE79" t="n">
        <v>1153.29343275918</v>
      </c>
      <c r="AF79" t="n">
        <v>1255.984702152425</v>
      </c>
      <c r="AG79" t="n">
        <v>1311.816054952772</v>
      </c>
      <c r="AH79" t="n">
        <v>1380.154885287004</v>
      </c>
      <c r="AI79" t="n">
        <v>1436.127745516542</v>
      </c>
      <c r="AJ79" t="n">
        <v>1497.786797443574</v>
      </c>
      <c r="AK79" t="n">
        <v>1558.246143991517</v>
      </c>
      <c r="AL79" t="n">
        <v>1619.204808069347</v>
      </c>
      <c r="AM79" t="n">
        <v>1682.58730766441</v>
      </c>
      <c r="AN79" t="n">
        <v>1748.405003645496</v>
      </c>
      <c r="AO79" t="n">
        <v>1817.103352325416</v>
      </c>
      <c r="AP79" t="n">
        <v>1895.681304888946</v>
      </c>
      <c r="AQ79" t="n">
        <v>1974.588321811918</v>
      </c>
      <c r="AR79" t="n">
        <v>1938.314599960238</v>
      </c>
      <c r="AS79" t="n">
        <v>2019.090436771078</v>
      </c>
      <c r="AT79" t="n">
        <v>2103.295701888741</v>
      </c>
      <c r="AU79" t="n">
        <v>2191.173682340214</v>
      </c>
      <c r="AV79" t="n">
        <v>2281.57728667417</v>
      </c>
      <c r="AW79" t="n">
        <v>2371.340811910673</v>
      </c>
    </row>
    <row r="80">
      <c r="A80" t="inlineStr">
        <is>
          <t>no_year_in_pairs</t>
        </is>
      </c>
      <c r="C80" t="inlineStr">
        <is>
          <t>SM.19.158, Sup. 2</t>
        </is>
      </c>
      <c r="D80" t="inlineStr">
        <is>
          <t>Dominica</t>
        </is>
      </c>
      <c r="E80" t="inlineStr">
        <is>
          <t>DMA</t>
        </is>
      </c>
      <c r="G80" t="inlineStr">
        <is>
          <t>2018gn</t>
        </is>
      </c>
      <c r="H80" t="n">
        <v>2018</v>
      </c>
      <c r="I80" t="inlineStr">
        <is>
          <t>dod.pub.dom</t>
        </is>
      </c>
      <c r="M80" t="inlineStr">
        <is>
          <t>Share of foreign-currency denominated Public debt in total Public debt (previous period)</t>
        </is>
      </c>
      <c r="P80" t="inlineStr">
        <is>
          <t>…</t>
        </is>
      </c>
      <c r="Q80" t="n">
        <v>0</v>
      </c>
      <c r="R80" t="n">
        <v>0.7092701972607376</v>
      </c>
      <c r="S80" t="n">
        <v>0.7107561316204967</v>
      </c>
      <c r="T80" t="n">
        <v>0.7021820346866683</v>
      </c>
      <c r="U80" t="n">
        <v>0.7003254325695071</v>
      </c>
      <c r="V80" t="n">
        <v>0.7332708608641886</v>
      </c>
      <c r="W80" t="n">
        <v>0.711350144471982</v>
      </c>
      <c r="X80" t="n">
        <v>0.7296247656056988</v>
      </c>
      <c r="Y80" t="n">
        <v>0.7721976260327722</v>
      </c>
      <c r="Z80" t="n">
        <v>0.7771950333942541</v>
      </c>
      <c r="AA80" t="n">
        <v>0.7739684362685419</v>
      </c>
      <c r="AB80" t="n">
        <v>0.7744686728393477</v>
      </c>
      <c r="AC80" t="n">
        <v>0.7705475551057738</v>
      </c>
      <c r="AD80" t="n">
        <v>0.8637880434372017</v>
      </c>
      <c r="AE80" t="n">
        <v>0.8116173794651891</v>
      </c>
      <c r="AF80" t="n">
        <v>0.8046700109364902</v>
      </c>
      <c r="AG80" t="n">
        <v>0.8334030116051198</v>
      </c>
      <c r="AH80" t="n">
        <v>0.8055403798507489</v>
      </c>
      <c r="AI80" t="n">
        <v>0.8227367527532502</v>
      </c>
      <c r="AJ80" t="n">
        <v>0.8310780131128211</v>
      </c>
      <c r="AK80" t="n">
        <v>0.8387820608627511</v>
      </c>
      <c r="AL80" t="n">
        <v>0.8445315239614497</v>
      </c>
      <c r="AM80" t="n">
        <v>0.8494165953837286</v>
      </c>
      <c r="AN80" t="n">
        <v>0.8544892365869613</v>
      </c>
      <c r="AO80" t="n">
        <v>0.859695733954425</v>
      </c>
      <c r="AP80" t="n">
        <v>0.8651932221956481</v>
      </c>
      <c r="AQ80" t="n">
        <v>0.8777710215942454</v>
      </c>
      <c r="AR80" t="n">
        <v>0.8889149307173073</v>
      </c>
      <c r="AS80" t="n">
        <v>0.847808141489084</v>
      </c>
      <c r="AT80" t="n">
        <v>0.8577795774229575</v>
      </c>
      <c r="AU80" t="n">
        <v>0.8675655792919996</v>
      </c>
      <c r="AV80" t="n">
        <v>0.8768586015894455</v>
      </c>
      <c r="AW80" t="n">
        <v>0.8675296103885402</v>
      </c>
    </row>
    <row r="81">
      <c r="A81" t="inlineStr">
        <is>
          <t>no_year_in_pairs</t>
        </is>
      </c>
      <c r="C81" t="inlineStr">
        <is>
          <t>SM.19.158, Sup. 2</t>
        </is>
      </c>
      <c r="D81" t="inlineStr">
        <is>
          <t>Dominica</t>
        </is>
      </c>
      <c r="E81" t="inlineStr">
        <is>
          <t>DMA</t>
        </is>
      </c>
      <c r="G81" t="inlineStr">
        <is>
          <t>2018gn</t>
        </is>
      </c>
      <c r="H81" t="n">
        <v>2018</v>
      </c>
      <c r="I81" t="inlineStr">
        <is>
          <t>dod.fgn.cur</t>
        </is>
      </c>
      <c r="M81" t="inlineStr">
        <is>
          <t xml:space="preserve">Share of local-currency denominated external public debt in total external debt </t>
        </is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</row>
    <row r="82">
      <c r="A82" t="inlineStr">
        <is>
          <t>no_year_in_pairs</t>
        </is>
      </c>
      <c r="C82" t="inlineStr">
        <is>
          <t>SM.19.158, Sup. 2</t>
        </is>
      </c>
      <c r="D82" t="inlineStr">
        <is>
          <t>Dominica</t>
        </is>
      </c>
      <c r="E82" t="inlineStr">
        <is>
          <t>DMA</t>
        </is>
      </c>
      <c r="G82" t="inlineStr">
        <is>
          <t>2018gn</t>
        </is>
      </c>
      <c r="H82" t="n">
        <v>2018</v>
      </c>
      <c r="I82" t="inlineStr">
        <is>
          <t>dod.dom.cur.shr</t>
        </is>
      </c>
      <c r="M82" t="inlineStr">
        <is>
          <t>Interest rate on external debt</t>
        </is>
      </c>
      <c r="P82" t="inlineStr">
        <is>
          <t>...</t>
        </is>
      </c>
      <c r="Q82" t="n">
        <v>3.047162029086122</v>
      </c>
      <c r="R82" t="n">
        <v>2.588786580946067</v>
      </c>
      <c r="S82" t="n">
        <v>2.127474796139354</v>
      </c>
      <c r="T82" t="n">
        <v>3.050512762035009</v>
      </c>
      <c r="U82" t="n">
        <v>2.004132726255111</v>
      </c>
      <c r="V82" t="n">
        <v>1.779477097192027</v>
      </c>
      <c r="W82" t="n">
        <v>6.198482220780053</v>
      </c>
      <c r="X82" t="n">
        <v>2.441723635680936</v>
      </c>
      <c r="Y82" t="n">
        <v>2.250539516478246</v>
      </c>
      <c r="Z82" t="n">
        <v>1.966624791905756</v>
      </c>
      <c r="AA82" t="n">
        <v>2.36556785088368</v>
      </c>
      <c r="AB82" t="n">
        <v>2.226953282302245</v>
      </c>
      <c r="AC82" t="n">
        <v>1.489769795295215</v>
      </c>
      <c r="AD82" t="n">
        <v>2.864815490449603</v>
      </c>
      <c r="AE82" t="n">
        <v>3.179876405368307</v>
      </c>
      <c r="AF82" t="n">
        <v>3.19183145058427</v>
      </c>
      <c r="AG82" t="n">
        <v>2.783821200844357</v>
      </c>
      <c r="AH82" t="n">
        <v>3.242983282577969</v>
      </c>
      <c r="AI82" t="n">
        <v>3.196939592841714</v>
      </c>
      <c r="AJ82" t="n">
        <v>3.407045394667737</v>
      </c>
      <c r="AK82" t="n">
        <v>3.441949745314269</v>
      </c>
      <c r="AL82" t="n">
        <v>3.446305717389823</v>
      </c>
      <c r="AM82" t="n">
        <v>3.433182744453832</v>
      </c>
      <c r="AN82" t="n">
        <v>3.388168198636905</v>
      </c>
      <c r="AO82" t="n">
        <v>3.240905043488818</v>
      </c>
      <c r="AP82" t="n">
        <v>2.900257229087944</v>
      </c>
      <c r="AQ82" t="n">
        <v>2.896471005550345</v>
      </c>
      <c r="AR82" t="n">
        <v>3.227181591110997</v>
      </c>
      <c r="AS82" t="n">
        <v>3.090929849785025</v>
      </c>
      <c r="AT82" t="n">
        <v>3.059990988984175</v>
      </c>
      <c r="AU82" t="n">
        <v>3.602119885528519</v>
      </c>
      <c r="AV82" t="n">
        <v>2.926237560465563</v>
      </c>
      <c r="AW82" t="n">
        <v>2.751850215054195</v>
      </c>
    </row>
    <row r="83">
      <c r="A83" t="inlineStr">
        <is>
          <t>no_year_in_pairs</t>
        </is>
      </c>
      <c r="C83" t="inlineStr">
        <is>
          <t>SM.19.158, Sup. 2</t>
        </is>
      </c>
      <c r="D83" t="inlineStr">
        <is>
          <t>Dominica</t>
        </is>
      </c>
      <c r="E83" t="inlineStr">
        <is>
          <t>DMA</t>
        </is>
      </c>
      <c r="G83" t="inlineStr">
        <is>
          <t>2018gn</t>
        </is>
      </c>
      <c r="H83" t="n">
        <v>2018</v>
      </c>
      <c r="I83" t="inlineStr">
        <is>
          <t>int.rat.ext.dbt</t>
        </is>
      </c>
      <c r="M83" t="inlineStr">
        <is>
          <t>Interest rate on domestic debt</t>
        </is>
      </c>
      <c r="P83" t="inlineStr">
        <is>
          <t>...</t>
        </is>
      </c>
      <c r="Q83" t="inlineStr">
        <is>
          <t>...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2.587617124483506</v>
      </c>
      <c r="Z83" t="n">
        <v>1.140939376895507</v>
      </c>
      <c r="AA83" t="n">
        <v>1.402545122804719</v>
      </c>
      <c r="AB83" t="n">
        <v>0.7452115243959435</v>
      </c>
      <c r="AC83" t="n">
        <v>0.6161433380914713</v>
      </c>
      <c r="AD83" t="n">
        <v>-2.065452426511045</v>
      </c>
      <c r="AE83" t="n">
        <v>1.818057524656212</v>
      </c>
      <c r="AF83" t="n">
        <v>2.811361993849185</v>
      </c>
      <c r="AG83" t="n">
        <v>2.396625651419534</v>
      </c>
      <c r="AH83" t="n">
        <v>3.504203940084112</v>
      </c>
      <c r="AI83" t="n">
        <v>3.397407098151098</v>
      </c>
      <c r="AJ83" t="n">
        <v>3.339782538251261</v>
      </c>
      <c r="AK83" t="n">
        <v>3.367806232079991</v>
      </c>
      <c r="AL83" t="n">
        <v>3.511571270328098</v>
      </c>
      <c r="AM83" t="n">
        <v>3.592468506380225</v>
      </c>
      <c r="AN83" t="n">
        <v>3.663528819609069</v>
      </c>
      <c r="AO83" t="n">
        <v>3.714080442317985</v>
      </c>
      <c r="AP83" t="n">
        <v>3.757115309599916</v>
      </c>
      <c r="AQ83" t="n">
        <v>3.580790118894941</v>
      </c>
      <c r="AR83" t="n">
        <v>3.39944747795488</v>
      </c>
      <c r="AS83" t="n">
        <v>4.526456729130462</v>
      </c>
      <c r="AT83" t="n">
        <v>3.881436795403723</v>
      </c>
      <c r="AU83" t="n">
        <v>3.776069182820922</v>
      </c>
      <c r="AV83" t="n">
        <v>3.662031312239658</v>
      </c>
      <c r="AW83" t="n">
        <v>4.091955177296708</v>
      </c>
    </row>
    <row r="84">
      <c r="A84" t="inlineStr">
        <is>
          <t>no_year_in_pairs</t>
        </is>
      </c>
      <c r="C84" t="inlineStr">
        <is>
          <t>SM.19.158, Sup. 2</t>
        </is>
      </c>
      <c r="D84" t="inlineStr">
        <is>
          <t>Dominica</t>
        </is>
      </c>
      <c r="E84" t="inlineStr">
        <is>
          <t>DMA</t>
        </is>
      </c>
      <c r="G84" t="inlineStr">
        <is>
          <t>2018gn</t>
        </is>
      </c>
      <c r="H84" t="n">
        <v>2018</v>
      </c>
      <c r="I84" t="inlineStr">
        <is>
          <t>int.rat.dom.dbt</t>
        </is>
      </c>
      <c r="M84" t="inlineStr">
        <is>
          <t>Average Maturity (Debt stock / Amortization)</t>
        </is>
      </c>
      <c r="P84" t="inlineStr">
        <is>
          <t>…</t>
        </is>
      </c>
      <c r="Q84" t="n">
        <v>28.90934625199089</v>
      </c>
      <c r="R84" t="n">
        <v>30.22217069108618</v>
      </c>
      <c r="S84" t="n">
        <v>30.43699348301217</v>
      </c>
      <c r="T84" t="n">
        <v>25.35197093523334</v>
      </c>
      <c r="U84" t="n">
        <v>31.73514068740164</v>
      </c>
      <c r="V84" t="n">
        <v>24.62316450644616</v>
      </c>
      <c r="W84" t="n">
        <v>19.41627577984456</v>
      </c>
      <c r="X84" t="n">
        <v>26.90951001298759</v>
      </c>
      <c r="Y84" t="n">
        <v>21.64594926421109</v>
      </c>
      <c r="Z84" t="n">
        <v>19.00771045955356</v>
      </c>
      <c r="AA84" t="n">
        <v>17.06042267446572</v>
      </c>
      <c r="AB84" t="n">
        <v>13.38917540201668</v>
      </c>
      <c r="AC84" t="n">
        <v>51.46166483544145</v>
      </c>
      <c r="AD84" t="n">
        <v>11.40109558388761</v>
      </c>
      <c r="AE84" t="n">
        <v>10.06882738537224</v>
      </c>
      <c r="AF84" t="n">
        <v>7.424810535912347</v>
      </c>
      <c r="AG84" t="n">
        <v>6.78594077206145</v>
      </c>
      <c r="AH84" t="n">
        <v>6.102895238033923</v>
      </c>
      <c r="AI84" t="n">
        <v>5.479511279265763</v>
      </c>
      <c r="AJ84" t="n">
        <v>5.184758865666938</v>
      </c>
      <c r="AK84" t="n">
        <v>4.633168875809632</v>
      </c>
      <c r="AL84" t="n">
        <v>4.405710230955716</v>
      </c>
      <c r="AM84" t="n">
        <v>4.154176517930852</v>
      </c>
      <c r="AN84" t="n">
        <v>3.908606659240769</v>
      </c>
      <c r="AO84" t="n">
        <v>3.7726906844473</v>
      </c>
      <c r="AP84" t="n">
        <v>3.640814914859017</v>
      </c>
      <c r="AQ84" t="n">
        <v>3.542232455253118</v>
      </c>
      <c r="AR84" t="n">
        <v>3.449159650561166</v>
      </c>
      <c r="AS84" t="n">
        <v>3.929180968235449</v>
      </c>
      <c r="AT84" t="n">
        <v>3.80941291659963</v>
      </c>
      <c r="AU84" t="n">
        <v>3.701983499138501</v>
      </c>
      <c r="AV84" t="n">
        <v>3.669941513860026</v>
      </c>
      <c r="AW84" t="n">
        <v>3.594000114380841</v>
      </c>
    </row>
    <row r="85">
      <c r="A85" t="inlineStr">
        <is>
          <t>no_year_in_pairs</t>
        </is>
      </c>
      <c r="C85" t="inlineStr">
        <is>
          <t>SM.19.158, Sup. 2</t>
        </is>
      </c>
      <c r="D85" t="inlineStr">
        <is>
          <t>Dominica</t>
        </is>
      </c>
      <c r="E85" t="inlineStr">
        <is>
          <t>DMA</t>
        </is>
      </c>
      <c r="G85" t="inlineStr">
        <is>
          <t>2018gn</t>
        </is>
      </c>
      <c r="H85" t="n">
        <v>2018</v>
      </c>
      <c r="I85" t="inlineStr">
        <is>
          <t>avg.mat</t>
        </is>
      </c>
      <c r="K85" t="inlineStr">
        <is>
          <t>US Dollars</t>
        </is>
      </c>
      <c r="L85" t="inlineStr">
        <is>
          <t>Millions</t>
        </is>
      </c>
      <c r="M85" t="inlineStr">
        <is>
          <t>Total short-term external debt (public +private)</t>
        </is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</row>
    <row r="86">
      <c r="A86" t="inlineStr">
        <is>
          <t>no_year_in_pairs</t>
        </is>
      </c>
      <c r="C86" t="inlineStr">
        <is>
          <t>SM.19.158, Sup. 2</t>
        </is>
      </c>
      <c r="D86" t="inlineStr">
        <is>
          <t>Dominica</t>
        </is>
      </c>
      <c r="E86" t="inlineStr">
        <is>
          <t>DMA</t>
        </is>
      </c>
      <c r="G86" t="inlineStr">
        <is>
          <t>2018gn</t>
        </is>
      </c>
      <c r="H86" t="n">
        <v>2018</v>
      </c>
      <c r="I86" t="inlineStr">
        <is>
          <t>dod.dbt.sht.trm.all</t>
        </is>
      </c>
      <c r="M86" t="inlineStr">
        <is>
          <t>Grant element of new public external borrowing (in percent; if available)</t>
        </is>
      </c>
      <c r="P86" t="inlineStr">
        <is>
          <t>…</t>
        </is>
      </c>
      <c r="Q86" t="inlineStr">
        <is>
          <t>…</t>
        </is>
      </c>
      <c r="R86" t="inlineStr">
        <is>
          <t>…</t>
        </is>
      </c>
      <c r="S86" t="inlineStr">
        <is>
          <t>…</t>
        </is>
      </c>
      <c r="T86" t="inlineStr">
        <is>
          <t>…</t>
        </is>
      </c>
      <c r="U86" t="inlineStr">
        <is>
          <t>…</t>
        </is>
      </c>
      <c r="V86" t="inlineStr">
        <is>
          <t>…</t>
        </is>
      </c>
      <c r="W86" t="inlineStr">
        <is>
          <t>…</t>
        </is>
      </c>
      <c r="X86" t="inlineStr">
        <is>
          <t>…</t>
        </is>
      </c>
      <c r="Y86" t="inlineStr">
        <is>
          <t>…</t>
        </is>
      </c>
      <c r="Z86" t="inlineStr">
        <is>
          <t>…</t>
        </is>
      </c>
      <c r="AA86" t="inlineStr">
        <is>
          <t>…</t>
        </is>
      </c>
      <c r="AB86" t="inlineStr">
        <is>
          <t>…</t>
        </is>
      </c>
      <c r="AC86" t="n">
        <v>17.11349979120595</v>
      </c>
      <c r="AD86" t="n">
        <v>24.78280264025517</v>
      </c>
      <c r="AE86" t="n">
        <v>17.841967655061</v>
      </c>
      <c r="AF86" t="n">
        <v>16.26955458300976</v>
      </c>
      <c r="AG86" t="n">
        <v>10.33783045479478</v>
      </c>
      <c r="AH86" t="n">
        <v>10.02581479400638</v>
      </c>
      <c r="AI86" t="n">
        <v>9.367962398285803</v>
      </c>
      <c r="AJ86" t="n">
        <v>8.802412174431256</v>
      </c>
      <c r="AK86" t="n">
        <v>8.309820922727274</v>
      </c>
      <c r="AL86" t="n">
        <v>7.83132210537028</v>
      </c>
      <c r="AM86" t="n">
        <v>7.366781149032168</v>
      </c>
      <c r="AN86" t="n">
        <v>7.031038787603146</v>
      </c>
      <c r="AO86" t="n">
        <v>6.717047279490736</v>
      </c>
      <c r="AP86" t="n">
        <v>6.480350149994906</v>
      </c>
      <c r="AQ86" t="n">
        <v>6.290869779656819</v>
      </c>
      <c r="AR86" t="n">
        <v>7.287149742988336</v>
      </c>
      <c r="AS86" t="n">
        <v>7.069989953622678</v>
      </c>
      <c r="AT86" t="n">
        <v>6.879354955909915</v>
      </c>
      <c r="AU86" t="n">
        <v>6.710071616624399</v>
      </c>
      <c r="AV86" t="n">
        <v>6.389955234727646</v>
      </c>
      <c r="AW86" t="n">
        <v>6.25336317547251</v>
      </c>
    </row>
    <row r="87">
      <c r="A87" t="inlineStr">
        <is>
          <t>no_year_in_pairs</t>
        </is>
      </c>
      <c r="C87" t="inlineStr">
        <is>
          <t>SM.19.158, Sup. 2</t>
        </is>
      </c>
      <c r="D87" t="inlineStr">
        <is>
          <t>Dominica</t>
        </is>
      </c>
      <c r="E87" t="inlineStr">
        <is>
          <t>DMA</t>
        </is>
      </c>
      <c r="G87" t="inlineStr">
        <is>
          <t>2018gn</t>
        </is>
      </c>
      <c r="H87" t="n">
        <v>2018</v>
      </c>
      <c r="I87" t="inlineStr">
        <is>
          <t>new.dis.ext.grt.lmt</t>
        </is>
      </c>
      <c r="K87" t="inlineStr">
        <is>
          <t>National Currency</t>
        </is>
      </c>
      <c r="L87" t="inlineStr">
        <is>
          <t>Millions</t>
        </is>
      </c>
      <c r="M87" t="inlineStr">
        <is>
          <t>PV of contingent liabilities (if available)</t>
        </is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</row>
    <row r="88">
      <c r="A88" t="inlineStr">
        <is>
          <t>no_year_in_pairs</t>
        </is>
      </c>
      <c r="C88" t="inlineStr">
        <is>
          <t>SM.19.158, Sup. 2</t>
        </is>
      </c>
      <c r="D88" t="inlineStr">
        <is>
          <t>Dominica</t>
        </is>
      </c>
      <c r="E88" t="inlineStr">
        <is>
          <t>DMA</t>
        </is>
      </c>
      <c r="G88" t="inlineStr">
        <is>
          <t>2018gn</t>
        </is>
      </c>
      <c r="H88" t="n">
        <v>2018</v>
      </c>
      <c r="I88" t="inlineStr">
        <is>
          <t>pv.conting.liab</t>
        </is>
      </c>
      <c r="M88" t="inlineStr">
        <is>
          <t>PV of public sector external debt (end of period)</t>
        </is>
      </c>
      <c r="P88" t="inlineStr">
        <is>
          <t>…</t>
        </is>
      </c>
      <c r="Q88" t="inlineStr">
        <is>
          <t>…</t>
        </is>
      </c>
      <c r="R88" t="inlineStr">
        <is>
          <t>…</t>
        </is>
      </c>
      <c r="S88" t="inlineStr">
        <is>
          <t>…</t>
        </is>
      </c>
      <c r="T88" t="inlineStr">
        <is>
          <t>…</t>
        </is>
      </c>
      <c r="U88" t="inlineStr">
        <is>
          <t>…</t>
        </is>
      </c>
      <c r="V88" t="inlineStr">
        <is>
          <t>…</t>
        </is>
      </c>
      <c r="W88" t="inlineStr">
        <is>
          <t>…</t>
        </is>
      </c>
      <c r="X88" t="inlineStr">
        <is>
          <t>…</t>
        </is>
      </c>
      <c r="Y88" t="inlineStr">
        <is>
          <t>…</t>
        </is>
      </c>
      <c r="Z88" t="inlineStr">
        <is>
          <t>…</t>
        </is>
      </c>
      <c r="AA88" t="inlineStr">
        <is>
          <t>…</t>
        </is>
      </c>
      <c r="AB88" t="n">
        <v>737.3529639023333</v>
      </c>
      <c r="AC88" t="n">
        <v>857.9986380512834</v>
      </c>
      <c r="AD88" t="n">
        <v>894.1650819141753</v>
      </c>
      <c r="AE88" t="n">
        <v>987.5407182125304</v>
      </c>
      <c r="AF88" t="n">
        <v>1054.458738551241</v>
      </c>
      <c r="AG88" t="n">
        <v>1098.028005123103</v>
      </c>
      <c r="AH88" t="n">
        <v>1145.853343622065</v>
      </c>
      <c r="AI88" t="n">
        <v>1181.569951565195</v>
      </c>
      <c r="AJ88" t="n">
        <v>1219.004835394147</v>
      </c>
      <c r="AK88" t="n">
        <v>1253.286359721674</v>
      </c>
      <c r="AL88" t="n">
        <v>1286.405928291163</v>
      </c>
      <c r="AM88" t="n">
        <v>1320.440614054114</v>
      </c>
      <c r="AN88" t="n">
        <v>1355.889297005241</v>
      </c>
      <c r="AO88" t="n">
        <v>1394.999054303771</v>
      </c>
      <c r="AP88" t="n">
        <v>1448.516051230853</v>
      </c>
      <c r="AQ88" t="n">
        <v>1501.835737820754</v>
      </c>
      <c r="AR88" t="n">
        <v>1432.686864731021</v>
      </c>
      <c r="AS88" t="n">
        <v>1479.396566922006</v>
      </c>
      <c r="AT88" t="n">
        <v>1528.358929331821</v>
      </c>
      <c r="AU88" t="n">
        <v>1567.760389906911</v>
      </c>
      <c r="AV88" t="n">
        <v>1622.748222422314</v>
      </c>
      <c r="AW88" t="n">
        <v>1679.369330319822</v>
      </c>
    </row>
    <row r="89">
      <c r="A89" t="inlineStr">
        <is>
          <t>no_year_in_pairs</t>
        </is>
      </c>
      <c r="C89" t="inlineStr">
        <is>
          <t>SM.19.158, Sup. 2</t>
        </is>
      </c>
      <c r="D89" t="inlineStr">
        <is>
          <t>Dominica</t>
        </is>
      </c>
      <c r="E89" t="inlineStr">
        <is>
          <t>DMA</t>
        </is>
      </c>
      <c r="G89" t="inlineStr">
        <is>
          <t>2018gn</t>
        </is>
      </c>
      <c r="H89" t="n">
        <v>2018</v>
      </c>
      <c r="I89" t="inlineStr">
        <is>
          <t>pv.pub.ext.dbt.eop</t>
        </is>
      </c>
      <c r="M89" t="inlineStr">
        <is>
          <t>Total public debt outstanding (net)</t>
        </is>
      </c>
      <c r="P89" t="n">
        <v>572.7267999999999</v>
      </c>
      <c r="Q89" t="n">
        <v>847.6480505200002</v>
      </c>
      <c r="R89" t="n">
        <v>852.1503692400011</v>
      </c>
      <c r="S89" t="n">
        <v>823.0193474800013</v>
      </c>
      <c r="T89" t="n">
        <v>829.4125459200004</v>
      </c>
      <c r="U89" t="n">
        <v>897.5408970900012</v>
      </c>
      <c r="V89" t="n">
        <v>928.4837483800012</v>
      </c>
      <c r="W89" t="n">
        <v>971.4399999999999</v>
      </c>
      <c r="X89" t="n">
        <v>1121.611014627783</v>
      </c>
      <c r="Y89" t="n">
        <v>1072.572501967655</v>
      </c>
      <c r="Z89" t="n">
        <v>967.7172095088063</v>
      </c>
      <c r="AA89" t="n">
        <v>896.1517262671942</v>
      </c>
      <c r="AB89" t="n">
        <v>898.0721415626042</v>
      </c>
      <c r="AC89" t="n">
        <v>1062.144199420714</v>
      </c>
      <c r="AD89" t="n">
        <v>1221.24394109437</v>
      </c>
      <c r="AE89" t="n">
        <v>1374.151679502782</v>
      </c>
      <c r="AF89" t="n">
        <v>1434.912658066926</v>
      </c>
      <c r="AG89" t="n">
        <v>1542.233368414012</v>
      </c>
      <c r="AH89" t="n">
        <v>1589.896526429139</v>
      </c>
      <c r="AI89" t="n">
        <v>1639.602258545076</v>
      </c>
      <c r="AJ89" t="n">
        <v>1695.154529712262</v>
      </c>
      <c r="AK89" t="n">
        <v>1754.093498218919</v>
      </c>
      <c r="AL89" t="n">
        <v>1816.364582375989</v>
      </c>
      <c r="AM89" t="n">
        <v>1881.564274883047</v>
      </c>
      <c r="AN89" t="n">
        <v>1949.172160679786</v>
      </c>
      <c r="AO89" t="n">
        <v>2017.348169547376</v>
      </c>
      <c r="AP89" t="n">
        <v>2082.423173380921</v>
      </c>
      <c r="AQ89" t="n">
        <v>2149.358987932399</v>
      </c>
      <c r="AR89" t="n">
        <v>2224.904665341227</v>
      </c>
      <c r="AS89" t="n">
        <v>2304.881125298112</v>
      </c>
      <c r="AT89" t="n">
        <v>2384.889045866862</v>
      </c>
      <c r="AU89" t="n">
        <v>2478.968023490103</v>
      </c>
      <c r="AV89" t="n">
        <v>2614.786473553858</v>
      </c>
      <c r="AW89" t="n">
        <v>2755.169562532089</v>
      </c>
    </row>
    <row r="90">
      <c r="A90" t="inlineStr">
        <is>
          <t>no_year_in_pairs</t>
        </is>
      </c>
      <c r="C90" t="inlineStr">
        <is>
          <t>SM.19.158, Sup. 2</t>
        </is>
      </c>
      <c r="D90" t="inlineStr">
        <is>
          <t>Dominica</t>
        </is>
      </c>
      <c r="E90" t="inlineStr">
        <is>
          <t>DMA</t>
        </is>
      </c>
      <c r="G90" t="inlineStr">
        <is>
          <t>2018gn</t>
        </is>
      </c>
      <c r="H90" t="n">
        <v>2018</v>
      </c>
      <c r="I90" t="inlineStr">
        <is>
          <t>dod.pub.dbt</t>
        </is>
      </c>
    </row>
    <row r="91">
      <c r="A91" t="inlineStr">
        <is>
          <t>no_year_in_pairs</t>
        </is>
      </c>
      <c r="C91" t="inlineStr">
        <is>
          <t>SM.19.158, Sup. 2</t>
        </is>
      </c>
      <c r="D91" t="inlineStr">
        <is>
          <t>Dominica</t>
        </is>
      </c>
      <c r="E91" t="inlineStr">
        <is>
          <t>DMA</t>
        </is>
      </c>
      <c r="G91" t="inlineStr">
        <is>
          <t>2018gn</t>
        </is>
      </c>
      <c r="H91" t="n">
        <v>2018</v>
      </c>
      <c r="K91" t="inlineStr">
        <is>
          <t>US Dollars</t>
        </is>
      </c>
      <c r="L91" t="inlineStr">
        <is>
          <t>Millions</t>
        </is>
      </c>
      <c r="M91" t="inlineStr">
        <is>
          <t>Government revenues (excluding grants)</t>
        </is>
      </c>
      <c r="P91" t="n">
        <v>127.0287850527556</v>
      </c>
      <c r="Q91" t="n">
        <v>139.2224751291244</v>
      </c>
      <c r="R91" t="n">
        <v>154.3952735011807</v>
      </c>
      <c r="S91" t="n">
        <v>165.2851707598018</v>
      </c>
      <c r="T91" t="n">
        <v>174.1983959536678</v>
      </c>
      <c r="U91" t="n">
        <v>174.6698185666666</v>
      </c>
      <c r="V91" t="n">
        <v>174.2855931444444</v>
      </c>
      <c r="W91" t="n">
        <v>183.1545438518519</v>
      </c>
      <c r="X91" t="n">
        <v>186.505067127037</v>
      </c>
      <c r="Y91" t="n">
        <v>180.74319067885</v>
      </c>
      <c r="Z91" t="n">
        <v>283.5511515324737</v>
      </c>
      <c r="AA91" t="n">
        <v>371.0101998004296</v>
      </c>
      <c r="AB91" t="n">
        <v>313.0774300632452</v>
      </c>
      <c r="AC91" t="n">
        <v>285.4030621028296</v>
      </c>
      <c r="AD91" t="n">
        <v>291.9074195887641</v>
      </c>
      <c r="AE91" t="n">
        <v>275.2226966946009</v>
      </c>
      <c r="AF91" t="n">
        <v>266.9352954494004</v>
      </c>
      <c r="AG91" t="n">
        <v>262.255707878003</v>
      </c>
      <c r="AH91" t="n">
        <v>263.412027910965</v>
      </c>
      <c r="AI91" t="n">
        <v>272.3696608388053</v>
      </c>
      <c r="AJ91" t="n">
        <v>281.6555527539068</v>
      </c>
      <c r="AK91" t="n">
        <v>291.4794138954869</v>
      </c>
      <c r="AL91" t="n">
        <v>301.6464954757927</v>
      </c>
      <c r="AM91" t="n">
        <v>312.1688079050883</v>
      </c>
      <c r="AN91" t="n">
        <v>323.0587920631272</v>
      </c>
      <c r="AO91" t="n">
        <v>334.3292960059632</v>
      </c>
      <c r="AP91" t="n">
        <v>345.993648793838</v>
      </c>
      <c r="AQ91" t="n">
        <v>358.0656201618813</v>
      </c>
      <c r="AR91" t="n">
        <v>370.5594978034521</v>
      </c>
      <c r="AS91" t="n">
        <v>383.4900326215129</v>
      </c>
      <c r="AT91" t="n">
        <v>396.8725093969977</v>
      </c>
      <c r="AU91" t="n">
        <v>395.6965878194504</v>
      </c>
      <c r="AV91" t="n">
        <v>394.4791562937783</v>
      </c>
      <c r="AW91" t="n">
        <v>393.2187495217624</v>
      </c>
    </row>
    <row r="92">
      <c r="A92" t="inlineStr">
        <is>
          <t>no_year_in_pairs</t>
        </is>
      </c>
      <c r="C92" t="inlineStr">
        <is>
          <t>SM.19.158, Sup. 2</t>
        </is>
      </c>
      <c r="D92" t="inlineStr">
        <is>
          <t>Dominica</t>
        </is>
      </c>
      <c r="E92" t="inlineStr">
        <is>
          <t>DMA</t>
        </is>
      </c>
      <c r="G92" t="inlineStr">
        <is>
          <t>2018gn</t>
        </is>
      </c>
      <c r="H92" t="n">
        <v>2018</v>
      </c>
      <c r="I92" t="inlineStr">
        <is>
          <t>gov.rev.exc.grt</t>
        </is>
      </c>
      <c r="M92" t="inlineStr">
        <is>
          <t>Real revenue and grants</t>
        </is>
      </c>
      <c r="P92" t="n">
        <v>398.6142563351374</v>
      </c>
      <c r="Q92" t="n">
        <v>425.6591288782128</v>
      </c>
      <c r="R92" t="n">
        <v>495.1780145932374</v>
      </c>
      <c r="S92" t="n">
        <v>525.7576167747092</v>
      </c>
      <c r="T92" t="n">
        <v>522.5732799290575</v>
      </c>
      <c r="U92" t="n">
        <v>532.210277349856</v>
      </c>
      <c r="V92" t="n">
        <v>478.1320808107774</v>
      </c>
      <c r="W92" t="n">
        <v>468.8558799609714</v>
      </c>
      <c r="X92" t="n">
        <v>463.3988542928316</v>
      </c>
      <c r="Y92" t="n">
        <v>439.8572606274735</v>
      </c>
      <c r="Z92" t="n">
        <v>630.1076941386171</v>
      </c>
      <c r="AA92" t="n">
        <v>837.5942379316964</v>
      </c>
      <c r="AB92" t="n">
        <v>705.7535857903683</v>
      </c>
      <c r="AC92" t="n">
        <v>579.0947505100546</v>
      </c>
      <c r="AD92" t="n">
        <v>602.1946856782264</v>
      </c>
      <c r="AE92" t="n">
        <v>575.5815563619723</v>
      </c>
      <c r="AF92" t="n">
        <v>552.4386321611688</v>
      </c>
      <c r="AG92" t="n">
        <v>538.6043685152293</v>
      </c>
      <c r="AH92" t="n">
        <v>533.2496943401084</v>
      </c>
      <c r="AI92" t="n">
        <v>540.574950088129</v>
      </c>
      <c r="AJ92" t="n">
        <v>548.0932268729044</v>
      </c>
      <c r="AK92" t="n">
        <v>556.1058874731336</v>
      </c>
      <c r="AL92" t="n">
        <v>564.2366873068704</v>
      </c>
      <c r="AM92" t="n">
        <v>572.4873737501435</v>
      </c>
      <c r="AN92" t="n">
        <v>580.8597436133211</v>
      </c>
      <c r="AO92" t="n">
        <v>589.3556259815871</v>
      </c>
      <c r="AP92" t="n">
        <v>597.9767646839297</v>
      </c>
      <c r="AQ92" t="n">
        <v>606.7251020006763</v>
      </c>
      <c r="AR92" t="n">
        <v>615.6024945470206</v>
      </c>
      <c r="AS92" t="n">
        <v>624.6108381502286</v>
      </c>
      <c r="AT92" t="n">
        <v>633.7521056478261</v>
      </c>
      <c r="AU92" t="n">
        <v>621.3256440613616</v>
      </c>
      <c r="AV92" t="n">
        <v>609.1428104218411</v>
      </c>
      <c r="AW92" t="n">
        <v>597.1989056339489</v>
      </c>
    </row>
    <row r="93">
      <c r="A93" t="inlineStr">
        <is>
          <t>no_year_in_pairs</t>
        </is>
      </c>
      <c r="C93" t="inlineStr">
        <is>
          <t>SM.19.158, Sup. 2</t>
        </is>
      </c>
      <c r="D93" t="inlineStr">
        <is>
          <t>Dominica</t>
        </is>
      </c>
      <c r="E93" t="inlineStr">
        <is>
          <t>DMA</t>
        </is>
      </c>
      <c r="G93" t="inlineStr">
        <is>
          <t>2018gn</t>
        </is>
      </c>
      <c r="H93" t="n">
        <v>2018</v>
      </c>
      <c r="I93" t="inlineStr">
        <is>
          <t>rev.real.inc.grt</t>
        </is>
      </c>
      <c r="M93" t="inlineStr">
        <is>
          <t>Growth in real revenues and grants</t>
        </is>
      </c>
      <c r="P93" t="inlineStr">
        <is>
          <t>...</t>
        </is>
      </c>
      <c r="Q93" t="n">
        <v>6.784722852545766</v>
      </c>
      <c r="R93" t="n">
        <v>16.33205562822897</v>
      </c>
      <c r="S93" t="n">
        <v>6.1754765519207</v>
      </c>
      <c r="T93" t="n">
        <v>-0.6056663268496409</v>
      </c>
      <c r="U93" t="n">
        <v>1.844142781679681</v>
      </c>
      <c r="V93" t="n">
        <v>-10.16105829604819</v>
      </c>
      <c r="W93" t="n">
        <v>-1.940091707311553</v>
      </c>
      <c r="X93" t="n">
        <v>-1.163902576756426</v>
      </c>
      <c r="Y93" t="n">
        <v>-5.080201093997882</v>
      </c>
      <c r="Z93" t="n">
        <v>43.25276641784745</v>
      </c>
      <c r="AA93" t="n">
        <v>32.92874308997635</v>
      </c>
      <c r="AB93" t="n">
        <v>-15.74039626476983</v>
      </c>
      <c r="AC93" t="n">
        <v>-17.94660882076418</v>
      </c>
      <c r="AD93" t="n">
        <v>3.988973332572243</v>
      </c>
      <c r="AE93" t="n">
        <v>-4.419356389085516</v>
      </c>
      <c r="AF93" t="n">
        <v>-4.020789746475007</v>
      </c>
      <c r="AG93" t="n">
        <v>-2.504217272390796</v>
      </c>
      <c r="AH93" t="n">
        <v>-0.9941757787598759</v>
      </c>
      <c r="AI93" t="n">
        <v>1.373700880801354</v>
      </c>
      <c r="AJ93" t="n">
        <v>1.390792670572294</v>
      </c>
      <c r="AK93" t="n">
        <v>1.461915639050071</v>
      </c>
      <c r="AL93" t="n">
        <v>1.462095621875537</v>
      </c>
      <c r="AM93" t="n">
        <v>1.462274011754539</v>
      </c>
      <c r="AN93" t="n">
        <v>1.462454937361057</v>
      </c>
      <c r="AO93" t="n">
        <v>1.462639210528871</v>
      </c>
      <c r="AP93" t="n">
        <v>1.462807568517532</v>
      </c>
      <c r="AQ93" t="n">
        <v>1.462989506184353</v>
      </c>
      <c r="AR93" t="n">
        <v>1.463165528683597</v>
      </c>
      <c r="AS93" t="n">
        <v>1.463337735471115</v>
      </c>
      <c r="AT93" t="n">
        <v>1.463514069763683</v>
      </c>
      <c r="AU93" t="n">
        <v>-1.960776378606599</v>
      </c>
      <c r="AV93" t="n">
        <v>-1.960780752567381</v>
      </c>
      <c r="AW93" t="n">
        <v>-1.960772512380282</v>
      </c>
    </row>
    <row r="94">
      <c r="A94" t="inlineStr">
        <is>
          <t>no_year_in_pairs</t>
        </is>
      </c>
      <c r="C94" t="inlineStr">
        <is>
          <t>SM.19.158, Sup. 2</t>
        </is>
      </c>
      <c r="D94" t="inlineStr">
        <is>
          <t>Dominica</t>
        </is>
      </c>
      <c r="E94" t="inlineStr">
        <is>
          <t>DMA</t>
        </is>
      </c>
      <c r="G94" t="inlineStr">
        <is>
          <t>2018gn</t>
        </is>
      </c>
      <c r="H94" t="n">
        <v>2018</v>
      </c>
      <c r="I94" t="inlineStr">
        <is>
          <t>gov.rev.gwth</t>
        </is>
      </c>
      <c r="M94" t="inlineStr">
        <is>
          <t>Revenues in percent of GDP</t>
        </is>
      </c>
      <c r="P94" t="n">
        <v>33.67207411581646</v>
      </c>
      <c r="Q94" t="n">
        <v>34.30705155555007</v>
      </c>
      <c r="R94" t="n">
        <v>35.10714613764834</v>
      </c>
      <c r="S94" t="n">
        <v>34.89736341403369</v>
      </c>
      <c r="T94" t="n">
        <v>35.44584782403668</v>
      </c>
      <c r="U94" t="n">
        <v>35.11481541712124</v>
      </c>
      <c r="V94" t="n">
        <v>35.31539473456102</v>
      </c>
      <c r="W94" t="n">
        <v>37.07667198517762</v>
      </c>
      <c r="X94" t="n">
        <v>36.36832483640294</v>
      </c>
      <c r="Y94" t="n">
        <v>33.9584206231213</v>
      </c>
      <c r="Z94" t="n">
        <v>50.8020126786487</v>
      </c>
      <c r="AA94" t="n">
        <v>67.51693332737241</v>
      </c>
      <c r="AB94" t="n">
        <v>59.23701061634992</v>
      </c>
      <c r="AC94" t="n">
        <v>50.61305837297231</v>
      </c>
      <c r="AD94" t="n">
        <v>47.51699994318718</v>
      </c>
      <c r="AE94" t="n">
        <v>42.10365623958975</v>
      </c>
      <c r="AF94" t="n">
        <v>38.57766914236194</v>
      </c>
      <c r="AG94" t="n">
        <v>36.14967932592764</v>
      </c>
      <c r="AH94" t="n">
        <v>34.97856299053626</v>
      </c>
      <c r="AI94" t="n">
        <v>34.93770958177851</v>
      </c>
      <c r="AJ94" t="n">
        <v>34.89697974961694</v>
      </c>
      <c r="AK94" t="n">
        <v>34.88279110750297</v>
      </c>
      <c r="AL94" t="n">
        <v>34.86867535018134</v>
      </c>
      <c r="AM94" t="n">
        <v>34.85463157928043</v>
      </c>
      <c r="AN94" t="n">
        <v>34.84065979381977</v>
      </c>
      <c r="AO94" t="n">
        <v>34.82675972907334</v>
      </c>
      <c r="AP94" t="n">
        <v>34.81293060433119</v>
      </c>
      <c r="AQ94" t="n">
        <v>34.7991723748331</v>
      </c>
      <c r="AR94" t="n">
        <v>34.78548446100864</v>
      </c>
      <c r="AS94" t="n">
        <v>34.77186649013125</v>
      </c>
      <c r="AT94" t="n">
        <v>34.75831829140864</v>
      </c>
      <c r="AU94" t="n">
        <v>33.47371080350776</v>
      </c>
      <c r="AV94" t="n">
        <v>32.23290371756723</v>
      </c>
      <c r="AW94" t="n">
        <v>31.03440360058893</v>
      </c>
    </row>
    <row r="95">
      <c r="A95" t="inlineStr">
        <is>
          <t>no_year_in_pairs</t>
        </is>
      </c>
      <c r="C95" t="inlineStr">
        <is>
          <t>SM.19.158, Sup. 2</t>
        </is>
      </c>
      <c r="D95" t="inlineStr">
        <is>
          <t>Dominica</t>
        </is>
      </c>
      <c r="E95" t="inlineStr">
        <is>
          <t>DMA</t>
        </is>
      </c>
      <c r="G95" t="inlineStr">
        <is>
          <t>2018gn</t>
        </is>
      </c>
      <c r="H95" t="n">
        <v>2018</v>
      </c>
      <c r="I95" t="inlineStr">
        <is>
          <t>gov.rev.2gdp</t>
        </is>
      </c>
      <c r="M95" t="inlineStr">
        <is>
          <t>Real non-interest expenditure</t>
        </is>
      </c>
      <c r="P95" t="n">
        <v>341.1860863194727</v>
      </c>
      <c r="Q95" t="n">
        <v>367.3411268563968</v>
      </c>
      <c r="R95" t="n">
        <v>443.9422675836443</v>
      </c>
      <c r="S95" t="n">
        <v>485.3281512878864</v>
      </c>
      <c r="T95" t="n">
        <v>500.4350411818012</v>
      </c>
      <c r="U95" t="n">
        <v>580.2841590420327</v>
      </c>
      <c r="V95" t="n">
        <v>518.28487009651</v>
      </c>
      <c r="W95" t="n">
        <v>514.8498952646562</v>
      </c>
      <c r="X95" t="n">
        <v>367.594134791981</v>
      </c>
      <c r="Y95" t="n">
        <v>370.0134742816094</v>
      </c>
      <c r="Z95" t="n">
        <v>462.0828485266657</v>
      </c>
      <c r="AA95" t="n">
        <v>632.7190683287956</v>
      </c>
      <c r="AB95" t="n">
        <v>680.5144911562739</v>
      </c>
      <c r="AC95" t="n">
        <v>688.7697097228788</v>
      </c>
      <c r="AD95" t="n">
        <v>703.3962716917504</v>
      </c>
      <c r="AE95" t="n">
        <v>661.6929137492508</v>
      </c>
      <c r="AF95" t="n">
        <v>566.7585409106086</v>
      </c>
      <c r="AG95" t="n">
        <v>587.0471658327727</v>
      </c>
      <c r="AH95" t="n">
        <v>530.8403440331172</v>
      </c>
      <c r="AI95" t="n">
        <v>538.9969624570331</v>
      </c>
      <c r="AJ95" t="n">
        <v>547.3004065829525</v>
      </c>
      <c r="AK95" t="n">
        <v>555.7153263140416</v>
      </c>
      <c r="AL95" t="n">
        <v>564.2455235723415</v>
      </c>
      <c r="AM95" t="n">
        <v>572.894321521728</v>
      </c>
      <c r="AN95" t="n">
        <v>581.6657405394005</v>
      </c>
      <c r="AO95" t="n">
        <v>590.5614683482299</v>
      </c>
      <c r="AP95" t="n">
        <v>599.5834105202678</v>
      </c>
      <c r="AQ95" t="n">
        <v>608.7343129371186</v>
      </c>
      <c r="AR95" t="n">
        <v>618.0164461163475</v>
      </c>
      <c r="AS95" t="n">
        <v>627.4321134763281</v>
      </c>
      <c r="AT95" t="n">
        <v>636.9881876030693</v>
      </c>
      <c r="AU95" t="n">
        <v>624.9886425201706</v>
      </c>
      <c r="AV95" t="n">
        <v>641.1597235644055</v>
      </c>
      <c r="AW95" t="n">
        <v>630.0688197572865</v>
      </c>
    </row>
    <row r="96">
      <c r="A96" t="inlineStr">
        <is>
          <t>no_year_in_pairs</t>
        </is>
      </c>
      <c r="C96" t="inlineStr">
        <is>
          <t>SM.19.158, Sup. 2</t>
        </is>
      </c>
      <c r="D96" t="inlineStr">
        <is>
          <t>Dominica</t>
        </is>
      </c>
      <c r="E96" t="inlineStr">
        <is>
          <t>DMA</t>
        </is>
      </c>
      <c r="G96" t="inlineStr">
        <is>
          <t>2018gn</t>
        </is>
      </c>
      <c r="H96" t="n">
        <v>2018</v>
      </c>
      <c r="I96" t="inlineStr">
        <is>
          <t>real.prim.exp</t>
        </is>
      </c>
      <c r="M96" t="inlineStr">
        <is>
          <t>Growth of real non-interest expenditures</t>
        </is>
      </c>
      <c r="Q96" t="n">
        <v>7.665916514671012</v>
      </c>
      <c r="R96" t="n">
        <v>20.85286267366213</v>
      </c>
      <c r="S96" t="n">
        <v>9.32235714555938</v>
      </c>
      <c r="T96" t="n">
        <v>3.112716592644893</v>
      </c>
      <c r="U96" t="n">
        <v>15.95594058954464</v>
      </c>
      <c r="V96" t="n">
        <v>-10.68429802527693</v>
      </c>
      <c r="W96" t="n">
        <v>-0.662758075730463</v>
      </c>
      <c r="X96" t="n">
        <v>-28.60168795353042</v>
      </c>
      <c r="Y96" t="n">
        <v>0.6581550848186124</v>
      </c>
      <c r="Z96" t="n">
        <v>24.88270850779455</v>
      </c>
      <c r="AA96" t="n">
        <v>36.9276246340234</v>
      </c>
      <c r="AB96" t="n">
        <v>7.553972247702379</v>
      </c>
      <c r="AC96" t="n">
        <v>1.213084904713524</v>
      </c>
      <c r="AD96" t="n">
        <v>2.123577991656522</v>
      </c>
      <c r="AE96" t="n">
        <v>-5.928856836587737</v>
      </c>
      <c r="AF96" t="n">
        <v>-14.3471950305059</v>
      </c>
      <c r="AG96" t="n">
        <v>3.579765183523564</v>
      </c>
      <c r="AH96" t="n">
        <v>-9.574498451060876</v>
      </c>
      <c r="AI96" t="n">
        <v>1.536548326742682</v>
      </c>
      <c r="AJ96" t="n">
        <v>1.540536348863264</v>
      </c>
      <c r="AK96" t="n">
        <v>1.537532154165078</v>
      </c>
      <c r="AL96" t="n">
        <v>1.534994061596096</v>
      </c>
      <c r="AM96" t="n">
        <v>1.532807543536951</v>
      </c>
      <c r="AN96" t="n">
        <v>1.531071034946518</v>
      </c>
      <c r="AO96" t="n">
        <v>1.529353920789633</v>
      </c>
      <c r="AP96" t="n">
        <v>1.527688929193394</v>
      </c>
      <c r="AQ96" t="n">
        <v>1.526210074576695</v>
      </c>
      <c r="AR96" t="n">
        <v>1.524825031538479</v>
      </c>
      <c r="AS96" t="n">
        <v>1.523530226282688</v>
      </c>
      <c r="AT96" t="n">
        <v>1.52304511061685</v>
      </c>
      <c r="AU96" t="n">
        <v>-1.883793972389325</v>
      </c>
      <c r="AV96" t="n">
        <v>2.587419985590045</v>
      </c>
      <c r="AW96" t="n">
        <v>-1.729819169778968</v>
      </c>
    </row>
    <row r="97">
      <c r="A97" t="inlineStr">
        <is>
          <t>no_year_in_pairs</t>
        </is>
      </c>
      <c r="C97" t="inlineStr">
        <is>
          <t>SM.19.158, Sup. 2</t>
        </is>
      </c>
      <c r="D97" t="inlineStr">
        <is>
          <t>Dominica</t>
        </is>
      </c>
      <c r="E97" t="inlineStr">
        <is>
          <t>DMA</t>
        </is>
      </c>
      <c r="G97" t="inlineStr">
        <is>
          <t>2018gn</t>
        </is>
      </c>
      <c r="H97" t="n">
        <v>2018</v>
      </c>
      <c r="I97" t="inlineStr">
        <is>
          <t>real.prim.exp.gwth</t>
        </is>
      </c>
      <c r="M97" t="inlineStr">
        <is>
          <t>Gross financing need</t>
        </is>
      </c>
      <c r="P97" t="inlineStr">
        <is>
          <t>…</t>
        </is>
      </c>
      <c r="Q97" t="n">
        <v>-14.759781176287</v>
      </c>
      <c r="R97" t="n">
        <v>-11.35877224336056</v>
      </c>
      <c r="S97" t="n">
        <v>-3.485820805747951</v>
      </c>
      <c r="T97" t="n">
        <v>24.52452213575492</v>
      </c>
      <c r="U97" t="n">
        <v>92.15881261000011</v>
      </c>
      <c r="V97" t="n">
        <v>91.95798146400017</v>
      </c>
      <c r="W97" t="n">
        <v>140.5920126097229</v>
      </c>
      <c r="X97" t="n">
        <v>-54.54775922981489</v>
      </c>
      <c r="Y97" t="n">
        <v>-3.917353910428039</v>
      </c>
      <c r="Z97" t="n">
        <v>-132.7039649404926</v>
      </c>
      <c r="AA97" t="n">
        <v>-159.1757358529719</v>
      </c>
      <c r="AB97" t="n">
        <v>69.44859294411765</v>
      </c>
      <c r="AC97" t="n">
        <v>185.59020114811</v>
      </c>
      <c r="AD97" t="n">
        <v>272.5320841553614</v>
      </c>
      <c r="AE97" t="n">
        <v>297.9424356289137</v>
      </c>
      <c r="AF97" t="n">
        <v>267.5786208571512</v>
      </c>
      <c r="AG97" t="n">
        <v>349.6061980741127</v>
      </c>
      <c r="AH97" t="n">
        <v>324.8406861798613</v>
      </c>
      <c r="AI97" t="n">
        <v>367.0656438677757</v>
      </c>
      <c r="AJ97" t="n">
        <v>401.6909990037233</v>
      </c>
      <c r="AK97" t="n">
        <v>458.6769910561394</v>
      </c>
      <c r="AL97" t="n">
        <v>496.2499052323721</v>
      </c>
      <c r="AM97" t="n">
        <v>540.3352419466725</v>
      </c>
      <c r="AN97" t="n">
        <v>588.9104516892037</v>
      </c>
      <c r="AO97" t="n">
        <v>625.7150379357696</v>
      </c>
      <c r="AP97" t="n">
        <v>658.9873328172108</v>
      </c>
      <c r="AQ97" t="n">
        <v>694.6753156240912</v>
      </c>
      <c r="AR97" t="n">
        <v>738.943918201412</v>
      </c>
      <c r="AS97" t="n">
        <v>679.5247230854311</v>
      </c>
      <c r="AT97" t="n">
        <v>716.8362190914683</v>
      </c>
      <c r="AU97" t="n">
        <v>769.4516883810215</v>
      </c>
      <c r="AV97" t="n">
        <v>852.7539996618154</v>
      </c>
      <c r="AW97" t="n">
        <v>911.2977738931348</v>
      </c>
    </row>
    <row r="98">
      <c r="A98" t="inlineStr">
        <is>
          <t>no_year_in_pairs</t>
        </is>
      </c>
      <c r="C98" t="inlineStr">
        <is>
          <t>SM.19.158, Sup. 2</t>
        </is>
      </c>
      <c r="D98" t="inlineStr">
        <is>
          <t>Dominica</t>
        </is>
      </c>
      <c r="E98" t="inlineStr">
        <is>
          <t>DMA</t>
        </is>
      </c>
      <c r="G98" t="inlineStr">
        <is>
          <t>2018gn</t>
        </is>
      </c>
      <c r="H98" t="n">
        <v>2018</v>
      </c>
      <c r="I98" t="inlineStr">
        <is>
          <t>grss.fin.need</t>
        </is>
      </c>
    </row>
    <row r="99">
      <c r="A99" t="inlineStr">
        <is>
          <t>no_year_in_pairs</t>
        </is>
      </c>
      <c r="C99" t="inlineStr">
        <is>
          <t>SM.19.158, Sup. 2</t>
        </is>
      </c>
      <c r="D99" t="inlineStr">
        <is>
          <t>Dominica</t>
        </is>
      </c>
      <c r="E99" t="inlineStr">
        <is>
          <t>DMA</t>
        </is>
      </c>
      <c r="G99" t="inlineStr">
        <is>
          <t>2018gn</t>
        </is>
      </c>
      <c r="H99" t="n">
        <v>2018</v>
      </c>
      <c r="K99" t="inlineStr">
        <is>
          <t>US Dollars</t>
        </is>
      </c>
      <c r="L99" t="inlineStr">
        <is>
          <t>Millions</t>
        </is>
      </c>
      <c r="M99" t="inlineStr">
        <is>
          <t>Aid Flows</t>
        </is>
      </c>
      <c r="P99" t="n">
        <v>22.33793511851852</v>
      </c>
      <c r="Q99" t="n">
        <v>24.71606615925926</v>
      </c>
      <c r="R99" t="n">
        <v>39.93485661370369</v>
      </c>
      <c r="S99" t="n">
        <v>42.15534765185185</v>
      </c>
      <c r="T99" t="n">
        <v>42.27416822592592</v>
      </c>
      <c r="U99" t="n">
        <v>46.98469374814815</v>
      </c>
      <c r="V99" t="n">
        <v>23.72282441851852</v>
      </c>
      <c r="W99" t="n">
        <v>13.27980428776333</v>
      </c>
      <c r="X99" t="n">
        <v>16.27750518518518</v>
      </c>
      <c r="Y99" t="n">
        <v>10.62962962962963</v>
      </c>
      <c r="Z99" t="n">
        <v>11.46085752592593</v>
      </c>
      <c r="AA99" t="n">
        <v>5.575630096296296</v>
      </c>
      <c r="AB99" t="n">
        <v>24.26132703703703</v>
      </c>
      <c r="AC99" t="n">
        <v>23.35695407407407</v>
      </c>
      <c r="AD99" t="n">
        <v>44.6382496</v>
      </c>
      <c r="AE99" t="n">
        <v>51.07114208331533</v>
      </c>
      <c r="AF99" t="n">
        <v>53.1874881629863</v>
      </c>
      <c r="AG99" t="n">
        <v>40.165706379977</v>
      </c>
      <c r="AH99" t="n">
        <v>43.49080174906678</v>
      </c>
      <c r="AI99" t="n">
        <v>44.67018872619266</v>
      </c>
      <c r="AJ99" t="n">
        <v>46.24704240800995</v>
      </c>
      <c r="AK99" t="n">
        <v>47.87955971112017</v>
      </c>
      <c r="AL99" t="n">
        <v>49.56970368595218</v>
      </c>
      <c r="AM99" t="n">
        <v>51.31950953830191</v>
      </c>
      <c r="AN99" t="n">
        <v>53.13108462933221</v>
      </c>
      <c r="AO99" t="n">
        <v>55.00660635335664</v>
      </c>
      <c r="AP99" t="n">
        <v>56.94833487113894</v>
      </c>
      <c r="AQ99" t="n">
        <v>58.95860462102709</v>
      </c>
      <c r="AR99" t="n">
        <v>61.03983917446924</v>
      </c>
      <c r="AS99" t="n">
        <v>63.19454115975238</v>
      </c>
      <c r="AT99" t="n">
        <v>65.42530397199994</v>
      </c>
      <c r="AU99" t="n">
        <v>67.73481255299879</v>
      </c>
      <c r="AV99" t="n">
        <v>69.3851058820494</v>
      </c>
      <c r="AW99" t="n">
        <v>71.8605432845938</v>
      </c>
    </row>
    <row r="100">
      <c r="A100" t="inlineStr">
        <is>
          <t>no_year_in_pairs</t>
        </is>
      </c>
      <c r="C100" t="inlineStr">
        <is>
          <t>SM.19.158, Sup. 2</t>
        </is>
      </c>
      <c r="D100" t="inlineStr">
        <is>
          <t>Dominica</t>
        </is>
      </c>
      <c r="E100" t="inlineStr">
        <is>
          <t>DMA</t>
        </is>
      </c>
      <c r="G100" t="inlineStr">
        <is>
          <t>2018gn</t>
        </is>
      </c>
      <c r="H100" t="n">
        <v>2018</v>
      </c>
      <c r="I100" t="inlineStr">
        <is>
          <t>aid.flw</t>
        </is>
      </c>
      <c r="M100" t="inlineStr">
        <is>
          <t>Grants</t>
        </is>
      </c>
      <c r="P100" t="n">
        <v>22.33793511851852</v>
      </c>
      <c r="Q100" t="n">
        <v>24.71606615925926</v>
      </c>
      <c r="R100" t="n">
        <v>39.93485661370369</v>
      </c>
      <c r="S100" t="n">
        <v>42.15534765185185</v>
      </c>
      <c r="T100" t="n">
        <v>42.27416822592592</v>
      </c>
      <c r="U100" t="n">
        <v>46.98469374814815</v>
      </c>
      <c r="V100" t="n">
        <v>23.72282441851852</v>
      </c>
      <c r="W100" t="n">
        <v>13.27980428776333</v>
      </c>
      <c r="X100" t="n">
        <v>16.27750518518518</v>
      </c>
      <c r="Y100" t="n">
        <v>10.62962962962963</v>
      </c>
      <c r="Z100" t="n">
        <v>11.46085752592593</v>
      </c>
      <c r="AA100" t="n">
        <v>5.575630096296296</v>
      </c>
      <c r="AB100" t="n">
        <v>24.26132703703703</v>
      </c>
      <c r="AC100" t="n">
        <v>8.356954074074073</v>
      </c>
      <c r="AD100" t="n">
        <v>11.6382496</v>
      </c>
      <c r="AE100" t="n">
        <v>19.07114208331533</v>
      </c>
      <c r="AF100" t="n">
        <v>20.18748816298629</v>
      </c>
      <c r="AG100" t="n">
        <v>21.165706379977</v>
      </c>
      <c r="AH100" t="n">
        <v>21.97080174906678</v>
      </c>
      <c r="AI100" t="n">
        <v>22.74450903902696</v>
      </c>
      <c r="AJ100" t="n">
        <v>23.54738818151615</v>
      </c>
      <c r="AK100" t="n">
        <v>24.37860930718796</v>
      </c>
      <c r="AL100" t="n">
        <v>25.23917193315878</v>
      </c>
      <c r="AM100" t="n">
        <v>26.13011231555241</v>
      </c>
      <c r="AN100" t="n">
        <v>27.05250344950021</v>
      </c>
      <c r="AO100" t="n">
        <v>28.00745398858204</v>
      </c>
      <c r="AP100" t="n">
        <v>28.99611472818044</v>
      </c>
      <c r="AQ100" t="n">
        <v>30.01967428324459</v>
      </c>
      <c r="AR100" t="n">
        <v>31.07936665220344</v>
      </c>
      <c r="AS100" t="n">
        <v>32.17646608648337</v>
      </c>
      <c r="AT100" t="n">
        <v>33.31229305283193</v>
      </c>
      <c r="AU100" t="n">
        <v>34.48821463037918</v>
      </c>
      <c r="AV100" t="n">
        <v>35.70564615605129</v>
      </c>
      <c r="AW100" t="n">
        <v>36.96605292806711</v>
      </c>
    </row>
    <row r="101">
      <c r="A101" t="inlineStr">
        <is>
          <t>no_year_in_pairs</t>
        </is>
      </c>
      <c r="C101" t="inlineStr">
        <is>
          <t>SM.19.158, Sup. 2</t>
        </is>
      </c>
      <c r="D101" t="inlineStr">
        <is>
          <t>Dominica</t>
        </is>
      </c>
      <c r="E101" t="inlineStr">
        <is>
          <t>DMA</t>
        </is>
      </c>
      <c r="G101" t="inlineStr">
        <is>
          <t>2018gn</t>
        </is>
      </c>
      <c r="H101" t="n">
        <v>2018</v>
      </c>
      <c r="I101" t="inlineStr">
        <is>
          <t>grnt</t>
        </is>
      </c>
      <c r="M101" t="inlineStr">
        <is>
          <t>Concessional loans</t>
        </is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15</v>
      </c>
      <c r="AD101" t="n">
        <v>33</v>
      </c>
      <c r="AE101" t="n">
        <v>32</v>
      </c>
      <c r="AF101" t="n">
        <v>33</v>
      </c>
      <c r="AG101" t="n">
        <v>19</v>
      </c>
      <c r="AH101" t="n">
        <v>21.52</v>
      </c>
      <c r="AI101" t="n">
        <v>21.9256796871657</v>
      </c>
      <c r="AJ101" t="n">
        <v>22.6996542264938</v>
      </c>
      <c r="AK101" t="n">
        <v>23.5009504039322</v>
      </c>
      <c r="AL101" t="n">
        <v>24.3305317527934</v>
      </c>
      <c r="AM101" t="n">
        <v>25.1893972227495</v>
      </c>
      <c r="AN101" t="n">
        <v>26.078581179832</v>
      </c>
      <c r="AO101" t="n">
        <v>26.9991523647746</v>
      </c>
      <c r="AP101" t="n">
        <v>27.9522201429585</v>
      </c>
      <c r="AQ101" t="n">
        <v>28.9389303377825</v>
      </c>
      <c r="AR101" t="n">
        <v>29.9604725222658</v>
      </c>
      <c r="AS101" t="n">
        <v>31.018075073269</v>
      </c>
      <c r="AT101" t="n">
        <v>32.113010919168</v>
      </c>
      <c r="AU101" t="n">
        <v>33.2465979226196</v>
      </c>
      <c r="AV101" t="n">
        <v>33.6794597259981</v>
      </c>
      <c r="AW101" t="n">
        <v>34.8944903565267</v>
      </c>
    </row>
    <row r="102">
      <c r="A102" t="inlineStr">
        <is>
          <t>no_year_in_pairs</t>
        </is>
      </c>
      <c r="C102" t="inlineStr">
        <is>
          <t>SM.19.158, Sup. 2</t>
        </is>
      </c>
      <c r="D102" t="inlineStr">
        <is>
          <t>Dominica</t>
        </is>
      </c>
      <c r="E102" t="inlineStr">
        <is>
          <t>DMA</t>
        </is>
      </c>
      <c r="G102" t="inlineStr">
        <is>
          <t>2018gn</t>
        </is>
      </c>
      <c r="H102" t="n">
        <v>2018</v>
      </c>
      <c r="I102" t="inlineStr">
        <is>
          <t>css.loan</t>
        </is>
      </c>
      <c r="M102" t="inlineStr">
        <is>
          <t xml:space="preserve">Real Economy </t>
        </is>
      </c>
    </row>
    <row r="103">
      <c r="A103" t="inlineStr">
        <is>
          <t>no_year_in_pairs</t>
        </is>
      </c>
      <c r="C103" t="inlineStr">
        <is>
          <t>SM.19.158, Sup. 2</t>
        </is>
      </c>
      <c r="D103" t="inlineStr">
        <is>
          <t>Dominica</t>
        </is>
      </c>
      <c r="E103" t="inlineStr">
        <is>
          <t>DMA</t>
        </is>
      </c>
      <c r="G103" t="inlineStr">
        <is>
          <t>2018gn</t>
        </is>
      </c>
      <c r="H103" t="n">
        <v>2018</v>
      </c>
      <c r="M103" t="inlineStr">
        <is>
          <t>Real GDP growth</t>
        </is>
      </c>
      <c r="Q103" t="n">
        <v>4.658759483152264</v>
      </c>
      <c r="R103" t="n">
        <v>6.353759421544791</v>
      </c>
      <c r="S103" t="n">
        <v>7.120741901338135</v>
      </c>
      <c r="T103" t="n">
        <v>-1.169757154182949</v>
      </c>
      <c r="U103" t="n">
        <v>0.6725427585017041</v>
      </c>
      <c r="V103" t="n">
        <v>-0.2236768403417022</v>
      </c>
      <c r="W103" t="n">
        <v>-1.058786063940531</v>
      </c>
      <c r="X103" t="n">
        <v>-0.6076917864201392</v>
      </c>
      <c r="Y103" t="n">
        <v>4.38889566798617</v>
      </c>
      <c r="Z103" t="n">
        <v>-2.550500001389655</v>
      </c>
      <c r="AA103" t="n">
        <v>2.522045734066802</v>
      </c>
      <c r="AB103" t="n">
        <v>-9.530408076703555</v>
      </c>
      <c r="AC103" t="n">
        <v>0.5327384634529864</v>
      </c>
      <c r="AD103" t="n">
        <v>9.6367129736165</v>
      </c>
      <c r="AE103" t="n">
        <v>4.901364054606816</v>
      </c>
      <c r="AF103" t="n">
        <v>4.134891676668206</v>
      </c>
      <c r="AG103" t="n">
        <v>3.555055872235036</v>
      </c>
      <c r="AH103" t="n">
        <v>2.065437808274484</v>
      </c>
      <c r="AI103" t="n">
        <v>1.483103529855057</v>
      </c>
      <c r="AJ103" t="n">
        <v>1.500000280110791</v>
      </c>
      <c r="AK103" t="n">
        <v>1.500000172481997</v>
      </c>
      <c r="AL103" t="n">
        <v>1.49999874249569</v>
      </c>
      <c r="AM103" t="n">
        <v>1.499997923970997</v>
      </c>
      <c r="AN103" t="n">
        <v>1.499999439178556</v>
      </c>
      <c r="AO103" t="n">
        <v>1.5000048102912</v>
      </c>
      <c r="AP103" t="n">
        <v>1.499996157403016</v>
      </c>
      <c r="AQ103" t="n">
        <v>1.500001009549323</v>
      </c>
      <c r="AR103" t="n">
        <v>1.500001305451693</v>
      </c>
      <c r="AS103" t="n">
        <v>1.49999859134935</v>
      </c>
      <c r="AT103" t="n">
        <v>1.500000271532587</v>
      </c>
      <c r="AU103" t="n">
        <v>1.500001248425642</v>
      </c>
      <c r="AV103" t="n">
        <v>1.499996720064023</v>
      </c>
      <c r="AW103" t="n">
        <v>1.500005251129188</v>
      </c>
    </row>
    <row r="104">
      <c r="A104" t="inlineStr">
        <is>
          <t>no_year_in_pairs</t>
        </is>
      </c>
      <c r="C104" t="inlineStr">
        <is>
          <t>SM.19.158, Sup. 2</t>
        </is>
      </c>
      <c r="D104" t="inlineStr">
        <is>
          <t>Dominica</t>
        </is>
      </c>
      <c r="E104" t="inlineStr">
        <is>
          <t>DMA</t>
        </is>
      </c>
      <c r="G104" t="inlineStr">
        <is>
          <t>2018gn</t>
        </is>
      </c>
      <c r="H104" t="n">
        <v>2018</v>
      </c>
      <c r="I104" t="inlineStr">
        <is>
          <t>real.gdp.gwth</t>
        </is>
      </c>
      <c r="M104" t="inlineStr">
        <is>
          <t>GDP deflator index (national currency)</t>
        </is>
      </c>
      <c r="P104" t="n">
        <v>101.1730358493178</v>
      </c>
      <c r="Q104" t="n">
        <v>103.9879169619031</v>
      </c>
      <c r="R104" t="n">
        <v>105.9601468254188</v>
      </c>
      <c r="S104" t="n">
        <v>106.5299639684473</v>
      </c>
      <c r="T104" t="n">
        <v>111.8457345090911</v>
      </c>
      <c r="U104" t="n">
        <v>112.449384899155</v>
      </c>
      <c r="V104" t="n">
        <v>111.814862226653</v>
      </c>
      <c r="W104" t="n">
        <v>113.1206331508758</v>
      </c>
      <c r="X104" t="n">
        <v>118.1515534988818</v>
      </c>
      <c r="Y104" t="n">
        <v>117.4714301852817</v>
      </c>
      <c r="Z104" t="n">
        <v>126.4121088929998</v>
      </c>
      <c r="AA104" t="n">
        <v>121.393115505658</v>
      </c>
      <c r="AB104" t="n">
        <v>129.0556169333164</v>
      </c>
      <c r="AC104" t="n">
        <v>136.9641225341877</v>
      </c>
      <c r="AD104" t="n">
        <v>136.0977315644379</v>
      </c>
      <c r="AE104" t="n">
        <v>138.0505257539332</v>
      </c>
      <c r="AF104" t="n">
        <v>140.3289832792283</v>
      </c>
      <c r="AG104" t="n">
        <v>142.0779078725405</v>
      </c>
      <c r="AH104" t="n">
        <v>144.4977180972629</v>
      </c>
      <c r="AI104" t="n">
        <v>147.4001447052337</v>
      </c>
      <c r="AJ104" t="n">
        <v>150.3481342448203</v>
      </c>
      <c r="AK104" t="n">
        <v>153.3550861189944</v>
      </c>
      <c r="AL104" t="n">
        <v>156.4221756328573</v>
      </c>
      <c r="AM104" t="n">
        <v>159.5506078347813</v>
      </c>
      <c r="AN104" t="n">
        <v>162.7416098770621</v>
      </c>
      <c r="AO104" t="n">
        <v>165.9964174187483</v>
      </c>
      <c r="AP104" t="n">
        <v>169.3163382434447</v>
      </c>
      <c r="AQ104" t="n">
        <v>172.7026443354031</v>
      </c>
      <c r="AR104" t="n">
        <v>176.1566828653324</v>
      </c>
      <c r="AS104" t="n">
        <v>179.6798066833512</v>
      </c>
      <c r="AT104" t="n">
        <v>183.2733897471232</v>
      </c>
      <c r="AU104" t="n">
        <v>186.9388424115699</v>
      </c>
      <c r="AV104" t="n">
        <v>190.6776123336633</v>
      </c>
      <c r="AW104" t="n">
        <v>194.4911411687142</v>
      </c>
    </row>
    <row r="105">
      <c r="A105" t="inlineStr">
        <is>
          <t>no_year_in_pairs</t>
        </is>
      </c>
      <c r="C105" t="inlineStr">
        <is>
          <t>SM.19.158, Sup. 2</t>
        </is>
      </c>
      <c r="D105" t="inlineStr">
        <is>
          <t>Dominica</t>
        </is>
      </c>
      <c r="E105" t="inlineStr">
        <is>
          <t>DMA</t>
        </is>
      </c>
      <c r="G105" t="inlineStr">
        <is>
          <t>2018gn</t>
        </is>
      </c>
      <c r="H105" t="n">
        <v>2018</v>
      </c>
      <c r="I105" t="inlineStr">
        <is>
          <t>gdp.def.lcu</t>
        </is>
      </c>
      <c r="M105" t="inlineStr">
        <is>
          <t>Change in GDP Deflator factor (percent)</t>
        </is>
      </c>
      <c r="P105" t="inlineStr">
        <is>
          <t>...</t>
        </is>
      </c>
      <c r="Q105" t="n">
        <v>2.782244388492638</v>
      </c>
      <c r="R105" t="n">
        <v>1.896595220998853</v>
      </c>
      <c r="S105" t="n">
        <v>0.5377655279841909</v>
      </c>
      <c r="T105" t="n">
        <v>4.989929915134694</v>
      </c>
      <c r="U105" t="n">
        <v>0.5397169527415979</v>
      </c>
      <c r="V105" t="n">
        <v>-0.5642740269953705</v>
      </c>
      <c r="W105" t="n">
        <v>1.167797284028249</v>
      </c>
      <c r="X105" t="n">
        <v>4.447394085299994</v>
      </c>
      <c r="Y105" t="n">
        <v>-0.5756363699496503</v>
      </c>
      <c r="Z105" t="n">
        <v>7.610938841568937</v>
      </c>
      <c r="AA105" t="n">
        <v>-3.97034226490921</v>
      </c>
      <c r="AB105" t="n">
        <v>6.312138374355536</v>
      </c>
      <c r="AC105" t="n">
        <v>6.127982484449102</v>
      </c>
      <c r="AD105" t="n">
        <v>-0.6325678241274946</v>
      </c>
      <c r="AE105" t="n">
        <v>1.434846978746807</v>
      </c>
      <c r="AF105" t="n">
        <v>1.650451900021244</v>
      </c>
      <c r="AG105" t="n">
        <v>1.246303188723474</v>
      </c>
      <c r="AH105" t="n">
        <v>1.703157275438794</v>
      </c>
      <c r="AI105" t="n">
        <v>2.008631448433773</v>
      </c>
      <c r="AJ105" t="n">
        <v>1.999990939955931</v>
      </c>
      <c r="AK105" t="n">
        <v>1.999992809540063</v>
      </c>
      <c r="AL105" t="n">
        <v>1.999992039053122</v>
      </c>
      <c r="AM105" t="n">
        <v>1.999992769098635</v>
      </c>
      <c r="AN105" t="n">
        <v>1.999993660685506</v>
      </c>
      <c r="AO105" t="n">
        <v>1.999984849692038</v>
      </c>
      <c r="AP105" t="n">
        <v>1.999995467565752</v>
      </c>
      <c r="AQ105" t="n">
        <v>1.999987790362878</v>
      </c>
      <c r="AR105" t="n">
        <v>1.999991686995384</v>
      </c>
      <c r="AS105" t="n">
        <v>1.999994414468009</v>
      </c>
      <c r="AT105" t="n">
        <v>1.999992726007882</v>
      </c>
      <c r="AU105" t="n">
        <v>1.999991744302965</v>
      </c>
      <c r="AV105" t="n">
        <v>1.999996294971229</v>
      </c>
      <c r="AW105" t="n">
        <v>1.999987721881924</v>
      </c>
    </row>
    <row r="106">
      <c r="A106" t="inlineStr">
        <is>
          <t>no_year_in_pairs</t>
        </is>
      </c>
      <c r="C106" t="inlineStr">
        <is>
          <t>SM.19.158, Sup. 2</t>
        </is>
      </c>
      <c r="D106" t="inlineStr">
        <is>
          <t>Dominica</t>
        </is>
      </c>
      <c r="E106" t="inlineStr">
        <is>
          <t>DMA</t>
        </is>
      </c>
      <c r="G106" t="inlineStr">
        <is>
          <t>2018gn</t>
        </is>
      </c>
      <c r="H106" t="n">
        <v>2018</v>
      </c>
      <c r="I106" t="inlineStr">
        <is>
          <t>dlta.gdp.def.lcu</t>
        </is>
      </c>
      <c r="M106" t="inlineStr">
        <is>
          <t>GDP deflator index (dollars)</t>
        </is>
      </c>
      <c r="P106" t="n">
        <v>37.47149475900658</v>
      </c>
      <c r="Q106" t="n">
        <v>38.51404331922335</v>
      </c>
      <c r="R106" t="n">
        <v>39.24449882422918</v>
      </c>
      <c r="S106" t="n">
        <v>39.45554221053604</v>
      </c>
      <c r="T106" t="n">
        <v>41.42434611447818</v>
      </c>
      <c r="U106" t="n">
        <v>41.64792033302036</v>
      </c>
      <c r="V106" t="n">
        <v>41.4129119357974</v>
      </c>
      <c r="W106" t="n">
        <v>41.89653079662066</v>
      </c>
      <c r="X106" t="n">
        <v>43.75983462921547</v>
      </c>
      <c r="Y106" t="n">
        <v>43.50793710565987</v>
      </c>
      <c r="Z106" t="n">
        <v>46.81929958999992</v>
      </c>
      <c r="AA106" t="n">
        <v>44.9604131502437</v>
      </c>
      <c r="AB106" t="n">
        <v>47.79837664196902</v>
      </c>
      <c r="AC106" t="n">
        <v>50.7274527904399</v>
      </c>
      <c r="AD106" t="n">
        <v>50.40656724608812</v>
      </c>
      <c r="AE106" t="n">
        <v>51.12982435330859</v>
      </c>
      <c r="AF106" t="n">
        <v>51.97369751082528</v>
      </c>
      <c r="AG106" t="n">
        <v>52.62144736020018</v>
      </c>
      <c r="AH106" t="n">
        <v>53.51767336935662</v>
      </c>
      <c r="AI106" t="n">
        <v>54.59264618712359</v>
      </c>
      <c r="AJ106" t="n">
        <v>55.68449416474827</v>
      </c>
      <c r="AK106" t="n">
        <v>56.79818004407199</v>
      </c>
      <c r="AL106" t="n">
        <v>57.9341391232805</v>
      </c>
      <c r="AM106" t="n">
        <v>59.09281771658564</v>
      </c>
      <c r="AN106" t="n">
        <v>60.2746703248378</v>
      </c>
      <c r="AO106" t="n">
        <v>61.4801545995364</v>
      </c>
      <c r="AP106" t="n">
        <v>62.70975490497952</v>
      </c>
      <c r="AQ106" t="n">
        <v>63.96394234644561</v>
      </c>
      <c r="AR106" t="n">
        <v>65.24321587604904</v>
      </c>
      <c r="AS106" t="n">
        <v>66.54807654938932</v>
      </c>
      <c r="AT106" t="n">
        <v>67.87903323967525</v>
      </c>
      <c r="AU106" t="n">
        <v>69.23660830058142</v>
      </c>
      <c r="AV106" t="n">
        <v>70.62133790135678</v>
      </c>
      <c r="AW106" t="n">
        <v>72.03375598841268</v>
      </c>
    </row>
    <row r="107">
      <c r="A107" t="inlineStr">
        <is>
          <t>no_year_in_pairs</t>
        </is>
      </c>
      <c r="C107" t="inlineStr">
        <is>
          <t>SM.19.158, Sup. 2</t>
        </is>
      </c>
      <c r="D107" t="inlineStr">
        <is>
          <t>Dominica</t>
        </is>
      </c>
      <c r="E107" t="inlineStr">
        <is>
          <t>DMA</t>
        </is>
      </c>
      <c r="G107" t="inlineStr">
        <is>
          <t>2018gn</t>
        </is>
      </c>
      <c r="H107" t="n">
        <v>2018</v>
      </c>
      <c r="I107" t="inlineStr">
        <is>
          <t>gdp.def.usd</t>
        </is>
      </c>
      <c r="M107" t="inlineStr">
        <is>
          <t>Change in GDP Deflator factor (percent)</t>
        </is>
      </c>
      <c r="P107" t="inlineStr">
        <is>
          <t>...</t>
        </is>
      </c>
      <c r="Q107" t="n">
        <v>2.782244388492638</v>
      </c>
      <c r="R107" t="n">
        <v>1.896595220998853</v>
      </c>
      <c r="S107" t="n">
        <v>0.5377655279841909</v>
      </c>
      <c r="T107" t="n">
        <v>4.989929915134694</v>
      </c>
      <c r="U107" t="n">
        <v>0.5397169527415757</v>
      </c>
      <c r="V107" t="n">
        <v>-0.5642740269953705</v>
      </c>
      <c r="W107" t="n">
        <v>1.167797284028249</v>
      </c>
      <c r="X107" t="n">
        <v>4.447394085300016</v>
      </c>
      <c r="Y107" t="n">
        <v>-0.5756363699496836</v>
      </c>
      <c r="Z107" t="n">
        <v>7.610938841568937</v>
      </c>
      <c r="AA107" t="n">
        <v>-3.970342264909188</v>
      </c>
      <c r="AB107" t="n">
        <v>6.312138374355514</v>
      </c>
      <c r="AC107" t="n">
        <v>6.127982484449102</v>
      </c>
      <c r="AD107" t="n">
        <v>-0.6325678241274835</v>
      </c>
      <c r="AE107" t="n">
        <v>1.434846978746807</v>
      </c>
      <c r="AF107" t="n">
        <v>1.650451900021221</v>
      </c>
      <c r="AG107" t="n">
        <v>1.246303188723474</v>
      </c>
      <c r="AH107" t="n">
        <v>1.703157275438794</v>
      </c>
      <c r="AI107" t="n">
        <v>2.008631448433795</v>
      </c>
      <c r="AJ107" t="n">
        <v>1.999990939955931</v>
      </c>
      <c r="AK107" t="n">
        <v>1.999992809540063</v>
      </c>
      <c r="AL107" t="n">
        <v>1.999992039053122</v>
      </c>
      <c r="AM107" t="n">
        <v>1.999992769098635</v>
      </c>
      <c r="AN107" t="n">
        <v>1.999993660685506</v>
      </c>
      <c r="AO107" t="n">
        <v>1.99998484969206</v>
      </c>
      <c r="AP107" t="n">
        <v>1.999995467565707</v>
      </c>
      <c r="AQ107" t="n">
        <v>1.9999877903629</v>
      </c>
      <c r="AR107" t="n">
        <v>1.999991686995362</v>
      </c>
      <c r="AS107" t="n">
        <v>1.999994414468009</v>
      </c>
      <c r="AT107" t="n">
        <v>1.99999272600786</v>
      </c>
      <c r="AU107" t="n">
        <v>1.999991744302965</v>
      </c>
      <c r="AV107" t="n">
        <v>1.999996294971207</v>
      </c>
      <c r="AW107" t="n">
        <v>1.999987721881946</v>
      </c>
    </row>
    <row r="108">
      <c r="A108" t="inlineStr">
        <is>
          <t>no_year_in_pairs</t>
        </is>
      </c>
      <c r="C108" t="inlineStr">
        <is>
          <t>SM.19.158, Sup. 2</t>
        </is>
      </c>
      <c r="D108" t="inlineStr">
        <is>
          <t>Dominica</t>
        </is>
      </c>
      <c r="E108" t="inlineStr">
        <is>
          <t>DMA</t>
        </is>
      </c>
      <c r="G108" t="inlineStr">
        <is>
          <t>2018gn</t>
        </is>
      </c>
      <c r="H108" t="n">
        <v>2018</v>
      </c>
      <c r="I108" t="inlineStr">
        <is>
          <t>dlta.gdp.def.usd</t>
        </is>
      </c>
      <c r="M108" t="inlineStr">
        <is>
          <t>US GDP Deflator (percent change)</t>
        </is>
      </c>
      <c r="Q108" t="n">
        <v>3.026397437986605</v>
      </c>
      <c r="R108" t="n">
        <v>2.686459300532928</v>
      </c>
      <c r="S108" t="n">
        <v>1.944936479933634</v>
      </c>
      <c r="T108" t="n">
        <v>0.7624068624922931</v>
      </c>
      <c r="U108" t="n">
        <v>1.165247922466772</v>
      </c>
      <c r="V108" t="n">
        <v>2.088955935181058</v>
      </c>
      <c r="W108" t="n">
        <v>1.918108296088272</v>
      </c>
      <c r="X108" t="n">
        <v>1.754420166557003</v>
      </c>
      <c r="Y108" t="n">
        <v>1.892131530806362</v>
      </c>
      <c r="Z108" t="n">
        <v>1.069444511942352</v>
      </c>
      <c r="AA108" t="n">
        <v>1.093085615080258</v>
      </c>
      <c r="AB108" t="n">
        <v>1.901053455164758</v>
      </c>
      <c r="AC108" t="n">
        <v>2.25159845031293</v>
      </c>
      <c r="AD108" t="n">
        <v>1.799456145569711</v>
      </c>
      <c r="AE108" t="n">
        <v>2.041051711584863</v>
      </c>
      <c r="AF108" t="n">
        <v>2.34661406988852</v>
      </c>
      <c r="AG108" t="n">
        <v>2.365002783460302</v>
      </c>
      <c r="AH108" t="n">
        <v>2.307714611018241</v>
      </c>
      <c r="AI108" t="n">
        <v>2.249042477434049</v>
      </c>
      <c r="AJ108" t="n">
        <v>2.000000000000379</v>
      </c>
      <c r="AK108" t="n">
        <v>1.999999999999313</v>
      </c>
      <c r="AL108" t="n">
        <v>2.00000000000069</v>
      </c>
      <c r="AM108" t="n">
        <v>1.999999999999535</v>
      </c>
      <c r="AN108" t="n">
        <v>1.999999999999935</v>
      </c>
      <c r="AO108" t="n">
        <v>2.000000000000246</v>
      </c>
      <c r="AP108" t="n">
        <v>1.99999999999998</v>
      </c>
      <c r="AQ108" t="n">
        <v>2.000000000000157</v>
      </c>
      <c r="AR108" t="n">
        <v>1.999999999999535</v>
      </c>
      <c r="AS108" t="n">
        <v>1.99999999999998</v>
      </c>
      <c r="AT108" t="n">
        <v>2.000000000000046</v>
      </c>
      <c r="AU108" t="n">
        <v>2.000000000000468</v>
      </c>
      <c r="AV108" t="n">
        <v>1.999999999999713</v>
      </c>
      <c r="AW108" t="n">
        <v>2.000000000000179</v>
      </c>
    </row>
    <row r="109">
      <c r="A109" t="inlineStr">
        <is>
          <t>no_year_in_pairs</t>
        </is>
      </c>
      <c r="C109" t="inlineStr">
        <is>
          <t>SM.19.158, Sup. 2</t>
        </is>
      </c>
      <c r="D109" t="inlineStr">
        <is>
          <t>Dominica</t>
        </is>
      </c>
      <c r="E109" t="inlineStr">
        <is>
          <t>DMA</t>
        </is>
      </c>
      <c r="G109" t="inlineStr">
        <is>
          <t>2018gn</t>
        </is>
      </c>
      <c r="H109" t="n">
        <v>2018</v>
      </c>
      <c r="I109" t="inlineStr">
        <is>
          <t>gdp.def.usd.gwth</t>
        </is>
      </c>
      <c r="M109" t="inlineStr">
        <is>
          <t>Exchange rate dollar/NC</t>
        </is>
      </c>
      <c r="P109" t="n">
        <v>0.3703703703703703</v>
      </c>
      <c r="Q109" t="n">
        <v>0.3703703703703703</v>
      </c>
      <c r="R109" t="n">
        <v>0.3703703703703703</v>
      </c>
      <c r="S109" t="n">
        <v>0.3703703703703703</v>
      </c>
      <c r="T109" t="n">
        <v>0.3703703703703703</v>
      </c>
      <c r="U109" t="n">
        <v>0.3703703703703703</v>
      </c>
      <c r="V109" t="n">
        <v>0.3703703703703703</v>
      </c>
      <c r="W109" t="n">
        <v>0.3703703703703703</v>
      </c>
      <c r="X109" t="n">
        <v>0.3703703703703703</v>
      </c>
      <c r="Y109" t="n">
        <v>0.3703703703703703</v>
      </c>
      <c r="Z109" t="n">
        <v>0.3703703703703703</v>
      </c>
      <c r="AA109" t="n">
        <v>0.3703703703703703</v>
      </c>
      <c r="AB109" t="n">
        <v>0.3703703703703703</v>
      </c>
      <c r="AC109" t="n">
        <v>0.3703703703703703</v>
      </c>
      <c r="AD109" t="n">
        <v>0.3703703703703703</v>
      </c>
      <c r="AE109" t="n">
        <v>0.3703703703703703</v>
      </c>
      <c r="AF109" t="n">
        <v>0.3703703703703703</v>
      </c>
      <c r="AG109" t="n">
        <v>0.3703703703703703</v>
      </c>
      <c r="AH109" t="n">
        <v>0.3703703703703703</v>
      </c>
      <c r="AI109" t="n">
        <v>0.3703703703703703</v>
      </c>
      <c r="AJ109" t="n">
        <v>0.3703703703703703</v>
      </c>
      <c r="AK109" t="n">
        <v>0.3703703703703703</v>
      </c>
      <c r="AL109" t="n">
        <v>0.3703703703703703</v>
      </c>
      <c r="AM109" t="n">
        <v>0.3703703703703703</v>
      </c>
      <c r="AN109" t="n">
        <v>0.3703703703703703</v>
      </c>
      <c r="AO109" t="n">
        <v>0.3703703703703703</v>
      </c>
      <c r="AP109" t="n">
        <v>0.3703703703703703</v>
      </c>
      <c r="AQ109" t="n">
        <v>0.3703703703703703</v>
      </c>
      <c r="AR109" t="n">
        <v>0.3703703703703703</v>
      </c>
      <c r="AS109" t="n">
        <v>0.3703703703703703</v>
      </c>
      <c r="AT109" t="n">
        <v>0.3703703703703703</v>
      </c>
      <c r="AU109" t="n">
        <v>0.3703703703703703</v>
      </c>
      <c r="AV109" t="n">
        <v>0.3703703703703703</v>
      </c>
      <c r="AW109" t="n">
        <v>0.3703703703703703</v>
      </c>
    </row>
    <row r="110">
      <c r="A110" t="inlineStr">
        <is>
          <t>no_year_in_pairs</t>
        </is>
      </c>
      <c r="C110" t="inlineStr">
        <is>
          <t>SM.19.158, Sup. 2</t>
        </is>
      </c>
      <c r="D110" t="inlineStr">
        <is>
          <t>Dominica</t>
        </is>
      </c>
      <c r="E110" t="inlineStr">
        <is>
          <t>DMA</t>
        </is>
      </c>
      <c r="G110" t="inlineStr">
        <is>
          <t>2018gn</t>
        </is>
      </c>
      <c r="H110" t="n">
        <v>2018</v>
      </c>
      <c r="I110" t="inlineStr">
        <is>
          <t>exc.rat.usd2lcu</t>
        </is>
      </c>
      <c r="M110" t="inlineStr">
        <is>
          <t>Depreciation of NC (+: depreciation)</t>
        </is>
      </c>
      <c r="P110" t="inlineStr">
        <is>
          <t>...</t>
        </is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</row>
    <row r="111">
      <c r="A111" t="inlineStr">
        <is>
          <t>no_year_in_pairs</t>
        </is>
      </c>
      <c r="C111" t="inlineStr">
        <is>
          <t>SM.19.158, Sup. 2</t>
        </is>
      </c>
      <c r="D111" t="inlineStr">
        <is>
          <t>Dominica</t>
        </is>
      </c>
      <c r="E111" t="inlineStr">
        <is>
          <t>DMA</t>
        </is>
      </c>
      <c r="G111" t="inlineStr">
        <is>
          <t>2018gn</t>
        </is>
      </c>
      <c r="H111" t="n">
        <v>2018</v>
      </c>
      <c r="I111" t="inlineStr">
        <is>
          <t>depr.rat.lcu</t>
        </is>
      </c>
    </row>
    <row r="112">
      <c r="A112" t="inlineStr">
        <is>
          <t>no_year_in_pairs</t>
        </is>
      </c>
      <c r="C112" t="inlineStr">
        <is>
          <t>SM.19.158, Sup. 2</t>
        </is>
      </c>
      <c r="D112" t="inlineStr">
        <is>
          <t>Dominica</t>
        </is>
      </c>
      <c r="E112" t="inlineStr">
        <is>
          <t>DMA</t>
        </is>
      </c>
      <c r="G112" t="inlineStr">
        <is>
          <t>2018gn</t>
        </is>
      </c>
      <c r="H112" t="n">
        <v>2018</v>
      </c>
      <c r="N112" t="inlineStr">
        <is>
          <t xml:space="preserve">1/ Includes arrears </t>
        </is>
      </c>
    </row>
    <row r="113">
      <c r="A113" t="inlineStr">
        <is>
          <t>no_year_in_pairs</t>
        </is>
      </c>
      <c r="C113" t="inlineStr">
        <is>
          <t>SM.19.158, Sup. 2</t>
        </is>
      </c>
      <c r="D113" t="inlineStr">
        <is>
          <t>Dominica</t>
        </is>
      </c>
      <c r="E113" t="inlineStr">
        <is>
          <t>DMA</t>
        </is>
      </c>
      <c r="G113" t="inlineStr">
        <is>
          <t>2018gn</t>
        </is>
      </c>
      <c r="H113" t="n">
        <v>2018</v>
      </c>
    </row>
    <row r="114">
      <c r="A114" t="inlineStr">
        <is>
          <t>no_year_in_pairs</t>
        </is>
      </c>
      <c r="C114" t="inlineStr">
        <is>
          <t>SM.19.158, Sup. 2</t>
        </is>
      </c>
      <c r="D114" t="inlineStr">
        <is>
          <t>Dominica</t>
        </is>
      </c>
      <c r="E114" t="inlineStr">
        <is>
          <t>DMA</t>
        </is>
      </c>
      <c r="G114" t="inlineStr">
        <is>
          <t>2018gn</t>
        </is>
      </c>
      <c r="H114" t="n">
        <v>2018</v>
      </c>
    </row>
    <row r="115">
      <c r="A115" t="inlineStr">
        <is>
          <t>no_year_in_pairs</t>
        </is>
      </c>
      <c r="C115" t="inlineStr">
        <is>
          <t>SM.19.158, Sup. 2</t>
        </is>
      </c>
      <c r="D115" t="inlineStr">
        <is>
          <t>Dominica</t>
        </is>
      </c>
      <c r="E115" t="inlineStr">
        <is>
          <t>DMA</t>
        </is>
      </c>
      <c r="G115" t="inlineStr">
        <is>
          <t>2018gn</t>
        </is>
      </c>
      <c r="H115" t="n">
        <v>2018</v>
      </c>
    </row>
    <row r="116">
      <c r="A116" t="inlineStr">
        <is>
          <t>no_year_in_pairs</t>
        </is>
      </c>
      <c r="C116" t="inlineStr">
        <is>
          <t>SM.19.158, Sup. 2</t>
        </is>
      </c>
      <c r="D116" t="inlineStr">
        <is>
          <t>Dominica</t>
        </is>
      </c>
      <c r="E116" t="inlineStr">
        <is>
          <t>DMA</t>
        </is>
      </c>
      <c r="G116" t="inlineStr">
        <is>
          <t>2018gn</t>
        </is>
      </c>
      <c r="H116" t="n">
        <v>2018</v>
      </c>
    </row>
    <row r="117">
      <c r="A117" t="inlineStr">
        <is>
          <t>no_year_in_pairs</t>
        </is>
      </c>
      <c r="C117" t="inlineStr">
        <is>
          <t>SM.19.158, Sup. 2</t>
        </is>
      </c>
      <c r="D117" t="inlineStr">
        <is>
          <t>Dominica</t>
        </is>
      </c>
      <c r="E117" t="inlineStr">
        <is>
          <t>DMA</t>
        </is>
      </c>
      <c r="G117" t="inlineStr">
        <is>
          <t>2018gn</t>
        </is>
      </c>
      <c r="H117" t="n">
        <v>2018</v>
      </c>
    </row>
    <row r="118">
      <c r="A118" t="inlineStr">
        <is>
          <t>no_year_in_pairs</t>
        </is>
      </c>
      <c r="C118" t="inlineStr">
        <is>
          <t>SM.19.158, Sup. 2</t>
        </is>
      </c>
      <c r="D118" t="inlineStr">
        <is>
          <t>Dominica</t>
        </is>
      </c>
      <c r="E118" t="inlineStr">
        <is>
          <t>DMA</t>
        </is>
      </c>
      <c r="G118" t="inlineStr">
        <is>
          <t>2018gn</t>
        </is>
      </c>
      <c r="H118" t="n">
        <v>2018</v>
      </c>
    </row>
    <row r="119">
      <c r="A119" t="inlineStr">
        <is>
          <t>no_year_in_pairs</t>
        </is>
      </c>
      <c r="C119" t="inlineStr">
        <is>
          <t>SM.19.158, Sup. 2</t>
        </is>
      </c>
      <c r="D119" t="inlineStr">
        <is>
          <t>Dominica</t>
        </is>
      </c>
      <c r="E119" t="inlineStr">
        <is>
          <t>DMA</t>
        </is>
      </c>
      <c r="G119" t="inlineStr">
        <is>
          <t>2018gn</t>
        </is>
      </c>
      <c r="H119" t="n">
        <v>2018</v>
      </c>
    </row>
    <row r="120">
      <c r="A120" t="inlineStr">
        <is>
          <t>no_year_in_pairs</t>
        </is>
      </c>
      <c r="C120" t="inlineStr">
        <is>
          <t>SM.19.158, Sup. 2</t>
        </is>
      </c>
      <c r="D120" t="inlineStr">
        <is>
          <t>Dominica</t>
        </is>
      </c>
      <c r="E120" t="inlineStr">
        <is>
          <t>DMA</t>
        </is>
      </c>
      <c r="G120" t="inlineStr">
        <is>
          <t>2018gn</t>
        </is>
      </c>
      <c r="H120" t="n">
        <v>2018</v>
      </c>
    </row>
    <row r="121">
      <c r="A121" t="inlineStr">
        <is>
          <t>no_year_in_pairs</t>
        </is>
      </c>
      <c r="C121" t="inlineStr">
        <is>
          <t>SM.19.158, Sup. 2</t>
        </is>
      </c>
      <c r="D121" t="inlineStr">
        <is>
          <t>Dominica</t>
        </is>
      </c>
      <c r="E121" t="inlineStr">
        <is>
          <t>DMA</t>
        </is>
      </c>
      <c r="G121" t="inlineStr">
        <is>
          <t>2018gn</t>
        </is>
      </c>
      <c r="H121" t="n">
        <v>2018</v>
      </c>
    </row>
    <row r="122">
      <c r="A122" t="inlineStr">
        <is>
          <t>no_year_in_pairs</t>
        </is>
      </c>
      <c r="C122" t="inlineStr">
        <is>
          <t>SM.19.158, Sup. 2</t>
        </is>
      </c>
      <c r="D122" t="inlineStr">
        <is>
          <t>Dominica</t>
        </is>
      </c>
      <c r="E122" t="inlineStr">
        <is>
          <t>DMA</t>
        </is>
      </c>
      <c r="G122" t="inlineStr">
        <is>
          <t>2018gn</t>
        </is>
      </c>
      <c r="H122" t="n">
        <v>2018</v>
      </c>
    </row>
    <row r="123">
      <c r="A123" t="inlineStr">
        <is>
          <t>no_year_in_pairs</t>
        </is>
      </c>
      <c r="C123" t="inlineStr">
        <is>
          <t>SM.19.158, Sup. 2</t>
        </is>
      </c>
      <c r="D123" t="inlineStr">
        <is>
          <t>Dominica</t>
        </is>
      </c>
      <c r="E123" t="inlineStr">
        <is>
          <t>DMA</t>
        </is>
      </c>
      <c r="G123" t="inlineStr">
        <is>
          <t>2018gn</t>
        </is>
      </c>
      <c r="H123" t="n">
        <v>2018</v>
      </c>
    </row>
    <row r="124">
      <c r="A124" t="inlineStr">
        <is>
          <t>no_year_in_pairs</t>
        </is>
      </c>
      <c r="C124" t="inlineStr">
        <is>
          <t>SM.19.158, Sup. 2</t>
        </is>
      </c>
      <c r="D124" t="inlineStr">
        <is>
          <t>Dominica</t>
        </is>
      </c>
      <c r="E124" t="inlineStr">
        <is>
          <t>DMA</t>
        </is>
      </c>
      <c r="G124" t="inlineStr">
        <is>
          <t>2018gn</t>
        </is>
      </c>
      <c r="H124" t="n">
        <v>2018</v>
      </c>
    </row>
    <row r="125">
      <c r="A125" t="inlineStr">
        <is>
          <t>no_year_in_pairs</t>
        </is>
      </c>
      <c r="C125" t="inlineStr">
        <is>
          <t>SM.19.158, Sup. 2</t>
        </is>
      </c>
      <c r="D125" t="inlineStr">
        <is>
          <t>Dominica</t>
        </is>
      </c>
      <c r="E125" t="inlineStr">
        <is>
          <t>DMA</t>
        </is>
      </c>
      <c r="G125" t="inlineStr">
        <is>
          <t>2018gn</t>
        </is>
      </c>
      <c r="H125" t="n">
        <v>2018</v>
      </c>
    </row>
    <row r="126">
      <c r="A126" t="inlineStr">
        <is>
          <t>no_year_in_pairs</t>
        </is>
      </c>
      <c r="C126" t="inlineStr">
        <is>
          <t>SM.19.158, Sup. 2</t>
        </is>
      </c>
      <c r="D126" t="inlineStr">
        <is>
          <t>Dominica</t>
        </is>
      </c>
      <c r="E126" t="inlineStr">
        <is>
          <t>DMA</t>
        </is>
      </c>
      <c r="G126" t="inlineStr">
        <is>
          <t>2018gn</t>
        </is>
      </c>
      <c r="H126" t="n">
        <v>2018</v>
      </c>
    </row>
    <row r="127">
      <c r="A127" t="inlineStr">
        <is>
          <t>no_year_in_pairs</t>
        </is>
      </c>
      <c r="C127" t="inlineStr">
        <is>
          <t>SM.19.158, Sup. 2</t>
        </is>
      </c>
      <c r="D127" t="inlineStr">
        <is>
          <t>Dominica</t>
        </is>
      </c>
      <c r="E127" t="inlineStr">
        <is>
          <t>DMA</t>
        </is>
      </c>
      <c r="G127" t="inlineStr">
        <is>
          <t>2018gn</t>
        </is>
      </c>
      <c r="H127" t="n">
        <v>2018</v>
      </c>
    </row>
    <row r="128">
      <c r="A128" t="inlineStr">
        <is>
          <t>no_year_in_pairs</t>
        </is>
      </c>
      <c r="C128" t="inlineStr">
        <is>
          <t>SM.19.158, Sup. 2</t>
        </is>
      </c>
      <c r="D128" t="inlineStr">
        <is>
          <t>Dominica</t>
        </is>
      </c>
      <c r="E128" t="inlineStr">
        <is>
          <t>DMA</t>
        </is>
      </c>
      <c r="G128" t="inlineStr">
        <is>
          <t>2018gn</t>
        </is>
      </c>
      <c r="H128" t="n">
        <v>2018</v>
      </c>
    </row>
    <row r="129">
      <c r="A129" t="inlineStr">
        <is>
          <t>no_year_in_pairs</t>
        </is>
      </c>
      <c r="C129" t="inlineStr">
        <is>
          <t>SM.19.158, Sup. 2</t>
        </is>
      </c>
      <c r="D129" t="inlineStr">
        <is>
          <t>Dominica</t>
        </is>
      </c>
      <c r="E129" t="inlineStr">
        <is>
          <t>DMA</t>
        </is>
      </c>
      <c r="G129" t="inlineStr">
        <is>
          <t>2018gn</t>
        </is>
      </c>
      <c r="H129" t="n">
        <v>2018</v>
      </c>
    </row>
    <row r="130">
      <c r="A130" t="inlineStr">
        <is>
          <t>no_year_in_pairs</t>
        </is>
      </c>
      <c r="C130" t="inlineStr">
        <is>
          <t>SM.19.158, Sup. 2</t>
        </is>
      </c>
      <c r="D130" t="inlineStr">
        <is>
          <t>Dominica</t>
        </is>
      </c>
      <c r="E130" t="inlineStr">
        <is>
          <t>DMA</t>
        </is>
      </c>
      <c r="G130" t="inlineStr">
        <is>
          <t>2018gn</t>
        </is>
      </c>
      <c r="H130" t="n">
        <v>2018</v>
      </c>
    </row>
    <row r="131">
      <c r="A131" t="inlineStr">
        <is>
          <t>no_year_in_pairs</t>
        </is>
      </c>
      <c r="C131" t="inlineStr">
        <is>
          <t>SM.19.158, Sup. 2</t>
        </is>
      </c>
      <c r="D131" t="inlineStr">
        <is>
          <t>Dominica</t>
        </is>
      </c>
      <c r="E131" t="inlineStr">
        <is>
          <t>DMA</t>
        </is>
      </c>
      <c r="G131" t="inlineStr">
        <is>
          <t>2018gn</t>
        </is>
      </c>
      <c r="H131" t="n">
        <v>2018</v>
      </c>
    </row>
    <row r="132">
      <c r="A132" t="inlineStr">
        <is>
          <t>no_year_in_pairs</t>
        </is>
      </c>
      <c r="C132" t="inlineStr">
        <is>
          <t>SM.19.158, Sup. 2</t>
        </is>
      </c>
      <c r="D132" t="inlineStr">
        <is>
          <t>Dominica</t>
        </is>
      </c>
      <c r="E132" t="inlineStr">
        <is>
          <t>DMA</t>
        </is>
      </c>
      <c r="G132" t="inlineStr">
        <is>
          <t>2018gn</t>
        </is>
      </c>
      <c r="H132" t="n">
        <v>2018</v>
      </c>
    </row>
    <row r="133">
      <c r="A133" t="inlineStr">
        <is>
          <t>no_year_in_pairs</t>
        </is>
      </c>
      <c r="C133" t="inlineStr">
        <is>
          <t>SM.19.158, Sup. 2</t>
        </is>
      </c>
      <c r="D133" t="inlineStr">
        <is>
          <t>Dominica</t>
        </is>
      </c>
      <c r="E133" t="inlineStr">
        <is>
          <t>DMA</t>
        </is>
      </c>
      <c r="G133" t="inlineStr">
        <is>
          <t>2018gn</t>
        </is>
      </c>
      <c r="H133" t="n">
        <v>2018</v>
      </c>
    </row>
    <row r="134">
      <c r="A134" t="inlineStr">
        <is>
          <t>no_year_in_pairs</t>
        </is>
      </c>
      <c r="C134" t="inlineStr">
        <is>
          <t>SM.19.158, Sup. 2</t>
        </is>
      </c>
      <c r="D134" t="inlineStr">
        <is>
          <t>Dominica</t>
        </is>
      </c>
      <c r="E134" t="inlineStr">
        <is>
          <t>DMA</t>
        </is>
      </c>
      <c r="G134" t="inlineStr">
        <is>
          <t>2018gn</t>
        </is>
      </c>
      <c r="H134" t="n">
        <v>2018</v>
      </c>
    </row>
    <row r="135">
      <c r="A135" t="inlineStr">
        <is>
          <t>no_year_in_pairs</t>
        </is>
      </c>
      <c r="C135" t="inlineStr">
        <is>
          <t>SM.19.158, Sup. 2</t>
        </is>
      </c>
      <c r="D135" t="inlineStr">
        <is>
          <t>Dominica</t>
        </is>
      </c>
      <c r="E135" t="inlineStr">
        <is>
          <t>DMA</t>
        </is>
      </c>
      <c r="G135" t="inlineStr">
        <is>
          <t>2018gn</t>
        </is>
      </c>
      <c r="H135" t="n">
        <v>2018</v>
      </c>
    </row>
    <row r="136">
      <c r="A136" t="inlineStr">
        <is>
          <t>no_year_in_pairs</t>
        </is>
      </c>
      <c r="C136" t="inlineStr">
        <is>
          <t>SM.19.158, Sup. 2</t>
        </is>
      </c>
      <c r="D136" t="inlineStr">
        <is>
          <t>Dominica</t>
        </is>
      </c>
      <c r="E136" t="inlineStr">
        <is>
          <t>DMA</t>
        </is>
      </c>
      <c r="G136" t="inlineStr">
        <is>
          <t>2018gn</t>
        </is>
      </c>
      <c r="H136" t="n">
        <v>2018</v>
      </c>
    </row>
    <row r="137">
      <c r="A137" t="inlineStr">
        <is>
          <t>no_year_in_pairs</t>
        </is>
      </c>
      <c r="C137" t="inlineStr">
        <is>
          <t>SM.19.158, Sup. 2</t>
        </is>
      </c>
      <c r="D137" t="inlineStr">
        <is>
          <t>Dominica</t>
        </is>
      </c>
      <c r="E137" t="inlineStr">
        <is>
          <t>DMA</t>
        </is>
      </c>
      <c r="G137" t="inlineStr">
        <is>
          <t>2018gn</t>
        </is>
      </c>
      <c r="H137" t="n">
        <v>2018</v>
      </c>
    </row>
    <row r="138">
      <c r="A138" t="inlineStr">
        <is>
          <t>no_year_in_pairs</t>
        </is>
      </c>
      <c r="C138" t="inlineStr">
        <is>
          <t>SM.19.158, Sup. 2</t>
        </is>
      </c>
      <c r="D138" t="inlineStr">
        <is>
          <t>Dominica</t>
        </is>
      </c>
      <c r="E138" t="inlineStr">
        <is>
          <t>DMA</t>
        </is>
      </c>
      <c r="G138" t="inlineStr">
        <is>
          <t>2018gn</t>
        </is>
      </c>
      <c r="H138" t="n">
        <v>2018</v>
      </c>
    </row>
    <row r="139">
      <c r="A139" t="inlineStr">
        <is>
          <t>no_year_in_pairs</t>
        </is>
      </c>
      <c r="C139" t="inlineStr">
        <is>
          <t>SM.19.158, Sup. 2</t>
        </is>
      </c>
      <c r="D139" t="inlineStr">
        <is>
          <t>Dominica</t>
        </is>
      </c>
      <c r="E139" t="inlineStr">
        <is>
          <t>DMA</t>
        </is>
      </c>
      <c r="G139" t="inlineStr">
        <is>
          <t>2018gn</t>
        </is>
      </c>
      <c r="H139" t="n">
        <v>2018</v>
      </c>
    </row>
    <row r="140">
      <c r="A140" t="inlineStr">
        <is>
          <t>no_year_in_pairs</t>
        </is>
      </c>
      <c r="C140" t="inlineStr">
        <is>
          <t>SM.19.158, Sup. 2</t>
        </is>
      </c>
      <c r="D140" t="inlineStr">
        <is>
          <t>Dominica</t>
        </is>
      </c>
      <c r="E140" t="inlineStr">
        <is>
          <t>DMA</t>
        </is>
      </c>
      <c r="G140" t="inlineStr">
        <is>
          <t>2018gn</t>
        </is>
      </c>
      <c r="H140" t="n">
        <v>2018</v>
      </c>
    </row>
    <row r="141">
      <c r="A141" t="inlineStr">
        <is>
          <t>no_year_in_pairs</t>
        </is>
      </c>
      <c r="C141" t="inlineStr">
        <is>
          <t>SM.19.158, Sup. 2</t>
        </is>
      </c>
      <c r="D141" t="inlineStr">
        <is>
          <t>Dominica</t>
        </is>
      </c>
      <c r="E141" t="inlineStr">
        <is>
          <t>DMA</t>
        </is>
      </c>
      <c r="G141" t="inlineStr">
        <is>
          <t>2018gn</t>
        </is>
      </c>
      <c r="H141" t="n">
        <v>2018</v>
      </c>
    </row>
    <row r="142">
      <c r="A142" t="inlineStr">
        <is>
          <t>no_year_in_pairs</t>
        </is>
      </c>
      <c r="C142" t="inlineStr">
        <is>
          <t>SM.19.158, Sup. 2</t>
        </is>
      </c>
      <c r="D142" t="inlineStr">
        <is>
          <t>Dominica</t>
        </is>
      </c>
      <c r="E142" t="inlineStr">
        <is>
          <t>DMA</t>
        </is>
      </c>
      <c r="G142" t="inlineStr">
        <is>
          <t>2018gn</t>
        </is>
      </c>
      <c r="H142" t="n">
        <v>2018</v>
      </c>
    </row>
    <row r="143">
      <c r="A143" t="inlineStr">
        <is>
          <t>no_year_in_pairs</t>
        </is>
      </c>
      <c r="C143" t="inlineStr">
        <is>
          <t>SM.19.158, Sup. 2</t>
        </is>
      </c>
      <c r="D143" t="inlineStr">
        <is>
          <t>Dominica</t>
        </is>
      </c>
      <c r="E143" t="inlineStr">
        <is>
          <t>DMA</t>
        </is>
      </c>
      <c r="G143" t="inlineStr">
        <is>
          <t>2018gn</t>
        </is>
      </c>
      <c r="H143" t="n">
        <v>2018</v>
      </c>
    </row>
    <row r="144">
      <c r="A144" t="inlineStr">
        <is>
          <t>no_year_in_pairs</t>
        </is>
      </c>
      <c r="C144" t="inlineStr">
        <is>
          <t>SM.19.158, Sup. 2</t>
        </is>
      </c>
      <c r="D144" t="inlineStr">
        <is>
          <t>Dominica</t>
        </is>
      </c>
      <c r="E144" t="inlineStr">
        <is>
          <t>DMA</t>
        </is>
      </c>
      <c r="G144" t="inlineStr">
        <is>
          <t>2018gn</t>
        </is>
      </c>
      <c r="H144" t="n">
        <v>2018</v>
      </c>
    </row>
    <row r="145">
      <c r="A145" t="inlineStr">
        <is>
          <t>no_year_in_pairs</t>
        </is>
      </c>
      <c r="C145" t="inlineStr">
        <is>
          <t>SM.19.158, Sup. 2</t>
        </is>
      </c>
      <c r="D145" t="inlineStr">
        <is>
          <t>Dominica</t>
        </is>
      </c>
      <c r="E145" t="inlineStr">
        <is>
          <t>DMA</t>
        </is>
      </c>
      <c r="G145" t="inlineStr">
        <is>
          <t>2018gn</t>
        </is>
      </c>
      <c r="H145" t="n">
        <v>2018</v>
      </c>
    </row>
    <row r="146">
      <c r="A146" t="inlineStr">
        <is>
          <t>no_year_in_pairs</t>
        </is>
      </c>
      <c r="C146" t="inlineStr">
        <is>
          <t>SM.19.158, Sup. 2</t>
        </is>
      </c>
      <c r="D146" t="inlineStr">
        <is>
          <t>Dominica</t>
        </is>
      </c>
      <c r="E146" t="inlineStr">
        <is>
          <t>DMA</t>
        </is>
      </c>
      <c r="G146" t="inlineStr">
        <is>
          <t>2018gn</t>
        </is>
      </c>
      <c r="H146" t="n">
        <v>2018</v>
      </c>
    </row>
    <row r="147">
      <c r="A147" t="inlineStr">
        <is>
          <t>no_year_in_pairs</t>
        </is>
      </c>
      <c r="C147" t="inlineStr">
        <is>
          <t>SM.19.158, Sup. 2</t>
        </is>
      </c>
      <c r="D147" t="inlineStr">
        <is>
          <t>Dominica</t>
        </is>
      </c>
      <c r="E147" t="inlineStr">
        <is>
          <t>DMA</t>
        </is>
      </c>
      <c r="G147" t="inlineStr">
        <is>
          <t>2018gn</t>
        </is>
      </c>
      <c r="H147" t="n">
        <v>2018</v>
      </c>
    </row>
    <row r="148">
      <c r="A148" t="inlineStr">
        <is>
          <t>no_year_in_pairs</t>
        </is>
      </c>
      <c r="C148" t="inlineStr">
        <is>
          <t>SM.19.158, Sup. 2</t>
        </is>
      </c>
      <c r="D148" t="inlineStr">
        <is>
          <t>Dominica</t>
        </is>
      </c>
      <c r="E148" t="inlineStr">
        <is>
          <t>DMA</t>
        </is>
      </c>
      <c r="G148" t="inlineStr">
        <is>
          <t>2018gn</t>
        </is>
      </c>
      <c r="H148" t="n">
        <v>2018</v>
      </c>
    </row>
    <row r="149">
      <c r="A149" t="inlineStr">
        <is>
          <t>no_year_in_pairs</t>
        </is>
      </c>
      <c r="C149" t="inlineStr">
        <is>
          <t>SM.19.158, Sup. 2</t>
        </is>
      </c>
      <c r="D149" t="inlineStr">
        <is>
          <t>Dominica</t>
        </is>
      </c>
      <c r="E149" t="inlineStr">
        <is>
          <t>DMA</t>
        </is>
      </c>
      <c r="G149" t="inlineStr">
        <is>
          <t>2018gn</t>
        </is>
      </c>
      <c r="H149" t="n">
        <v>2018</v>
      </c>
    </row>
    <row r="150">
      <c r="A150" t="inlineStr">
        <is>
          <t>no_year_in_pairs</t>
        </is>
      </c>
      <c r="C150" t="inlineStr">
        <is>
          <t>SM.19.158, Sup. 2</t>
        </is>
      </c>
      <c r="D150" t="inlineStr">
        <is>
          <t>Dominica</t>
        </is>
      </c>
      <c r="E150" t="inlineStr">
        <is>
          <t>DMA</t>
        </is>
      </c>
      <c r="G150" t="inlineStr">
        <is>
          <t>2018gn</t>
        </is>
      </c>
      <c r="H150" t="n">
        <v>2018</v>
      </c>
    </row>
    <row r="151">
      <c r="A151" t="inlineStr">
        <is>
          <t>no_year_in_pairs</t>
        </is>
      </c>
      <c r="C151" t="inlineStr">
        <is>
          <t>SM.19.158, Sup. 2</t>
        </is>
      </c>
      <c r="D151" t="inlineStr">
        <is>
          <t>Dominica</t>
        </is>
      </c>
      <c r="E151" t="inlineStr">
        <is>
          <t>DMA</t>
        </is>
      </c>
      <c r="G151" t="inlineStr">
        <is>
          <t>2018gn</t>
        </is>
      </c>
      <c r="H151" t="n">
        <v>2018</v>
      </c>
    </row>
    <row r="152">
      <c r="A152" t="inlineStr">
        <is>
          <t>no_year_in_pairs</t>
        </is>
      </c>
      <c r="C152" t="inlineStr">
        <is>
          <t>SM.19.158, Sup. 2</t>
        </is>
      </c>
      <c r="D152" t="inlineStr">
        <is>
          <t>Dominica</t>
        </is>
      </c>
      <c r="E152" t="inlineStr">
        <is>
          <t>DMA</t>
        </is>
      </c>
      <c r="G152" t="inlineStr">
        <is>
          <t>2018gn</t>
        </is>
      </c>
      <c r="H152" t="n">
        <v>2018</v>
      </c>
    </row>
    <row r="153">
      <c r="A153" t="inlineStr">
        <is>
          <t>no_year_in_pairs</t>
        </is>
      </c>
      <c r="C153" t="inlineStr">
        <is>
          <t>SM.19.158, Sup. 2</t>
        </is>
      </c>
      <c r="D153" t="inlineStr">
        <is>
          <t>Dominica</t>
        </is>
      </c>
      <c r="E153" t="inlineStr">
        <is>
          <t>DMA</t>
        </is>
      </c>
      <c r="G153" t="inlineStr">
        <is>
          <t>2018gn</t>
        </is>
      </c>
      <c r="H153" t="n">
        <v>2018</v>
      </c>
    </row>
    <row r="154">
      <c r="A154" t="inlineStr">
        <is>
          <t>no_year_in_pairs</t>
        </is>
      </c>
      <c r="C154" t="inlineStr">
        <is>
          <t>SM.19.158, Sup. 2</t>
        </is>
      </c>
      <c r="D154" t="inlineStr">
        <is>
          <t>Dominica</t>
        </is>
      </c>
      <c r="E154" t="inlineStr">
        <is>
          <t>DMA</t>
        </is>
      </c>
      <c r="G154" t="inlineStr">
        <is>
          <t>2018gn</t>
        </is>
      </c>
      <c r="H154" t="n">
        <v>2018</v>
      </c>
    </row>
    <row r="155">
      <c r="A155" t="inlineStr">
        <is>
          <t>no_year_in_pairs</t>
        </is>
      </c>
      <c r="C155" t="inlineStr">
        <is>
          <t>SM.19.158, Sup. 2</t>
        </is>
      </c>
      <c r="D155" t="inlineStr">
        <is>
          <t>Dominica</t>
        </is>
      </c>
      <c r="E155" t="inlineStr">
        <is>
          <t>DMA</t>
        </is>
      </c>
      <c r="G155" t="inlineStr">
        <is>
          <t>2018gn</t>
        </is>
      </c>
      <c r="H155" t="n">
        <v>2018</v>
      </c>
    </row>
    <row r="156">
      <c r="A156" t="inlineStr">
        <is>
          <t>no_year_in_pairs</t>
        </is>
      </c>
      <c r="C156" t="inlineStr">
        <is>
          <t>SM.19.158, Sup. 2</t>
        </is>
      </c>
      <c r="D156" t="inlineStr">
        <is>
          <t>Dominica</t>
        </is>
      </c>
      <c r="E156" t="inlineStr">
        <is>
          <t>DMA</t>
        </is>
      </c>
      <c r="G156" t="inlineStr">
        <is>
          <t>2018gn</t>
        </is>
      </c>
      <c r="H156" t="n">
        <v>2018</v>
      </c>
    </row>
    <row r="157">
      <c r="A157" t="inlineStr">
        <is>
          <t>no_year_in_pairs</t>
        </is>
      </c>
      <c r="C157" t="inlineStr">
        <is>
          <t>SM.19.158, Sup. 2</t>
        </is>
      </c>
      <c r="D157" t="inlineStr">
        <is>
          <t>Dominica</t>
        </is>
      </c>
      <c r="E157" t="inlineStr">
        <is>
          <t>DMA</t>
        </is>
      </c>
      <c r="G157" t="inlineStr">
        <is>
          <t>2018gn</t>
        </is>
      </c>
      <c r="H157" t="n">
        <v>2018</v>
      </c>
    </row>
    <row r="158">
      <c r="A158" t="inlineStr">
        <is>
          <t>no_year_in_pairs</t>
        </is>
      </c>
      <c r="C158" t="inlineStr">
        <is>
          <t>SM.19.158, Sup. 2</t>
        </is>
      </c>
      <c r="D158" t="inlineStr">
        <is>
          <t>Dominica</t>
        </is>
      </c>
      <c r="E158" t="inlineStr">
        <is>
          <t>DMA</t>
        </is>
      </c>
      <c r="G158" t="inlineStr">
        <is>
          <t>2018gn</t>
        </is>
      </c>
      <c r="H158" t="n">
        <v>2018</v>
      </c>
    </row>
    <row r="159">
      <c r="A159" t="inlineStr">
        <is>
          <t>no_year_in_pairs</t>
        </is>
      </c>
      <c r="C159" t="inlineStr">
        <is>
          <t>SM.19.158, Sup. 2</t>
        </is>
      </c>
      <c r="D159" t="inlineStr">
        <is>
          <t>Dominica</t>
        </is>
      </c>
      <c r="E159" t="inlineStr">
        <is>
          <t>DMA</t>
        </is>
      </c>
      <c r="G159" t="inlineStr">
        <is>
          <t>2018gn</t>
        </is>
      </c>
      <c r="H159" t="n">
        <v>2018</v>
      </c>
    </row>
    <row r="160">
      <c r="A160" t="inlineStr">
        <is>
          <t>no_year_in_pairs</t>
        </is>
      </c>
      <c r="C160" t="inlineStr">
        <is>
          <t>SM.19.158, Sup. 2</t>
        </is>
      </c>
      <c r="D160" t="inlineStr">
        <is>
          <t>Dominica</t>
        </is>
      </c>
      <c r="E160" t="inlineStr">
        <is>
          <t>DMA</t>
        </is>
      </c>
      <c r="G160" t="inlineStr">
        <is>
          <t>2018gn</t>
        </is>
      </c>
      <c r="H160" t="n">
        <v>2018</v>
      </c>
    </row>
    <row r="161">
      <c r="A161" t="inlineStr">
        <is>
          <t>no_year_in_pairs</t>
        </is>
      </c>
      <c r="C161" t="inlineStr">
        <is>
          <t>SM.19.158, Sup. 2</t>
        </is>
      </c>
      <c r="D161" t="inlineStr">
        <is>
          <t>Dominica</t>
        </is>
      </c>
      <c r="E161" t="inlineStr">
        <is>
          <t>DMA</t>
        </is>
      </c>
      <c r="G161" t="inlineStr">
        <is>
          <t>2018gn</t>
        </is>
      </c>
      <c r="H161" t="n">
        <v>2018</v>
      </c>
    </row>
    <row r="162">
      <c r="A162" t="inlineStr">
        <is>
          <t>no_year_in_pairs</t>
        </is>
      </c>
      <c r="C162" t="inlineStr">
        <is>
          <t>SM.19.158, Sup. 2</t>
        </is>
      </c>
      <c r="D162" t="inlineStr">
        <is>
          <t>Dominica</t>
        </is>
      </c>
      <c r="E162" t="inlineStr">
        <is>
          <t>DMA</t>
        </is>
      </c>
      <c r="G162" t="inlineStr">
        <is>
          <t>2018gn</t>
        </is>
      </c>
      <c r="H162" t="n">
        <v>2018</v>
      </c>
    </row>
    <row r="163">
      <c r="A163" t="inlineStr">
        <is>
          <t>no_year_in_pairs</t>
        </is>
      </c>
      <c r="C163" t="inlineStr">
        <is>
          <t>SM.19.158, Sup. 2</t>
        </is>
      </c>
      <c r="D163" t="inlineStr">
        <is>
          <t>Dominica</t>
        </is>
      </c>
      <c r="E163" t="inlineStr">
        <is>
          <t>DMA</t>
        </is>
      </c>
      <c r="G163" t="inlineStr">
        <is>
          <t>2018gn</t>
        </is>
      </c>
      <c r="H163" t="n">
        <v>2018</v>
      </c>
    </row>
    <row r="164">
      <c r="A164" t="inlineStr">
        <is>
          <t>no_year_in_pairs</t>
        </is>
      </c>
      <c r="C164" t="inlineStr">
        <is>
          <t>SM.19.158, Sup. 2</t>
        </is>
      </c>
      <c r="D164" t="inlineStr">
        <is>
          <t>Dominica</t>
        </is>
      </c>
      <c r="E164" t="inlineStr">
        <is>
          <t>DMA</t>
        </is>
      </c>
      <c r="G164" t="inlineStr">
        <is>
          <t>2018gn</t>
        </is>
      </c>
      <c r="H164" t="n">
        <v>2018</v>
      </c>
    </row>
    <row r="165">
      <c r="A165" t="inlineStr">
        <is>
          <t>no_year_in_pairs</t>
        </is>
      </c>
      <c r="C165" t="inlineStr">
        <is>
          <t>SM.19.158, Sup. 2</t>
        </is>
      </c>
      <c r="D165" t="inlineStr">
        <is>
          <t>Dominica</t>
        </is>
      </c>
      <c r="E165" t="inlineStr">
        <is>
          <t>DMA</t>
        </is>
      </c>
      <c r="G165" t="inlineStr">
        <is>
          <t>2018gn</t>
        </is>
      </c>
      <c r="H165" t="n">
        <v>2018</v>
      </c>
    </row>
    <row r="166">
      <c r="A166" t="inlineStr">
        <is>
          <t>no_year_in_pairs</t>
        </is>
      </c>
      <c r="C166" t="inlineStr">
        <is>
          <t>SM.19.158, Sup. 2</t>
        </is>
      </c>
      <c r="D166" t="inlineStr">
        <is>
          <t>Dominica</t>
        </is>
      </c>
      <c r="E166" t="inlineStr">
        <is>
          <t>DMA</t>
        </is>
      </c>
      <c r="G166" t="inlineStr">
        <is>
          <t>2018gn</t>
        </is>
      </c>
      <c r="H166" t="n">
        <v>2018</v>
      </c>
    </row>
    <row r="167">
      <c r="A167" t="inlineStr">
        <is>
          <t>no_year_in_pairs</t>
        </is>
      </c>
      <c r="C167" t="inlineStr">
        <is>
          <t>SM.19.158, Sup. 2</t>
        </is>
      </c>
      <c r="D167" t="inlineStr">
        <is>
          <t>Dominica</t>
        </is>
      </c>
      <c r="E167" t="inlineStr">
        <is>
          <t>DMA</t>
        </is>
      </c>
      <c r="G167" t="inlineStr">
        <is>
          <t>2018gn</t>
        </is>
      </c>
      <c r="H167" t="n">
        <v>2018</v>
      </c>
    </row>
    <row r="168">
      <c r="A168" t="inlineStr">
        <is>
          <t>no_year_in_pairs</t>
        </is>
      </c>
      <c r="C168" t="inlineStr">
        <is>
          <t>SM.19.158, Sup. 2</t>
        </is>
      </c>
      <c r="D168" t="inlineStr">
        <is>
          <t>Dominica</t>
        </is>
      </c>
      <c r="E168" t="inlineStr">
        <is>
          <t>DMA</t>
        </is>
      </c>
      <c r="G168" t="inlineStr">
        <is>
          <t>2018gn</t>
        </is>
      </c>
      <c r="H168" t="n">
        <v>2018</v>
      </c>
    </row>
    <row r="169">
      <c r="A169" t="inlineStr">
        <is>
          <t>no_year_in_pairs</t>
        </is>
      </c>
      <c r="C169" t="inlineStr">
        <is>
          <t>SM.19.158, Sup. 2</t>
        </is>
      </c>
      <c r="D169" t="inlineStr">
        <is>
          <t>Dominica</t>
        </is>
      </c>
      <c r="E169" t="inlineStr">
        <is>
          <t>DMA</t>
        </is>
      </c>
      <c r="G169" t="inlineStr">
        <is>
          <t>2018gn</t>
        </is>
      </c>
      <c r="H169" t="n">
        <v>2018</v>
      </c>
    </row>
    <row r="170">
      <c r="A170" t="inlineStr">
        <is>
          <t>no_year_in_pairs</t>
        </is>
      </c>
      <c r="C170" t="inlineStr">
        <is>
          <t>SM.19.158, Sup. 2</t>
        </is>
      </c>
      <c r="D170" t="inlineStr">
        <is>
          <t>Dominica</t>
        </is>
      </c>
      <c r="E170" t="inlineStr">
        <is>
          <t>DMA</t>
        </is>
      </c>
      <c r="G170" t="inlineStr">
        <is>
          <t>2018gn</t>
        </is>
      </c>
      <c r="H170" t="n">
        <v>2018</v>
      </c>
    </row>
    <row r="171">
      <c r="A171" t="inlineStr">
        <is>
          <t>no_year_in_pairs</t>
        </is>
      </c>
      <c r="C171" t="inlineStr">
        <is>
          <t>SM.19.158, Sup. 2</t>
        </is>
      </c>
      <c r="D171" t="inlineStr">
        <is>
          <t>Dominica</t>
        </is>
      </c>
      <c r="E171" t="inlineStr">
        <is>
          <t>DMA</t>
        </is>
      </c>
      <c r="G171" t="inlineStr">
        <is>
          <t>2018gn</t>
        </is>
      </c>
      <c r="H171" t="n">
        <v>2018</v>
      </c>
    </row>
    <row r="172">
      <c r="A172" t="inlineStr">
        <is>
          <t>no_year_in_pairs</t>
        </is>
      </c>
      <c r="C172" t="inlineStr">
        <is>
          <t>SM.19.158, Sup. 2</t>
        </is>
      </c>
      <c r="D172" t="inlineStr">
        <is>
          <t>Dominica</t>
        </is>
      </c>
      <c r="E172" t="inlineStr">
        <is>
          <t>DMA</t>
        </is>
      </c>
      <c r="G172" t="inlineStr">
        <is>
          <t>2018gn</t>
        </is>
      </c>
      <c r="H172" t="n">
        <v>2018</v>
      </c>
    </row>
    <row r="173">
      <c r="A173" t="inlineStr">
        <is>
          <t>no_year_in_pairs</t>
        </is>
      </c>
      <c r="C173" t="inlineStr">
        <is>
          <t>SM.19.158, Sup. 2</t>
        </is>
      </c>
      <c r="D173" t="inlineStr">
        <is>
          <t>Dominica</t>
        </is>
      </c>
      <c r="E173" t="inlineStr">
        <is>
          <t>DMA</t>
        </is>
      </c>
      <c r="G173" t="inlineStr">
        <is>
          <t>2018gn</t>
        </is>
      </c>
      <c r="H173" t="n">
        <v>2018</v>
      </c>
    </row>
    <row r="174">
      <c r="A174" t="inlineStr">
        <is>
          <t>no_year_in_pairs</t>
        </is>
      </c>
      <c r="C174" t="inlineStr">
        <is>
          <t>SM.19.158, Sup. 2</t>
        </is>
      </c>
      <c r="D174" t="inlineStr">
        <is>
          <t>Dominica</t>
        </is>
      </c>
      <c r="E174" t="inlineStr">
        <is>
          <t>DMA</t>
        </is>
      </c>
      <c r="G174" t="inlineStr">
        <is>
          <t>2018gn</t>
        </is>
      </c>
      <c r="H174" t="n">
        <v>2018</v>
      </c>
    </row>
    <row r="175">
      <c r="A175" t="inlineStr">
        <is>
          <t>no_year_in_pairs</t>
        </is>
      </c>
      <c r="C175" t="inlineStr">
        <is>
          <t>SM.19.158, Sup. 2</t>
        </is>
      </c>
      <c r="D175" t="inlineStr">
        <is>
          <t>Dominica</t>
        </is>
      </c>
      <c r="E175" t="inlineStr">
        <is>
          <t>DMA</t>
        </is>
      </c>
      <c r="G175" t="inlineStr">
        <is>
          <t>2018gn</t>
        </is>
      </c>
      <c r="H175" t="n">
        <v>2018</v>
      </c>
    </row>
    <row r="176">
      <c r="A176" t="inlineStr">
        <is>
          <t>no_year_in_pairs</t>
        </is>
      </c>
      <c r="C176" t="inlineStr">
        <is>
          <t>SM.19.158, Sup. 2</t>
        </is>
      </c>
      <c r="D176" t="inlineStr">
        <is>
          <t>Dominica</t>
        </is>
      </c>
      <c r="E176" t="inlineStr">
        <is>
          <t>DMA</t>
        </is>
      </c>
      <c r="G176" t="inlineStr">
        <is>
          <t>2018gn</t>
        </is>
      </c>
      <c r="H176" t="n">
        <v>2018</v>
      </c>
    </row>
    <row r="177">
      <c r="A177" t="inlineStr">
        <is>
          <t>no_year_in_pairs</t>
        </is>
      </c>
      <c r="C177" t="inlineStr">
        <is>
          <t>SM.19.158, Sup. 2</t>
        </is>
      </c>
      <c r="D177" t="inlineStr">
        <is>
          <t>Dominica</t>
        </is>
      </c>
      <c r="E177" t="inlineStr">
        <is>
          <t>DMA</t>
        </is>
      </c>
      <c r="G177" t="inlineStr">
        <is>
          <t>2018gn</t>
        </is>
      </c>
      <c r="H177" t="n">
        <v>2018</v>
      </c>
    </row>
    <row r="178">
      <c r="A178" t="inlineStr">
        <is>
          <t>no_year_in_pairs</t>
        </is>
      </c>
      <c r="C178" t="inlineStr">
        <is>
          <t>SM.19.158, Sup. 2</t>
        </is>
      </c>
      <c r="D178" t="inlineStr">
        <is>
          <t>Dominica</t>
        </is>
      </c>
      <c r="E178" t="inlineStr">
        <is>
          <t>DMA</t>
        </is>
      </c>
      <c r="G178" t="inlineStr">
        <is>
          <t>2018gn</t>
        </is>
      </c>
      <c r="H178" t="n">
        <v>2018</v>
      </c>
    </row>
    <row r="179">
      <c r="A179" t="inlineStr">
        <is>
          <t>no_year_in_pairs</t>
        </is>
      </c>
      <c r="C179" t="inlineStr">
        <is>
          <t>SM.19.158, Sup. 2</t>
        </is>
      </c>
      <c r="D179" t="inlineStr">
        <is>
          <t>Dominica</t>
        </is>
      </c>
      <c r="E179" t="inlineStr">
        <is>
          <t>DMA</t>
        </is>
      </c>
      <c r="G179" t="inlineStr">
        <is>
          <t>2018gn</t>
        </is>
      </c>
      <c r="H179" t="n">
        <v>2018</v>
      </c>
    </row>
    <row r="180">
      <c r="A180" t="inlineStr">
        <is>
          <t>no_year_in_pairs</t>
        </is>
      </c>
      <c r="C180" t="inlineStr">
        <is>
          <t>SM.19.158, Sup. 2</t>
        </is>
      </c>
      <c r="D180" t="inlineStr">
        <is>
          <t>Dominica</t>
        </is>
      </c>
      <c r="E180" t="inlineStr">
        <is>
          <t>DMA</t>
        </is>
      </c>
      <c r="G180" t="inlineStr">
        <is>
          <t>2018gn</t>
        </is>
      </c>
      <c r="H180" t="n">
        <v>2018</v>
      </c>
    </row>
    <row r="181">
      <c r="A181" t="inlineStr">
        <is>
          <t>no_year_in_pairs</t>
        </is>
      </c>
      <c r="C181" t="inlineStr">
        <is>
          <t>SM.19.158, Sup. 2</t>
        </is>
      </c>
      <c r="D181" t="inlineStr">
        <is>
          <t>Dominica</t>
        </is>
      </c>
      <c r="E181" t="inlineStr">
        <is>
          <t>DMA</t>
        </is>
      </c>
      <c r="G181" t="inlineStr">
        <is>
          <t>2018gn</t>
        </is>
      </c>
      <c r="H181" t="n">
        <v>2018</v>
      </c>
    </row>
    <row r="182">
      <c r="A182" t="inlineStr">
        <is>
          <t>no_year_in_pairs</t>
        </is>
      </c>
      <c r="C182" t="inlineStr">
        <is>
          <t>SM.19.158, Sup. 2</t>
        </is>
      </c>
      <c r="D182" t="inlineStr">
        <is>
          <t>Dominica</t>
        </is>
      </c>
      <c r="E182" t="inlineStr">
        <is>
          <t>DMA</t>
        </is>
      </c>
      <c r="G182" t="inlineStr">
        <is>
          <t>2018gn</t>
        </is>
      </c>
      <c r="H182" t="n">
        <v>2018</v>
      </c>
    </row>
    <row r="183">
      <c r="A183" t="inlineStr">
        <is>
          <t>no_year_in_pairs</t>
        </is>
      </c>
      <c r="C183" t="inlineStr">
        <is>
          <t>SM.19.158, Sup. 2</t>
        </is>
      </c>
      <c r="D183" t="inlineStr">
        <is>
          <t>Dominica</t>
        </is>
      </c>
      <c r="E183" t="inlineStr">
        <is>
          <t>DMA</t>
        </is>
      </c>
      <c r="G183" t="inlineStr">
        <is>
          <t>2018gn</t>
        </is>
      </c>
      <c r="H183" t="n">
        <v>2018</v>
      </c>
    </row>
    <row r="184">
      <c r="A184" t="inlineStr">
        <is>
          <t>no_year_in_pairs</t>
        </is>
      </c>
      <c r="C184" t="inlineStr">
        <is>
          <t>SM.19.158, Sup. 2</t>
        </is>
      </c>
      <c r="D184" t="inlineStr">
        <is>
          <t>Dominica</t>
        </is>
      </c>
      <c r="E184" t="inlineStr">
        <is>
          <t>DMA</t>
        </is>
      </c>
      <c r="G184" t="inlineStr">
        <is>
          <t>2018gn</t>
        </is>
      </c>
      <c r="H184" t="n">
        <v>2018</v>
      </c>
    </row>
    <row r="185">
      <c r="A185" t="inlineStr">
        <is>
          <t>no_year_in_pairs</t>
        </is>
      </c>
      <c r="C185" t="inlineStr">
        <is>
          <t>SM.19.158, Sup. 2</t>
        </is>
      </c>
      <c r="D185" t="inlineStr">
        <is>
          <t>Dominica</t>
        </is>
      </c>
      <c r="E185" t="inlineStr">
        <is>
          <t>DMA</t>
        </is>
      </c>
      <c r="G185" t="inlineStr">
        <is>
          <t>2018gn</t>
        </is>
      </c>
      <c r="H185" t="n">
        <v>2018</v>
      </c>
    </row>
    <row r="186">
      <c r="A186" t="inlineStr">
        <is>
          <t>no_year_in_pairs</t>
        </is>
      </c>
      <c r="C186" t="inlineStr">
        <is>
          <t>SM.19.158, Sup. 2</t>
        </is>
      </c>
      <c r="D186" t="inlineStr">
        <is>
          <t>Dominica</t>
        </is>
      </c>
      <c r="E186" t="inlineStr">
        <is>
          <t>DMA</t>
        </is>
      </c>
      <c r="G186" t="inlineStr">
        <is>
          <t>2018gn</t>
        </is>
      </c>
      <c r="H186" t="n">
        <v>2018</v>
      </c>
    </row>
    <row r="187">
      <c r="A187" t="inlineStr">
        <is>
          <t>no_year_in_pairs</t>
        </is>
      </c>
      <c r="C187" t="inlineStr">
        <is>
          <t>SM.19.158, Sup. 2</t>
        </is>
      </c>
      <c r="D187" t="inlineStr">
        <is>
          <t>Dominica</t>
        </is>
      </c>
      <c r="E187" t="inlineStr">
        <is>
          <t>DMA</t>
        </is>
      </c>
      <c r="G187" t="inlineStr">
        <is>
          <t>2018gn</t>
        </is>
      </c>
      <c r="H187" t="n">
        <v>2018</v>
      </c>
    </row>
    <row r="188">
      <c r="A188" t="inlineStr">
        <is>
          <t>no_year_in_pairs</t>
        </is>
      </c>
      <c r="C188" t="inlineStr">
        <is>
          <t>SM.19.158, Sup. 2</t>
        </is>
      </c>
      <c r="D188" t="inlineStr">
        <is>
          <t>Dominica</t>
        </is>
      </c>
      <c r="E188" t="inlineStr">
        <is>
          <t>DMA</t>
        </is>
      </c>
      <c r="G188" t="inlineStr">
        <is>
          <t>2018gn</t>
        </is>
      </c>
      <c r="H188" t="n">
        <v>2018</v>
      </c>
    </row>
    <row r="189">
      <c r="A189" t="inlineStr">
        <is>
          <t>no_year_in_pairs</t>
        </is>
      </c>
      <c r="C189" t="inlineStr">
        <is>
          <t>SM.19.158, Sup. 2</t>
        </is>
      </c>
      <c r="D189" t="inlineStr">
        <is>
          <t>Dominica</t>
        </is>
      </c>
      <c r="E189" t="inlineStr">
        <is>
          <t>DMA</t>
        </is>
      </c>
      <c r="G189" t="inlineStr">
        <is>
          <t>2018gn</t>
        </is>
      </c>
      <c r="H189" t="n">
        <v>2018</v>
      </c>
    </row>
    <row r="190">
      <c r="A190" t="inlineStr">
        <is>
          <t>no_year_in_pairs</t>
        </is>
      </c>
      <c r="C190" t="inlineStr">
        <is>
          <t>SM.19.158, Sup. 2</t>
        </is>
      </c>
      <c r="D190" t="inlineStr">
        <is>
          <t>Dominica</t>
        </is>
      </c>
      <c r="E190" t="inlineStr">
        <is>
          <t>DMA</t>
        </is>
      </c>
      <c r="G190" t="inlineStr">
        <is>
          <t>2018gn</t>
        </is>
      </c>
      <c r="H190" t="n">
        <v>2018</v>
      </c>
    </row>
    <row r="191">
      <c r="A191" t="inlineStr">
        <is>
          <t>no_year_in_pairs</t>
        </is>
      </c>
      <c r="C191" t="inlineStr">
        <is>
          <t>SM.19.158, Sup. 2</t>
        </is>
      </c>
      <c r="D191" t="inlineStr">
        <is>
          <t>Dominica</t>
        </is>
      </c>
      <c r="E191" t="inlineStr">
        <is>
          <t>DMA</t>
        </is>
      </c>
      <c r="G191" t="inlineStr">
        <is>
          <t>2018gn</t>
        </is>
      </c>
      <c r="H191" t="n">
        <v>2018</v>
      </c>
    </row>
    <row r="192">
      <c r="A192" t="inlineStr">
        <is>
          <t>no_year_in_pairs</t>
        </is>
      </c>
      <c r="C192" t="inlineStr">
        <is>
          <t>SM.19.158, Sup. 2</t>
        </is>
      </c>
      <c r="D192" t="inlineStr">
        <is>
          <t>Dominica</t>
        </is>
      </c>
      <c r="E192" t="inlineStr">
        <is>
          <t>DMA</t>
        </is>
      </c>
      <c r="G192" t="inlineStr">
        <is>
          <t>2018gn</t>
        </is>
      </c>
      <c r="H192" t="n">
        <v>2018</v>
      </c>
    </row>
    <row r="193">
      <c r="A193" t="inlineStr">
        <is>
          <t>no_year_in_pairs</t>
        </is>
      </c>
      <c r="C193" t="inlineStr">
        <is>
          <t>SM.19.158, Sup. 2</t>
        </is>
      </c>
      <c r="D193" t="inlineStr">
        <is>
          <t>Dominica</t>
        </is>
      </c>
      <c r="E193" t="inlineStr">
        <is>
          <t>DMA</t>
        </is>
      </c>
      <c r="G193" t="inlineStr">
        <is>
          <t>2018gn</t>
        </is>
      </c>
      <c r="H193" t="n">
        <v>2018</v>
      </c>
    </row>
    <row r="194">
      <c r="A194" t="inlineStr">
        <is>
          <t>no_year_in_pairs</t>
        </is>
      </c>
      <c r="C194" t="inlineStr">
        <is>
          <t>SM.19.158, Sup. 2</t>
        </is>
      </c>
      <c r="D194" t="inlineStr">
        <is>
          <t>Dominica</t>
        </is>
      </c>
      <c r="E194" t="inlineStr">
        <is>
          <t>DMA</t>
        </is>
      </c>
      <c r="G194" t="inlineStr">
        <is>
          <t>2018gn</t>
        </is>
      </c>
      <c r="H194" t="n">
        <v>2018</v>
      </c>
    </row>
    <row r="195">
      <c r="A195" t="inlineStr">
        <is>
          <t>no_year_in_pairs</t>
        </is>
      </c>
      <c r="C195" t="inlineStr">
        <is>
          <t>SM.19.158, Sup. 2</t>
        </is>
      </c>
      <c r="D195" t="inlineStr">
        <is>
          <t>Dominica</t>
        </is>
      </c>
      <c r="E195" t="inlineStr">
        <is>
          <t>DMA</t>
        </is>
      </c>
      <c r="G195" t="inlineStr">
        <is>
          <t>2018gn</t>
        </is>
      </c>
      <c r="H195" t="n">
        <v>2018</v>
      </c>
    </row>
    <row r="196">
      <c r="A196" t="inlineStr">
        <is>
          <t>no_year_in_pairs</t>
        </is>
      </c>
      <c r="C196" t="inlineStr">
        <is>
          <t>SM.19.158, Sup. 2</t>
        </is>
      </c>
      <c r="D196" t="inlineStr">
        <is>
          <t>Dominica</t>
        </is>
      </c>
      <c r="E196" t="inlineStr">
        <is>
          <t>DMA</t>
        </is>
      </c>
      <c r="G196" t="inlineStr">
        <is>
          <t>2018gn</t>
        </is>
      </c>
      <c r="H196" t="n">
        <v>2018</v>
      </c>
    </row>
    <row r="197">
      <c r="A197" t="inlineStr">
        <is>
          <t>no_year_in_pairs</t>
        </is>
      </c>
      <c r="C197" t="inlineStr">
        <is>
          <t>SM.19.158, Sup. 2</t>
        </is>
      </c>
      <c r="D197" t="inlineStr">
        <is>
          <t>Dominica</t>
        </is>
      </c>
      <c r="E197" t="inlineStr">
        <is>
          <t>DMA</t>
        </is>
      </c>
      <c r="G197" t="inlineStr">
        <is>
          <t>2018gn</t>
        </is>
      </c>
      <c r="H197" t="n">
        <v>2018</v>
      </c>
    </row>
    <row r="198">
      <c r="A198" t="inlineStr">
        <is>
          <t>no_year_in_pairs</t>
        </is>
      </c>
      <c r="C198" t="inlineStr">
        <is>
          <t>SM.19.158, Sup. 2</t>
        </is>
      </c>
      <c r="D198" t="inlineStr">
        <is>
          <t>Dominica</t>
        </is>
      </c>
      <c r="E198" t="inlineStr">
        <is>
          <t>DMA</t>
        </is>
      </c>
      <c r="G198" t="inlineStr">
        <is>
          <t>2018gn</t>
        </is>
      </c>
      <c r="H198" t="n">
        <v>2018</v>
      </c>
    </row>
    <row r="199">
      <c r="A199" t="inlineStr">
        <is>
          <t>no_year_in_pairs</t>
        </is>
      </c>
      <c r="C199" t="inlineStr">
        <is>
          <t>SM.19.158, Sup. 2</t>
        </is>
      </c>
      <c r="D199" t="inlineStr">
        <is>
          <t>Dominica</t>
        </is>
      </c>
      <c r="E199" t="inlineStr">
        <is>
          <t>DMA</t>
        </is>
      </c>
      <c r="G199" t="inlineStr">
        <is>
          <t>2018gn</t>
        </is>
      </c>
      <c r="H199" t="n">
        <v>2018</v>
      </c>
    </row>
    <row r="200">
      <c r="A200" t="inlineStr">
        <is>
          <t>no_year_in_pairs</t>
        </is>
      </c>
      <c r="C200" t="inlineStr">
        <is>
          <t>SM.19.158, Sup. 2</t>
        </is>
      </c>
      <c r="D200" t="inlineStr">
        <is>
          <t>Dominica</t>
        </is>
      </c>
      <c r="E200" t="inlineStr">
        <is>
          <t>DMA</t>
        </is>
      </c>
      <c r="G200" t="inlineStr">
        <is>
          <t>2018gn</t>
        </is>
      </c>
      <c r="H200" t="n">
        <v>2018</v>
      </c>
    </row>
    <row r="201">
      <c r="A201" t="inlineStr">
        <is>
          <t>no_year_in_pairs</t>
        </is>
      </c>
      <c r="C201" t="inlineStr">
        <is>
          <t>SM.19.158, Sup. 2</t>
        </is>
      </c>
      <c r="D201" t="inlineStr">
        <is>
          <t>Dominica</t>
        </is>
      </c>
      <c r="E201" t="inlineStr">
        <is>
          <t>DMA</t>
        </is>
      </c>
      <c r="G201" t="inlineStr">
        <is>
          <t>2018gn</t>
        </is>
      </c>
      <c r="H201" t="n">
        <v>2018</v>
      </c>
    </row>
    <row r="202">
      <c r="A202" t="inlineStr">
        <is>
          <t>no_year_in_pairs</t>
        </is>
      </c>
      <c r="C202" t="inlineStr">
        <is>
          <t>SM.19.158, Sup. 2</t>
        </is>
      </c>
      <c r="D202" t="inlineStr">
        <is>
          <t>Dominica</t>
        </is>
      </c>
      <c r="E202" t="inlineStr">
        <is>
          <t>DMA</t>
        </is>
      </c>
      <c r="G202" t="inlineStr">
        <is>
          <t>2018gn</t>
        </is>
      </c>
      <c r="H202" t="n">
        <v>2018</v>
      </c>
    </row>
    <row r="203">
      <c r="A203" t="inlineStr">
        <is>
          <t>no_year_in_pairs</t>
        </is>
      </c>
      <c r="C203" t="inlineStr">
        <is>
          <t>SM.19.158, Sup. 2</t>
        </is>
      </c>
      <c r="D203" t="inlineStr">
        <is>
          <t>Dominica</t>
        </is>
      </c>
      <c r="E203" t="inlineStr">
        <is>
          <t>DMA</t>
        </is>
      </c>
      <c r="G203" t="inlineStr">
        <is>
          <t>2018gn</t>
        </is>
      </c>
      <c r="H203" t="n">
        <v>2018</v>
      </c>
    </row>
    <row r="204">
      <c r="A204" t="inlineStr">
        <is>
          <t>no_year_in_pairs</t>
        </is>
      </c>
      <c r="C204" t="inlineStr">
        <is>
          <t>SM.19.158, Sup. 2</t>
        </is>
      </c>
      <c r="D204" t="inlineStr">
        <is>
          <t>Dominica</t>
        </is>
      </c>
      <c r="E204" t="inlineStr">
        <is>
          <t>DMA</t>
        </is>
      </c>
      <c r="G204" t="inlineStr">
        <is>
          <t>2018gn</t>
        </is>
      </c>
      <c r="H204" t="n">
        <v>2018</v>
      </c>
    </row>
    <row r="205">
      <c r="A205" t="inlineStr">
        <is>
          <t>no_year_in_pairs</t>
        </is>
      </c>
      <c r="C205" t="inlineStr">
        <is>
          <t>SM.19.158, Sup. 2</t>
        </is>
      </c>
      <c r="D205" t="inlineStr">
        <is>
          <t>Dominica</t>
        </is>
      </c>
      <c r="E205" t="inlineStr">
        <is>
          <t>DMA</t>
        </is>
      </c>
      <c r="G205" t="inlineStr">
        <is>
          <t>2018gn</t>
        </is>
      </c>
      <c r="H205" t="n">
        <v>2018</v>
      </c>
    </row>
    <row r="206">
      <c r="A206" t="inlineStr">
        <is>
          <t>no_year_in_pairs</t>
        </is>
      </c>
      <c r="C206" t="inlineStr">
        <is>
          <t>SM.19.158, Sup. 2</t>
        </is>
      </c>
      <c r="D206" t="inlineStr">
        <is>
          <t>Dominica</t>
        </is>
      </c>
      <c r="E206" t="inlineStr">
        <is>
          <t>DMA</t>
        </is>
      </c>
      <c r="G206" t="inlineStr">
        <is>
          <t>2018gn</t>
        </is>
      </c>
      <c r="H206" t="n">
        <v>2018</v>
      </c>
    </row>
    <row r="207">
      <c r="A207" t="inlineStr">
        <is>
          <t>no_year_in_pairs</t>
        </is>
      </c>
      <c r="C207" t="inlineStr">
        <is>
          <t>SM.19.158, Sup. 2</t>
        </is>
      </c>
      <c r="D207" t="inlineStr">
        <is>
          <t>Dominica</t>
        </is>
      </c>
      <c r="E207" t="inlineStr">
        <is>
          <t>DMA</t>
        </is>
      </c>
      <c r="G207" t="inlineStr">
        <is>
          <t>2018gn</t>
        </is>
      </c>
      <c r="H207" t="n">
        <v>2018</v>
      </c>
    </row>
    <row r="208">
      <c r="A208" t="inlineStr">
        <is>
          <t>no_year_in_pairs</t>
        </is>
      </c>
      <c r="C208" t="inlineStr">
        <is>
          <t>SM.19.158, Sup. 2</t>
        </is>
      </c>
      <c r="D208" t="inlineStr">
        <is>
          <t>Dominica</t>
        </is>
      </c>
      <c r="E208" t="inlineStr">
        <is>
          <t>DMA</t>
        </is>
      </c>
      <c r="G208" t="inlineStr">
        <is>
          <t>2018gn</t>
        </is>
      </c>
      <c r="H208" t="n">
        <v>2018</v>
      </c>
    </row>
    <row r="209">
      <c r="A209" t="inlineStr">
        <is>
          <t>no_year_in_pairs</t>
        </is>
      </c>
      <c r="C209" t="inlineStr">
        <is>
          <t>SM.19.158, Sup. 2</t>
        </is>
      </c>
      <c r="D209" t="inlineStr">
        <is>
          <t>Dominica</t>
        </is>
      </c>
      <c r="E209" t="inlineStr">
        <is>
          <t>DMA</t>
        </is>
      </c>
      <c r="G209" t="inlineStr">
        <is>
          <t>2018gn</t>
        </is>
      </c>
      <c r="H209" t="n">
        <v>2018</v>
      </c>
    </row>
    <row r="210">
      <c r="A210" t="inlineStr">
        <is>
          <t>no_year_in_pairs</t>
        </is>
      </c>
      <c r="C210" t="inlineStr">
        <is>
          <t>SM.19.158, Sup. 2</t>
        </is>
      </c>
      <c r="D210" t="inlineStr">
        <is>
          <t>Dominica</t>
        </is>
      </c>
      <c r="E210" t="inlineStr">
        <is>
          <t>DMA</t>
        </is>
      </c>
      <c r="G210" t="inlineStr">
        <is>
          <t>2018gn</t>
        </is>
      </c>
      <c r="H210" t="n">
        <v>2018</v>
      </c>
    </row>
    <row r="211">
      <c r="A211" t="inlineStr">
        <is>
          <t>no_year_in_pairs</t>
        </is>
      </c>
      <c r="C211" t="inlineStr">
        <is>
          <t>SM.19.158, Sup. 2</t>
        </is>
      </c>
      <c r="D211" t="inlineStr">
        <is>
          <t>Dominica</t>
        </is>
      </c>
      <c r="E211" t="inlineStr">
        <is>
          <t>DMA</t>
        </is>
      </c>
      <c r="G211" t="inlineStr">
        <is>
          <t>2018gn</t>
        </is>
      </c>
      <c r="H211" t="n">
        <v>2018</v>
      </c>
    </row>
    <row r="212">
      <c r="A212" t="inlineStr">
        <is>
          <t>no_year_in_pairs</t>
        </is>
      </c>
      <c r="C212" t="inlineStr">
        <is>
          <t>SM.19.158, Sup. 2</t>
        </is>
      </c>
      <c r="D212" t="inlineStr">
        <is>
          <t>Dominica</t>
        </is>
      </c>
      <c r="E212" t="inlineStr">
        <is>
          <t>DMA</t>
        </is>
      </c>
      <c r="G212" t="inlineStr">
        <is>
          <t>2018gn</t>
        </is>
      </c>
      <c r="H212" t="n">
        <v>2018</v>
      </c>
    </row>
    <row r="213">
      <c r="A213" t="inlineStr">
        <is>
          <t>no_year_in_pairs</t>
        </is>
      </c>
      <c r="C213" t="inlineStr">
        <is>
          <t>SM.19.158, Sup. 2</t>
        </is>
      </c>
      <c r="D213" t="inlineStr">
        <is>
          <t>Dominica</t>
        </is>
      </c>
      <c r="E213" t="inlineStr">
        <is>
          <t>DMA</t>
        </is>
      </c>
      <c r="G213" t="inlineStr">
        <is>
          <t>2018gn</t>
        </is>
      </c>
      <c r="H213" t="n">
        <v>2018</v>
      </c>
    </row>
    <row r="214">
      <c r="A214" t="inlineStr">
        <is>
          <t>no_year_in_pairs</t>
        </is>
      </c>
      <c r="C214" t="inlineStr">
        <is>
          <t>SM.19.158, Sup. 2</t>
        </is>
      </c>
      <c r="D214" t="inlineStr">
        <is>
          <t>Dominica</t>
        </is>
      </c>
      <c r="E214" t="inlineStr">
        <is>
          <t>DMA</t>
        </is>
      </c>
      <c r="G214" t="inlineStr">
        <is>
          <t>2018gn</t>
        </is>
      </c>
      <c r="H214" t="n">
        <v>2018</v>
      </c>
    </row>
    <row r="215">
      <c r="A215" t="inlineStr">
        <is>
          <t>no_year_in_pairs</t>
        </is>
      </c>
      <c r="C215" t="inlineStr">
        <is>
          <t>SM.19.158, Sup. 2</t>
        </is>
      </c>
      <c r="D215" t="inlineStr">
        <is>
          <t>Dominica</t>
        </is>
      </c>
      <c r="E215" t="inlineStr">
        <is>
          <t>DMA</t>
        </is>
      </c>
      <c r="G215" t="inlineStr">
        <is>
          <t>2018gn</t>
        </is>
      </c>
      <c r="H215" t="n">
        <v>2018</v>
      </c>
    </row>
    <row r="216">
      <c r="A216" t="inlineStr">
        <is>
          <t>no_year_in_pairs</t>
        </is>
      </c>
      <c r="C216" t="inlineStr">
        <is>
          <t>SM.19.158, Sup. 2</t>
        </is>
      </c>
      <c r="D216" t="inlineStr">
        <is>
          <t>Dominica</t>
        </is>
      </c>
      <c r="E216" t="inlineStr">
        <is>
          <t>DMA</t>
        </is>
      </c>
      <c r="G216" t="inlineStr">
        <is>
          <t>2018gn</t>
        </is>
      </c>
      <c r="H216" t="n">
        <v>2018</v>
      </c>
    </row>
    <row r="217">
      <c r="A217" t="inlineStr">
        <is>
          <t>no_year_in_pairs</t>
        </is>
      </c>
      <c r="C217" t="inlineStr">
        <is>
          <t>SM.19.158, Sup. 2</t>
        </is>
      </c>
      <c r="D217" t="inlineStr">
        <is>
          <t>Dominica</t>
        </is>
      </c>
      <c r="E217" t="inlineStr">
        <is>
          <t>DMA</t>
        </is>
      </c>
      <c r="G217" t="inlineStr">
        <is>
          <t>2018gn</t>
        </is>
      </c>
      <c r="H217" t="n">
        <v>2018</v>
      </c>
    </row>
    <row r="218">
      <c r="A218" t="inlineStr">
        <is>
          <t>no_year_in_pairs</t>
        </is>
      </c>
      <c r="C218" t="inlineStr">
        <is>
          <t>SM.19.158, Sup. 2</t>
        </is>
      </c>
      <c r="D218" t="inlineStr">
        <is>
          <t>Dominica</t>
        </is>
      </c>
      <c r="E218" t="inlineStr">
        <is>
          <t>DMA</t>
        </is>
      </c>
      <c r="G218" t="inlineStr">
        <is>
          <t>2018gn</t>
        </is>
      </c>
      <c r="H218" t="n">
        <v>2018</v>
      </c>
    </row>
    <row r="219">
      <c r="A219" t="inlineStr">
        <is>
          <t>no_year_in_pairs</t>
        </is>
      </c>
      <c r="C219" t="inlineStr">
        <is>
          <t>SM.19.158, Sup. 2</t>
        </is>
      </c>
      <c r="D219" t="inlineStr">
        <is>
          <t>Dominica</t>
        </is>
      </c>
      <c r="E219" t="inlineStr">
        <is>
          <t>DMA</t>
        </is>
      </c>
      <c r="G219" t="inlineStr">
        <is>
          <t>2018gn</t>
        </is>
      </c>
      <c r="H219" t="n">
        <v>2018</v>
      </c>
    </row>
    <row r="220">
      <c r="A220" t="inlineStr">
        <is>
          <t>no_year_in_pairs</t>
        </is>
      </c>
      <c r="C220" t="inlineStr">
        <is>
          <t>SM.19.158, Sup. 2</t>
        </is>
      </c>
      <c r="D220" t="inlineStr">
        <is>
          <t>Dominica</t>
        </is>
      </c>
      <c r="E220" t="inlineStr">
        <is>
          <t>DMA</t>
        </is>
      </c>
      <c r="G220" t="inlineStr">
        <is>
          <t>2018gn</t>
        </is>
      </c>
      <c r="H220" t="n">
        <v>2018</v>
      </c>
    </row>
    <row r="221">
      <c r="A221" t="inlineStr">
        <is>
          <t>no_year_in_pairs</t>
        </is>
      </c>
      <c r="C221" t="inlineStr">
        <is>
          <t>SM.19.158, Sup. 2</t>
        </is>
      </c>
      <c r="D221" t="inlineStr">
        <is>
          <t>Dominica</t>
        </is>
      </c>
      <c r="E221" t="inlineStr">
        <is>
          <t>DMA</t>
        </is>
      </c>
      <c r="G221" t="inlineStr">
        <is>
          <t>2018gn</t>
        </is>
      </c>
      <c r="H221" t="n">
        <v>2018</v>
      </c>
    </row>
    <row r="222">
      <c r="A222" t="inlineStr">
        <is>
          <t>no_year_in_pairs</t>
        </is>
      </c>
      <c r="C222" t="inlineStr">
        <is>
          <t>SM.19.158, Sup. 2</t>
        </is>
      </c>
      <c r="D222" t="inlineStr">
        <is>
          <t>Dominica</t>
        </is>
      </c>
      <c r="E222" t="inlineStr">
        <is>
          <t>DMA</t>
        </is>
      </c>
      <c r="G222" t="inlineStr">
        <is>
          <t>2018gn</t>
        </is>
      </c>
      <c r="H222" t="n">
        <v>2018</v>
      </c>
    </row>
    <row r="223">
      <c r="A223" t="inlineStr">
        <is>
          <t>no_year_in_pairs</t>
        </is>
      </c>
      <c r="C223" t="inlineStr">
        <is>
          <t>SM.19.158, Sup. 2</t>
        </is>
      </c>
      <c r="D223" t="inlineStr">
        <is>
          <t>Dominica</t>
        </is>
      </c>
      <c r="E223" t="inlineStr">
        <is>
          <t>DMA</t>
        </is>
      </c>
      <c r="G223" t="inlineStr">
        <is>
          <t>2018gn</t>
        </is>
      </c>
      <c r="H223" t="n">
        <v>2018</v>
      </c>
    </row>
    <row r="224">
      <c r="A224" t="inlineStr">
        <is>
          <t>no_year_in_pairs</t>
        </is>
      </c>
      <c r="C224" t="inlineStr">
        <is>
          <t>SM.19.158, Sup. 2</t>
        </is>
      </c>
      <c r="D224" t="inlineStr">
        <is>
          <t>Dominica</t>
        </is>
      </c>
      <c r="E224" t="inlineStr">
        <is>
          <t>DMA</t>
        </is>
      </c>
      <c r="G224" t="inlineStr">
        <is>
          <t>2018gn</t>
        </is>
      </c>
      <c r="H224" t="n">
        <v>2018</v>
      </c>
    </row>
    <row r="225">
      <c r="A225" t="inlineStr">
        <is>
          <t>no_year_in_pairs</t>
        </is>
      </c>
      <c r="C225" t="inlineStr">
        <is>
          <t>SM.19.158, Sup. 2</t>
        </is>
      </c>
      <c r="D225" t="inlineStr">
        <is>
          <t>Dominica</t>
        </is>
      </c>
      <c r="E225" t="inlineStr">
        <is>
          <t>DMA</t>
        </is>
      </c>
      <c r="G225" t="inlineStr">
        <is>
          <t>2018gn</t>
        </is>
      </c>
      <c r="H225" t="n">
        <v>2018</v>
      </c>
    </row>
    <row r="226">
      <c r="A226" t="inlineStr">
        <is>
          <t>no_year_in_pairs</t>
        </is>
      </c>
      <c r="C226" t="inlineStr">
        <is>
          <t>SM.19.158, Sup. 2</t>
        </is>
      </c>
      <c r="D226" t="inlineStr">
        <is>
          <t>Dominica</t>
        </is>
      </c>
      <c r="E226" t="inlineStr">
        <is>
          <t>DMA</t>
        </is>
      </c>
      <c r="G226" t="inlineStr">
        <is>
          <t>2018gn</t>
        </is>
      </c>
      <c r="H226" t="n">
        <v>2018</v>
      </c>
    </row>
    <row r="227">
      <c r="A227" t="inlineStr">
        <is>
          <t>no_year_in_pairs</t>
        </is>
      </c>
      <c r="C227" t="inlineStr">
        <is>
          <t>SM.19.158, Sup. 2</t>
        </is>
      </c>
      <c r="D227" t="inlineStr">
        <is>
          <t>Dominica</t>
        </is>
      </c>
      <c r="E227" t="inlineStr">
        <is>
          <t>DMA</t>
        </is>
      </c>
      <c r="G227" t="inlineStr">
        <is>
          <t>2018gn</t>
        </is>
      </c>
      <c r="H227" t="n">
        <v>2018</v>
      </c>
    </row>
    <row r="228">
      <c r="A228" t="inlineStr">
        <is>
          <t>no_year_in_pairs</t>
        </is>
      </c>
      <c r="C228" t="inlineStr">
        <is>
          <t>SM.19.158, Sup. 2</t>
        </is>
      </c>
      <c r="D228" t="inlineStr">
        <is>
          <t>Dominica</t>
        </is>
      </c>
      <c r="E228" t="inlineStr">
        <is>
          <t>DMA</t>
        </is>
      </c>
      <c r="G228" t="inlineStr">
        <is>
          <t>2018gn</t>
        </is>
      </c>
      <c r="H228" t="n">
        <v>2018</v>
      </c>
    </row>
    <row r="229">
      <c r="A229" t="inlineStr">
        <is>
          <t>no_year_in_pairs</t>
        </is>
      </c>
      <c r="C229" t="inlineStr">
        <is>
          <t>SM.19.158, Sup. 2</t>
        </is>
      </c>
      <c r="D229" t="inlineStr">
        <is>
          <t>Dominica</t>
        </is>
      </c>
      <c r="E229" t="inlineStr">
        <is>
          <t>DMA</t>
        </is>
      </c>
      <c r="G229" t="inlineStr">
        <is>
          <t>2018gn</t>
        </is>
      </c>
      <c r="H229" t="n">
        <v>2018</v>
      </c>
    </row>
    <row r="230">
      <c r="A230" t="inlineStr">
        <is>
          <t>no_year_in_pairs</t>
        </is>
      </c>
      <c r="C230" t="inlineStr">
        <is>
          <t>SM.19.158, Sup. 2</t>
        </is>
      </c>
      <c r="D230" t="inlineStr">
        <is>
          <t>Dominica</t>
        </is>
      </c>
      <c r="E230" t="inlineStr">
        <is>
          <t>DMA</t>
        </is>
      </c>
      <c r="G230" t="inlineStr">
        <is>
          <t>2018gn</t>
        </is>
      </c>
      <c r="H230" t="n">
        <v>2018</v>
      </c>
    </row>
    <row r="231">
      <c r="A231" t="inlineStr">
        <is>
          <t>no_year_in_pairs</t>
        </is>
      </c>
      <c r="C231" t="inlineStr">
        <is>
          <t>SM.19.158, Sup. 2</t>
        </is>
      </c>
      <c r="D231" t="inlineStr">
        <is>
          <t>Dominica</t>
        </is>
      </c>
      <c r="E231" t="inlineStr">
        <is>
          <t>DMA</t>
        </is>
      </c>
      <c r="G231" t="inlineStr">
        <is>
          <t>2018gn</t>
        </is>
      </c>
      <c r="H231" t="n">
        <v>2018</v>
      </c>
    </row>
    <row r="232">
      <c r="A232" t="inlineStr">
        <is>
          <t>no_year_in_pairs</t>
        </is>
      </c>
      <c r="C232" t="inlineStr">
        <is>
          <t>SM.19.158, Sup. 2</t>
        </is>
      </c>
      <c r="D232" t="inlineStr">
        <is>
          <t>Dominica</t>
        </is>
      </c>
      <c r="E232" t="inlineStr">
        <is>
          <t>DMA</t>
        </is>
      </c>
      <c r="G232" t="inlineStr">
        <is>
          <t>2018gn</t>
        </is>
      </c>
      <c r="H232" t="n">
        <v>2018</v>
      </c>
    </row>
    <row r="233">
      <c r="A233" t="inlineStr">
        <is>
          <t>no_year_in_pairs</t>
        </is>
      </c>
      <c r="C233" t="inlineStr">
        <is>
          <t>SM.19.158, Sup. 2</t>
        </is>
      </c>
      <c r="D233" t="inlineStr">
        <is>
          <t>Dominica</t>
        </is>
      </c>
      <c r="E233" t="inlineStr">
        <is>
          <t>DMA</t>
        </is>
      </c>
      <c r="G233" t="inlineStr">
        <is>
          <t>2018gn</t>
        </is>
      </c>
      <c r="H233" t="n">
        <v>2018</v>
      </c>
    </row>
    <row r="234">
      <c r="A234" t="inlineStr">
        <is>
          <t>no_year_in_pairs</t>
        </is>
      </c>
      <c r="C234" t="inlineStr">
        <is>
          <t>SM.19.158, Sup. 2</t>
        </is>
      </c>
      <c r="D234" t="inlineStr">
        <is>
          <t>Dominica</t>
        </is>
      </c>
      <c r="E234" t="inlineStr">
        <is>
          <t>DMA</t>
        </is>
      </c>
      <c r="G234" t="inlineStr">
        <is>
          <t>2018gn</t>
        </is>
      </c>
      <c r="H234" t="n">
        <v>2018</v>
      </c>
    </row>
    <row r="235">
      <c r="A235" t="inlineStr">
        <is>
          <t>no_year_in_pairs</t>
        </is>
      </c>
      <c r="C235" t="inlineStr">
        <is>
          <t>SM.19.158, Sup. 2</t>
        </is>
      </c>
      <c r="D235" t="inlineStr">
        <is>
          <t>Dominica</t>
        </is>
      </c>
      <c r="E235" t="inlineStr">
        <is>
          <t>DMA</t>
        </is>
      </c>
      <c r="G235" t="inlineStr">
        <is>
          <t>2018gn</t>
        </is>
      </c>
      <c r="H235" t="n">
        <v>2018</v>
      </c>
    </row>
    <row r="236">
      <c r="A236" t="inlineStr">
        <is>
          <t>no_year_in_pairs</t>
        </is>
      </c>
      <c r="C236" t="inlineStr">
        <is>
          <t>SM.19.158, Sup. 2</t>
        </is>
      </c>
      <c r="D236" t="inlineStr">
        <is>
          <t>Dominica</t>
        </is>
      </c>
      <c r="E236" t="inlineStr">
        <is>
          <t>DMA</t>
        </is>
      </c>
      <c r="G236" t="inlineStr">
        <is>
          <t>2018gn</t>
        </is>
      </c>
      <c r="H236" t="n">
        <v>2018</v>
      </c>
    </row>
    <row r="237">
      <c r="A237" t="inlineStr">
        <is>
          <t>no_year_in_pairs</t>
        </is>
      </c>
      <c r="C237" t="inlineStr">
        <is>
          <t>SM.19.158, Sup. 2</t>
        </is>
      </c>
      <c r="D237" t="inlineStr">
        <is>
          <t>Dominica</t>
        </is>
      </c>
      <c r="E237" t="inlineStr">
        <is>
          <t>DMA</t>
        </is>
      </c>
      <c r="G237" t="inlineStr">
        <is>
          <t>2018gn</t>
        </is>
      </c>
      <c r="H237" t="n">
        <v>2018</v>
      </c>
    </row>
    <row r="238">
      <c r="A238" t="inlineStr">
        <is>
          <t>no_year_in_pairs</t>
        </is>
      </c>
      <c r="C238" t="inlineStr">
        <is>
          <t>SM.19.158, Sup. 2</t>
        </is>
      </c>
      <c r="D238" t="inlineStr">
        <is>
          <t>Dominica</t>
        </is>
      </c>
      <c r="E238" t="inlineStr">
        <is>
          <t>DMA</t>
        </is>
      </c>
      <c r="G238" t="inlineStr">
        <is>
          <t>2018gn</t>
        </is>
      </c>
      <c r="H238" t="n">
        <v>2018</v>
      </c>
    </row>
    <row r="239">
      <c r="A239" t="inlineStr">
        <is>
          <t>no_year_in_pairs</t>
        </is>
      </c>
      <c r="C239" t="inlineStr">
        <is>
          <t>SM.19.158, Sup. 2</t>
        </is>
      </c>
      <c r="D239" t="inlineStr">
        <is>
          <t>Dominica</t>
        </is>
      </c>
      <c r="E239" t="inlineStr">
        <is>
          <t>DMA</t>
        </is>
      </c>
      <c r="G239" t="inlineStr">
        <is>
          <t>2018gn</t>
        </is>
      </c>
      <c r="H239" t="n">
        <v>2018</v>
      </c>
    </row>
    <row r="240">
      <c r="A240" t="inlineStr">
        <is>
          <t>no_year_in_pairs</t>
        </is>
      </c>
      <c r="C240" t="inlineStr">
        <is>
          <t>SM.19.158, Sup. 2</t>
        </is>
      </c>
      <c r="D240" t="inlineStr">
        <is>
          <t>Dominica</t>
        </is>
      </c>
      <c r="E240" t="inlineStr">
        <is>
          <t>DMA</t>
        </is>
      </c>
      <c r="G240" t="inlineStr">
        <is>
          <t>2018gn</t>
        </is>
      </c>
      <c r="H240" t="n">
        <v>2018</v>
      </c>
    </row>
    <row r="241">
      <c r="A241" t="inlineStr">
        <is>
          <t>no_year_in_pairs</t>
        </is>
      </c>
      <c r="C241" t="inlineStr">
        <is>
          <t>SM.19.158, Sup. 2</t>
        </is>
      </c>
      <c r="D241" t="inlineStr">
        <is>
          <t>Dominica</t>
        </is>
      </c>
      <c r="E241" t="inlineStr">
        <is>
          <t>DMA</t>
        </is>
      </c>
      <c r="G241" t="inlineStr">
        <is>
          <t>2018gn</t>
        </is>
      </c>
      <c r="H241" t="n">
        <v>2018</v>
      </c>
    </row>
    <row r="242">
      <c r="A242" t="inlineStr">
        <is>
          <t>no_year_in_pairs</t>
        </is>
      </c>
      <c r="C242" t="inlineStr">
        <is>
          <t>SM.19.158, Sup. 2</t>
        </is>
      </c>
      <c r="D242" t="inlineStr">
        <is>
          <t>Dominica</t>
        </is>
      </c>
      <c r="E242" t="inlineStr">
        <is>
          <t>DMA</t>
        </is>
      </c>
      <c r="G242" t="inlineStr">
        <is>
          <t>2018gn</t>
        </is>
      </c>
      <c r="H242" t="n">
        <v>2018</v>
      </c>
    </row>
    <row r="243">
      <c r="A243" t="inlineStr">
        <is>
          <t>no_year_in_pairs</t>
        </is>
      </c>
      <c r="C243" t="inlineStr">
        <is>
          <t>SM.19.158, Sup. 2</t>
        </is>
      </c>
      <c r="D243" t="inlineStr">
        <is>
          <t>Dominica</t>
        </is>
      </c>
      <c r="E243" t="inlineStr">
        <is>
          <t>DMA</t>
        </is>
      </c>
      <c r="G243" t="inlineStr">
        <is>
          <t>2018gn</t>
        </is>
      </c>
      <c r="H243" t="n">
        <v>2018</v>
      </c>
    </row>
    <row r="244">
      <c r="A244" t="inlineStr">
        <is>
          <t>no_year_in_pairs</t>
        </is>
      </c>
      <c r="C244" t="inlineStr">
        <is>
          <t>SM.19.158, Sup. 2</t>
        </is>
      </c>
      <c r="D244" t="inlineStr">
        <is>
          <t>Dominica</t>
        </is>
      </c>
      <c r="E244" t="inlineStr">
        <is>
          <t>DMA</t>
        </is>
      </c>
      <c r="G244" t="inlineStr">
        <is>
          <t>2018gn</t>
        </is>
      </c>
      <c r="H244" t="n">
        <v>2018</v>
      </c>
    </row>
    <row r="245">
      <c r="A245" t="inlineStr">
        <is>
          <t>no_year_in_pairs</t>
        </is>
      </c>
      <c r="C245" t="inlineStr">
        <is>
          <t>SM.19.158, Sup. 2</t>
        </is>
      </c>
      <c r="D245" t="inlineStr">
        <is>
          <t>Dominica</t>
        </is>
      </c>
      <c r="E245" t="inlineStr">
        <is>
          <t>DMA</t>
        </is>
      </c>
      <c r="G245" t="inlineStr">
        <is>
          <t>2018gn</t>
        </is>
      </c>
      <c r="H245" t="n">
        <v>2018</v>
      </c>
    </row>
    <row r="246">
      <c r="A246" t="inlineStr">
        <is>
          <t>no_year_in_pairs</t>
        </is>
      </c>
      <c r="C246" t="inlineStr">
        <is>
          <t>SM.19.158, Sup. 2</t>
        </is>
      </c>
      <c r="D246" t="inlineStr">
        <is>
          <t>Dominica</t>
        </is>
      </c>
      <c r="E246" t="inlineStr">
        <is>
          <t>DMA</t>
        </is>
      </c>
      <c r="G246" t="inlineStr">
        <is>
          <t>2018gn</t>
        </is>
      </c>
      <c r="H246" t="n">
        <v>2018</v>
      </c>
    </row>
    <row r="247">
      <c r="A247" t="inlineStr">
        <is>
          <t>no_year_in_pairs</t>
        </is>
      </c>
      <c r="C247" t="inlineStr">
        <is>
          <t>SM.19.158, Sup. 2</t>
        </is>
      </c>
      <c r="D247" t="inlineStr">
        <is>
          <t>Dominica</t>
        </is>
      </c>
      <c r="E247" t="inlineStr">
        <is>
          <t>DMA</t>
        </is>
      </c>
      <c r="G247" t="inlineStr">
        <is>
          <t>2018gn</t>
        </is>
      </c>
      <c r="H247" t="n">
        <v>2018</v>
      </c>
    </row>
    <row r="248">
      <c r="A248" t="inlineStr">
        <is>
          <t>no_year_in_pairs</t>
        </is>
      </c>
      <c r="C248" t="inlineStr">
        <is>
          <t>SM.19.158, Sup. 2</t>
        </is>
      </c>
      <c r="D248" t="inlineStr">
        <is>
          <t>Dominica</t>
        </is>
      </c>
      <c r="E248" t="inlineStr">
        <is>
          <t>DMA</t>
        </is>
      </c>
      <c r="G248" t="inlineStr">
        <is>
          <t>2018gn</t>
        </is>
      </c>
      <c r="H248" t="n">
        <v>2018</v>
      </c>
    </row>
    <row r="249">
      <c r="A249" t="inlineStr">
        <is>
          <t>no_year_in_pairs</t>
        </is>
      </c>
      <c r="C249" t="inlineStr">
        <is>
          <t>SM.19.158, Sup. 2</t>
        </is>
      </c>
      <c r="D249" t="inlineStr">
        <is>
          <t>Dominica</t>
        </is>
      </c>
      <c r="E249" t="inlineStr">
        <is>
          <t>DMA</t>
        </is>
      </c>
      <c r="G249" t="inlineStr">
        <is>
          <t>2018gn</t>
        </is>
      </c>
      <c r="H249" t="n">
        <v>2018</v>
      </c>
    </row>
    <row r="250">
      <c r="A250" t="inlineStr">
        <is>
          <t>no_year_in_pairs</t>
        </is>
      </c>
      <c r="C250" t="inlineStr">
        <is>
          <t>SM.19.158, Sup. 2</t>
        </is>
      </c>
      <c r="D250" t="inlineStr">
        <is>
          <t>Dominica</t>
        </is>
      </c>
      <c r="E250" t="inlineStr">
        <is>
          <t>DMA</t>
        </is>
      </c>
      <c r="G250" t="inlineStr">
        <is>
          <t>2018gn</t>
        </is>
      </c>
      <c r="H250" t="n">
        <v>2018</v>
      </c>
    </row>
    <row r="251">
      <c r="A251" t="inlineStr">
        <is>
          <t>no_year_in_pairs</t>
        </is>
      </c>
      <c r="C251" t="inlineStr">
        <is>
          <t>SM.19.158, Sup. 2</t>
        </is>
      </c>
      <c r="D251" t="inlineStr">
        <is>
          <t>Dominica</t>
        </is>
      </c>
      <c r="E251" t="inlineStr">
        <is>
          <t>DMA</t>
        </is>
      </c>
      <c r="G251" t="inlineStr">
        <is>
          <t>2018gn</t>
        </is>
      </c>
      <c r="H251" t="n">
        <v>2018</v>
      </c>
    </row>
    <row r="252">
      <c r="A252" t="inlineStr">
        <is>
          <t>no_year_in_pairs</t>
        </is>
      </c>
      <c r="C252" t="inlineStr">
        <is>
          <t>SM.19.158, Sup. 2</t>
        </is>
      </c>
      <c r="D252" t="inlineStr">
        <is>
          <t>Dominica</t>
        </is>
      </c>
      <c r="E252" t="inlineStr">
        <is>
          <t>DMA</t>
        </is>
      </c>
      <c r="G252" t="inlineStr">
        <is>
          <t>2018gn</t>
        </is>
      </c>
      <c r="H252" t="n">
        <v>2018</v>
      </c>
    </row>
    <row r="253">
      <c r="A253" t="inlineStr">
        <is>
          <t>no_year_in_pairs</t>
        </is>
      </c>
      <c r="C253" t="inlineStr">
        <is>
          <t>SM.19.158, Sup. 2</t>
        </is>
      </c>
      <c r="D253" t="inlineStr">
        <is>
          <t>Dominica</t>
        </is>
      </c>
      <c r="E253" t="inlineStr">
        <is>
          <t>DMA</t>
        </is>
      </c>
      <c r="G253" t="inlineStr">
        <is>
          <t>2018gn</t>
        </is>
      </c>
      <c r="H253" t="n">
        <v>2018</v>
      </c>
    </row>
    <row r="254">
      <c r="A254" t="inlineStr">
        <is>
          <t>no_year_in_pairs</t>
        </is>
      </c>
      <c r="C254" t="inlineStr">
        <is>
          <t>SM.19.158, Sup. 2</t>
        </is>
      </c>
      <c r="D254" t="inlineStr">
        <is>
          <t>Dominica</t>
        </is>
      </c>
      <c r="E254" t="inlineStr">
        <is>
          <t>DMA</t>
        </is>
      </c>
      <c r="G254" t="inlineStr">
        <is>
          <t>2018gn</t>
        </is>
      </c>
      <c r="H254" t="n">
        <v>2018</v>
      </c>
    </row>
    <row r="255">
      <c r="A255" t="inlineStr">
        <is>
          <t>no_year_in_pairs</t>
        </is>
      </c>
      <c r="C255" t="inlineStr">
        <is>
          <t>SM.19.158, Sup. 2</t>
        </is>
      </c>
      <c r="D255" t="inlineStr">
        <is>
          <t>Dominica</t>
        </is>
      </c>
      <c r="E255" t="inlineStr">
        <is>
          <t>DMA</t>
        </is>
      </c>
      <c r="G255" t="inlineStr">
        <is>
          <t>2018gn</t>
        </is>
      </c>
      <c r="H255" t="n">
        <v>2018</v>
      </c>
    </row>
    <row r="256">
      <c r="A256" t="inlineStr">
        <is>
          <t>no_year_in_pairs</t>
        </is>
      </c>
      <c r="C256" t="inlineStr">
        <is>
          <t>SM.19.158, Sup. 2</t>
        </is>
      </c>
      <c r="D256" t="inlineStr">
        <is>
          <t>Dominica</t>
        </is>
      </c>
      <c r="E256" t="inlineStr">
        <is>
          <t>DMA</t>
        </is>
      </c>
      <c r="G256" t="inlineStr">
        <is>
          <t>2018gn</t>
        </is>
      </c>
      <c r="H256" t="n">
        <v>2018</v>
      </c>
    </row>
    <row r="257">
      <c r="A257" t="inlineStr">
        <is>
          <t>no_year_in_pairs</t>
        </is>
      </c>
      <c r="C257" t="inlineStr">
        <is>
          <t>SM.19.158, Sup. 2</t>
        </is>
      </c>
      <c r="D257" t="inlineStr">
        <is>
          <t>Dominica</t>
        </is>
      </c>
      <c r="E257" t="inlineStr">
        <is>
          <t>DMA</t>
        </is>
      </c>
      <c r="G257" t="inlineStr">
        <is>
          <t>2018gn</t>
        </is>
      </c>
      <c r="H257" t="n">
        <v>2018</v>
      </c>
    </row>
    <row r="258">
      <c r="A258" t="inlineStr">
        <is>
          <t>no_year_in_pairs</t>
        </is>
      </c>
      <c r="C258" t="inlineStr">
        <is>
          <t>SM.19.158, Sup. 2</t>
        </is>
      </c>
      <c r="D258" t="inlineStr">
        <is>
          <t>Dominica</t>
        </is>
      </c>
      <c r="E258" t="inlineStr">
        <is>
          <t>DMA</t>
        </is>
      </c>
      <c r="G258" t="inlineStr">
        <is>
          <t>2018gn</t>
        </is>
      </c>
      <c r="H258" t="n">
        <v>2018</v>
      </c>
    </row>
    <row r="259">
      <c r="A259" t="inlineStr">
        <is>
          <t>no_year_in_pairs</t>
        </is>
      </c>
      <c r="C259" t="inlineStr">
        <is>
          <t>SM.19.158, Sup. 2</t>
        </is>
      </c>
      <c r="D259" t="inlineStr">
        <is>
          <t>Dominica</t>
        </is>
      </c>
      <c r="E259" t="inlineStr">
        <is>
          <t>DMA</t>
        </is>
      </c>
      <c r="G259" t="inlineStr">
        <is>
          <t>2018gn</t>
        </is>
      </c>
      <c r="H259" t="n">
        <v>2018</v>
      </c>
    </row>
    <row r="260">
      <c r="A260" t="inlineStr">
        <is>
          <t>no_year_in_pairs</t>
        </is>
      </c>
      <c r="C260" t="inlineStr">
        <is>
          <t>SM.19.158, Sup. 2</t>
        </is>
      </c>
      <c r="D260" t="inlineStr">
        <is>
          <t>Dominica</t>
        </is>
      </c>
      <c r="E260" t="inlineStr">
        <is>
          <t>DMA</t>
        </is>
      </c>
      <c r="G260" t="inlineStr">
        <is>
          <t>2018gn</t>
        </is>
      </c>
      <c r="H260" t="n">
        <v>2018</v>
      </c>
    </row>
    <row r="261">
      <c r="A261" t="inlineStr">
        <is>
          <t>no_year_in_pairs</t>
        </is>
      </c>
      <c r="C261" t="inlineStr">
        <is>
          <t>SM.19.158, Sup. 2</t>
        </is>
      </c>
      <c r="D261" t="inlineStr">
        <is>
          <t>Dominica</t>
        </is>
      </c>
      <c r="E261" t="inlineStr">
        <is>
          <t>DMA</t>
        </is>
      </c>
      <c r="G261" t="inlineStr">
        <is>
          <t>2018gn</t>
        </is>
      </c>
      <c r="H261" t="n">
        <v>2018</v>
      </c>
    </row>
    <row r="262">
      <c r="A262" t="inlineStr">
        <is>
          <t>no_year_in_pairs</t>
        </is>
      </c>
      <c r="C262" t="inlineStr">
        <is>
          <t>SM.19.158, Sup. 2</t>
        </is>
      </c>
      <c r="D262" t="inlineStr">
        <is>
          <t>Dominica</t>
        </is>
      </c>
      <c r="E262" t="inlineStr">
        <is>
          <t>DMA</t>
        </is>
      </c>
      <c r="G262" t="inlineStr">
        <is>
          <t>2018gn</t>
        </is>
      </c>
      <c r="H262" t="n">
        <v>2018</v>
      </c>
    </row>
    <row r="263">
      <c r="A263" t="inlineStr">
        <is>
          <t>no_year_in_pairs</t>
        </is>
      </c>
      <c r="C263" t="inlineStr">
        <is>
          <t>SM.19.158, Sup. 2</t>
        </is>
      </c>
      <c r="D263" t="inlineStr">
        <is>
          <t>Dominica</t>
        </is>
      </c>
      <c r="E263" t="inlineStr">
        <is>
          <t>DMA</t>
        </is>
      </c>
      <c r="G263" t="inlineStr">
        <is>
          <t>2018gn</t>
        </is>
      </c>
      <c r="H263" t="n">
        <v>2018</v>
      </c>
    </row>
    <row r="264">
      <c r="A264" t="inlineStr">
        <is>
          <t>no_year_in_pairs</t>
        </is>
      </c>
      <c r="C264" t="inlineStr">
        <is>
          <t>SM.19.158, Sup. 2</t>
        </is>
      </c>
      <c r="D264" t="inlineStr">
        <is>
          <t>Dominica</t>
        </is>
      </c>
      <c r="E264" t="inlineStr">
        <is>
          <t>DMA</t>
        </is>
      </c>
      <c r="G264" t="inlineStr">
        <is>
          <t>2018gn</t>
        </is>
      </c>
      <c r="H264" t="n">
        <v>2018</v>
      </c>
    </row>
    <row r="265">
      <c r="A265" t="inlineStr">
        <is>
          <t>no_year_in_pairs</t>
        </is>
      </c>
      <c r="C265" t="inlineStr">
        <is>
          <t>SM.19.158, Sup. 2</t>
        </is>
      </c>
      <c r="D265" t="inlineStr">
        <is>
          <t>Dominica</t>
        </is>
      </c>
      <c r="E265" t="inlineStr">
        <is>
          <t>DMA</t>
        </is>
      </c>
      <c r="G265" t="inlineStr">
        <is>
          <t>2018gn</t>
        </is>
      </c>
      <c r="H265" t="n">
        <v>2018</v>
      </c>
    </row>
    <row r="266">
      <c r="A266" t="inlineStr">
        <is>
          <t>no_year_in_pairs</t>
        </is>
      </c>
      <c r="C266" t="inlineStr">
        <is>
          <t>SM.19.158, Sup. 2</t>
        </is>
      </c>
      <c r="D266" t="inlineStr">
        <is>
          <t>Dominica</t>
        </is>
      </c>
      <c r="E266" t="inlineStr">
        <is>
          <t>DMA</t>
        </is>
      </c>
      <c r="G266" t="inlineStr">
        <is>
          <t>2018gn</t>
        </is>
      </c>
      <c r="H266" t="n">
        <v>2018</v>
      </c>
    </row>
    <row r="267">
      <c r="A267" t="inlineStr">
        <is>
          <t>no_year_in_pairs</t>
        </is>
      </c>
      <c r="C267" t="inlineStr">
        <is>
          <t>SM.19.158, Sup. 2</t>
        </is>
      </c>
      <c r="D267" t="inlineStr">
        <is>
          <t>Dominica</t>
        </is>
      </c>
      <c r="E267" t="inlineStr">
        <is>
          <t>DMA</t>
        </is>
      </c>
      <c r="G267" t="inlineStr">
        <is>
          <t>2018gn</t>
        </is>
      </c>
      <c r="H267" t="n">
        <v>2018</v>
      </c>
    </row>
    <row r="268">
      <c r="A268" t="inlineStr">
        <is>
          <t>no_year_in_pairs</t>
        </is>
      </c>
      <c r="C268" t="inlineStr">
        <is>
          <t>SM.19.158, Sup. 2</t>
        </is>
      </c>
      <c r="D268" t="inlineStr">
        <is>
          <t>Dominica</t>
        </is>
      </c>
      <c r="E268" t="inlineStr">
        <is>
          <t>DMA</t>
        </is>
      </c>
      <c r="G268" t="inlineStr">
        <is>
          <t>2018gn</t>
        </is>
      </c>
      <c r="H268" t="n">
        <v>2018</v>
      </c>
    </row>
    <row r="269">
      <c r="A269" t="inlineStr">
        <is>
          <t>no_year_in_pairs</t>
        </is>
      </c>
      <c r="C269" t="inlineStr">
        <is>
          <t>SM.19.158, Sup. 2</t>
        </is>
      </c>
      <c r="D269" t="inlineStr">
        <is>
          <t>Dominica</t>
        </is>
      </c>
      <c r="E269" t="inlineStr">
        <is>
          <t>DMA</t>
        </is>
      </c>
      <c r="G269" t="inlineStr">
        <is>
          <t>2018gn</t>
        </is>
      </c>
      <c r="H269" t="n">
        <v>2018</v>
      </c>
    </row>
    <row r="270">
      <c r="A270" t="inlineStr">
        <is>
          <t>no_year_in_pairs</t>
        </is>
      </c>
      <c r="C270" t="inlineStr">
        <is>
          <t>SM.19.158, Sup. 2</t>
        </is>
      </c>
      <c r="D270" t="inlineStr">
        <is>
          <t>Dominica</t>
        </is>
      </c>
      <c r="E270" t="inlineStr">
        <is>
          <t>DMA</t>
        </is>
      </c>
      <c r="G270" t="inlineStr">
        <is>
          <t>2018gn</t>
        </is>
      </c>
      <c r="H270" t="n">
        <v>2018</v>
      </c>
    </row>
    <row r="271">
      <c r="A271" t="inlineStr">
        <is>
          <t>no_year_in_pairs</t>
        </is>
      </c>
      <c r="C271" t="inlineStr">
        <is>
          <t>SM.19.158, Sup. 2</t>
        </is>
      </c>
      <c r="D271" t="inlineStr">
        <is>
          <t>Dominica</t>
        </is>
      </c>
      <c r="E271" t="inlineStr">
        <is>
          <t>DMA</t>
        </is>
      </c>
      <c r="G271" t="inlineStr">
        <is>
          <t>2018gn</t>
        </is>
      </c>
      <c r="H271" t="n">
        <v>2018</v>
      </c>
    </row>
    <row r="272">
      <c r="A272" t="inlineStr">
        <is>
          <t>no_year_in_pairs</t>
        </is>
      </c>
      <c r="C272" t="inlineStr">
        <is>
          <t>SM.19.158, Sup. 2</t>
        </is>
      </c>
      <c r="D272" t="inlineStr">
        <is>
          <t>Dominica</t>
        </is>
      </c>
      <c r="E272" t="inlineStr">
        <is>
          <t>DMA</t>
        </is>
      </c>
      <c r="G272" t="inlineStr">
        <is>
          <t>2018gn</t>
        </is>
      </c>
      <c r="H272" t="n">
        <v>2018</v>
      </c>
    </row>
    <row r="273">
      <c r="A273" t="inlineStr">
        <is>
          <t>no_year_in_pairs</t>
        </is>
      </c>
      <c r="C273" t="inlineStr">
        <is>
          <t>SM.19.158, Sup. 2</t>
        </is>
      </c>
      <c r="D273" t="inlineStr">
        <is>
          <t>Dominica</t>
        </is>
      </c>
      <c r="E273" t="inlineStr">
        <is>
          <t>DMA</t>
        </is>
      </c>
      <c r="G273" t="inlineStr">
        <is>
          <t>2018gn</t>
        </is>
      </c>
      <c r="H273" t="n">
        <v>2018</v>
      </c>
    </row>
    <row r="274">
      <c r="A274" t="inlineStr">
        <is>
          <t>no_year_in_pairs</t>
        </is>
      </c>
      <c r="C274" t="inlineStr">
        <is>
          <t>SM.19.158, Sup. 2</t>
        </is>
      </c>
      <c r="D274" t="inlineStr">
        <is>
          <t>Dominica</t>
        </is>
      </c>
      <c r="E274" t="inlineStr">
        <is>
          <t>DMA</t>
        </is>
      </c>
      <c r="G274" t="inlineStr">
        <is>
          <t>2018gn</t>
        </is>
      </c>
      <c r="H274" t="n">
        <v>2018</v>
      </c>
    </row>
    <row r="275">
      <c r="A275" t="inlineStr">
        <is>
          <t>no_year_in_pairs</t>
        </is>
      </c>
      <c r="C275" t="inlineStr">
        <is>
          <t>SM.19.158, Sup. 2</t>
        </is>
      </c>
      <c r="D275" t="inlineStr">
        <is>
          <t>Dominica</t>
        </is>
      </c>
      <c r="E275" t="inlineStr">
        <is>
          <t>DMA</t>
        </is>
      </c>
      <c r="G275" t="inlineStr">
        <is>
          <t>2018gn</t>
        </is>
      </c>
      <c r="H275" t="n">
        <v>2018</v>
      </c>
    </row>
    <row r="276">
      <c r="A276" t="inlineStr">
        <is>
          <t>no_year_in_pairs</t>
        </is>
      </c>
      <c r="C276" t="inlineStr">
        <is>
          <t>SM.19.158, Sup. 2</t>
        </is>
      </c>
      <c r="D276" t="inlineStr">
        <is>
          <t>Dominica</t>
        </is>
      </c>
      <c r="E276" t="inlineStr">
        <is>
          <t>DMA</t>
        </is>
      </c>
      <c r="G276" t="inlineStr">
        <is>
          <t>2018gn</t>
        </is>
      </c>
      <c r="H276" t="n">
        <v>2018</v>
      </c>
    </row>
    <row r="277">
      <c r="A277" t="inlineStr">
        <is>
          <t>no_year_in_pairs</t>
        </is>
      </c>
      <c r="C277" t="inlineStr">
        <is>
          <t>SM.19.158, Sup. 2</t>
        </is>
      </c>
      <c r="D277" t="inlineStr">
        <is>
          <t>Dominica</t>
        </is>
      </c>
      <c r="E277" t="inlineStr">
        <is>
          <t>DMA</t>
        </is>
      </c>
      <c r="G277" t="inlineStr">
        <is>
          <t>2018gn</t>
        </is>
      </c>
      <c r="H277" t="n">
        <v>2018</v>
      </c>
    </row>
    <row r="278">
      <c r="A278" t="inlineStr">
        <is>
          <t>no_year_in_pairs</t>
        </is>
      </c>
      <c r="C278" t="inlineStr">
        <is>
          <t>SM.19.158, Sup. 2</t>
        </is>
      </c>
      <c r="D278" t="inlineStr">
        <is>
          <t>Dominica</t>
        </is>
      </c>
      <c r="E278" t="inlineStr">
        <is>
          <t>DMA</t>
        </is>
      </c>
      <c r="G278" t="inlineStr">
        <is>
          <t>2018gn</t>
        </is>
      </c>
      <c r="H278" t="n">
        <v>2018</v>
      </c>
    </row>
    <row r="279">
      <c r="A279" t="inlineStr">
        <is>
          <t>no_year_in_pairs</t>
        </is>
      </c>
      <c r="C279" t="inlineStr">
        <is>
          <t>SM.19.158, Sup. 2</t>
        </is>
      </c>
      <c r="D279" t="inlineStr">
        <is>
          <t>Dominica</t>
        </is>
      </c>
      <c r="E279" t="inlineStr">
        <is>
          <t>DMA</t>
        </is>
      </c>
      <c r="G279" t="inlineStr">
        <is>
          <t>2018gn</t>
        </is>
      </c>
      <c r="H279" t="n">
        <v>2018</v>
      </c>
    </row>
    <row r="280">
      <c r="A280" t="inlineStr">
        <is>
          <t>no_year_in_pairs</t>
        </is>
      </c>
      <c r="C280" t="inlineStr">
        <is>
          <t>SM.19.158, Sup. 2</t>
        </is>
      </c>
      <c r="D280" t="inlineStr">
        <is>
          <t>Dominica</t>
        </is>
      </c>
      <c r="E280" t="inlineStr">
        <is>
          <t>DMA</t>
        </is>
      </c>
      <c r="G280" t="inlineStr">
        <is>
          <t>2018gn</t>
        </is>
      </c>
      <c r="H280" t="n">
        <v>2018</v>
      </c>
    </row>
    <row r="281">
      <c r="A281" t="inlineStr">
        <is>
          <t>no_year_in_pairs</t>
        </is>
      </c>
      <c r="C281" t="inlineStr">
        <is>
          <t>SM.19.158, Sup. 2</t>
        </is>
      </c>
      <c r="D281" t="inlineStr">
        <is>
          <t>Dominica</t>
        </is>
      </c>
      <c r="E281" t="inlineStr">
        <is>
          <t>DMA</t>
        </is>
      </c>
      <c r="G281" t="inlineStr">
        <is>
          <t>2018gn</t>
        </is>
      </c>
      <c r="H281" t="n">
        <v>2018</v>
      </c>
    </row>
    <row r="282">
      <c r="A282" t="inlineStr">
        <is>
          <t>no_year_in_pairs</t>
        </is>
      </c>
      <c r="C282" t="inlineStr">
        <is>
          <t>SM.19.158, Sup. 2</t>
        </is>
      </c>
      <c r="D282" t="inlineStr">
        <is>
          <t>Dominica</t>
        </is>
      </c>
      <c r="E282" t="inlineStr">
        <is>
          <t>DMA</t>
        </is>
      </c>
      <c r="G282" t="inlineStr">
        <is>
          <t>2018gn</t>
        </is>
      </c>
      <c r="H282" t="n">
        <v>2018</v>
      </c>
    </row>
    <row r="283">
      <c r="A283" t="inlineStr">
        <is>
          <t>no_year_in_pairs</t>
        </is>
      </c>
      <c r="C283" t="inlineStr">
        <is>
          <t>SM.19.158, Sup. 2</t>
        </is>
      </c>
      <c r="D283" t="inlineStr">
        <is>
          <t>Dominica</t>
        </is>
      </c>
      <c r="E283" t="inlineStr">
        <is>
          <t>DMA</t>
        </is>
      </c>
      <c r="G283" t="inlineStr">
        <is>
          <t>2018gn</t>
        </is>
      </c>
      <c r="H283" t="n">
        <v>2018</v>
      </c>
    </row>
    <row r="284">
      <c r="A284" t="inlineStr">
        <is>
          <t>no_year_in_pairs</t>
        </is>
      </c>
      <c r="C284" t="inlineStr">
        <is>
          <t>SM.19.158, Sup. 2</t>
        </is>
      </c>
      <c r="D284" t="inlineStr">
        <is>
          <t>Dominica</t>
        </is>
      </c>
      <c r="E284" t="inlineStr">
        <is>
          <t>DMA</t>
        </is>
      </c>
      <c r="G284" t="inlineStr">
        <is>
          <t>2018gn</t>
        </is>
      </c>
      <c r="H284" t="n">
        <v>2018</v>
      </c>
    </row>
    <row r="285">
      <c r="A285" t="inlineStr">
        <is>
          <t>no_year_in_pairs</t>
        </is>
      </c>
      <c r="C285" t="inlineStr">
        <is>
          <t>SM.19.158, Sup. 2</t>
        </is>
      </c>
      <c r="D285" t="inlineStr">
        <is>
          <t>Dominica</t>
        </is>
      </c>
      <c r="E285" t="inlineStr">
        <is>
          <t>DMA</t>
        </is>
      </c>
      <c r="G285" t="inlineStr">
        <is>
          <t>2018gn</t>
        </is>
      </c>
      <c r="H285" t="n">
        <v>2018</v>
      </c>
    </row>
    <row r="286">
      <c r="A286" t="inlineStr">
        <is>
          <t>no_year_in_pairs</t>
        </is>
      </c>
      <c r="C286" t="inlineStr">
        <is>
          <t>SM.19.158, Sup. 2</t>
        </is>
      </c>
      <c r="D286" t="inlineStr">
        <is>
          <t>Dominica</t>
        </is>
      </c>
      <c r="E286" t="inlineStr">
        <is>
          <t>DMA</t>
        </is>
      </c>
      <c r="G286" t="inlineStr">
        <is>
          <t>2018gn</t>
        </is>
      </c>
      <c r="H286" t="n">
        <v>2018</v>
      </c>
    </row>
    <row r="287">
      <c r="A287" t="inlineStr">
        <is>
          <t>no_year_in_pairs</t>
        </is>
      </c>
      <c r="C287" t="inlineStr">
        <is>
          <t>SM.19.158, Sup. 2</t>
        </is>
      </c>
      <c r="D287" t="inlineStr">
        <is>
          <t>Dominica</t>
        </is>
      </c>
      <c r="E287" t="inlineStr">
        <is>
          <t>DMA</t>
        </is>
      </c>
      <c r="G287" t="inlineStr">
        <is>
          <t>2018gn</t>
        </is>
      </c>
      <c r="H287" t="n">
        <v>2018</v>
      </c>
    </row>
    <row r="288">
      <c r="A288" t="inlineStr">
        <is>
          <t>no_year_in_pairs</t>
        </is>
      </c>
      <c r="C288" t="inlineStr">
        <is>
          <t>SM.19.158, Sup. 2</t>
        </is>
      </c>
      <c r="D288" t="inlineStr">
        <is>
          <t>Dominica</t>
        </is>
      </c>
      <c r="E288" t="inlineStr">
        <is>
          <t>DMA</t>
        </is>
      </c>
      <c r="G288" t="inlineStr">
        <is>
          <t>2018gn</t>
        </is>
      </c>
      <c r="H288" t="n">
        <v>2018</v>
      </c>
    </row>
    <row r="289">
      <c r="A289" t="inlineStr">
        <is>
          <t>no_year_in_pairs</t>
        </is>
      </c>
      <c r="C289" t="inlineStr">
        <is>
          <t>SM.19.158, Sup. 2</t>
        </is>
      </c>
      <c r="D289" t="inlineStr">
        <is>
          <t>Dominica</t>
        </is>
      </c>
      <c r="E289" t="inlineStr">
        <is>
          <t>DMA</t>
        </is>
      </c>
      <c r="G289" t="inlineStr">
        <is>
          <t>2018gn</t>
        </is>
      </c>
      <c r="H289" t="n">
        <v>2018</v>
      </c>
    </row>
    <row r="290">
      <c r="A290" t="inlineStr">
        <is>
          <t>no_year_in_pairs</t>
        </is>
      </c>
      <c r="C290" t="inlineStr">
        <is>
          <t>SM.19.158, Sup. 2</t>
        </is>
      </c>
      <c r="D290" t="inlineStr">
        <is>
          <t>Dominica</t>
        </is>
      </c>
      <c r="E290" t="inlineStr">
        <is>
          <t>DMA</t>
        </is>
      </c>
      <c r="G290" t="inlineStr">
        <is>
          <t>2018gn</t>
        </is>
      </c>
      <c r="H290" t="n">
        <v>2018</v>
      </c>
    </row>
    <row r="291">
      <c r="A291" t="inlineStr">
        <is>
          <t>no_year_in_pairs</t>
        </is>
      </c>
      <c r="C291" t="inlineStr">
        <is>
          <t>SM.19.158, Sup. 2</t>
        </is>
      </c>
      <c r="D291" t="inlineStr">
        <is>
          <t>Dominica</t>
        </is>
      </c>
      <c r="E291" t="inlineStr">
        <is>
          <t>DMA</t>
        </is>
      </c>
      <c r="G291" t="inlineStr">
        <is>
          <t>2018gn</t>
        </is>
      </c>
      <c r="H291" t="n">
        <v>2018</v>
      </c>
    </row>
    <row r="292">
      <c r="A292" t="inlineStr">
        <is>
          <t>no_year_in_pairs</t>
        </is>
      </c>
      <c r="C292" t="inlineStr">
        <is>
          <t>SM.19.158, Sup. 2</t>
        </is>
      </c>
      <c r="D292" t="inlineStr">
        <is>
          <t>Dominica</t>
        </is>
      </c>
      <c r="E292" t="inlineStr">
        <is>
          <t>DMA</t>
        </is>
      </c>
      <c r="G292" t="inlineStr">
        <is>
          <t>2018gn</t>
        </is>
      </c>
      <c r="H292" t="n">
        <v>2018</v>
      </c>
    </row>
    <row r="293">
      <c r="A293" t="inlineStr">
        <is>
          <t>no_year_in_pairs</t>
        </is>
      </c>
      <c r="C293" t="inlineStr">
        <is>
          <t>SM.19.158, Sup. 2</t>
        </is>
      </c>
      <c r="D293" t="inlineStr">
        <is>
          <t>Dominica</t>
        </is>
      </c>
      <c r="E293" t="inlineStr">
        <is>
          <t>DMA</t>
        </is>
      </c>
      <c r="G293" t="inlineStr">
        <is>
          <t>2018gn</t>
        </is>
      </c>
      <c r="H293" t="n">
        <v>2018</v>
      </c>
    </row>
    <row r="294">
      <c r="A294" t="inlineStr">
        <is>
          <t>no_year_in_pairs</t>
        </is>
      </c>
      <c r="C294" t="inlineStr">
        <is>
          <t>SM.19.158, Sup. 2</t>
        </is>
      </c>
      <c r="D294" t="inlineStr">
        <is>
          <t>Dominica</t>
        </is>
      </c>
      <c r="E294" t="inlineStr">
        <is>
          <t>DMA</t>
        </is>
      </c>
      <c r="G294" t="inlineStr">
        <is>
          <t>2018gn</t>
        </is>
      </c>
      <c r="H294" t="n">
        <v>2018</v>
      </c>
    </row>
    <row r="295">
      <c r="A295" t="inlineStr">
        <is>
          <t>no_year_in_pairs</t>
        </is>
      </c>
      <c r="C295" t="inlineStr">
        <is>
          <t>SM.19.158, Sup. 2</t>
        </is>
      </c>
      <c r="D295" t="inlineStr">
        <is>
          <t>Dominica</t>
        </is>
      </c>
      <c r="E295" t="inlineStr">
        <is>
          <t>DMA</t>
        </is>
      </c>
      <c r="G295" t="inlineStr">
        <is>
          <t>2018gn</t>
        </is>
      </c>
      <c r="H295" t="n">
        <v>2018</v>
      </c>
    </row>
    <row r="296">
      <c r="A296" t="inlineStr">
        <is>
          <t>no_year_in_pairs</t>
        </is>
      </c>
      <c r="C296" t="inlineStr">
        <is>
          <t>SM.19.158, Sup. 2</t>
        </is>
      </c>
      <c r="D296" t="inlineStr">
        <is>
          <t>Dominica</t>
        </is>
      </c>
      <c r="E296" t="inlineStr">
        <is>
          <t>DMA</t>
        </is>
      </c>
      <c r="G296" t="inlineStr">
        <is>
          <t>2018gn</t>
        </is>
      </c>
      <c r="H296" t="n">
        <v>2018</v>
      </c>
    </row>
    <row r="297">
      <c r="A297" t="inlineStr">
        <is>
          <t>no_year_in_pairs</t>
        </is>
      </c>
      <c r="C297" t="inlineStr">
        <is>
          <t>SM.19.158, Sup. 2</t>
        </is>
      </c>
      <c r="D297" t="inlineStr">
        <is>
          <t>Dominica</t>
        </is>
      </c>
      <c r="E297" t="inlineStr">
        <is>
          <t>DMA</t>
        </is>
      </c>
      <c r="G297" t="inlineStr">
        <is>
          <t>2018gn</t>
        </is>
      </c>
      <c r="H297" t="n">
        <v>2018</v>
      </c>
    </row>
    <row r="298">
      <c r="A298" t="inlineStr">
        <is>
          <t>no_year_in_pairs</t>
        </is>
      </c>
      <c r="C298" t="inlineStr">
        <is>
          <t>SM.19.158, Sup. 2</t>
        </is>
      </c>
      <c r="D298" t="inlineStr">
        <is>
          <t>Dominica</t>
        </is>
      </c>
      <c r="E298" t="inlineStr">
        <is>
          <t>DMA</t>
        </is>
      </c>
      <c r="G298" t="inlineStr">
        <is>
          <t>2018gn</t>
        </is>
      </c>
      <c r="H298" t="n">
        <v>2018</v>
      </c>
    </row>
    <row r="299">
      <c r="A299" t="inlineStr">
        <is>
          <t>no_year_in_pairs</t>
        </is>
      </c>
      <c r="C299" t="inlineStr">
        <is>
          <t>SM.19.158, Sup. 2</t>
        </is>
      </c>
      <c r="D299" t="inlineStr">
        <is>
          <t>Dominica</t>
        </is>
      </c>
      <c r="E299" t="inlineStr">
        <is>
          <t>DMA</t>
        </is>
      </c>
      <c r="G299" t="inlineStr">
        <is>
          <t>2018gn</t>
        </is>
      </c>
      <c r="H299" t="n">
        <v>2018</v>
      </c>
    </row>
    <row r="300">
      <c r="A300" t="inlineStr">
        <is>
          <t>no_year_in_pairs</t>
        </is>
      </c>
      <c r="C300" t="inlineStr">
        <is>
          <t>SM.19.158, Sup. 2</t>
        </is>
      </c>
      <c r="D300" t="inlineStr">
        <is>
          <t>Dominica</t>
        </is>
      </c>
      <c r="E300" t="inlineStr">
        <is>
          <t>DMA</t>
        </is>
      </c>
      <c r="G300" t="inlineStr">
        <is>
          <t>2018gn</t>
        </is>
      </c>
      <c r="H300" t="n">
        <v>2018</v>
      </c>
    </row>
    <row r="301">
      <c r="A301" t="inlineStr">
        <is>
          <t>no_year_in_pairs</t>
        </is>
      </c>
      <c r="C301" t="inlineStr">
        <is>
          <t>SM.19.158, Sup. 2</t>
        </is>
      </c>
      <c r="D301" t="inlineStr">
        <is>
          <t>Dominica</t>
        </is>
      </c>
      <c r="E301" t="inlineStr">
        <is>
          <t>DMA</t>
        </is>
      </c>
      <c r="G301" t="inlineStr">
        <is>
          <t>2018gn</t>
        </is>
      </c>
      <c r="H301" t="n">
        <v>2018</v>
      </c>
    </row>
    <row r="302">
      <c r="A302" t="inlineStr">
        <is>
          <t>no_year_in_pairs</t>
        </is>
      </c>
      <c r="C302" t="inlineStr">
        <is>
          <t>SM.19.158, Sup. 2</t>
        </is>
      </c>
      <c r="D302" t="inlineStr">
        <is>
          <t>Dominica</t>
        </is>
      </c>
      <c r="E302" t="inlineStr">
        <is>
          <t>DMA</t>
        </is>
      </c>
      <c r="G302" t="inlineStr">
        <is>
          <t>2018gn</t>
        </is>
      </c>
      <c r="H302" t="n">
        <v>2018</v>
      </c>
    </row>
    <row r="303">
      <c r="A303" t="inlineStr">
        <is>
          <t>no_year_in_pairs</t>
        </is>
      </c>
      <c r="C303" t="inlineStr">
        <is>
          <t>SM.19.158, Sup. 2</t>
        </is>
      </c>
      <c r="D303" t="inlineStr">
        <is>
          <t>Dominica</t>
        </is>
      </c>
      <c r="E303" t="inlineStr">
        <is>
          <t>DMA</t>
        </is>
      </c>
      <c r="G303" t="inlineStr">
        <is>
          <t>2018gn</t>
        </is>
      </c>
      <c r="H303" t="n">
        <v>2018</v>
      </c>
    </row>
    <row r="304">
      <c r="A304" t="inlineStr">
        <is>
          <t>no_year_in_pairs</t>
        </is>
      </c>
      <c r="C304" t="inlineStr">
        <is>
          <t>SM.19.158, Sup. 2</t>
        </is>
      </c>
      <c r="D304" t="inlineStr">
        <is>
          <t>Dominica</t>
        </is>
      </c>
      <c r="E304" t="inlineStr">
        <is>
          <t>DMA</t>
        </is>
      </c>
      <c r="G304" t="inlineStr">
        <is>
          <t>2018gn</t>
        </is>
      </c>
      <c r="H304" t="n">
        <v>2018</v>
      </c>
    </row>
    <row r="305">
      <c r="A305" t="inlineStr">
        <is>
          <t>no_year_in_pairs</t>
        </is>
      </c>
      <c r="C305" t="inlineStr">
        <is>
          <t>SM.19.158, Sup. 2</t>
        </is>
      </c>
      <c r="D305" t="inlineStr">
        <is>
          <t>Dominica</t>
        </is>
      </c>
      <c r="E305" t="inlineStr">
        <is>
          <t>DMA</t>
        </is>
      </c>
      <c r="G305" t="inlineStr">
        <is>
          <t>2018gn</t>
        </is>
      </c>
      <c r="H305" t="n">
        <v>2018</v>
      </c>
    </row>
    <row r="306">
      <c r="A306" t="inlineStr">
        <is>
          <t>no_year_in_pairs</t>
        </is>
      </c>
      <c r="C306" t="inlineStr">
        <is>
          <t>SM.19.158, Sup. 2</t>
        </is>
      </c>
      <c r="D306" t="inlineStr">
        <is>
          <t>Dominica</t>
        </is>
      </c>
      <c r="E306" t="inlineStr">
        <is>
          <t>DMA</t>
        </is>
      </c>
      <c r="G306" t="inlineStr">
        <is>
          <t>2018gn</t>
        </is>
      </c>
      <c r="H306" t="n">
        <v>2018</v>
      </c>
    </row>
    <row r="307">
      <c r="A307" t="inlineStr">
        <is>
          <t>no_year_in_pairs</t>
        </is>
      </c>
      <c r="C307" t="inlineStr">
        <is>
          <t>SM.19.158, Sup. 2</t>
        </is>
      </c>
      <c r="D307" t="inlineStr">
        <is>
          <t>Dominica</t>
        </is>
      </c>
      <c r="E307" t="inlineStr">
        <is>
          <t>DMA</t>
        </is>
      </c>
      <c r="G307" t="inlineStr">
        <is>
          <t>2018gn</t>
        </is>
      </c>
      <c r="H307" t="n">
        <v>2018</v>
      </c>
    </row>
    <row r="308">
      <c r="A308" t="inlineStr">
        <is>
          <t>no_year_in_pairs</t>
        </is>
      </c>
      <c r="C308" t="inlineStr">
        <is>
          <t>SM.19.158, Sup. 2</t>
        </is>
      </c>
      <c r="D308" t="inlineStr">
        <is>
          <t>Dominica</t>
        </is>
      </c>
      <c r="E308" t="inlineStr">
        <is>
          <t>DMA</t>
        </is>
      </c>
      <c r="G308" t="inlineStr">
        <is>
          <t>2018gn</t>
        </is>
      </c>
      <c r="H308" t="n">
        <v>2018</v>
      </c>
    </row>
    <row r="309">
      <c r="A309" t="inlineStr">
        <is>
          <t>no_year_in_pairs</t>
        </is>
      </c>
      <c r="C309" t="inlineStr">
        <is>
          <t>SM.19.158, Sup. 2</t>
        </is>
      </c>
      <c r="D309" t="inlineStr">
        <is>
          <t>Dominica</t>
        </is>
      </c>
      <c r="E309" t="inlineStr">
        <is>
          <t>DMA</t>
        </is>
      </c>
      <c r="G309" t="inlineStr">
        <is>
          <t>2018gn</t>
        </is>
      </c>
      <c r="H309" t="n">
        <v>2018</v>
      </c>
    </row>
    <row r="310">
      <c r="A310" t="inlineStr">
        <is>
          <t>no_year_in_pairs</t>
        </is>
      </c>
      <c r="C310" t="inlineStr">
        <is>
          <t>SM.19.158, Sup. 2</t>
        </is>
      </c>
      <c r="D310" t="inlineStr">
        <is>
          <t>Dominica</t>
        </is>
      </c>
      <c r="E310" t="inlineStr">
        <is>
          <t>DMA</t>
        </is>
      </c>
      <c r="G310" t="inlineStr">
        <is>
          <t>2018gn</t>
        </is>
      </c>
      <c r="H310" t="n">
        <v>2018</v>
      </c>
    </row>
    <row r="311">
      <c r="A311" t="inlineStr">
        <is>
          <t>no_year_in_pairs</t>
        </is>
      </c>
      <c r="C311" t="inlineStr">
        <is>
          <t>SM.19.158, Sup. 2</t>
        </is>
      </c>
      <c r="D311" t="inlineStr">
        <is>
          <t>Dominica</t>
        </is>
      </c>
      <c r="E311" t="inlineStr">
        <is>
          <t>DMA</t>
        </is>
      </c>
      <c r="G311" t="inlineStr">
        <is>
          <t>2018gn</t>
        </is>
      </c>
      <c r="H311" t="n">
        <v>2018</v>
      </c>
    </row>
    <row r="312">
      <c r="A312" t="inlineStr">
        <is>
          <t>no_year_in_pairs</t>
        </is>
      </c>
      <c r="C312" t="inlineStr">
        <is>
          <t>SM.19.158, Sup. 2</t>
        </is>
      </c>
      <c r="D312" t="inlineStr">
        <is>
          <t>Dominica</t>
        </is>
      </c>
      <c r="E312" t="inlineStr">
        <is>
          <t>DMA</t>
        </is>
      </c>
      <c r="G312" t="inlineStr">
        <is>
          <t>2018gn</t>
        </is>
      </c>
      <c r="H312" t="n">
        <v>2018</v>
      </c>
    </row>
    <row r="313">
      <c r="A313" t="inlineStr">
        <is>
          <t>no_year_in_pairs</t>
        </is>
      </c>
      <c r="C313" t="inlineStr">
        <is>
          <t>SM.19.158, Sup. 2</t>
        </is>
      </c>
      <c r="D313" t="inlineStr">
        <is>
          <t>Dominica</t>
        </is>
      </c>
      <c r="E313" t="inlineStr">
        <is>
          <t>DMA</t>
        </is>
      </c>
      <c r="G313" t="inlineStr">
        <is>
          <t>2018gn</t>
        </is>
      </c>
      <c r="H313" t="n">
        <v>2018</v>
      </c>
    </row>
    <row r="314">
      <c r="A314" t="inlineStr">
        <is>
          <t>no_year_in_pairs</t>
        </is>
      </c>
      <c r="C314" t="inlineStr">
        <is>
          <t>SM.19.158, Sup. 2</t>
        </is>
      </c>
      <c r="D314" t="inlineStr">
        <is>
          <t>Dominica</t>
        </is>
      </c>
      <c r="E314" t="inlineStr">
        <is>
          <t>DMA</t>
        </is>
      </c>
      <c r="G314" t="inlineStr">
        <is>
          <t>2018gn</t>
        </is>
      </c>
      <c r="H314" t="n">
        <v>2018</v>
      </c>
    </row>
    <row r="315">
      <c r="A315" t="inlineStr">
        <is>
          <t>no_year_in_pairs</t>
        </is>
      </c>
      <c r="C315" t="inlineStr">
        <is>
          <t>SM.19.158, Sup. 2</t>
        </is>
      </c>
      <c r="D315" t="inlineStr">
        <is>
          <t>Dominica</t>
        </is>
      </c>
      <c r="E315" t="inlineStr">
        <is>
          <t>DMA</t>
        </is>
      </c>
      <c r="G315" t="inlineStr">
        <is>
          <t>2018gn</t>
        </is>
      </c>
      <c r="H315" t="n">
        <v>2018</v>
      </c>
    </row>
    <row r="316">
      <c r="A316" t="inlineStr">
        <is>
          <t>no_year_in_pairs</t>
        </is>
      </c>
      <c r="C316" t="inlineStr">
        <is>
          <t>SM.19.158, Sup. 2</t>
        </is>
      </c>
      <c r="D316" t="inlineStr">
        <is>
          <t>Dominica</t>
        </is>
      </c>
      <c r="E316" t="inlineStr">
        <is>
          <t>DMA</t>
        </is>
      </c>
      <c r="G316" t="inlineStr">
        <is>
          <t>2018gn</t>
        </is>
      </c>
      <c r="H316" t="n">
        <v>2018</v>
      </c>
    </row>
    <row r="317">
      <c r="A317" t="inlineStr">
        <is>
          <t>no_year_in_pairs</t>
        </is>
      </c>
      <c r="C317" t="inlineStr">
        <is>
          <t>SM.19.158, Sup. 2</t>
        </is>
      </c>
      <c r="D317" t="inlineStr">
        <is>
          <t>Dominica</t>
        </is>
      </c>
      <c r="E317" t="inlineStr">
        <is>
          <t>DMA</t>
        </is>
      </c>
      <c r="G317" t="inlineStr">
        <is>
          <t>2018gn</t>
        </is>
      </c>
      <c r="H317" t="n">
        <v>2018</v>
      </c>
    </row>
    <row r="318">
      <c r="A318" t="inlineStr">
        <is>
          <t>no_year_in_pairs</t>
        </is>
      </c>
      <c r="C318" t="inlineStr">
        <is>
          <t>SM.19.158, Sup. 2</t>
        </is>
      </c>
      <c r="D318" t="inlineStr">
        <is>
          <t>Dominica</t>
        </is>
      </c>
      <c r="E318" t="inlineStr">
        <is>
          <t>DMA</t>
        </is>
      </c>
      <c r="G318" t="inlineStr">
        <is>
          <t>2018gn</t>
        </is>
      </c>
      <c r="H318" t="n">
        <v>2018</v>
      </c>
    </row>
    <row r="319">
      <c r="A319" t="inlineStr">
        <is>
          <t>no_year_in_pairs</t>
        </is>
      </c>
      <c r="C319" t="inlineStr">
        <is>
          <t>SM.19.158, Sup. 2</t>
        </is>
      </c>
      <c r="D319" t="inlineStr">
        <is>
          <t>Dominica</t>
        </is>
      </c>
      <c r="E319" t="inlineStr">
        <is>
          <t>DMA</t>
        </is>
      </c>
      <c r="G319" t="inlineStr">
        <is>
          <t>2018gn</t>
        </is>
      </c>
      <c r="H319" t="n">
        <v>2018</v>
      </c>
    </row>
    <row r="320">
      <c r="A320" t="inlineStr">
        <is>
          <t>no_year_in_pairs</t>
        </is>
      </c>
      <c r="C320" t="inlineStr">
        <is>
          <t>SM.19.158, Sup. 2</t>
        </is>
      </c>
      <c r="D320" t="inlineStr">
        <is>
          <t>Dominica</t>
        </is>
      </c>
      <c r="E320" t="inlineStr">
        <is>
          <t>DMA</t>
        </is>
      </c>
      <c r="G320" t="inlineStr">
        <is>
          <t>2018gn</t>
        </is>
      </c>
      <c r="H320" t="n">
        <v>2018</v>
      </c>
    </row>
    <row r="321">
      <c r="A321" t="inlineStr">
        <is>
          <t>no_year_in_pairs</t>
        </is>
      </c>
      <c r="C321" t="inlineStr">
        <is>
          <t>SM.19.158, Sup. 2</t>
        </is>
      </c>
      <c r="D321" t="inlineStr">
        <is>
          <t>Dominica</t>
        </is>
      </c>
      <c r="E321" t="inlineStr">
        <is>
          <t>DMA</t>
        </is>
      </c>
      <c r="G321" t="inlineStr">
        <is>
          <t>2018gn</t>
        </is>
      </c>
      <c r="H321" t="n">
        <v>2018</v>
      </c>
    </row>
    <row r="322">
      <c r="A322" t="inlineStr">
        <is>
          <t>no_year_in_pairs</t>
        </is>
      </c>
      <c r="C322" t="inlineStr">
        <is>
          <t>SM.19.158, Sup. 2</t>
        </is>
      </c>
      <c r="D322" t="inlineStr">
        <is>
          <t>Dominica</t>
        </is>
      </c>
      <c r="E322" t="inlineStr">
        <is>
          <t>DMA</t>
        </is>
      </c>
      <c r="G322" t="inlineStr">
        <is>
          <t>2018gn</t>
        </is>
      </c>
      <c r="H322" t="n">
        <v>2018</v>
      </c>
    </row>
    <row r="323">
      <c r="A323" t="inlineStr">
        <is>
          <t>no_year_in_pairs</t>
        </is>
      </c>
      <c r="C323" t="inlineStr">
        <is>
          <t>SM.19.158, Sup. 2</t>
        </is>
      </c>
      <c r="D323" t="inlineStr">
        <is>
          <t>Dominica</t>
        </is>
      </c>
      <c r="E323" t="inlineStr">
        <is>
          <t>DMA</t>
        </is>
      </c>
      <c r="G323" t="inlineStr">
        <is>
          <t>2018gn</t>
        </is>
      </c>
      <c r="H323" t="n">
        <v>2018</v>
      </c>
    </row>
    <row r="324">
      <c r="A324" t="inlineStr">
        <is>
          <t>no_year_in_pairs</t>
        </is>
      </c>
      <c r="C324" t="inlineStr">
        <is>
          <t>SM.19.158, Sup. 2</t>
        </is>
      </c>
      <c r="D324" t="inlineStr">
        <is>
          <t>Dominica</t>
        </is>
      </c>
      <c r="E324" t="inlineStr">
        <is>
          <t>DMA</t>
        </is>
      </c>
      <c r="G324" t="inlineStr">
        <is>
          <t>2018gn</t>
        </is>
      </c>
      <c r="H324" t="n">
        <v>2018</v>
      </c>
    </row>
    <row r="325">
      <c r="A325" t="inlineStr">
        <is>
          <t>no_year_in_pairs</t>
        </is>
      </c>
      <c r="C325" t="inlineStr">
        <is>
          <t>SM.19.158, Sup. 2</t>
        </is>
      </c>
      <c r="D325" t="inlineStr">
        <is>
          <t>Dominica</t>
        </is>
      </c>
      <c r="E325" t="inlineStr">
        <is>
          <t>DMA</t>
        </is>
      </c>
      <c r="G325" t="inlineStr">
        <is>
          <t>2018gn</t>
        </is>
      </c>
      <c r="H325" t="n">
        <v>2018</v>
      </c>
    </row>
    <row r="326">
      <c r="A326" t="inlineStr">
        <is>
          <t>no_year_in_pairs</t>
        </is>
      </c>
      <c r="C326" t="inlineStr">
        <is>
          <t>SM.19.158, Sup. 2</t>
        </is>
      </c>
      <c r="D326" t="inlineStr">
        <is>
          <t>Dominica</t>
        </is>
      </c>
      <c r="E326" t="inlineStr">
        <is>
          <t>DMA</t>
        </is>
      </c>
      <c r="G326" t="inlineStr">
        <is>
          <t>2018gn</t>
        </is>
      </c>
      <c r="H326" t="n">
        <v>2018</v>
      </c>
    </row>
    <row r="327">
      <c r="A327" t="inlineStr">
        <is>
          <t>no_year_in_pairs</t>
        </is>
      </c>
      <c r="C327" t="inlineStr">
        <is>
          <t>SM.19.158, Sup. 2</t>
        </is>
      </c>
      <c r="D327" t="inlineStr">
        <is>
          <t>Dominica</t>
        </is>
      </c>
      <c r="E327" t="inlineStr">
        <is>
          <t>DMA</t>
        </is>
      </c>
      <c r="G327" t="inlineStr">
        <is>
          <t>2018gn</t>
        </is>
      </c>
      <c r="H327" t="n">
        <v>2018</v>
      </c>
    </row>
    <row r="328">
      <c r="A328" t="inlineStr">
        <is>
          <t>no_year_in_pairs</t>
        </is>
      </c>
      <c r="C328" t="inlineStr">
        <is>
          <t>SM.19.158, Sup. 2</t>
        </is>
      </c>
      <c r="D328" t="inlineStr">
        <is>
          <t>Dominica</t>
        </is>
      </c>
      <c r="E328" t="inlineStr">
        <is>
          <t>DMA</t>
        </is>
      </c>
      <c r="G328" t="inlineStr">
        <is>
          <t>2018gn</t>
        </is>
      </c>
      <c r="H328" t="n">
        <v>2018</v>
      </c>
    </row>
    <row r="329">
      <c r="A329" t="inlineStr">
        <is>
          <t>no_year_in_pairs</t>
        </is>
      </c>
      <c r="C329" t="inlineStr">
        <is>
          <t>SM.19.158, Sup. 2</t>
        </is>
      </c>
      <c r="D329" t="inlineStr">
        <is>
          <t>Dominica</t>
        </is>
      </c>
      <c r="E329" t="inlineStr">
        <is>
          <t>DMA</t>
        </is>
      </c>
      <c r="G329" t="inlineStr">
        <is>
          <t>2018gn</t>
        </is>
      </c>
      <c r="H329" t="n">
        <v>2018</v>
      </c>
    </row>
    <row r="330">
      <c r="A330" t="inlineStr">
        <is>
          <t>no_year_in_pairs</t>
        </is>
      </c>
      <c r="C330" t="inlineStr">
        <is>
          <t>SM.19.158, Sup. 2</t>
        </is>
      </c>
      <c r="D330" t="inlineStr">
        <is>
          <t>Dominica</t>
        </is>
      </c>
      <c r="E330" t="inlineStr">
        <is>
          <t>DMA</t>
        </is>
      </c>
      <c r="G330" t="inlineStr">
        <is>
          <t>2018gn</t>
        </is>
      </c>
      <c r="H330" t="n">
        <v>2018</v>
      </c>
    </row>
    <row r="331">
      <c r="A331" t="inlineStr">
        <is>
          <t>no_year_in_pairs</t>
        </is>
      </c>
      <c r="C331" t="inlineStr">
        <is>
          <t>SM.19.158, Sup. 2</t>
        </is>
      </c>
      <c r="D331" t="inlineStr">
        <is>
          <t>Dominica</t>
        </is>
      </c>
      <c r="E331" t="inlineStr">
        <is>
          <t>DMA</t>
        </is>
      </c>
      <c r="G331" t="inlineStr">
        <is>
          <t>2018gn</t>
        </is>
      </c>
      <c r="H331" t="n">
        <v>2018</v>
      </c>
    </row>
    <row r="332">
      <c r="A332" t="inlineStr">
        <is>
          <t>no_year_in_pairs</t>
        </is>
      </c>
      <c r="C332" t="inlineStr">
        <is>
          <t>SM.19.158, Sup. 2</t>
        </is>
      </c>
      <c r="D332" t="inlineStr">
        <is>
          <t>Dominica</t>
        </is>
      </c>
      <c r="E332" t="inlineStr">
        <is>
          <t>DMA</t>
        </is>
      </c>
      <c r="G332" t="inlineStr">
        <is>
          <t>2018gn</t>
        </is>
      </c>
      <c r="H332" t="n">
        <v>2018</v>
      </c>
    </row>
    <row r="333">
      <c r="A333" t="inlineStr">
        <is>
          <t>no_year_in_pairs</t>
        </is>
      </c>
      <c r="C333" t="inlineStr">
        <is>
          <t>SM.19.158, Sup. 2</t>
        </is>
      </c>
      <c r="D333" t="inlineStr">
        <is>
          <t>Dominica</t>
        </is>
      </c>
      <c r="E333" t="inlineStr">
        <is>
          <t>DMA</t>
        </is>
      </c>
      <c r="G333" t="inlineStr">
        <is>
          <t>2018gn</t>
        </is>
      </c>
      <c r="H333" t="n">
        <v>2018</v>
      </c>
    </row>
    <row r="334">
      <c r="A334" t="inlineStr">
        <is>
          <t>no_year_in_pairs</t>
        </is>
      </c>
      <c r="C334" t="inlineStr">
        <is>
          <t>SM.19.158, Sup. 2</t>
        </is>
      </c>
      <c r="D334" t="inlineStr">
        <is>
          <t>Dominica</t>
        </is>
      </c>
      <c r="E334" t="inlineStr">
        <is>
          <t>DMA</t>
        </is>
      </c>
      <c r="G334" t="inlineStr">
        <is>
          <t>2018gn</t>
        </is>
      </c>
      <c r="H334" t="n">
        <v>2018</v>
      </c>
    </row>
    <row r="335">
      <c r="A335" t="inlineStr">
        <is>
          <t>no_year_in_pairs</t>
        </is>
      </c>
      <c r="C335" t="inlineStr">
        <is>
          <t>SM.19.158, Sup. 2</t>
        </is>
      </c>
      <c r="D335" t="inlineStr">
        <is>
          <t>Dominica</t>
        </is>
      </c>
      <c r="E335" t="inlineStr">
        <is>
          <t>DMA</t>
        </is>
      </c>
      <c r="G335" t="inlineStr">
        <is>
          <t>2018gn</t>
        </is>
      </c>
      <c r="H335" t="n">
        <v>2018</v>
      </c>
    </row>
    <row r="336">
      <c r="A336" t="inlineStr">
        <is>
          <t>no_year_in_pairs</t>
        </is>
      </c>
      <c r="C336" t="inlineStr">
        <is>
          <t>SM.19.158, Sup. 2</t>
        </is>
      </c>
      <c r="D336" t="inlineStr">
        <is>
          <t>Dominica</t>
        </is>
      </c>
      <c r="E336" t="inlineStr">
        <is>
          <t>DMA</t>
        </is>
      </c>
      <c r="G336" t="inlineStr">
        <is>
          <t>2018gn</t>
        </is>
      </c>
      <c r="H336" t="n">
        <v>2018</v>
      </c>
    </row>
    <row r="337">
      <c r="A337" t="inlineStr">
        <is>
          <t>no_year_in_pairs</t>
        </is>
      </c>
      <c r="C337" t="inlineStr">
        <is>
          <t>SM.19.158, Sup. 2</t>
        </is>
      </c>
      <c r="D337" t="inlineStr">
        <is>
          <t>Dominica</t>
        </is>
      </c>
      <c r="E337" t="inlineStr">
        <is>
          <t>DMA</t>
        </is>
      </c>
      <c r="G337" t="inlineStr">
        <is>
          <t>2018gn</t>
        </is>
      </c>
      <c r="H337" t="n">
        <v>2018</v>
      </c>
    </row>
    <row r="338">
      <c r="A338" t="inlineStr">
        <is>
          <t>no_year_in_pairs</t>
        </is>
      </c>
      <c r="C338" t="inlineStr">
        <is>
          <t>SM.19.158, Sup. 2</t>
        </is>
      </c>
      <c r="D338" t="inlineStr">
        <is>
          <t>Dominica</t>
        </is>
      </c>
      <c r="E338" t="inlineStr">
        <is>
          <t>DMA</t>
        </is>
      </c>
      <c r="G338" t="inlineStr">
        <is>
          <t>2018gn</t>
        </is>
      </c>
      <c r="H338" t="n">
        <v>2018</v>
      </c>
    </row>
    <row r="339">
      <c r="A339" t="inlineStr">
        <is>
          <t>no_year_in_pairs</t>
        </is>
      </c>
      <c r="C339" t="inlineStr">
        <is>
          <t>SM.19.158, Sup. 2</t>
        </is>
      </c>
      <c r="D339" t="inlineStr">
        <is>
          <t>Dominica</t>
        </is>
      </c>
      <c r="E339" t="inlineStr">
        <is>
          <t>DMA</t>
        </is>
      </c>
      <c r="G339" t="inlineStr">
        <is>
          <t>2018gn</t>
        </is>
      </c>
      <c r="H339" t="n">
        <v>2018</v>
      </c>
    </row>
    <row r="340">
      <c r="A340" t="inlineStr">
        <is>
          <t>no_year_in_pairs</t>
        </is>
      </c>
      <c r="C340" t="inlineStr">
        <is>
          <t>SM.19.158, Sup. 2</t>
        </is>
      </c>
      <c r="D340" t="inlineStr">
        <is>
          <t>Dominica</t>
        </is>
      </c>
      <c r="E340" t="inlineStr">
        <is>
          <t>DMA</t>
        </is>
      </c>
      <c r="G340" t="inlineStr">
        <is>
          <t>2018gn</t>
        </is>
      </c>
      <c r="H340" t="n">
        <v>2018</v>
      </c>
    </row>
    <row r="341">
      <c r="A341" t="inlineStr">
        <is>
          <t>no_year_in_pairs</t>
        </is>
      </c>
      <c r="C341" t="inlineStr">
        <is>
          <t>SM.19.158, Sup. 2</t>
        </is>
      </c>
      <c r="D341" t="inlineStr">
        <is>
          <t>Dominica</t>
        </is>
      </c>
      <c r="E341" t="inlineStr">
        <is>
          <t>DMA</t>
        </is>
      </c>
      <c r="G341" t="inlineStr">
        <is>
          <t>2018gn</t>
        </is>
      </c>
      <c r="H341" t="n">
        <v>2018</v>
      </c>
    </row>
    <row r="342">
      <c r="A342" t="inlineStr">
        <is>
          <t>no_year_in_pairs</t>
        </is>
      </c>
      <c r="C342" t="inlineStr">
        <is>
          <t>SM.19.158, Sup. 2</t>
        </is>
      </c>
      <c r="D342" t="inlineStr">
        <is>
          <t>Dominica</t>
        </is>
      </c>
      <c r="E342" t="inlineStr">
        <is>
          <t>DMA</t>
        </is>
      </c>
      <c r="G342" t="inlineStr">
        <is>
          <t>2018gn</t>
        </is>
      </c>
      <c r="H342" t="n">
        <v>2018</v>
      </c>
    </row>
    <row r="343">
      <c r="A343" t="inlineStr">
        <is>
          <t>no_year_in_pairs</t>
        </is>
      </c>
      <c r="C343" t="inlineStr">
        <is>
          <t>SM.19.158, Sup. 2</t>
        </is>
      </c>
      <c r="D343" t="inlineStr">
        <is>
          <t>Dominica</t>
        </is>
      </c>
      <c r="E343" t="inlineStr">
        <is>
          <t>DMA</t>
        </is>
      </c>
      <c r="G343" t="inlineStr">
        <is>
          <t>2018gn</t>
        </is>
      </c>
      <c r="H343" t="n">
        <v>2018</v>
      </c>
    </row>
    <row r="344">
      <c r="A344" t="inlineStr">
        <is>
          <t>no_year_in_pairs</t>
        </is>
      </c>
      <c r="C344" t="inlineStr">
        <is>
          <t>SM.19.158, Sup. 2</t>
        </is>
      </c>
      <c r="D344" t="inlineStr">
        <is>
          <t>Dominica</t>
        </is>
      </c>
      <c r="E344" t="inlineStr">
        <is>
          <t>DMA</t>
        </is>
      </c>
      <c r="G344" t="inlineStr">
        <is>
          <t>2018gn</t>
        </is>
      </c>
      <c r="H344" t="n">
        <v>2018</v>
      </c>
    </row>
    <row r="345">
      <c r="A345" t="inlineStr">
        <is>
          <t>no_year_in_pairs</t>
        </is>
      </c>
      <c r="C345" t="inlineStr">
        <is>
          <t>SM.19.158, Sup. 2</t>
        </is>
      </c>
      <c r="D345" t="inlineStr">
        <is>
          <t>Dominica</t>
        </is>
      </c>
      <c r="E345" t="inlineStr">
        <is>
          <t>DMA</t>
        </is>
      </c>
      <c r="G345" t="inlineStr">
        <is>
          <t>2018gn</t>
        </is>
      </c>
      <c r="H345" t="n">
        <v>2018</v>
      </c>
    </row>
    <row r="346">
      <c r="A346" t="inlineStr">
        <is>
          <t>no_year_in_pairs</t>
        </is>
      </c>
      <c r="C346" t="inlineStr">
        <is>
          <t>SM.19.158, Sup. 2</t>
        </is>
      </c>
      <c r="D346" t="inlineStr">
        <is>
          <t>Dominica</t>
        </is>
      </c>
      <c r="E346" t="inlineStr">
        <is>
          <t>DMA</t>
        </is>
      </c>
      <c r="G346" t="inlineStr">
        <is>
          <t>2018gn</t>
        </is>
      </c>
      <c r="H346" t="n">
        <v>2018</v>
      </c>
    </row>
    <row r="347">
      <c r="A347" t="inlineStr">
        <is>
          <t>no_year_in_pairs</t>
        </is>
      </c>
      <c r="C347" t="inlineStr">
        <is>
          <t>SM.19.158, Sup. 2</t>
        </is>
      </c>
      <c r="D347" t="inlineStr">
        <is>
          <t>Dominica</t>
        </is>
      </c>
      <c r="E347" t="inlineStr">
        <is>
          <t>DMA</t>
        </is>
      </c>
      <c r="G347" t="inlineStr">
        <is>
          <t>2018gn</t>
        </is>
      </c>
      <c r="H347" t="n">
        <v>2018</v>
      </c>
    </row>
    <row r="348">
      <c r="A348" t="inlineStr">
        <is>
          <t>no_year_in_pairs</t>
        </is>
      </c>
      <c r="C348" t="inlineStr">
        <is>
          <t>SM.19.158, Sup. 2</t>
        </is>
      </c>
      <c r="D348" t="inlineStr">
        <is>
          <t>Dominica</t>
        </is>
      </c>
      <c r="E348" t="inlineStr">
        <is>
          <t>DMA</t>
        </is>
      </c>
      <c r="G348" t="inlineStr">
        <is>
          <t>2018gn</t>
        </is>
      </c>
      <c r="H348" t="n">
        <v>2018</v>
      </c>
    </row>
    <row r="349">
      <c r="A349" t="inlineStr">
        <is>
          <t>no_year_in_pairs</t>
        </is>
      </c>
      <c r="C349" t="inlineStr">
        <is>
          <t>SM.19.158, Sup. 2</t>
        </is>
      </c>
      <c r="D349" t="inlineStr">
        <is>
          <t>Dominica</t>
        </is>
      </c>
      <c r="E349" t="inlineStr">
        <is>
          <t>DMA</t>
        </is>
      </c>
      <c r="G349" t="inlineStr">
        <is>
          <t>2018gn</t>
        </is>
      </c>
      <c r="H349" t="n">
        <v>2018</v>
      </c>
    </row>
    <row r="350">
      <c r="A350" t="inlineStr">
        <is>
          <t>no_year_in_pairs</t>
        </is>
      </c>
      <c r="C350" t="inlineStr">
        <is>
          <t>SM.19.158, Sup. 2</t>
        </is>
      </c>
      <c r="D350" t="inlineStr">
        <is>
          <t>Dominica</t>
        </is>
      </c>
      <c r="E350" t="inlineStr">
        <is>
          <t>DMA</t>
        </is>
      </c>
      <c r="G350" t="inlineStr">
        <is>
          <t>2018gn</t>
        </is>
      </c>
      <c r="H350" t="n">
        <v>2018</v>
      </c>
    </row>
    <row r="351">
      <c r="A351" t="inlineStr">
        <is>
          <t>no_year_in_pairs</t>
        </is>
      </c>
      <c r="C351" t="inlineStr">
        <is>
          <t>SM.19.158, Sup. 2</t>
        </is>
      </c>
      <c r="D351" t="inlineStr">
        <is>
          <t>Dominica</t>
        </is>
      </c>
      <c r="E351" t="inlineStr">
        <is>
          <t>DMA</t>
        </is>
      </c>
      <c r="G351" t="inlineStr">
        <is>
          <t>2018gn</t>
        </is>
      </c>
      <c r="H351" t="n">
        <v>2018</v>
      </c>
    </row>
    <row r="352">
      <c r="A352" t="inlineStr">
        <is>
          <t>no_year_in_pairs</t>
        </is>
      </c>
      <c r="C352" t="inlineStr">
        <is>
          <t>SM.19.158, Sup. 2</t>
        </is>
      </c>
      <c r="D352" t="inlineStr">
        <is>
          <t>Dominica</t>
        </is>
      </c>
      <c r="E352" t="inlineStr">
        <is>
          <t>DMA</t>
        </is>
      </c>
      <c r="G352" t="inlineStr">
        <is>
          <t>2018gn</t>
        </is>
      </c>
      <c r="H352" t="n">
        <v>2018</v>
      </c>
    </row>
    <row r="353">
      <c r="A353" t="inlineStr">
        <is>
          <t>no_year_in_pairs</t>
        </is>
      </c>
      <c r="C353" t="inlineStr">
        <is>
          <t>SM.19.158, Sup. 2</t>
        </is>
      </c>
      <c r="D353" t="inlineStr">
        <is>
          <t>Dominica</t>
        </is>
      </c>
      <c r="E353" t="inlineStr">
        <is>
          <t>DMA</t>
        </is>
      </c>
      <c r="G353" t="inlineStr">
        <is>
          <t>2018gn</t>
        </is>
      </c>
      <c r="H353" t="n">
        <v>2018</v>
      </c>
    </row>
    <row r="354">
      <c r="A354" t="inlineStr">
        <is>
          <t>no_year_in_pairs</t>
        </is>
      </c>
      <c r="C354" t="inlineStr">
        <is>
          <t>SM.19.158, Sup. 2</t>
        </is>
      </c>
      <c r="D354" t="inlineStr">
        <is>
          <t>Dominica</t>
        </is>
      </c>
      <c r="E354" t="inlineStr">
        <is>
          <t>DMA</t>
        </is>
      </c>
      <c r="G354" t="inlineStr">
        <is>
          <t>2018gn</t>
        </is>
      </c>
      <c r="H354" t="n">
        <v>2018</v>
      </c>
    </row>
    <row r="355">
      <c r="A355" t="inlineStr">
        <is>
          <t>no_year_in_pairs</t>
        </is>
      </c>
      <c r="C355" t="inlineStr">
        <is>
          <t>SM.19.158, Sup. 2</t>
        </is>
      </c>
      <c r="D355" t="inlineStr">
        <is>
          <t>Dominica</t>
        </is>
      </c>
      <c r="E355" t="inlineStr">
        <is>
          <t>DMA</t>
        </is>
      </c>
      <c r="G355" t="inlineStr">
        <is>
          <t>2018gn</t>
        </is>
      </c>
      <c r="H355" t="n">
        <v>2018</v>
      </c>
    </row>
    <row r="356">
      <c r="A356" t="inlineStr">
        <is>
          <t>no_year_in_pairs</t>
        </is>
      </c>
      <c r="C356" t="inlineStr">
        <is>
          <t>SM.19.158, Sup. 2</t>
        </is>
      </c>
      <c r="D356" t="inlineStr">
        <is>
          <t>Dominica</t>
        </is>
      </c>
      <c r="E356" t="inlineStr">
        <is>
          <t>DMA</t>
        </is>
      </c>
      <c r="G356" t="inlineStr">
        <is>
          <t>2018gn</t>
        </is>
      </c>
      <c r="H356" t="n">
        <v>2018</v>
      </c>
    </row>
    <row r="357">
      <c r="A357" t="inlineStr">
        <is>
          <t>no_year_in_pairs</t>
        </is>
      </c>
      <c r="C357" t="inlineStr">
        <is>
          <t>SM.19.158, Sup. 2</t>
        </is>
      </c>
      <c r="D357" t="inlineStr">
        <is>
          <t>Dominica</t>
        </is>
      </c>
      <c r="E357" t="inlineStr">
        <is>
          <t>DMA</t>
        </is>
      </c>
      <c r="G357" t="inlineStr">
        <is>
          <t>2018gn</t>
        </is>
      </c>
      <c r="H357" t="n">
        <v>2018</v>
      </c>
    </row>
    <row r="358">
      <c r="A358" t="inlineStr">
        <is>
          <t>no_year_in_pairs</t>
        </is>
      </c>
      <c r="C358" t="inlineStr">
        <is>
          <t>SM.19.158, Sup. 2</t>
        </is>
      </c>
      <c r="D358" t="inlineStr">
        <is>
          <t>Dominica</t>
        </is>
      </c>
      <c r="E358" t="inlineStr">
        <is>
          <t>DMA</t>
        </is>
      </c>
      <c r="G358" t="inlineStr">
        <is>
          <t>2018gn</t>
        </is>
      </c>
      <c r="H358" t="n">
        <v>2018</v>
      </c>
    </row>
    <row r="359">
      <c r="A359" t="inlineStr">
        <is>
          <t>no_year_in_pairs</t>
        </is>
      </c>
      <c r="C359" t="inlineStr">
        <is>
          <t>SM.19.158, Sup. 2</t>
        </is>
      </c>
      <c r="D359" t="inlineStr">
        <is>
          <t>Dominica</t>
        </is>
      </c>
      <c r="E359" t="inlineStr">
        <is>
          <t>DMA</t>
        </is>
      </c>
      <c r="G359" t="inlineStr">
        <is>
          <t>2018gn</t>
        </is>
      </c>
      <c r="H359" t="n">
        <v>2018</v>
      </c>
    </row>
    <row r="360">
      <c r="A360" t="inlineStr">
        <is>
          <t>no_year_in_pairs</t>
        </is>
      </c>
      <c r="C360" t="inlineStr">
        <is>
          <t>SM.19.158, Sup. 2</t>
        </is>
      </c>
      <c r="D360" t="inlineStr">
        <is>
          <t>Dominica</t>
        </is>
      </c>
      <c r="E360" t="inlineStr">
        <is>
          <t>DMA</t>
        </is>
      </c>
      <c r="G360" t="inlineStr">
        <is>
          <t>2018gn</t>
        </is>
      </c>
      <c r="H360" t="n">
        <v>2018</v>
      </c>
    </row>
    <row r="361">
      <c r="A361" t="inlineStr">
        <is>
          <t>no_year_in_pairs</t>
        </is>
      </c>
      <c r="C361" t="inlineStr">
        <is>
          <t>SM.19.158, Sup. 2</t>
        </is>
      </c>
      <c r="D361" t="inlineStr">
        <is>
          <t>Dominica</t>
        </is>
      </c>
      <c r="E361" t="inlineStr">
        <is>
          <t>DMA</t>
        </is>
      </c>
      <c r="G361" t="inlineStr">
        <is>
          <t>2018gn</t>
        </is>
      </c>
      <c r="H361" t="n">
        <v>2018</v>
      </c>
    </row>
    <row r="362">
      <c r="A362" t="inlineStr">
        <is>
          <t>no_year_in_pairs</t>
        </is>
      </c>
      <c r="C362" t="inlineStr">
        <is>
          <t>SM.19.158, Sup. 2</t>
        </is>
      </c>
      <c r="D362" t="inlineStr">
        <is>
          <t>Dominica</t>
        </is>
      </c>
      <c r="E362" t="inlineStr">
        <is>
          <t>DMA</t>
        </is>
      </c>
      <c r="G362" t="inlineStr">
        <is>
          <t>2018gn</t>
        </is>
      </c>
      <c r="H362" t="n">
        <v>2018</v>
      </c>
    </row>
    <row r="363">
      <c r="A363" t="inlineStr">
        <is>
          <t>no_year_in_pairs</t>
        </is>
      </c>
      <c r="C363" t="inlineStr">
        <is>
          <t>SM.19.158, Sup. 2</t>
        </is>
      </c>
      <c r="D363" t="inlineStr">
        <is>
          <t>Dominica</t>
        </is>
      </c>
      <c r="E363" t="inlineStr">
        <is>
          <t>DMA</t>
        </is>
      </c>
      <c r="G363" t="inlineStr">
        <is>
          <t>2018gn</t>
        </is>
      </c>
      <c r="H363" t="n">
        <v>2018</v>
      </c>
    </row>
    <row r="364">
      <c r="A364" t="inlineStr">
        <is>
          <t>no_year_in_pairs</t>
        </is>
      </c>
      <c r="C364" t="inlineStr">
        <is>
          <t>SM.19.158, Sup. 2</t>
        </is>
      </c>
      <c r="D364" t="inlineStr">
        <is>
          <t>Dominica</t>
        </is>
      </c>
      <c r="E364" t="inlineStr">
        <is>
          <t>DMA</t>
        </is>
      </c>
      <c r="G364" t="inlineStr">
        <is>
          <t>2018gn</t>
        </is>
      </c>
      <c r="H364" t="n">
        <v>2018</v>
      </c>
    </row>
    <row r="365">
      <c r="A365" t="inlineStr">
        <is>
          <t>no_year_in_pairs</t>
        </is>
      </c>
      <c r="C365" t="inlineStr">
        <is>
          <t>SM.19.158, Sup. 2</t>
        </is>
      </c>
      <c r="D365" t="inlineStr">
        <is>
          <t>Dominica</t>
        </is>
      </c>
      <c r="E365" t="inlineStr">
        <is>
          <t>DMA</t>
        </is>
      </c>
      <c r="G365" t="inlineStr">
        <is>
          <t>2018gn</t>
        </is>
      </c>
      <c r="H365" t="n">
        <v>2018</v>
      </c>
    </row>
    <row r="366">
      <c r="A366" t="inlineStr">
        <is>
          <t>no_year_in_pairs</t>
        </is>
      </c>
      <c r="C366" t="inlineStr">
        <is>
          <t>SM.19.158, Sup. 2</t>
        </is>
      </c>
      <c r="D366" t="inlineStr">
        <is>
          <t>Dominica</t>
        </is>
      </c>
      <c r="E366" t="inlineStr">
        <is>
          <t>DMA</t>
        </is>
      </c>
      <c r="G366" t="inlineStr">
        <is>
          <t>2018gn</t>
        </is>
      </c>
      <c r="H366" t="n">
        <v>2018</v>
      </c>
    </row>
    <row r="367">
      <c r="A367" t="inlineStr">
        <is>
          <t>no_year_in_pairs</t>
        </is>
      </c>
      <c r="C367" t="inlineStr">
        <is>
          <t>SM.19.158, Sup. 2</t>
        </is>
      </c>
      <c r="D367" t="inlineStr">
        <is>
          <t>Dominica</t>
        </is>
      </c>
      <c r="E367" t="inlineStr">
        <is>
          <t>DMA</t>
        </is>
      </c>
      <c r="G367" t="inlineStr">
        <is>
          <t>2018gn</t>
        </is>
      </c>
      <c r="H367" t="n">
        <v>2018</v>
      </c>
    </row>
    <row r="368">
      <c r="A368" t="inlineStr">
        <is>
          <t>no_year_in_pairs</t>
        </is>
      </c>
      <c r="C368" t="inlineStr">
        <is>
          <t>SM.19.158, Sup. 2</t>
        </is>
      </c>
      <c r="D368" t="inlineStr">
        <is>
          <t>Dominica</t>
        </is>
      </c>
      <c r="E368" t="inlineStr">
        <is>
          <t>DMA</t>
        </is>
      </c>
      <c r="G368" t="inlineStr">
        <is>
          <t>2018gn</t>
        </is>
      </c>
      <c r="H368" t="n">
        <v>2018</v>
      </c>
    </row>
    <row r="369">
      <c r="A369" t="inlineStr">
        <is>
          <t>no_year_in_pairs</t>
        </is>
      </c>
      <c r="C369" t="inlineStr">
        <is>
          <t>SM.19.158, Sup. 2</t>
        </is>
      </c>
      <c r="D369" t="inlineStr">
        <is>
          <t>Dominica</t>
        </is>
      </c>
      <c r="E369" t="inlineStr">
        <is>
          <t>DMA</t>
        </is>
      </c>
      <c r="G369" t="inlineStr">
        <is>
          <t>2018gn</t>
        </is>
      </c>
      <c r="H369" t="n">
        <v>2018</v>
      </c>
    </row>
    <row r="370">
      <c r="A370" t="inlineStr">
        <is>
          <t>no_year_in_pairs</t>
        </is>
      </c>
      <c r="C370" t="inlineStr">
        <is>
          <t>SM.19.158, Sup. 2</t>
        </is>
      </c>
      <c r="D370" t="inlineStr">
        <is>
          <t>Dominica</t>
        </is>
      </c>
      <c r="E370" t="inlineStr">
        <is>
          <t>DMA</t>
        </is>
      </c>
      <c r="G370" t="inlineStr">
        <is>
          <t>2018gn</t>
        </is>
      </c>
      <c r="H370" t="n">
        <v>2018</v>
      </c>
    </row>
    <row r="371">
      <c r="A371" t="inlineStr">
        <is>
          <t>no_year_in_pairs</t>
        </is>
      </c>
      <c r="C371" t="inlineStr">
        <is>
          <t>SM.19.158, Sup. 2</t>
        </is>
      </c>
      <c r="D371" t="inlineStr">
        <is>
          <t>Dominica</t>
        </is>
      </c>
      <c r="E371" t="inlineStr">
        <is>
          <t>DMA</t>
        </is>
      </c>
      <c r="G371" t="inlineStr">
        <is>
          <t>2018gn</t>
        </is>
      </c>
      <c r="H371" t="n">
        <v>2018</v>
      </c>
    </row>
    <row r="372">
      <c r="A372" t="inlineStr">
        <is>
          <t>no_year_in_pairs</t>
        </is>
      </c>
      <c r="C372" t="inlineStr">
        <is>
          <t>SM.19.158, Sup. 2</t>
        </is>
      </c>
      <c r="D372" t="inlineStr">
        <is>
          <t>Dominica</t>
        </is>
      </c>
      <c r="E372" t="inlineStr">
        <is>
          <t>DMA</t>
        </is>
      </c>
      <c r="G372" t="inlineStr">
        <is>
          <t>2018gn</t>
        </is>
      </c>
      <c r="H372" t="n">
        <v>2018</v>
      </c>
    </row>
    <row r="373">
      <c r="A373" t="inlineStr">
        <is>
          <t>no_year_in_pairs</t>
        </is>
      </c>
      <c r="C373" t="inlineStr">
        <is>
          <t>SM.19.158, Sup. 2</t>
        </is>
      </c>
      <c r="D373" t="inlineStr">
        <is>
          <t>Dominica</t>
        </is>
      </c>
      <c r="E373" t="inlineStr">
        <is>
          <t>DMA</t>
        </is>
      </c>
      <c r="G373" t="inlineStr">
        <is>
          <t>2018gn</t>
        </is>
      </c>
      <c r="H373" t="n">
        <v>2018</v>
      </c>
    </row>
    <row r="374">
      <c r="A374" t="inlineStr">
        <is>
          <t>no_year_in_pairs</t>
        </is>
      </c>
      <c r="C374" t="inlineStr">
        <is>
          <t>SM.19.158, Sup. 2</t>
        </is>
      </c>
      <c r="D374" t="inlineStr">
        <is>
          <t>Dominica</t>
        </is>
      </c>
      <c r="E374" t="inlineStr">
        <is>
          <t>DMA</t>
        </is>
      </c>
      <c r="G374" t="inlineStr">
        <is>
          <t>2018gn</t>
        </is>
      </c>
      <c r="H374" t="n">
        <v>2018</v>
      </c>
    </row>
    <row r="375">
      <c r="A375" t="inlineStr">
        <is>
          <t>no_year_in_pairs</t>
        </is>
      </c>
      <c r="C375" t="inlineStr">
        <is>
          <t>SM.19.158, Sup. 2</t>
        </is>
      </c>
      <c r="D375" t="inlineStr">
        <is>
          <t>Dominica</t>
        </is>
      </c>
      <c r="E375" t="inlineStr">
        <is>
          <t>DMA</t>
        </is>
      </c>
      <c r="G375" t="inlineStr">
        <is>
          <t>2018gn</t>
        </is>
      </c>
      <c r="H375" t="n">
        <v>2018</v>
      </c>
    </row>
    <row r="376">
      <c r="A376" t="inlineStr">
        <is>
          <t>no_year_in_pairs</t>
        </is>
      </c>
      <c r="C376" t="inlineStr">
        <is>
          <t>SM.19.158, Sup. 2</t>
        </is>
      </c>
      <c r="D376" t="inlineStr">
        <is>
          <t>Dominica</t>
        </is>
      </c>
      <c r="E376" t="inlineStr">
        <is>
          <t>DMA</t>
        </is>
      </c>
      <c r="G376" t="inlineStr">
        <is>
          <t>2018gn</t>
        </is>
      </c>
      <c r="H376" t="n">
        <v>2018</v>
      </c>
    </row>
    <row r="377">
      <c r="A377" t="inlineStr">
        <is>
          <t>no_year_in_pairs</t>
        </is>
      </c>
      <c r="C377" t="inlineStr">
        <is>
          <t>SM.19.158, Sup. 2</t>
        </is>
      </c>
      <c r="D377" t="inlineStr">
        <is>
          <t>Dominica</t>
        </is>
      </c>
      <c r="E377" t="inlineStr">
        <is>
          <t>DMA</t>
        </is>
      </c>
      <c r="G377" t="inlineStr">
        <is>
          <t>2018gn</t>
        </is>
      </c>
      <c r="H377" t="n">
        <v>2018</v>
      </c>
    </row>
    <row r="378">
      <c r="A378" t="inlineStr">
        <is>
          <t>no_year_in_pairs</t>
        </is>
      </c>
      <c r="C378" t="inlineStr">
        <is>
          <t>SM.19.158, Sup. 2</t>
        </is>
      </c>
      <c r="D378" t="inlineStr">
        <is>
          <t>Dominica</t>
        </is>
      </c>
      <c r="E378" t="inlineStr">
        <is>
          <t>DMA</t>
        </is>
      </c>
      <c r="G378" t="inlineStr">
        <is>
          <t>2018gn</t>
        </is>
      </c>
      <c r="H378" t="n">
        <v>2018</v>
      </c>
    </row>
    <row r="379">
      <c r="A379" t="inlineStr">
        <is>
          <t>no_year_in_pairs</t>
        </is>
      </c>
      <c r="C379" t="inlineStr">
        <is>
          <t>SM.19.158, Sup. 2</t>
        </is>
      </c>
      <c r="D379" t="inlineStr">
        <is>
          <t>Dominica</t>
        </is>
      </c>
      <c r="E379" t="inlineStr">
        <is>
          <t>DMA</t>
        </is>
      </c>
      <c r="G379" t="inlineStr">
        <is>
          <t>2018gn</t>
        </is>
      </c>
      <c r="H379" t="n">
        <v>2018</v>
      </c>
    </row>
    <row r="380">
      <c r="A380" t="inlineStr">
        <is>
          <t>no_year_in_pairs</t>
        </is>
      </c>
      <c r="C380" t="inlineStr">
        <is>
          <t>SM.19.158, Sup. 2</t>
        </is>
      </c>
      <c r="D380" t="inlineStr">
        <is>
          <t>Dominica</t>
        </is>
      </c>
      <c r="E380" t="inlineStr">
        <is>
          <t>DMA</t>
        </is>
      </c>
      <c r="G380" t="inlineStr">
        <is>
          <t>2018gn</t>
        </is>
      </c>
      <c r="H380" t="n">
        <v>2018</v>
      </c>
    </row>
    <row r="381">
      <c r="A381" t="inlineStr">
        <is>
          <t>no_year_in_pairs</t>
        </is>
      </c>
      <c r="C381" t="inlineStr">
        <is>
          <t>SM.19.158, Sup. 2</t>
        </is>
      </c>
      <c r="D381" t="inlineStr">
        <is>
          <t>Dominica</t>
        </is>
      </c>
      <c r="E381" t="inlineStr">
        <is>
          <t>DMA</t>
        </is>
      </c>
      <c r="G381" t="inlineStr">
        <is>
          <t>2018gn</t>
        </is>
      </c>
      <c r="H381" t="n">
        <v>2018</v>
      </c>
    </row>
    <row r="382">
      <c r="A382" t="inlineStr">
        <is>
          <t>no_year_in_pairs</t>
        </is>
      </c>
      <c r="C382" t="inlineStr">
        <is>
          <t>SM.19.158, Sup. 2</t>
        </is>
      </c>
      <c r="D382" t="inlineStr">
        <is>
          <t>Dominica</t>
        </is>
      </c>
      <c r="E382" t="inlineStr">
        <is>
          <t>DMA</t>
        </is>
      </c>
      <c r="G382" t="inlineStr">
        <is>
          <t>2018gn</t>
        </is>
      </c>
      <c r="H382" t="n">
        <v>2018</v>
      </c>
    </row>
    <row r="383">
      <c r="A383" t="inlineStr">
        <is>
          <t>no_year_in_pairs</t>
        </is>
      </c>
      <c r="C383" t="inlineStr">
        <is>
          <t>SM.19.158, Sup. 2</t>
        </is>
      </c>
      <c r="D383" t="inlineStr">
        <is>
          <t>Dominica</t>
        </is>
      </c>
      <c r="E383" t="inlineStr">
        <is>
          <t>DMA</t>
        </is>
      </c>
      <c r="G383" t="inlineStr">
        <is>
          <t>2018gn</t>
        </is>
      </c>
      <c r="H383" t="n">
        <v>2018</v>
      </c>
    </row>
    <row r="384">
      <c r="A384" t="inlineStr">
        <is>
          <t>no_year_in_pairs</t>
        </is>
      </c>
      <c r="C384" t="inlineStr">
        <is>
          <t>SM.19.158, Sup. 2</t>
        </is>
      </c>
      <c r="D384" t="inlineStr">
        <is>
          <t>Dominica</t>
        </is>
      </c>
      <c r="E384" t="inlineStr">
        <is>
          <t>DMA</t>
        </is>
      </c>
      <c r="G384" t="inlineStr">
        <is>
          <t>2018gn</t>
        </is>
      </c>
      <c r="H384" t="n">
        <v>2018</v>
      </c>
    </row>
    <row r="385">
      <c r="A385" t="inlineStr">
        <is>
          <t>no_year_in_pairs</t>
        </is>
      </c>
      <c r="C385" t="inlineStr">
        <is>
          <t>SM.19.158, Sup. 2</t>
        </is>
      </c>
      <c r="D385" t="inlineStr">
        <is>
          <t>Dominica</t>
        </is>
      </c>
      <c r="E385" t="inlineStr">
        <is>
          <t>DMA</t>
        </is>
      </c>
      <c r="G385" t="inlineStr">
        <is>
          <t>2018gn</t>
        </is>
      </c>
      <c r="H385" t="n">
        <v>2018</v>
      </c>
    </row>
    <row r="386">
      <c r="A386" t="inlineStr">
        <is>
          <t>no_year_in_pairs</t>
        </is>
      </c>
      <c r="C386" t="inlineStr">
        <is>
          <t>SM.19.158, Sup. 2</t>
        </is>
      </c>
      <c r="D386" t="inlineStr">
        <is>
          <t>Dominica</t>
        </is>
      </c>
      <c r="E386" t="inlineStr">
        <is>
          <t>DMA</t>
        </is>
      </c>
      <c r="G386" t="inlineStr">
        <is>
          <t>2018gn</t>
        </is>
      </c>
      <c r="H386" t="n">
        <v>2018</v>
      </c>
    </row>
    <row r="387">
      <c r="A387" t="inlineStr">
        <is>
          <t>no_year_in_pairs</t>
        </is>
      </c>
      <c r="C387" t="inlineStr">
        <is>
          <t>SM.19.158, Sup. 2</t>
        </is>
      </c>
      <c r="D387" t="inlineStr">
        <is>
          <t>Dominica</t>
        </is>
      </c>
      <c r="E387" t="inlineStr">
        <is>
          <t>DMA</t>
        </is>
      </c>
      <c r="G387" t="inlineStr">
        <is>
          <t>2018gn</t>
        </is>
      </c>
      <c r="H387" t="n">
        <v>2018</v>
      </c>
    </row>
    <row r="388">
      <c r="A388" t="inlineStr">
        <is>
          <t>no_year_in_pairs</t>
        </is>
      </c>
      <c r="C388" t="inlineStr">
        <is>
          <t>SM.19.158, Sup. 2</t>
        </is>
      </c>
      <c r="D388" t="inlineStr">
        <is>
          <t>Dominica</t>
        </is>
      </c>
      <c r="E388" t="inlineStr">
        <is>
          <t>DMA</t>
        </is>
      </c>
      <c r="G388" t="inlineStr">
        <is>
          <t>2018gn</t>
        </is>
      </c>
      <c r="H388" t="n">
        <v>2018</v>
      </c>
    </row>
    <row r="389">
      <c r="A389" t="inlineStr">
        <is>
          <t>no_year_in_pairs</t>
        </is>
      </c>
      <c r="C389" t="inlineStr">
        <is>
          <t>SM.19.158, Sup. 2</t>
        </is>
      </c>
      <c r="D389" t="inlineStr">
        <is>
          <t>Dominica</t>
        </is>
      </c>
      <c r="E389" t="inlineStr">
        <is>
          <t>DMA</t>
        </is>
      </c>
      <c r="G389" t="inlineStr">
        <is>
          <t>2018gn</t>
        </is>
      </c>
      <c r="H389" t="n">
        <v>2018</v>
      </c>
    </row>
    <row r="390">
      <c r="A390" t="inlineStr">
        <is>
          <t>no_year_in_pairs</t>
        </is>
      </c>
      <c r="C390" t="inlineStr">
        <is>
          <t>SM.19.158, Sup. 2</t>
        </is>
      </c>
      <c r="D390" t="inlineStr">
        <is>
          <t>Dominica</t>
        </is>
      </c>
      <c r="E390" t="inlineStr">
        <is>
          <t>DMA</t>
        </is>
      </c>
      <c r="G390" t="inlineStr">
        <is>
          <t>2018gn</t>
        </is>
      </c>
      <c r="H390" t="n">
        <v>2018</v>
      </c>
    </row>
    <row r="391">
      <c r="A391" t="inlineStr">
        <is>
          <t>no_year_in_pairs</t>
        </is>
      </c>
      <c r="C391" t="inlineStr">
        <is>
          <t>SM.19.158, Sup. 2</t>
        </is>
      </c>
      <c r="D391" t="inlineStr">
        <is>
          <t>Dominica</t>
        </is>
      </c>
      <c r="E391" t="inlineStr">
        <is>
          <t>DMA</t>
        </is>
      </c>
      <c r="G391" t="inlineStr">
        <is>
          <t>2018gn</t>
        </is>
      </c>
      <c r="H391" t="n">
        <v>2018</v>
      </c>
    </row>
    <row r="392">
      <c r="A392" t="inlineStr">
        <is>
          <t>no_year_in_pairs</t>
        </is>
      </c>
      <c r="C392" t="inlineStr">
        <is>
          <t>SM.19.158, Sup. 2</t>
        </is>
      </c>
      <c r="D392" t="inlineStr">
        <is>
          <t>Dominica</t>
        </is>
      </c>
      <c r="E392" t="inlineStr">
        <is>
          <t>DMA</t>
        </is>
      </c>
      <c r="G392" t="inlineStr">
        <is>
          <t>2018gn</t>
        </is>
      </c>
      <c r="H392" t="n">
        <v>2018</v>
      </c>
    </row>
    <row r="393">
      <c r="A393" t="inlineStr">
        <is>
          <t>no_year_in_pairs</t>
        </is>
      </c>
      <c r="C393" t="inlineStr">
        <is>
          <t>SM.19.158, Sup. 2</t>
        </is>
      </c>
      <c r="D393" t="inlineStr">
        <is>
          <t>Dominica</t>
        </is>
      </c>
      <c r="E393" t="inlineStr">
        <is>
          <t>DMA</t>
        </is>
      </c>
      <c r="G393" t="inlineStr">
        <is>
          <t>2018gn</t>
        </is>
      </c>
      <c r="H393" t="n">
        <v>2018</v>
      </c>
    </row>
    <row r="394">
      <c r="A394" t="inlineStr">
        <is>
          <t>no_year_in_pairs</t>
        </is>
      </c>
      <c r="C394" t="inlineStr">
        <is>
          <t>SM.19.158, Sup. 2</t>
        </is>
      </c>
      <c r="D394" t="inlineStr">
        <is>
          <t>Dominica</t>
        </is>
      </c>
      <c r="E394" t="inlineStr">
        <is>
          <t>DMA</t>
        </is>
      </c>
      <c r="G394" t="inlineStr">
        <is>
          <t>2018gn</t>
        </is>
      </c>
      <c r="H394" t="n">
        <v>2018</v>
      </c>
    </row>
    <row r="395">
      <c r="A395" t="inlineStr">
        <is>
          <t>no_year_in_pairs</t>
        </is>
      </c>
      <c r="C395" t="inlineStr">
        <is>
          <t>SM.19.158, Sup. 2</t>
        </is>
      </c>
      <c r="D395" t="inlineStr">
        <is>
          <t>Dominica</t>
        </is>
      </c>
      <c r="E395" t="inlineStr">
        <is>
          <t>DMA</t>
        </is>
      </c>
      <c r="G395" t="inlineStr">
        <is>
          <t>2018gn</t>
        </is>
      </c>
      <c r="H395" t="n">
        <v>2018</v>
      </c>
    </row>
    <row r="396">
      <c r="A396" t="inlineStr">
        <is>
          <t>no_year_in_pairs</t>
        </is>
      </c>
      <c r="C396" t="inlineStr">
        <is>
          <t>SM.19.158, Sup. 2</t>
        </is>
      </c>
      <c r="D396" t="inlineStr">
        <is>
          <t>Dominica</t>
        </is>
      </c>
      <c r="E396" t="inlineStr">
        <is>
          <t>DMA</t>
        </is>
      </c>
      <c r="G396" t="inlineStr">
        <is>
          <t>2018gn</t>
        </is>
      </c>
      <c r="H396" t="n">
        <v>2018</v>
      </c>
    </row>
    <row r="397">
      <c r="A397" t="inlineStr">
        <is>
          <t>no_year_in_pairs</t>
        </is>
      </c>
      <c r="C397" t="inlineStr">
        <is>
          <t>SM.19.158, Sup. 2</t>
        </is>
      </c>
      <c r="D397" t="inlineStr">
        <is>
          <t>Dominica</t>
        </is>
      </c>
      <c r="E397" t="inlineStr">
        <is>
          <t>DMA</t>
        </is>
      </c>
      <c r="G397" t="inlineStr">
        <is>
          <t>2018gn</t>
        </is>
      </c>
      <c r="H397" t="n">
        <v>2018</v>
      </c>
    </row>
    <row r="398">
      <c r="A398" t="inlineStr">
        <is>
          <t>no_year_in_pairs</t>
        </is>
      </c>
      <c r="C398" t="inlineStr">
        <is>
          <t>SM.19.158, Sup. 2</t>
        </is>
      </c>
      <c r="D398" t="inlineStr">
        <is>
          <t>Dominica</t>
        </is>
      </c>
      <c r="E398" t="inlineStr">
        <is>
          <t>DMA</t>
        </is>
      </c>
      <c r="G398" t="inlineStr">
        <is>
          <t>2018gn</t>
        </is>
      </c>
      <c r="H398" t="n">
        <v>2018</v>
      </c>
    </row>
    <row r="399">
      <c r="A399" t="inlineStr">
        <is>
          <t>no_year_in_pairs</t>
        </is>
      </c>
      <c r="C399" t="inlineStr">
        <is>
          <t>SM.19.158, Sup. 2</t>
        </is>
      </c>
      <c r="D399" t="inlineStr">
        <is>
          <t>Dominica</t>
        </is>
      </c>
      <c r="E399" t="inlineStr">
        <is>
          <t>DMA</t>
        </is>
      </c>
      <c r="G399" t="inlineStr">
        <is>
          <t>2018gn</t>
        </is>
      </c>
      <c r="H399" t="n">
        <v>2018</v>
      </c>
    </row>
    <row r="400">
      <c r="A400" t="inlineStr">
        <is>
          <t>no_year_in_pairs</t>
        </is>
      </c>
      <c r="C400" t="inlineStr">
        <is>
          <t>SM.19.158, Sup. 2</t>
        </is>
      </c>
      <c r="D400" t="inlineStr">
        <is>
          <t>Dominica</t>
        </is>
      </c>
      <c r="E400" t="inlineStr">
        <is>
          <t>DMA</t>
        </is>
      </c>
      <c r="G400" t="inlineStr">
        <is>
          <t>2018gn</t>
        </is>
      </c>
      <c r="H400" t="n">
        <v>2018</v>
      </c>
    </row>
    <row r="401">
      <c r="A401" t="inlineStr">
        <is>
          <t>no_year_in_pairs</t>
        </is>
      </c>
      <c r="C401" t="inlineStr">
        <is>
          <t>SM.19.158, Sup. 2</t>
        </is>
      </c>
      <c r="D401" t="inlineStr">
        <is>
          <t>Dominica</t>
        </is>
      </c>
      <c r="E401" t="inlineStr">
        <is>
          <t>DMA</t>
        </is>
      </c>
      <c r="G401" t="inlineStr">
        <is>
          <t>2018gn</t>
        </is>
      </c>
      <c r="H401" t="n">
        <v>2018</v>
      </c>
    </row>
    <row r="402">
      <c r="A402" t="inlineStr">
        <is>
          <t>no_year_in_pairs</t>
        </is>
      </c>
      <c r="C402" t="inlineStr">
        <is>
          <t>SM.19.158, Sup. 2</t>
        </is>
      </c>
      <c r="D402" t="inlineStr">
        <is>
          <t>Dominica</t>
        </is>
      </c>
      <c r="E402" t="inlineStr">
        <is>
          <t>DMA</t>
        </is>
      </c>
      <c r="G402" t="inlineStr">
        <is>
          <t>2018gn</t>
        </is>
      </c>
      <c r="H402" t="n">
        <v>2018</v>
      </c>
    </row>
    <row r="403">
      <c r="A403" t="inlineStr">
        <is>
          <t>no_year_in_pairs</t>
        </is>
      </c>
      <c r="C403" t="inlineStr">
        <is>
          <t>SM.19.158, Sup. 2</t>
        </is>
      </c>
      <c r="D403" t="inlineStr">
        <is>
          <t>Dominica</t>
        </is>
      </c>
      <c r="E403" t="inlineStr">
        <is>
          <t>DMA</t>
        </is>
      </c>
      <c r="G403" t="inlineStr">
        <is>
          <t>2018gn</t>
        </is>
      </c>
      <c r="H403" t="n">
        <v>2018</v>
      </c>
    </row>
    <row r="404">
      <c r="A404" t="inlineStr">
        <is>
          <t>no_year_in_pairs</t>
        </is>
      </c>
      <c r="C404" t="inlineStr">
        <is>
          <t>SM.19.158, Sup. 2</t>
        </is>
      </c>
      <c r="D404" t="inlineStr">
        <is>
          <t>Dominica</t>
        </is>
      </c>
      <c r="E404" t="inlineStr">
        <is>
          <t>DMA</t>
        </is>
      </c>
      <c r="G404" t="inlineStr">
        <is>
          <t>2018gn</t>
        </is>
      </c>
      <c r="H404" t="n">
        <v>2018</v>
      </c>
    </row>
    <row r="405">
      <c r="A405" t="inlineStr">
        <is>
          <t>no_year_in_pairs</t>
        </is>
      </c>
      <c r="C405" t="inlineStr">
        <is>
          <t>SM.19.158, Sup. 2</t>
        </is>
      </c>
      <c r="D405" t="inlineStr">
        <is>
          <t>Dominica</t>
        </is>
      </c>
      <c r="E405" t="inlineStr">
        <is>
          <t>DMA</t>
        </is>
      </c>
      <c r="G405" t="inlineStr">
        <is>
          <t>2018gn</t>
        </is>
      </c>
      <c r="H405" t="n">
        <v>2018</v>
      </c>
    </row>
    <row r="406">
      <c r="A406" t="inlineStr">
        <is>
          <t>no_year_in_pairs</t>
        </is>
      </c>
      <c r="C406" t="inlineStr">
        <is>
          <t>SM.19.158, Sup. 2</t>
        </is>
      </c>
      <c r="D406" t="inlineStr">
        <is>
          <t>Dominica</t>
        </is>
      </c>
      <c r="E406" t="inlineStr">
        <is>
          <t>DMA</t>
        </is>
      </c>
      <c r="G406" t="inlineStr">
        <is>
          <t>2018gn</t>
        </is>
      </c>
      <c r="H406" t="n">
        <v>2018</v>
      </c>
    </row>
    <row r="407">
      <c r="A407" t="inlineStr">
        <is>
          <t>no_year_in_pairs</t>
        </is>
      </c>
      <c r="C407" t="inlineStr">
        <is>
          <t>SM.19.158, Sup. 2</t>
        </is>
      </c>
      <c r="D407" t="inlineStr">
        <is>
          <t>Dominica</t>
        </is>
      </c>
      <c r="E407" t="inlineStr">
        <is>
          <t>DMA</t>
        </is>
      </c>
      <c r="G407" t="inlineStr">
        <is>
          <t>2018gn</t>
        </is>
      </c>
      <c r="H407" t="n">
        <v>2018</v>
      </c>
    </row>
    <row r="408">
      <c r="A408" t="inlineStr">
        <is>
          <t>no_year_in_pairs</t>
        </is>
      </c>
      <c r="C408" t="inlineStr">
        <is>
          <t>SM.19.158, Sup. 2</t>
        </is>
      </c>
      <c r="D408" t="inlineStr">
        <is>
          <t>Dominica</t>
        </is>
      </c>
      <c r="E408" t="inlineStr">
        <is>
          <t>DMA</t>
        </is>
      </c>
      <c r="G408" t="inlineStr">
        <is>
          <t>2018gn</t>
        </is>
      </c>
      <c r="H408" t="n">
        <v>2018</v>
      </c>
    </row>
    <row r="409">
      <c r="A409" t="inlineStr">
        <is>
          <t>no_year_in_pairs</t>
        </is>
      </c>
      <c r="C409" t="inlineStr">
        <is>
          <t>SM.19.158, Sup. 2</t>
        </is>
      </c>
      <c r="D409" t="inlineStr">
        <is>
          <t>Dominica</t>
        </is>
      </c>
      <c r="E409" t="inlineStr">
        <is>
          <t>DMA</t>
        </is>
      </c>
      <c r="G409" t="inlineStr">
        <is>
          <t>2018gn</t>
        </is>
      </c>
      <c r="H409" t="n">
        <v>2018</v>
      </c>
    </row>
    <row r="410">
      <c r="A410" t="inlineStr">
        <is>
          <t>no_year_in_pairs</t>
        </is>
      </c>
      <c r="C410" t="inlineStr">
        <is>
          <t>SM.19.158, Sup. 2</t>
        </is>
      </c>
      <c r="D410" t="inlineStr">
        <is>
          <t>Dominica</t>
        </is>
      </c>
      <c r="E410" t="inlineStr">
        <is>
          <t>DMA</t>
        </is>
      </c>
      <c r="G410" t="inlineStr">
        <is>
          <t>2018gn</t>
        </is>
      </c>
      <c r="H410" t="n">
        <v>2018</v>
      </c>
    </row>
    <row r="411">
      <c r="A411" t="inlineStr">
        <is>
          <t>no_year_in_pairs</t>
        </is>
      </c>
      <c r="C411" t="inlineStr">
        <is>
          <t>SM.19.158, Sup. 2</t>
        </is>
      </c>
      <c r="D411" t="inlineStr">
        <is>
          <t>Dominica</t>
        </is>
      </c>
      <c r="E411" t="inlineStr">
        <is>
          <t>DMA</t>
        </is>
      </c>
      <c r="G411" t="inlineStr">
        <is>
          <t>2018gn</t>
        </is>
      </c>
      <c r="H411" t="n">
        <v>2018</v>
      </c>
    </row>
    <row r="412">
      <c r="A412" t="inlineStr">
        <is>
          <t>no_year_in_pairs</t>
        </is>
      </c>
      <c r="C412" t="inlineStr">
        <is>
          <t>SM.19.158, Sup. 2</t>
        </is>
      </c>
      <c r="D412" t="inlineStr">
        <is>
          <t>Dominica</t>
        </is>
      </c>
      <c r="E412" t="inlineStr">
        <is>
          <t>DMA</t>
        </is>
      </c>
      <c r="G412" t="inlineStr">
        <is>
          <t>2018gn</t>
        </is>
      </c>
      <c r="H412" t="n">
        <v>2018</v>
      </c>
    </row>
    <row r="413">
      <c r="A413" t="inlineStr">
        <is>
          <t>no_year_in_pairs</t>
        </is>
      </c>
      <c r="C413" t="inlineStr">
        <is>
          <t>SM.19.158, Sup. 2</t>
        </is>
      </c>
      <c r="D413" t="inlineStr">
        <is>
          <t>Dominica</t>
        </is>
      </c>
      <c r="E413" t="inlineStr">
        <is>
          <t>DMA</t>
        </is>
      </c>
      <c r="G413" t="inlineStr">
        <is>
          <t>2018gn</t>
        </is>
      </c>
      <c r="H413" t="n">
        <v>2018</v>
      </c>
    </row>
    <row r="414">
      <c r="A414" t="inlineStr">
        <is>
          <t>no_year_in_pairs</t>
        </is>
      </c>
      <c r="C414" t="inlineStr">
        <is>
          <t>SM.19.158, Sup. 2</t>
        </is>
      </c>
      <c r="D414" t="inlineStr">
        <is>
          <t>Dominica</t>
        </is>
      </c>
      <c r="E414" t="inlineStr">
        <is>
          <t>DMA</t>
        </is>
      </c>
      <c r="G414" t="inlineStr">
        <is>
          <t>2018gn</t>
        </is>
      </c>
      <c r="H414" t="n">
        <v>2018</v>
      </c>
    </row>
    <row r="415">
      <c r="A415" t="inlineStr">
        <is>
          <t>no_year_in_pairs</t>
        </is>
      </c>
      <c r="C415" t="inlineStr">
        <is>
          <t>SM.19.158, Sup. 2</t>
        </is>
      </c>
      <c r="D415" t="inlineStr">
        <is>
          <t>Dominica</t>
        </is>
      </c>
      <c r="E415" t="inlineStr">
        <is>
          <t>DMA</t>
        </is>
      </c>
      <c r="G415" t="inlineStr">
        <is>
          <t>2018gn</t>
        </is>
      </c>
      <c r="H415" t="n">
        <v>2018</v>
      </c>
    </row>
    <row r="416">
      <c r="A416" t="inlineStr">
        <is>
          <t>no_year_in_pairs</t>
        </is>
      </c>
      <c r="C416" t="inlineStr">
        <is>
          <t>SM.19.158, Sup. 2</t>
        </is>
      </c>
      <c r="D416" t="inlineStr">
        <is>
          <t>Dominica</t>
        </is>
      </c>
      <c r="E416" t="inlineStr">
        <is>
          <t>DMA</t>
        </is>
      </c>
      <c r="G416" t="inlineStr">
        <is>
          <t>2018gn</t>
        </is>
      </c>
      <c r="H416" t="n">
        <v>2018</v>
      </c>
    </row>
    <row r="417">
      <c r="A417" t="inlineStr">
        <is>
          <t>no_year_in_pairs</t>
        </is>
      </c>
      <c r="C417" t="inlineStr">
        <is>
          <t>SM.19.158, Sup. 2</t>
        </is>
      </c>
      <c r="D417" t="inlineStr">
        <is>
          <t>Dominica</t>
        </is>
      </c>
      <c r="E417" t="inlineStr">
        <is>
          <t>DMA</t>
        </is>
      </c>
      <c r="G417" t="inlineStr">
        <is>
          <t>2018gn</t>
        </is>
      </c>
      <c r="H417" t="n">
        <v>2018</v>
      </c>
    </row>
    <row r="418">
      <c r="A418" t="inlineStr">
        <is>
          <t>no_year_in_pairs</t>
        </is>
      </c>
      <c r="C418" t="inlineStr">
        <is>
          <t>SM.19.158, Sup. 2</t>
        </is>
      </c>
      <c r="D418" t="inlineStr">
        <is>
          <t>Dominica</t>
        </is>
      </c>
      <c r="E418" t="inlineStr">
        <is>
          <t>DMA</t>
        </is>
      </c>
      <c r="G418" t="inlineStr">
        <is>
          <t>2018gn</t>
        </is>
      </c>
      <c r="H418" t="n">
        <v>2018</v>
      </c>
    </row>
    <row r="419">
      <c r="A419" t="inlineStr">
        <is>
          <t>no_year_in_pairs</t>
        </is>
      </c>
      <c r="C419" t="inlineStr">
        <is>
          <t>SM.19.158, Sup. 2</t>
        </is>
      </c>
      <c r="D419" t="inlineStr">
        <is>
          <t>Dominica</t>
        </is>
      </c>
      <c r="E419" t="inlineStr">
        <is>
          <t>DMA</t>
        </is>
      </c>
      <c r="G419" t="inlineStr">
        <is>
          <t>2018gn</t>
        </is>
      </c>
      <c r="H419" t="n">
        <v>2018</v>
      </c>
    </row>
    <row r="420">
      <c r="A420" t="inlineStr">
        <is>
          <t>no_year_in_pairs</t>
        </is>
      </c>
      <c r="C420" t="inlineStr">
        <is>
          <t>SM.19.158, Sup. 2</t>
        </is>
      </c>
      <c r="D420" t="inlineStr">
        <is>
          <t>Dominica</t>
        </is>
      </c>
      <c r="E420" t="inlineStr">
        <is>
          <t>DMA</t>
        </is>
      </c>
      <c r="G420" t="inlineStr">
        <is>
          <t>2018gn</t>
        </is>
      </c>
      <c r="H420" t="n">
        <v>2018</v>
      </c>
    </row>
    <row r="421">
      <c r="A421" t="inlineStr">
        <is>
          <t>no_year_in_pairs</t>
        </is>
      </c>
      <c r="C421" t="inlineStr">
        <is>
          <t>SM.19.158, Sup. 2</t>
        </is>
      </c>
      <c r="D421" t="inlineStr">
        <is>
          <t>Dominica</t>
        </is>
      </c>
      <c r="E421" t="inlineStr">
        <is>
          <t>DMA</t>
        </is>
      </c>
      <c r="G421" t="inlineStr">
        <is>
          <t>2018gn</t>
        </is>
      </c>
      <c r="H421" t="n">
        <v>2018</v>
      </c>
    </row>
    <row r="422">
      <c r="A422" t="inlineStr">
        <is>
          <t>no_year_in_pairs</t>
        </is>
      </c>
      <c r="C422" t="inlineStr">
        <is>
          <t>SM.19.158, Sup. 2</t>
        </is>
      </c>
      <c r="D422" t="inlineStr">
        <is>
          <t>Dominica</t>
        </is>
      </c>
      <c r="E422" t="inlineStr">
        <is>
          <t>DMA</t>
        </is>
      </c>
      <c r="G422" t="inlineStr">
        <is>
          <t>2018gn</t>
        </is>
      </c>
      <c r="H422" t="n">
        <v>2018</v>
      </c>
    </row>
    <row r="423">
      <c r="A423" t="inlineStr">
        <is>
          <t>no_year_in_pairs</t>
        </is>
      </c>
      <c r="C423" t="inlineStr">
        <is>
          <t>SM.19.158, Sup. 2</t>
        </is>
      </c>
      <c r="D423" t="inlineStr">
        <is>
          <t>Dominica</t>
        </is>
      </c>
      <c r="E423" t="inlineStr">
        <is>
          <t>DMA</t>
        </is>
      </c>
      <c r="G423" t="inlineStr">
        <is>
          <t>2018gn</t>
        </is>
      </c>
      <c r="H423" t="n">
        <v>2018</v>
      </c>
    </row>
    <row r="424">
      <c r="C424" t="inlineStr">
        <is>
          <t>SM.19.158, Sup. 2</t>
        </is>
      </c>
      <c r="D424" t="inlineStr">
        <is>
          <t>Dominica</t>
        </is>
      </c>
      <c r="E424" t="inlineStr">
        <is>
          <t>DMA</t>
        </is>
      </c>
      <c r="G424" t="inlineStr">
        <is>
          <t>2018gn</t>
        </is>
      </c>
      <c r="H424" t="n">
        <v>2018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I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s="1" t="inlineStr">
        <is>
          <t>link.staff.report</t>
        </is>
      </c>
      <c r="C1" s="1" t="inlineStr">
        <is>
          <t>dsa.vintage</t>
        </is>
      </c>
      <c r="D1" s="1" t="inlineStr">
        <is>
          <t>country.name</t>
        </is>
      </c>
      <c r="E1" s="1" t="inlineStr">
        <is>
          <t>country.code</t>
        </is>
      </c>
      <c r="F1" s="1" t="inlineStr">
        <is>
          <t>issue.date</t>
        </is>
      </c>
      <c r="G1" s="1" t="inlineStr">
        <is>
          <t>methodo.gn</t>
        </is>
      </c>
      <c r="H1" s="1" t="inlineStr">
        <is>
          <t>first.year.proj</t>
        </is>
      </c>
      <c r="I1" s="1" t="inlineStr">
        <is>
          <t>indicator</t>
        </is>
      </c>
      <c r="J1" s="1" t="inlineStr">
        <is>
          <t>description</t>
        </is>
      </c>
      <c r="K1" s="1" t="inlineStr">
        <is>
          <t>trs1</t>
        </is>
      </c>
      <c r="L1" s="1" t="inlineStr">
        <is>
          <t>trs2</t>
        </is>
      </c>
      <c r="M1" s="1" t="inlineStr">
        <is>
          <t>trs3</t>
        </is>
      </c>
      <c r="N1" t="n">
        <v>2020</v>
      </c>
      <c r="O1" t="n">
        <v>2021</v>
      </c>
      <c r="P1" t="n">
        <v>2022</v>
      </c>
      <c r="Q1" t="n">
        <v>2023</v>
      </c>
      <c r="R1" t="n">
        <v>2024</v>
      </c>
      <c r="S1" t="n">
        <v>2025</v>
      </c>
      <c r="T1" t="n">
        <v>2026</v>
      </c>
      <c r="U1" t="n">
        <v>2027</v>
      </c>
      <c r="V1" t="n">
        <v>2028</v>
      </c>
      <c r="W1" t="n">
        <v>2029</v>
      </c>
      <c r="X1" t="n">
        <v>2030</v>
      </c>
      <c r="Y1" t="n">
        <v>2031</v>
      </c>
      <c r="Z1" t="n">
        <v>2032</v>
      </c>
      <c r="AA1" t="n">
        <v>2033</v>
      </c>
      <c r="AB1" t="n">
        <v>2034</v>
      </c>
      <c r="AC1" t="n">
        <v>2035</v>
      </c>
      <c r="AD1" t="n">
        <v>2036</v>
      </c>
      <c r="AE1" t="n">
        <v>2037</v>
      </c>
      <c r="AF1" t="n">
        <v>2038</v>
      </c>
      <c r="AG1" t="n">
        <v>2039</v>
      </c>
      <c r="AH1" t="n">
        <v>2040</v>
      </c>
      <c r="AI1" t="n">
        <v>2041</v>
      </c>
      <c r="AJ1" t="n">
        <v>2042</v>
      </c>
      <c r="AK1" t="n">
        <v>2043</v>
      </c>
      <c r="AL1" t="n">
        <v>2044</v>
      </c>
      <c r="AM1" t="n">
        <v>2045</v>
      </c>
      <c r="AN1" t="n">
        <v>2046</v>
      </c>
      <c r="AO1" t="n">
        <v>2047</v>
      </c>
      <c r="AP1" t="n">
        <v>2048</v>
      </c>
      <c r="AQ1" t="n">
        <v>2049</v>
      </c>
      <c r="AR1" t="n">
        <v>2050</v>
      </c>
      <c r="AS1" t="n">
        <v>2051</v>
      </c>
      <c r="AT1" t="n">
        <v>2052</v>
      </c>
      <c r="AU1" t="n">
        <v>2053</v>
      </c>
      <c r="AV1" t="n">
        <v>2054</v>
      </c>
      <c r="AW1" t="n">
        <v>2055</v>
      </c>
      <c r="AX1" t="n">
        <v>2056</v>
      </c>
      <c r="AY1" t="n">
        <v>2057</v>
      </c>
      <c r="AZ1" t="n">
        <v>2058</v>
      </c>
      <c r="BA1" t="n">
        <v>2059</v>
      </c>
      <c r="BB1" t="n">
        <v>2060</v>
      </c>
      <c r="BC1" t="n">
        <v>2061</v>
      </c>
      <c r="BD1" t="n">
        <v>2062</v>
      </c>
      <c r="BE1" t="n">
        <v>2063</v>
      </c>
      <c r="BF1" t="n">
        <v>2064</v>
      </c>
      <c r="BG1" t="n">
        <v>2065</v>
      </c>
    </row>
    <row r="2">
      <c r="A2" t="inlineStr">
        <is>
          <t>Dominica_2022_January</t>
        </is>
      </c>
      <c r="B2" s="2" t="n"/>
      <c r="C2" s="3" t="inlineStr">
        <is>
          <t>SM.22.7, Sup.2</t>
        </is>
      </c>
      <c r="D2" s="4" t="inlineStr">
        <is>
          <t>Dominica</t>
        </is>
      </c>
      <c r="E2" s="4" t="inlineStr">
        <is>
          <t>DMA</t>
        </is>
      </c>
      <c r="F2" s="10" t="n">
        <v>44562</v>
      </c>
      <c r="G2" s="4" t="inlineStr">
        <is>
          <t>2018gn</t>
        </is>
      </c>
      <c r="H2" s="4" t="n">
        <v>2021</v>
      </c>
      <c r="I2" s="5" t="n"/>
      <c r="J2" t="inlineStr">
        <is>
          <t>THIS SHEET CALCULATES THE PV OF PUBLIC (PPG) EXTERNAL DEBT</t>
        </is>
      </c>
    </row>
    <row r="3">
      <c r="A3" t="inlineStr">
        <is>
          <t>Dominica_2022_January</t>
        </is>
      </c>
      <c r="B3" s="2" t="n"/>
      <c r="C3" s="3" t="inlineStr">
        <is>
          <t>SM.22.7, Sup.2</t>
        </is>
      </c>
      <c r="D3" s="4" t="inlineStr">
        <is>
          <t>Dominica</t>
        </is>
      </c>
      <c r="E3" s="4" t="inlineStr">
        <is>
          <t>DMA</t>
        </is>
      </c>
      <c r="F3" s="10" t="n">
        <v>44562</v>
      </c>
      <c r="G3" s="4" t="inlineStr">
        <is>
          <t>2018gn</t>
        </is>
      </c>
      <c r="H3" s="4" t="n">
        <v>2021</v>
      </c>
      <c r="I3" s="5" t="n"/>
    </row>
    <row r="4">
      <c r="A4" t="inlineStr">
        <is>
          <t>Dominica_2022_January</t>
        </is>
      </c>
      <c r="B4" s="2" t="n"/>
      <c r="C4" s="3" t="inlineStr">
        <is>
          <t>SM.22.7, Sup.2</t>
        </is>
      </c>
      <c r="D4" s="4" t="inlineStr">
        <is>
          <t>Dominica</t>
        </is>
      </c>
      <c r="E4" s="4" t="inlineStr">
        <is>
          <t>DMA</t>
        </is>
      </c>
      <c r="F4" s="10" t="n">
        <v>44562</v>
      </c>
      <c r="G4" s="4" t="inlineStr">
        <is>
          <t>2018gn</t>
        </is>
      </c>
      <c r="H4" s="4" t="n">
        <v>2021</v>
      </c>
      <c r="I4" s="5" t="n"/>
    </row>
    <row r="5">
      <c r="A5" t="inlineStr">
        <is>
          <t>Dominica_2022_January</t>
        </is>
      </c>
      <c r="B5" s="2" t="n"/>
      <c r="C5" s="3" t="inlineStr">
        <is>
          <t>SM.22.7, Sup.2</t>
        </is>
      </c>
      <c r="D5" s="4" t="inlineStr">
        <is>
          <t>Dominica</t>
        </is>
      </c>
      <c r="E5" s="4" t="inlineStr">
        <is>
          <t>DMA</t>
        </is>
      </c>
      <c r="F5" s="10" t="n">
        <v>44562</v>
      </c>
      <c r="G5" s="4" t="inlineStr">
        <is>
          <t>2018gn</t>
        </is>
      </c>
      <c r="H5" s="4" t="n">
        <v>2021</v>
      </c>
      <c r="I5" s="5" t="n"/>
      <c r="J5" t="inlineStr">
        <is>
          <t>Blue cells are populated automatically</t>
        </is>
      </c>
    </row>
    <row r="6">
      <c r="A6" t="inlineStr">
        <is>
          <t>Dominica_2022_January</t>
        </is>
      </c>
      <c r="B6" s="2" t="n"/>
      <c r="C6" s="3" t="inlineStr">
        <is>
          <t>SM.22.7, Sup.2</t>
        </is>
      </c>
      <c r="D6" s="4" t="inlineStr">
        <is>
          <t>Dominica</t>
        </is>
      </c>
      <c r="E6" s="4" t="inlineStr">
        <is>
          <t>DMA</t>
        </is>
      </c>
      <c r="F6" s="10" t="n">
        <v>44562</v>
      </c>
      <c r="G6" s="4" t="inlineStr">
        <is>
          <t>2018gn</t>
        </is>
      </c>
      <c r="H6" s="4" t="n">
        <v>2021</v>
      </c>
      <c r="I6" s="5" t="n"/>
    </row>
    <row r="7">
      <c r="A7" t="inlineStr">
        <is>
          <t>Dominica_2022_January</t>
        </is>
      </c>
      <c r="B7" s="2" t="n"/>
      <c r="C7" s="3" t="inlineStr">
        <is>
          <t>SM.22.7, Sup.2</t>
        </is>
      </c>
      <c r="D7" s="4" t="inlineStr">
        <is>
          <t>Dominica</t>
        </is>
      </c>
      <c r="E7" s="4" t="inlineStr">
        <is>
          <t>DMA</t>
        </is>
      </c>
      <c r="F7" s="10" t="n">
        <v>44562</v>
      </c>
      <c r="G7" s="4" t="inlineStr">
        <is>
          <t>2018gn</t>
        </is>
      </c>
      <c r="H7" s="4" t="n">
        <v>2021</v>
      </c>
      <c r="I7" s="5" t="n"/>
    </row>
    <row r="8">
      <c r="A8" t="inlineStr">
        <is>
          <t>Dominica_2022_January</t>
        </is>
      </c>
      <c r="B8" s="2" t="n"/>
      <c r="C8" s="3" t="inlineStr">
        <is>
          <t>SM.22.7, Sup.2</t>
        </is>
      </c>
      <c r="D8" s="4" t="inlineStr">
        <is>
          <t>Dominica</t>
        </is>
      </c>
      <c r="E8" s="4" t="inlineStr">
        <is>
          <t>DMA</t>
        </is>
      </c>
      <c r="F8" s="10" t="n">
        <v>44562</v>
      </c>
      <c r="G8" s="4" t="inlineStr">
        <is>
          <t>2018gn</t>
        </is>
      </c>
      <c r="H8" s="4" t="n">
        <v>2021</v>
      </c>
      <c r="I8" s="5" t="n"/>
      <c r="J8" t="inlineStr">
        <is>
          <t>1. Old MLT debt (excluding arrears): debt service due 1/</t>
        </is>
      </c>
    </row>
    <row r="9">
      <c r="A9" t="inlineStr">
        <is>
          <t>Dominica_2022_January</t>
        </is>
      </c>
      <c r="B9" s="2" t="n"/>
      <c r="C9" s="3" t="inlineStr">
        <is>
          <t>SM.22.7, Sup.2</t>
        </is>
      </c>
      <c r="D9" s="4" t="inlineStr">
        <is>
          <t>Dominica</t>
        </is>
      </c>
      <c r="E9" s="4" t="inlineStr">
        <is>
          <t>DMA</t>
        </is>
      </c>
      <c r="F9" s="10" t="n">
        <v>44562</v>
      </c>
      <c r="G9" s="4" t="inlineStr">
        <is>
          <t>2018gn</t>
        </is>
      </c>
      <c r="H9" s="4" t="n">
        <v>2021</v>
      </c>
      <c r="I9" s="5" t="n"/>
      <c r="M9" t="n">
        <v>2019</v>
      </c>
      <c r="N9" t="n">
        <v>2020</v>
      </c>
      <c r="O9" t="n">
        <v>2021</v>
      </c>
      <c r="P9" t="n">
        <v>2022</v>
      </c>
      <c r="Q9" t="n">
        <v>2023</v>
      </c>
      <c r="R9" t="n">
        <v>2024</v>
      </c>
      <c r="S9" t="n">
        <v>2025</v>
      </c>
      <c r="T9" t="n">
        <v>2026</v>
      </c>
      <c r="U9" t="n">
        <v>2027</v>
      </c>
      <c r="V9" t="n">
        <v>2028</v>
      </c>
      <c r="W9" t="n">
        <v>2029</v>
      </c>
      <c r="X9" t="n">
        <v>2030</v>
      </c>
      <c r="Y9" t="n">
        <v>2031</v>
      </c>
      <c r="Z9" t="n">
        <v>2032</v>
      </c>
      <c r="AA9" t="n">
        <v>2033</v>
      </c>
      <c r="AB9" t="n">
        <v>2034</v>
      </c>
      <c r="AC9" t="n">
        <v>2035</v>
      </c>
      <c r="AD9" t="n">
        <v>2036</v>
      </c>
      <c r="AE9" t="n">
        <v>2037</v>
      </c>
      <c r="AF9" t="n">
        <v>2038</v>
      </c>
      <c r="AG9" t="n">
        <v>2039</v>
      </c>
      <c r="AH9" t="n">
        <v>2040</v>
      </c>
      <c r="AI9" t="n">
        <v>2041</v>
      </c>
      <c r="AJ9" t="n">
        <v>2042</v>
      </c>
      <c r="AK9" t="n">
        <v>2043</v>
      </c>
      <c r="AL9" t="n">
        <v>2044</v>
      </c>
      <c r="AM9" t="n">
        <v>2045</v>
      </c>
      <c r="AN9" t="n">
        <v>2046</v>
      </c>
      <c r="AO9" t="n">
        <v>2047</v>
      </c>
      <c r="AP9" t="n">
        <v>2048</v>
      </c>
      <c r="AQ9" t="n">
        <v>2049</v>
      </c>
      <c r="AR9" t="n">
        <v>2050</v>
      </c>
      <c r="AS9" t="n">
        <v>2051</v>
      </c>
      <c r="AT9" t="n">
        <v>2052</v>
      </c>
      <c r="AU9" t="n">
        <v>2053</v>
      </c>
      <c r="AV9" t="n">
        <v>2054</v>
      </c>
      <c r="AW9" t="n">
        <v>2055</v>
      </c>
      <c r="AX9" t="n">
        <v>2056</v>
      </c>
      <c r="AY9" t="n">
        <v>2057</v>
      </c>
      <c r="AZ9" t="n">
        <v>2058</v>
      </c>
      <c r="BA9" t="n">
        <v>2059</v>
      </c>
      <c r="BB9" t="n">
        <v>2060</v>
      </c>
      <c r="BC9" t="n">
        <v>2061</v>
      </c>
      <c r="BD9" t="n">
        <v>2062</v>
      </c>
      <c r="BE9" t="n">
        <v>2063</v>
      </c>
      <c r="BF9" t="n">
        <v>2064</v>
      </c>
      <c r="BG9" t="n">
        <v>2065</v>
      </c>
      <c r="BI9" t="inlineStr">
        <is>
          <t>Series Code</t>
        </is>
      </c>
    </row>
    <row r="10">
      <c r="A10" t="inlineStr">
        <is>
          <t>Dominica_2022_January</t>
        </is>
      </c>
      <c r="B10" s="2" t="n"/>
      <c r="C10" s="3" t="inlineStr">
        <is>
          <t>SM.22.7, Sup.2</t>
        </is>
      </c>
      <c r="D10" s="4" t="inlineStr">
        <is>
          <t>Dominica</t>
        </is>
      </c>
      <c r="E10" s="4" t="inlineStr">
        <is>
          <t>DMA</t>
        </is>
      </c>
      <c r="F10" s="10" t="n">
        <v>44562</v>
      </c>
      <c r="G10" s="4" t="inlineStr">
        <is>
          <t>2018gn</t>
        </is>
      </c>
      <c r="H10" s="4" t="n">
        <v>2021</v>
      </c>
      <c r="I10" s="5" t="n"/>
      <c r="J10" t="inlineStr">
        <is>
          <t>External debt (excluding locally-issued debt)</t>
        </is>
      </c>
    </row>
    <row r="11">
      <c r="A11" t="inlineStr">
        <is>
          <t>Dominica_2022_January</t>
        </is>
      </c>
      <c r="B11" s="2" t="n"/>
      <c r="C11" s="3" t="inlineStr">
        <is>
          <t>SM.22.7, Sup.2</t>
        </is>
      </c>
      <c r="D11" s="4" t="inlineStr">
        <is>
          <t>Dominica</t>
        </is>
      </c>
      <c r="E11" s="4" t="inlineStr">
        <is>
          <t>DMA</t>
        </is>
      </c>
      <c r="F11" s="10" t="n">
        <v>44562</v>
      </c>
      <c r="G11" s="4" t="inlineStr">
        <is>
          <t>2018gn</t>
        </is>
      </c>
      <c r="H11" s="4" t="n">
        <v>2021</v>
      </c>
      <c r="I11" s="4" t="inlineStr">
        <is>
          <t>old.tds.mlt</t>
        </is>
      </c>
      <c r="J11" t="inlineStr">
        <is>
          <t>Multilaterals</t>
        </is>
      </c>
      <c r="N11" t="n">
        <v>11.10185618518519</v>
      </c>
      <c r="O11" t="n">
        <v>7.51329544444445</v>
      </c>
      <c r="P11" t="n">
        <v>13.86671429629627</v>
      </c>
      <c r="Q11" t="n">
        <v>15.14793688888893</v>
      </c>
      <c r="R11" t="n">
        <v>16.12635493604879</v>
      </c>
      <c r="S11" t="n">
        <v>15.2590843890744</v>
      </c>
      <c r="T11" t="n">
        <v>14.39655951254786</v>
      </c>
      <c r="U11" t="n">
        <v>13.26399396353621</v>
      </c>
      <c r="V11" t="n">
        <v>12.58124531817767</v>
      </c>
      <c r="W11" t="n">
        <v>11.74992162318057</v>
      </c>
      <c r="X11" t="n">
        <v>11.21345858145423</v>
      </c>
      <c r="Y11" t="n">
        <v>10.73117679819524</v>
      </c>
      <c r="Z11" t="n">
        <v>10.27714144714186</v>
      </c>
      <c r="AA11" t="n">
        <v>9.849434563817372</v>
      </c>
      <c r="AB11" t="n">
        <v>9.446274803323369</v>
      </c>
      <c r="AC11" t="n">
        <v>9.06600723479157</v>
      </c>
      <c r="AD11" t="n">
        <v>10.03434067508172</v>
      </c>
      <c r="AE11" t="n">
        <v>6.872131253477232</v>
      </c>
      <c r="AF11" t="n">
        <v>6.586279254287561</v>
      </c>
      <c r="AG11" t="n">
        <v>6.317786370958007</v>
      </c>
      <c r="AH11" t="n">
        <v>6.065502439956301</v>
      </c>
      <c r="AI11" t="n">
        <v>5.828357150365971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I11" t="inlineStr">
        <is>
          <t>OLD_ML</t>
        </is>
      </c>
    </row>
    <row r="12">
      <c r="A12" t="inlineStr">
        <is>
          <t>Dominica_2022_January</t>
        </is>
      </c>
      <c r="B12" s="2" t="n"/>
      <c r="C12" s="3" t="inlineStr">
        <is>
          <t>SM.22.7, Sup.2</t>
        </is>
      </c>
      <c r="D12" s="4" t="inlineStr">
        <is>
          <t>Dominica</t>
        </is>
      </c>
      <c r="E12" s="4" t="inlineStr">
        <is>
          <t>DMA</t>
        </is>
      </c>
      <c r="F12" s="10" t="n">
        <v>44562</v>
      </c>
      <c r="G12" s="4" t="inlineStr">
        <is>
          <t>2018gn</t>
        </is>
      </c>
      <c r="H12" s="4" t="n">
        <v>2021</v>
      </c>
      <c r="I12" s="4" t="inlineStr">
        <is>
          <t>old.tds.mlt.imf</t>
        </is>
      </c>
      <c r="J12" t="inlineStr">
        <is>
          <t>IMF</t>
        </is>
      </c>
      <c r="N12" t="n">
        <v>1.46091562962963</v>
      </c>
      <c r="O12" t="n">
        <v>2.0310702962963</v>
      </c>
      <c r="P12" t="n">
        <v>1.74091740740741</v>
      </c>
      <c r="Q12" t="n">
        <v>1.74091740740741</v>
      </c>
      <c r="R12" t="n">
        <v>1.58057833021344</v>
      </c>
      <c r="S12" t="n">
        <v>1.43500653271608</v>
      </c>
      <c r="T12" t="n">
        <v>1.30284194688393</v>
      </c>
      <c r="U12" t="n">
        <v>1.18284976399904</v>
      </c>
      <c r="V12" t="n">
        <v>1.07390890164303</v>
      </c>
      <c r="W12" t="n">
        <v>0.975001529466492</v>
      </c>
      <c r="X12" t="n">
        <v>0.885203559638608</v>
      </c>
      <c r="Y12" t="n">
        <v>0.803676013129568</v>
      </c>
      <c r="Z12" t="n">
        <v>0.72965718116128</v>
      </c>
      <c r="AA12" t="n">
        <v>0.662455508591112</v>
      </c>
      <c r="AB12" t="n">
        <v>0.601443132738398</v>
      </c>
      <c r="AC12" t="n">
        <v>0.5460500172872</v>
      </c>
      <c r="AD12" t="n">
        <v>0.495758626458611</v>
      </c>
      <c r="AE12" t="n">
        <v>0.450099089693572</v>
      </c>
      <c r="AF12" t="n">
        <v>0.408644811670051</v>
      </c>
      <c r="AG12" t="n">
        <v>0.371008486639107</v>
      </c>
      <c r="AH12" t="n">
        <v>0.336838479841951</v>
      </c>
      <c r="AI12" t="n">
        <v>0.30581554219972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I12" t="inlineStr">
        <is>
          <t>OLD_IMF</t>
        </is>
      </c>
    </row>
    <row r="13">
      <c r="A13" t="inlineStr">
        <is>
          <t>Dominica_2022_January</t>
        </is>
      </c>
      <c r="B13" s="2" t="n"/>
      <c r="C13" s="3" t="inlineStr">
        <is>
          <t>SM.22.7, Sup.2</t>
        </is>
      </c>
      <c r="D13" s="4" t="inlineStr">
        <is>
          <t>Dominica</t>
        </is>
      </c>
      <c r="E13" s="4" t="inlineStr">
        <is>
          <t>DMA</t>
        </is>
      </c>
      <c r="F13" s="10" t="n">
        <v>44562</v>
      </c>
      <c r="G13" s="4" t="inlineStr">
        <is>
          <t>2018gn</t>
        </is>
      </c>
      <c r="H13" s="4" t="n">
        <v>2021</v>
      </c>
      <c r="I13" s="4" t="inlineStr">
        <is>
          <t>old.tds.mlt.ida.reg</t>
        </is>
      </c>
      <c r="J13" t="inlineStr">
        <is>
          <t>IDA - small economy</t>
        </is>
      </c>
      <c r="N13" t="n">
        <v>1.31679362962963</v>
      </c>
      <c r="O13" t="n">
        <v>1.32326214814815</v>
      </c>
      <c r="P13" t="n">
        <v>2.05907825925926</v>
      </c>
      <c r="Q13" t="n">
        <v>2.40091351851852</v>
      </c>
      <c r="R13" t="n">
        <v>2.90059552322425</v>
      </c>
      <c r="S13" t="n">
        <v>2.87948273161832</v>
      </c>
      <c r="T13" t="n">
        <v>2.85852361534073</v>
      </c>
      <c r="U13" t="n">
        <v>2.83771705582283</v>
      </c>
      <c r="V13" t="n">
        <v>2.81706194263781</v>
      </c>
      <c r="W13" t="n">
        <v>2.79655717344139</v>
      </c>
      <c r="X13" t="n">
        <v>2.776201653913</v>
      </c>
      <c r="Y13" t="n">
        <v>2.75599429769743</v>
      </c>
      <c r="Z13" t="n">
        <v>2.73593402634677</v>
      </c>
      <c r="AA13" t="n">
        <v>2.71601976926289</v>
      </c>
      <c r="AB13" t="n">
        <v>2.69625046364034</v>
      </c>
      <c r="AC13" t="n">
        <v>2.67662505440957</v>
      </c>
      <c r="AD13" t="n">
        <v>2.65714249418065</v>
      </c>
      <c r="AE13" t="n">
        <v>2.63780174318738</v>
      </c>
      <c r="AF13" t="n">
        <v>2.61860176923177</v>
      </c>
      <c r="AG13" t="n">
        <v>2.59954154762898</v>
      </c>
      <c r="AH13" t="n">
        <v>2.58062006115264</v>
      </c>
      <c r="AI13" t="n">
        <v>2.56183629998051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I13" t="inlineStr">
        <is>
          <t>OLD_IDA1</t>
        </is>
      </c>
    </row>
    <row r="14">
      <c r="A14" t="inlineStr">
        <is>
          <t>Dominica_2022_January</t>
        </is>
      </c>
      <c r="B14" s="2" t="n"/>
      <c r="C14" s="3" t="inlineStr">
        <is>
          <t>SM.22.7, Sup.2</t>
        </is>
      </c>
      <c r="D14" s="4" t="inlineStr">
        <is>
          <t>Dominica</t>
        </is>
      </c>
      <c r="E14" s="4" t="inlineStr">
        <is>
          <t>DMA</t>
        </is>
      </c>
      <c r="F14" s="10" t="n">
        <v>44562</v>
      </c>
      <c r="G14" s="4" t="inlineStr">
        <is>
          <t>2018gn</t>
        </is>
      </c>
      <c r="H14" s="4" t="n">
        <v>2021</v>
      </c>
      <c r="I14" s="4" t="inlineStr">
        <is>
          <t>old.tds.mlt.ida.bld</t>
        </is>
      </c>
      <c r="J14" t="inlineStr">
        <is>
          <t>IDA - small economy</t>
        </is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I14" t="inlineStr">
        <is>
          <t>OLD_IDA2</t>
        </is>
      </c>
    </row>
    <row r="15">
      <c r="A15" t="inlineStr">
        <is>
          <t>Dominica_2022_January</t>
        </is>
      </c>
      <c r="B15" s="2" t="n"/>
      <c r="C15" s="3" t="inlineStr">
        <is>
          <t>SM.22.7, Sup.2</t>
        </is>
      </c>
      <c r="D15" s="4" t="inlineStr">
        <is>
          <t>Dominica</t>
        </is>
      </c>
      <c r="E15" s="4" t="inlineStr">
        <is>
          <t>DMA</t>
        </is>
      </c>
      <c r="F15" s="10" t="n">
        <v>44562</v>
      </c>
      <c r="G15" s="4" t="inlineStr">
        <is>
          <t>2018gn</t>
        </is>
      </c>
      <c r="H15" s="4" t="n">
        <v>2021</v>
      </c>
      <c r="I15" s="4" t="inlineStr">
        <is>
          <t>old.tds.mlt2</t>
        </is>
      </c>
      <c r="J15" t="inlineStr">
        <is>
          <t>CDB</t>
        </is>
      </c>
      <c r="N15" t="n">
        <v>8.32414692592593</v>
      </c>
      <c r="O15" t="n">
        <v>4.158963</v>
      </c>
      <c r="P15" t="n">
        <v>10.0667186296296</v>
      </c>
      <c r="Q15" t="n">
        <v>11.006105962963</v>
      </c>
      <c r="R15" t="n">
        <v>11.6451810826111</v>
      </c>
      <c r="S15" t="n">
        <v>10.94459512474</v>
      </c>
      <c r="T15" t="n">
        <v>10.2351939503232</v>
      </c>
      <c r="U15" t="n">
        <v>9.24342714371434</v>
      </c>
      <c r="V15" t="n">
        <v>8.69027447389683</v>
      </c>
      <c r="W15" t="n">
        <v>7.97836292027269</v>
      </c>
      <c r="X15" t="n">
        <v>7.55205336790262</v>
      </c>
      <c r="Y15" t="n">
        <v>7.17150648736824</v>
      </c>
      <c r="Z15" t="n">
        <v>6.81155023963381</v>
      </c>
      <c r="AA15" t="n">
        <v>6.47095928596337</v>
      </c>
      <c r="AB15" t="n">
        <v>6.14858120694463</v>
      </c>
      <c r="AC15" t="n">
        <v>5.8433321630948</v>
      </c>
      <c r="AD15" t="n">
        <v>6.88143955444246</v>
      </c>
      <c r="AE15" t="n">
        <v>3.78423042059628</v>
      </c>
      <c r="AF15" t="n">
        <v>3.55903267338574</v>
      </c>
      <c r="AG15" t="n">
        <v>3.34723633668992</v>
      </c>
      <c r="AH15" t="n">
        <v>3.14804389896171</v>
      </c>
      <c r="AI15" t="n">
        <v>2.96070530818574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I15" t="inlineStr">
        <is>
          <t>OLD_MULTI1</t>
        </is>
      </c>
    </row>
    <row r="16">
      <c r="A16" t="inlineStr">
        <is>
          <t>Dominica_2022_January</t>
        </is>
      </c>
      <c r="B16" s="2" t="n"/>
      <c r="C16" s="3" t="inlineStr">
        <is>
          <t>SM.22.7, Sup.2</t>
        </is>
      </c>
      <c r="D16" s="4" t="inlineStr">
        <is>
          <t>Dominica</t>
        </is>
      </c>
      <c r="E16" s="4" t="inlineStr">
        <is>
          <t>DMA</t>
        </is>
      </c>
      <c r="F16" s="10" t="n">
        <v>44562</v>
      </c>
      <c r="G16" s="4" t="inlineStr">
        <is>
          <t>2018gn</t>
        </is>
      </c>
      <c r="H16" s="4" t="n">
        <v>2021</v>
      </c>
      <c r="I16" s="4" t="inlineStr">
        <is>
          <t>old.tds.mlt.afdb</t>
        </is>
      </c>
      <c r="J16" t="inlineStr">
        <is>
          <t>MULTIRES</t>
        </is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I16" t="inlineStr">
        <is>
          <t>OLD_MULTI2</t>
        </is>
      </c>
    </row>
    <row r="17">
      <c r="A17" t="inlineStr">
        <is>
          <t>Dominica_2022_January</t>
        </is>
      </c>
      <c r="B17" s="2" t="n"/>
      <c r="C17" s="3" t="inlineStr">
        <is>
          <t>SM.22.7, Sup.2</t>
        </is>
      </c>
      <c r="D17" s="4" t="inlineStr">
        <is>
          <t>Dominica</t>
        </is>
      </c>
      <c r="E17" s="4" t="inlineStr">
        <is>
          <t>DMA</t>
        </is>
      </c>
      <c r="F17" s="10" t="n">
        <v>44562</v>
      </c>
      <c r="G17" s="4" t="inlineStr">
        <is>
          <t>2018gn</t>
        </is>
      </c>
      <c r="H17" s="4" t="n">
        <v>2021</v>
      </c>
      <c r="I17" s="4" t="inlineStr">
        <is>
          <t>old.tds.mlt3</t>
        </is>
      </c>
      <c r="J17" t="inlineStr">
        <is>
          <t>MULTI3</t>
        </is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I17" t="inlineStr">
        <is>
          <t>OLD_MULTI3</t>
        </is>
      </c>
    </row>
    <row r="18">
      <c r="A18" t="inlineStr">
        <is>
          <t>Dominica_2022_January</t>
        </is>
      </c>
      <c r="B18" s="2" t="n"/>
      <c r="C18" s="3" t="inlineStr">
        <is>
          <t>SM.22.7, Sup.2</t>
        </is>
      </c>
      <c r="D18" s="4" t="inlineStr">
        <is>
          <t>Dominica</t>
        </is>
      </c>
      <c r="E18" s="4" t="inlineStr">
        <is>
          <t>DMA</t>
        </is>
      </c>
      <c r="F18" s="10" t="n">
        <v>44562</v>
      </c>
      <c r="G18" s="4" t="inlineStr">
        <is>
          <t>2018gn</t>
        </is>
      </c>
      <c r="H18" s="4" t="n">
        <v>2021</v>
      </c>
      <c r="I18" s="4" t="inlineStr">
        <is>
          <t>old.tds.mlt.oth</t>
        </is>
      </c>
      <c r="J18" t="inlineStr">
        <is>
          <t>Other Multilaterals</t>
        </is>
      </c>
      <c r="N18" t="n">
        <v>1.17804144444445</v>
      </c>
      <c r="O18" t="n">
        <v>5.89984988888889</v>
      </c>
      <c r="P18" t="n">
        <v>3.7837042962963</v>
      </c>
      <c r="Q18" t="n">
        <v>3.71647225925926</v>
      </c>
      <c r="R18" t="n">
        <v>2.99234589859555</v>
      </c>
      <c r="S18" t="n">
        <v>2.01799766183217</v>
      </c>
      <c r="T18" t="n">
        <v>1.28517048679564</v>
      </c>
      <c r="U18" t="n">
        <v>0.152947408573123</v>
      </c>
      <c r="V18" t="n">
        <v>0.0285369423922397</v>
      </c>
      <c r="W18" t="n">
        <v>0.0205775974318261</v>
      </c>
      <c r="X18" t="n">
        <v>0.016513320987638</v>
      </c>
      <c r="Y18" t="n">
        <v>0.0138536621122416</v>
      </c>
      <c r="Z18" t="n">
        <v>0.0118363688681473</v>
      </c>
      <c r="AA18" t="n">
        <v>0.0101857111363213</v>
      </c>
      <c r="AB18" t="n">
        <v>0.00878965630317818</v>
      </c>
      <c r="AC18" t="n">
        <v>0.00759306864273679</v>
      </c>
      <c r="AD18" t="n">
        <v>0.00656207828092104</v>
      </c>
      <c r="AE18" t="n">
        <v>0.00567197256328189</v>
      </c>
      <c r="AF18" t="n">
        <v>0.00490290197990362</v>
      </c>
      <c r="AG18" t="n">
        <v>0.0042382096882343</v>
      </c>
      <c r="AH18" t="n">
        <v>0.003663663424462</v>
      </c>
      <c r="AI18" t="n">
        <v>0.00316701556761023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</row>
    <row r="19">
      <c r="A19" t="inlineStr">
        <is>
          <t>Dominica_2022_January</t>
        </is>
      </c>
      <c r="B19" s="2" t="n"/>
      <c r="C19" s="3" t="inlineStr">
        <is>
          <t>SM.22.7, Sup.2</t>
        </is>
      </c>
      <c r="D19" s="4" t="inlineStr">
        <is>
          <t>Dominica</t>
        </is>
      </c>
      <c r="E19" s="4" t="inlineStr">
        <is>
          <t>DMA</t>
        </is>
      </c>
      <c r="F19" s="10" t="n">
        <v>44562</v>
      </c>
      <c r="G19" s="4" t="inlineStr">
        <is>
          <t>2018gn</t>
        </is>
      </c>
      <c r="H19" s="4" t="n">
        <v>2021</v>
      </c>
      <c r="I19" s="4" t="inlineStr">
        <is>
          <t>old.tds.mlt.oth1</t>
        </is>
      </c>
      <c r="J19" t="inlineStr">
        <is>
          <t>OTH_MULTI1</t>
        </is>
      </c>
      <c r="N19" t="n">
        <v>1.17804144444445</v>
      </c>
      <c r="O19" t="n">
        <v>5.89984988888889</v>
      </c>
      <c r="P19" t="n">
        <v>3.7837042962963</v>
      </c>
      <c r="Q19" t="n">
        <v>3.71647225925926</v>
      </c>
      <c r="R19" t="n">
        <v>2.99234589859555</v>
      </c>
      <c r="S19" t="n">
        <v>2.01799766183217</v>
      </c>
      <c r="T19" t="n">
        <v>1.28517048679564</v>
      </c>
      <c r="U19" t="n">
        <v>0.152947408573123</v>
      </c>
      <c r="V19" t="n">
        <v>0.0285369423922397</v>
      </c>
      <c r="W19" t="n">
        <v>0.0205775974318261</v>
      </c>
      <c r="X19" t="n">
        <v>0.016513320987638</v>
      </c>
      <c r="Y19" t="n">
        <v>0.0138536621122416</v>
      </c>
      <c r="Z19" t="n">
        <v>0.0118363688681473</v>
      </c>
      <c r="AA19" t="n">
        <v>0.0101857111363213</v>
      </c>
      <c r="AB19" t="n">
        <v>0.00878965630317818</v>
      </c>
      <c r="AC19" t="n">
        <v>0.00759306864273679</v>
      </c>
      <c r="AD19" t="n">
        <v>0.00656207828092104</v>
      </c>
      <c r="AE19" t="n">
        <v>0.00567197256328189</v>
      </c>
      <c r="AF19" t="n">
        <v>0.00490290197990362</v>
      </c>
      <c r="AG19" t="n">
        <v>0.0042382096882343</v>
      </c>
      <c r="AH19" t="n">
        <v>0.003663663424462</v>
      </c>
      <c r="AI19" t="n">
        <v>0.00316701556761023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I19" t="inlineStr">
        <is>
          <t>OLD_OTH_MULTI1</t>
        </is>
      </c>
    </row>
    <row r="20">
      <c r="A20" t="inlineStr">
        <is>
          <t>Dominica_2022_January</t>
        </is>
      </c>
      <c r="B20" s="2" t="n"/>
      <c r="C20" s="3" t="inlineStr">
        <is>
          <t>SM.22.7, Sup.2</t>
        </is>
      </c>
      <c r="D20" s="4" t="inlineStr">
        <is>
          <t>Dominica</t>
        </is>
      </c>
      <c r="E20" s="4" t="inlineStr">
        <is>
          <t>DMA</t>
        </is>
      </c>
      <c r="F20" s="10" t="n">
        <v>44562</v>
      </c>
      <c r="G20" s="4" t="inlineStr">
        <is>
          <t>2018gn</t>
        </is>
      </c>
      <c r="H20" s="4" t="n">
        <v>2021</v>
      </c>
      <c r="I20" s="4" t="inlineStr">
        <is>
          <t>old.tds.mlt.oth2</t>
        </is>
      </c>
      <c r="J20" t="inlineStr">
        <is>
          <t>OTH_MULTI2</t>
        </is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I20" t="inlineStr">
        <is>
          <t>OLD_OTH_MULTI2</t>
        </is>
      </c>
    </row>
    <row r="21">
      <c r="A21" t="inlineStr">
        <is>
          <t>Dominica_2022_January</t>
        </is>
      </c>
      <c r="B21" s="2" t="n"/>
      <c r="C21" s="3" t="inlineStr">
        <is>
          <t>SM.22.7, Sup.2</t>
        </is>
      </c>
      <c r="D21" s="4" t="inlineStr">
        <is>
          <t>Dominica</t>
        </is>
      </c>
      <c r="E21" s="4" t="inlineStr">
        <is>
          <t>DMA</t>
        </is>
      </c>
      <c r="F21" s="10" t="n">
        <v>44562</v>
      </c>
      <c r="G21" s="4" t="inlineStr">
        <is>
          <t>2018gn</t>
        </is>
      </c>
      <c r="H21" s="4" t="n">
        <v>2021</v>
      </c>
      <c r="I21" s="4" t="inlineStr">
        <is>
          <t>old.tds.mlt.oth3</t>
        </is>
      </c>
      <c r="J21" t="inlineStr">
        <is>
          <t>OTH_MULTI3</t>
        </is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I21" t="inlineStr">
        <is>
          <t>OLD_OTH_MULTI3</t>
        </is>
      </c>
    </row>
    <row r="22">
      <c r="A22" t="inlineStr">
        <is>
          <t>Dominica_2022_January</t>
        </is>
      </c>
      <c r="B22" s="2" t="n"/>
      <c r="C22" s="3" t="inlineStr">
        <is>
          <t>SM.22.7, Sup.2</t>
        </is>
      </c>
      <c r="D22" s="4" t="inlineStr">
        <is>
          <t>Dominica</t>
        </is>
      </c>
      <c r="E22" s="4" t="inlineStr">
        <is>
          <t>DMA</t>
        </is>
      </c>
      <c r="F22" s="10" t="n">
        <v>44562</v>
      </c>
      <c r="G22" s="4" t="inlineStr">
        <is>
          <t>2018gn</t>
        </is>
      </c>
      <c r="H22" s="4" t="n">
        <v>2021</v>
      </c>
      <c r="I22" s="4" t="inlineStr">
        <is>
          <t>old.tds.blt</t>
        </is>
      </c>
      <c r="J22" t="inlineStr">
        <is>
          <t>Official Bilaterals</t>
        </is>
      </c>
      <c r="N22" t="n">
        <v>2.936159065942595</v>
      </c>
      <c r="O22" t="n">
        <v>4.593234586588703</v>
      </c>
      <c r="P22" t="n">
        <v>8.963841651174612</v>
      </c>
      <c r="Q22" t="n">
        <v>8.927897375785882</v>
      </c>
      <c r="R22" t="n">
        <v>6.915524404813112</v>
      </c>
      <c r="S22" t="n">
        <v>5.790007025542641</v>
      </c>
      <c r="T22" t="n">
        <v>4.919510631251946</v>
      </c>
      <c r="U22" t="n">
        <v>4.142171995630523</v>
      </c>
      <c r="V22" t="n">
        <v>3.509289053432475</v>
      </c>
      <c r="W22" t="n">
        <v>2.989370560146176</v>
      </c>
      <c r="X22" t="n">
        <v>2.59933680959448</v>
      </c>
      <c r="Y22" t="n">
        <v>2.273377767990718</v>
      </c>
      <c r="Z22" t="n">
        <v>1.99178073043856</v>
      </c>
      <c r="AA22" t="n">
        <v>1.758585521243253</v>
      </c>
      <c r="AB22" t="n">
        <v>1.565486964584468</v>
      </c>
      <c r="AC22" t="n">
        <v>1.166895246318736</v>
      </c>
      <c r="AD22" t="n">
        <v>0.846462455857813</v>
      </c>
      <c r="AE22" t="n">
        <v>0.7422795655823663</v>
      </c>
      <c r="AF22" t="n">
        <v>0.6538166763088193</v>
      </c>
      <c r="AG22" t="n">
        <v>-1.423564691267882</v>
      </c>
      <c r="AH22" t="n">
        <v>-1.486341292744904</v>
      </c>
      <c r="AI22" t="n">
        <v>0.4607713292495526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I22" t="inlineStr">
        <is>
          <t>OLD_OB</t>
        </is>
      </c>
    </row>
    <row r="23">
      <c r="A23" t="inlineStr">
        <is>
          <t>Dominica_2022_January</t>
        </is>
      </c>
      <c r="B23" s="2" t="n"/>
      <c r="C23" s="3" t="inlineStr">
        <is>
          <t>SM.22.7, Sup.2</t>
        </is>
      </c>
      <c r="D23" s="4" t="inlineStr">
        <is>
          <t>Dominica</t>
        </is>
      </c>
      <c r="E23" s="4" t="inlineStr">
        <is>
          <t>DMA</t>
        </is>
      </c>
      <c r="F23" s="10" t="n">
        <v>44562</v>
      </c>
      <c r="G23" s="4" t="inlineStr">
        <is>
          <t>2018gn</t>
        </is>
      </c>
      <c r="H23" s="4" t="n">
        <v>2021</v>
      </c>
      <c r="I23" s="4" t="inlineStr">
        <is>
          <t>old.tds.pc</t>
        </is>
      </c>
      <c r="J23" t="inlineStr">
        <is>
          <t xml:space="preserve">   Paris Club</t>
        </is>
      </c>
      <c r="N23" t="n">
        <v>0</v>
      </c>
      <c r="O23" t="n">
        <v>1.66785140740741</v>
      </c>
      <c r="P23" t="n">
        <v>3.55459018518519</v>
      </c>
      <c r="Q23" t="n">
        <v>3.45459166666667</v>
      </c>
      <c r="R23" t="n">
        <v>2.58969996813444</v>
      </c>
      <c r="S23" t="n">
        <v>1.94134258750954</v>
      </c>
      <c r="T23" t="n">
        <v>1.45530798488335</v>
      </c>
      <c r="U23" t="n">
        <v>1.09095702350106</v>
      </c>
      <c r="V23" t="n">
        <v>0.817824982401702</v>
      </c>
      <c r="W23" t="n">
        <v>0.613074289300542</v>
      </c>
      <c r="X23" t="n">
        <v>0.459584987361939</v>
      </c>
      <c r="Y23" t="n">
        <v>0.344523272782249</v>
      </c>
      <c r="Z23" t="n">
        <v>0.258268413356841</v>
      </c>
      <c r="AA23" t="n">
        <v>0.193608323754716</v>
      </c>
      <c r="AB23" t="n">
        <v>0.145136536597374</v>
      </c>
      <c r="AC23" t="n">
        <v>0.108800147880873</v>
      </c>
      <c r="AD23" t="n">
        <v>0.0815609387988795</v>
      </c>
      <c r="AE23" t="n">
        <v>0.0611413391187498</v>
      </c>
      <c r="AF23" t="n">
        <v>0.0458339911762433</v>
      </c>
      <c r="AG23" t="n">
        <v>0.0343589914356279</v>
      </c>
      <c r="AH23" t="n">
        <v>0.0257568730581214</v>
      </c>
      <c r="AI23" t="n">
        <v>0.0193083813584895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I23" t="inlineStr">
        <is>
          <t>OLD_PC_ALL</t>
        </is>
      </c>
    </row>
    <row r="24">
      <c r="A24" t="inlineStr">
        <is>
          <t>Dominica_2022_January</t>
        </is>
      </c>
      <c r="B24" s="2" t="n"/>
      <c r="C24" s="3" t="inlineStr">
        <is>
          <t>SM.22.7, Sup.2</t>
        </is>
      </c>
      <c r="D24" s="4" t="inlineStr">
        <is>
          <t>Dominica</t>
        </is>
      </c>
      <c r="E24" s="4" t="inlineStr">
        <is>
          <t>DMA</t>
        </is>
      </c>
      <c r="F24" s="10" t="n">
        <v>44562</v>
      </c>
      <c r="G24" s="4" t="inlineStr">
        <is>
          <t>2018gn</t>
        </is>
      </c>
      <c r="H24" s="4" t="n">
        <v>2021</v>
      </c>
      <c r="I24" s="4" t="inlineStr">
        <is>
          <t>old.tds.pc1</t>
        </is>
      </c>
      <c r="J24" t="inlineStr">
        <is>
          <t>Export Credit Agencies</t>
        </is>
      </c>
      <c r="N24" t="n">
        <v>0</v>
      </c>
      <c r="O24" t="n">
        <v>1.66785140740741</v>
      </c>
      <c r="P24" t="n">
        <v>3.55459018518519</v>
      </c>
      <c r="Q24" t="n">
        <v>3.45459166666667</v>
      </c>
      <c r="R24" t="n">
        <v>2.58969996813444</v>
      </c>
      <c r="S24" t="n">
        <v>1.94134258750954</v>
      </c>
      <c r="T24" t="n">
        <v>1.45530798488335</v>
      </c>
      <c r="U24" t="n">
        <v>1.09095702350106</v>
      </c>
      <c r="V24" t="n">
        <v>0.817824982401702</v>
      </c>
      <c r="W24" t="n">
        <v>0.613074289300542</v>
      </c>
      <c r="X24" t="n">
        <v>0.459584987361939</v>
      </c>
      <c r="Y24" t="n">
        <v>0.344523272782249</v>
      </c>
      <c r="Z24" t="n">
        <v>0.258268413356841</v>
      </c>
      <c r="AA24" t="n">
        <v>0.193608323754716</v>
      </c>
      <c r="AB24" t="n">
        <v>0.145136536597374</v>
      </c>
      <c r="AC24" t="n">
        <v>0.108800147880873</v>
      </c>
      <c r="AD24" t="n">
        <v>0.0815609387988795</v>
      </c>
      <c r="AE24" t="n">
        <v>0.0611413391187498</v>
      </c>
      <c r="AF24" t="n">
        <v>0.0458339911762433</v>
      </c>
      <c r="AG24" t="n">
        <v>0.0343589914356279</v>
      </c>
      <c r="AH24" t="n">
        <v>0.0257568730581214</v>
      </c>
      <c r="AI24" t="n">
        <v>0.0193083813584895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I24" t="inlineStr">
        <is>
          <t>OLD_PC1</t>
        </is>
      </c>
    </row>
    <row r="25">
      <c r="A25" t="inlineStr">
        <is>
          <t>Dominica_2022_January</t>
        </is>
      </c>
      <c r="B25" s="2" t="n"/>
      <c r="C25" s="3" t="inlineStr">
        <is>
          <t>SM.22.7, Sup.2</t>
        </is>
      </c>
      <c r="D25" s="4" t="inlineStr">
        <is>
          <t>Dominica</t>
        </is>
      </c>
      <c r="E25" s="4" t="inlineStr">
        <is>
          <t>DMA</t>
        </is>
      </c>
      <c r="F25" s="10" t="n">
        <v>44562</v>
      </c>
      <c r="G25" s="4" t="inlineStr">
        <is>
          <t>2018gn</t>
        </is>
      </c>
      <c r="H25" s="4" t="n">
        <v>2021</v>
      </c>
      <c r="I25" s="4" t="inlineStr">
        <is>
          <t>old.tds.pc2</t>
        </is>
      </c>
      <c r="J25" t="inlineStr">
        <is>
          <t>PC2</t>
        </is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I25" t="inlineStr">
        <is>
          <t>OLD_PC2</t>
        </is>
      </c>
    </row>
    <row r="26">
      <c r="A26" t="inlineStr">
        <is>
          <t>Dominica_2022_January</t>
        </is>
      </c>
      <c r="B26" s="2" t="n"/>
      <c r="C26" s="3" t="inlineStr">
        <is>
          <t>SM.22.7, Sup.2</t>
        </is>
      </c>
      <c r="D26" s="4" t="inlineStr">
        <is>
          <t>Dominica</t>
        </is>
      </c>
      <c r="E26" s="4" t="inlineStr">
        <is>
          <t>DMA</t>
        </is>
      </c>
      <c r="F26" s="10" t="n">
        <v>44562</v>
      </c>
      <c r="G26" s="4" t="inlineStr">
        <is>
          <t>2018gn</t>
        </is>
      </c>
      <c r="H26" s="4" t="n">
        <v>2021</v>
      </c>
      <c r="I26" s="4" t="inlineStr">
        <is>
          <t>old.tds.pc3</t>
        </is>
      </c>
      <c r="J26" t="inlineStr">
        <is>
          <t>PC3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I26" t="inlineStr">
        <is>
          <t>OLD_PC3</t>
        </is>
      </c>
    </row>
    <row r="27">
      <c r="A27" t="inlineStr">
        <is>
          <t>Dominica_2022_January</t>
        </is>
      </c>
      <c r="B27" s="2" t="n"/>
      <c r="C27" s="3" t="inlineStr">
        <is>
          <t>SM.22.7, Sup.2</t>
        </is>
      </c>
      <c r="D27" s="4" t="inlineStr">
        <is>
          <t>Dominica</t>
        </is>
      </c>
      <c r="E27" s="4" t="inlineStr">
        <is>
          <t>DMA</t>
        </is>
      </c>
      <c r="F27" s="10" t="n">
        <v>44562</v>
      </c>
      <c r="G27" s="4" t="inlineStr">
        <is>
          <t>2018gn</t>
        </is>
      </c>
      <c r="H27" s="4" t="n">
        <v>2021</v>
      </c>
      <c r="I27" s="4" t="inlineStr">
        <is>
          <t>old.tds.pc4</t>
        </is>
      </c>
      <c r="J27" t="inlineStr">
        <is>
          <t>PC4</t>
        </is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I27" t="inlineStr">
        <is>
          <t>OLD_PC4</t>
        </is>
      </c>
    </row>
    <row r="28">
      <c r="A28" t="inlineStr">
        <is>
          <t>Dominica_2022_January</t>
        </is>
      </c>
      <c r="B28" s="2" t="n"/>
      <c r="C28" s="3" t="inlineStr">
        <is>
          <t>SM.22.7, Sup.2</t>
        </is>
      </c>
      <c r="D28" s="4" t="inlineStr">
        <is>
          <t>Dominica</t>
        </is>
      </c>
      <c r="E28" s="4" t="inlineStr">
        <is>
          <t>DMA</t>
        </is>
      </c>
      <c r="F28" s="10" t="n">
        <v>44562</v>
      </c>
      <c r="G28" s="4" t="inlineStr">
        <is>
          <t>2018gn</t>
        </is>
      </c>
      <c r="H28" s="4" t="n">
        <v>2021</v>
      </c>
      <c r="I28" s="4" t="inlineStr">
        <is>
          <t>old.tds.pc5</t>
        </is>
      </c>
      <c r="J28" t="inlineStr">
        <is>
          <t>PC5</t>
        </is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I28" t="inlineStr">
        <is>
          <t>OLD_PC5</t>
        </is>
      </c>
    </row>
    <row r="29">
      <c r="A29" t="inlineStr">
        <is>
          <t>Dominica_2022_January</t>
        </is>
      </c>
      <c r="B29" s="2" t="n"/>
      <c r="C29" s="3" t="inlineStr">
        <is>
          <t>SM.22.7, Sup.2</t>
        </is>
      </c>
      <c r="D29" s="4" t="inlineStr">
        <is>
          <t>Dominica</t>
        </is>
      </c>
      <c r="E29" s="4" t="inlineStr">
        <is>
          <t>DMA</t>
        </is>
      </c>
      <c r="F29" s="10" t="n">
        <v>44562</v>
      </c>
      <c r="G29" s="4" t="inlineStr">
        <is>
          <t>2018gn</t>
        </is>
      </c>
      <c r="H29" s="4" t="n">
        <v>2021</v>
      </c>
      <c r="I29" s="4" t="inlineStr">
        <is>
          <t>old.tds.npc</t>
        </is>
      </c>
      <c r="J29" t="inlineStr">
        <is>
          <t xml:space="preserve">   Non-Paris Club</t>
        </is>
      </c>
      <c r="N29" t="n">
        <v>2.936159065942595</v>
      </c>
      <c r="O29" t="n">
        <v>2.925383179181293</v>
      </c>
      <c r="P29" t="n">
        <v>5.409251465989422</v>
      </c>
      <c r="Q29" t="n">
        <v>5.473305709119212</v>
      </c>
      <c r="R29" t="n">
        <v>4.325824436678672</v>
      </c>
      <c r="S29" t="n">
        <v>3.848664438033101</v>
      </c>
      <c r="T29" t="n">
        <v>3.464202646368596</v>
      </c>
      <c r="U29" t="n">
        <v>3.051214972129463</v>
      </c>
      <c r="V29" t="n">
        <v>2.691464071030773</v>
      </c>
      <c r="W29" t="n">
        <v>2.376296270845634</v>
      </c>
      <c r="X29" t="n">
        <v>2.139751822232542</v>
      </c>
      <c r="Y29" t="n">
        <v>1.928854495208469</v>
      </c>
      <c r="Z29" t="n">
        <v>1.733512317081719</v>
      </c>
      <c r="AA29" t="n">
        <v>1.564977197488537</v>
      </c>
      <c r="AB29" t="n">
        <v>1.420350427987094</v>
      </c>
      <c r="AC29" t="n">
        <v>1.058095098437863</v>
      </c>
      <c r="AD29" t="n">
        <v>0.7649015170589335</v>
      </c>
      <c r="AE29" t="n">
        <v>0.6811382264636165</v>
      </c>
      <c r="AF29" t="n">
        <v>0.607982685132576</v>
      </c>
      <c r="AG29" t="n">
        <v>-1.45792368270351</v>
      </c>
      <c r="AH29" t="n">
        <v>-1.512098165803025</v>
      </c>
      <c r="AI29" t="n">
        <v>0.4414629478910631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I29" t="inlineStr">
        <is>
          <t>OLD_NPC_ALL</t>
        </is>
      </c>
    </row>
    <row r="30">
      <c r="A30" t="inlineStr">
        <is>
          <t>Dominica_2022_January</t>
        </is>
      </c>
      <c r="B30" s="2" t="n"/>
      <c r="C30" s="3" t="inlineStr">
        <is>
          <t>SM.22.7, Sup.2</t>
        </is>
      </c>
      <c r="D30" s="4" t="inlineStr">
        <is>
          <t>Dominica</t>
        </is>
      </c>
      <c r="E30" s="4" t="inlineStr">
        <is>
          <t>DMA</t>
        </is>
      </c>
      <c r="F30" s="10" t="n">
        <v>44562</v>
      </c>
      <c r="G30" s="4" t="inlineStr">
        <is>
          <t>2018gn</t>
        </is>
      </c>
      <c r="H30" s="4" t="n">
        <v>2021</v>
      </c>
      <c r="I30" s="6" t="inlineStr">
        <is>
          <t>old.tds.npc.eximbk</t>
        </is>
      </c>
      <c r="J30" t="inlineStr">
        <is>
          <t>NPC2</t>
        </is>
      </c>
      <c r="N30" t="n">
        <v>0.572212037037037</v>
      </c>
      <c r="O30" t="n">
        <v>0.07016174074074071</v>
      </c>
      <c r="P30" t="n">
        <v>0.0517803703703704</v>
      </c>
      <c r="Q30" t="n">
        <v>0.0502312962962963</v>
      </c>
      <c r="R30" t="n">
        <v>0.0390673083430259</v>
      </c>
      <c r="S30" t="n">
        <v>0.0303845350151077</v>
      </c>
      <c r="T30" t="n">
        <v>0.0236315222942436</v>
      </c>
      <c r="U30" t="n">
        <v>0.0183793777217805</v>
      </c>
      <c r="V30" t="n">
        <v>0.0142945308911465</v>
      </c>
      <c r="W30" t="n">
        <v>0.0111175479655003</v>
      </c>
      <c r="X30" t="n">
        <v>0.008646654703565839</v>
      </c>
      <c r="Y30" t="n">
        <v>0.00672492151998851</v>
      </c>
      <c r="Z30" t="n">
        <v>0.00523029668703599</v>
      </c>
      <c r="AA30" t="n">
        <v>0.00406785467356152</v>
      </c>
      <c r="AB30" t="n">
        <v>0.00316376730334081</v>
      </c>
      <c r="AC30" t="n">
        <v>0.00246061483335266</v>
      </c>
      <c r="AD30" t="n">
        <v>0.00191373915259877</v>
      </c>
      <c r="AE30" t="n">
        <v>0.00148840748846471</v>
      </c>
      <c r="AF30" t="n">
        <v>0.00115760648399208</v>
      </c>
      <c r="AG30" t="n">
        <v>0.000900326545093346</v>
      </c>
      <c r="AH30" t="n">
        <v>0.000700227494411017</v>
      </c>
      <c r="AI30" t="n">
        <v>0.000544600785794109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I30" t="inlineStr">
        <is>
          <t>OLD_NPC1</t>
        </is>
      </c>
    </row>
    <row r="31">
      <c r="A31" t="inlineStr">
        <is>
          <t>Dominica_2022_January</t>
        </is>
      </c>
      <c r="B31" s="2" t="n"/>
      <c r="C31" s="3" t="inlineStr">
        <is>
          <t>SM.22.7, Sup.2</t>
        </is>
      </c>
      <c r="D31" s="4" t="inlineStr">
        <is>
          <t>Dominica</t>
        </is>
      </c>
      <c r="E31" s="4" t="inlineStr">
        <is>
          <t>DMA</t>
        </is>
      </c>
      <c r="F31" s="10" t="n">
        <v>44562</v>
      </c>
      <c r="G31" s="4" t="inlineStr">
        <is>
          <t>2018gn</t>
        </is>
      </c>
      <c r="H31" s="4" t="n">
        <v>2021</v>
      </c>
      <c r="I31" s="4" t="inlineStr">
        <is>
          <t>old.tds.npc2</t>
        </is>
      </c>
      <c r="J31" t="inlineStr">
        <is>
          <t>NPC2</t>
        </is>
      </c>
      <c r="N31" t="n">
        <v>0.356349777777778</v>
      </c>
      <c r="O31" t="n">
        <v>0.345470148148148</v>
      </c>
      <c r="P31" t="n">
        <v>0.33300162962963</v>
      </c>
      <c r="Q31" t="n">
        <v>0.307268777777778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I31" t="inlineStr">
        <is>
          <t>OLD_NPC2</t>
        </is>
      </c>
    </row>
    <row r="32">
      <c r="A32" t="inlineStr">
        <is>
          <t>Dominica_2022_January</t>
        </is>
      </c>
      <c r="B32" s="2" t="n"/>
      <c r="C32" s="3" t="inlineStr">
        <is>
          <t>SM.22.7, Sup.2</t>
        </is>
      </c>
      <c r="D32" s="4" t="inlineStr">
        <is>
          <t>Dominica</t>
        </is>
      </c>
      <c r="E32" s="4" t="inlineStr">
        <is>
          <t>DMA</t>
        </is>
      </c>
      <c r="F32" s="10" t="n">
        <v>44562</v>
      </c>
      <c r="G32" s="4" t="inlineStr">
        <is>
          <t>2018gn</t>
        </is>
      </c>
      <c r="H32" s="4" t="n">
        <v>2021</v>
      </c>
      <c r="I32" s="4" t="inlineStr">
        <is>
          <t>old.tds.npc3</t>
        </is>
      </c>
      <c r="J32" t="inlineStr">
        <is>
          <t>NPC3</t>
        </is>
      </c>
      <c r="N32" t="n">
        <v>1.67709622222222</v>
      </c>
      <c r="O32" t="n">
        <v>1.74230422222222</v>
      </c>
      <c r="P32" t="n">
        <v>4.00578585185185</v>
      </c>
      <c r="Q32" t="n">
        <v>4.11153792592593</v>
      </c>
      <c r="R32" t="n">
        <v>3.51321891038804</v>
      </c>
      <c r="S32" t="n">
        <v>3.00196844457625</v>
      </c>
      <c r="T32" t="n">
        <v>2.56511614337069</v>
      </c>
      <c r="U32" t="n">
        <v>2.19183544079849</v>
      </c>
      <c r="V32" t="n">
        <v>1.87287527387646</v>
      </c>
      <c r="W32" t="n">
        <v>1.60033081234418</v>
      </c>
      <c r="X32" t="n">
        <v>1.36744755225335</v>
      </c>
      <c r="Y32" t="n">
        <v>1.16845391823995</v>
      </c>
      <c r="Z32" t="n">
        <v>0.998418225840184</v>
      </c>
      <c r="AA32" t="n">
        <v>0.853126458929082</v>
      </c>
      <c r="AB32" t="n">
        <v>0.728977833224549</v>
      </c>
      <c r="AC32" t="n">
        <v>0.622895557593921</v>
      </c>
      <c r="AD32" t="n">
        <v>0.532250581549199</v>
      </c>
      <c r="AE32" t="n">
        <v>0.454796439155446</v>
      </c>
      <c r="AF32" t="n">
        <v>0.388613574580667</v>
      </c>
      <c r="AG32" t="n">
        <v>0.332061769500236</v>
      </c>
      <c r="AH32" t="n">
        <v>0.283739493358174</v>
      </c>
      <c r="AI32" t="n">
        <v>0.242449169057676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I32" t="inlineStr">
        <is>
          <t>OLD_NPC3</t>
        </is>
      </c>
    </row>
    <row r="33">
      <c r="A33" t="inlineStr">
        <is>
          <t>Dominica_2022_January</t>
        </is>
      </c>
      <c r="B33" s="2" t="n"/>
      <c r="C33" s="3" t="inlineStr">
        <is>
          <t>SM.22.7, Sup.2</t>
        </is>
      </c>
      <c r="D33" s="4" t="inlineStr">
        <is>
          <t>Dominica</t>
        </is>
      </c>
      <c r="E33" s="4" t="inlineStr">
        <is>
          <t>DMA</t>
        </is>
      </c>
      <c r="F33" s="10" t="n">
        <v>44562</v>
      </c>
      <c r="G33" s="4" t="inlineStr">
        <is>
          <t>2018gn</t>
        </is>
      </c>
      <c r="H33" s="4" t="n">
        <v>2021</v>
      </c>
      <c r="I33" s="4" t="inlineStr">
        <is>
          <t>old.tds.npc4</t>
        </is>
      </c>
      <c r="J33" t="inlineStr">
        <is>
          <t>NPC4</t>
        </is>
      </c>
      <c r="N33" t="n">
        <v>0.00330102890555982</v>
      </c>
      <c r="O33" t="n">
        <v>0.00352288288500051</v>
      </c>
      <c r="P33" t="n">
        <v>0.00365613265609231</v>
      </c>
      <c r="Q33" t="n">
        <v>0.00392204245253858</v>
      </c>
      <c r="R33" t="n">
        <v>0.00422627702115934</v>
      </c>
      <c r="S33" t="n">
        <v>0.00455895247569753</v>
      </c>
      <c r="T33" t="n">
        <v>0.00487879408169618</v>
      </c>
      <c r="U33" t="n">
        <v>0.00519024481681452</v>
      </c>
      <c r="V33" t="n">
        <v>0.00551568287559295</v>
      </c>
      <c r="W33" t="n">
        <v>0.00585766691450401</v>
      </c>
      <c r="X33" t="n">
        <v>0.0062195195479269</v>
      </c>
      <c r="Y33" t="n">
        <v>0.00660081931946846</v>
      </c>
      <c r="Z33" t="n">
        <v>0.00700186674858144</v>
      </c>
      <c r="AA33" t="n">
        <v>0.00703515029999966</v>
      </c>
      <c r="AB33" t="n">
        <v>0.00660352816256998</v>
      </c>
      <c r="AC33" t="n">
        <v>0.00633687680220218</v>
      </c>
      <c r="AD33" t="n">
        <v>0.00601525838862866</v>
      </c>
      <c r="AE33" t="n">
        <v>0.00564609063570188</v>
      </c>
      <c r="AF33" t="n">
        <v>0.00438353486388897</v>
      </c>
      <c r="AG33" t="n">
        <v>0.000533564174841036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I33" t="inlineStr">
        <is>
          <t>OLD_NPC4</t>
        </is>
      </c>
    </row>
    <row r="34">
      <c r="A34" t="inlineStr">
        <is>
          <t>Dominica_2022_January</t>
        </is>
      </c>
      <c r="B34" s="2" t="n"/>
      <c r="C34" s="3" t="inlineStr">
        <is>
          <t>SM.22.7, Sup.2</t>
        </is>
      </c>
      <c r="D34" s="4" t="inlineStr">
        <is>
          <t>Dominica</t>
        </is>
      </c>
      <c r="E34" s="4" t="inlineStr">
        <is>
          <t>DMA</t>
        </is>
      </c>
      <c r="F34" s="10" t="n">
        <v>44562</v>
      </c>
      <c r="G34" s="4" t="inlineStr">
        <is>
          <t>2018gn</t>
        </is>
      </c>
      <c r="H34" s="4" t="n">
        <v>2021</v>
      </c>
      <c r="I34" s="4" t="inlineStr">
        <is>
          <t>old.tds.npc5</t>
        </is>
      </c>
      <c r="J34" t="inlineStr">
        <is>
          <t>NPC5</t>
        </is>
      </c>
      <c r="N34" t="n">
        <v>0.3272</v>
      </c>
      <c r="O34" t="n">
        <v>0.763924185185184</v>
      </c>
      <c r="P34" t="n">
        <v>1.01502748148148</v>
      </c>
      <c r="Q34" t="n">
        <v>1.00034566666667</v>
      </c>
      <c r="R34" t="n">
        <v>0.7693119409264469</v>
      </c>
      <c r="S34" t="n">
        <v>0.811752505966046</v>
      </c>
      <c r="T34" t="n">
        <v>0.870576186621966</v>
      </c>
      <c r="U34" t="n">
        <v>0.835809908792378</v>
      </c>
      <c r="V34" t="n">
        <v>0.798778583387574</v>
      </c>
      <c r="W34" t="n">
        <v>0.75899024362145</v>
      </c>
      <c r="X34" t="n">
        <v>0.757438095727699</v>
      </c>
      <c r="Y34" t="n">
        <v>0.747074836129062</v>
      </c>
      <c r="Z34" t="n">
        <v>0.722861927805918</v>
      </c>
      <c r="AA34" t="n">
        <v>0.700747733585894</v>
      </c>
      <c r="AB34" t="n">
        <v>0.681605299296634</v>
      </c>
      <c r="AC34" t="n">
        <v>0.426402049208387</v>
      </c>
      <c r="AD34" t="n">
        <v>0.224721937968507</v>
      </c>
      <c r="AE34" t="n">
        <v>0.219207289184004</v>
      </c>
      <c r="AF34" t="n">
        <v>0.213827969204028</v>
      </c>
      <c r="AG34" t="n">
        <v>-1.79141934292368</v>
      </c>
      <c r="AH34" t="n">
        <v>-1.79653788665561</v>
      </c>
      <c r="AI34" t="n">
        <v>0.198469178047593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I34" t="inlineStr">
        <is>
          <t>OLD_NPC5</t>
        </is>
      </c>
    </row>
    <row r="35">
      <c r="A35" t="inlineStr">
        <is>
          <t>Dominica_2022_January</t>
        </is>
      </c>
      <c r="B35" s="2" t="n"/>
      <c r="C35" s="3" t="inlineStr">
        <is>
          <t>SM.22.7, Sup.2</t>
        </is>
      </c>
      <c r="D35" s="4" t="inlineStr">
        <is>
          <t>Dominica</t>
        </is>
      </c>
      <c r="E35" s="4" t="inlineStr">
        <is>
          <t>DMA</t>
        </is>
      </c>
      <c r="F35" s="10" t="n">
        <v>44562</v>
      </c>
      <c r="G35" s="4" t="inlineStr">
        <is>
          <t>2018gn</t>
        </is>
      </c>
      <c r="H35" s="4" t="n">
        <v>2021</v>
      </c>
      <c r="I35" s="4" t="inlineStr">
        <is>
          <t>old.tds.prvt</t>
        </is>
      </c>
      <c r="J35" t="inlineStr">
        <is>
          <t>Commercial</t>
        </is>
      </c>
      <c r="N35" t="n">
        <v>8.21840481471458</v>
      </c>
      <c r="O35" t="n">
        <v>6.44219057478901</v>
      </c>
      <c r="P35" t="n">
        <v>7.84470270855312</v>
      </c>
      <c r="Q35" t="n">
        <v>6.57803998714606</v>
      </c>
      <c r="R35" t="n">
        <v>7.35934946595267</v>
      </c>
      <c r="S35" t="n">
        <v>6.35124312214636</v>
      </c>
      <c r="T35" t="n">
        <v>6.1298775951308</v>
      </c>
      <c r="U35" t="n">
        <v>6.03779454074013</v>
      </c>
      <c r="V35" t="n">
        <v>5.94254539913369</v>
      </c>
      <c r="W35" t="n">
        <v>5.86265252090638</v>
      </c>
      <c r="X35" t="n">
        <v>5.58896183694061</v>
      </c>
      <c r="Y35" t="n">
        <v>3.94466620864053</v>
      </c>
      <c r="Z35" t="n">
        <v>2.56626064488828</v>
      </c>
      <c r="AA35" t="n">
        <v>7.25737831418471</v>
      </c>
      <c r="AB35" t="n">
        <v>6.79758740779437</v>
      </c>
      <c r="AC35" t="n">
        <v>0.169461041152537</v>
      </c>
      <c r="AD35" t="n">
        <v>0.1479808108874</v>
      </c>
      <c r="AE35" t="n">
        <v>0.129223332052947</v>
      </c>
      <c r="AF35" t="n">
        <v>0.112843479142524</v>
      </c>
      <c r="AG35" t="n">
        <v>0.0985398734322373</v>
      </c>
      <c r="AH35" t="n">
        <v>0.08604933780690339</v>
      </c>
      <c r="AI35" t="n">
        <v>0.07514205447095899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I35" t="inlineStr">
        <is>
          <t>OLD_COM_ALL</t>
        </is>
      </c>
    </row>
    <row r="36">
      <c r="A36" t="inlineStr">
        <is>
          <t>Dominica_2022_January</t>
        </is>
      </c>
      <c r="B36" s="2" t="n"/>
      <c r="C36" s="3" t="inlineStr">
        <is>
          <t>SM.22.7, Sup.2</t>
        </is>
      </c>
      <c r="D36" s="4" t="inlineStr">
        <is>
          <t>Dominica</t>
        </is>
      </c>
      <c r="E36" s="4" t="inlineStr">
        <is>
          <t>DMA</t>
        </is>
      </c>
      <c r="F36" s="10" t="n">
        <v>44562</v>
      </c>
      <c r="G36" s="4" t="inlineStr">
        <is>
          <t>2018gn</t>
        </is>
      </c>
      <c r="H36" s="4" t="n">
        <v>2021</v>
      </c>
      <c r="I36" s="4" t="inlineStr">
        <is>
          <t>old.tds.prvt.bnd</t>
        </is>
      </c>
      <c r="J36" t="inlineStr">
        <is>
          <t>Eurobond</t>
        </is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I36" t="inlineStr">
        <is>
          <t>OLD_COM1</t>
        </is>
      </c>
    </row>
    <row r="37">
      <c r="A37" t="inlineStr">
        <is>
          <t>Dominica_2022_January</t>
        </is>
      </c>
      <c r="B37" s="2" t="n"/>
      <c r="C37" s="3" t="inlineStr">
        <is>
          <t>SM.22.7, Sup.2</t>
        </is>
      </c>
      <c r="D37" s="4" t="inlineStr">
        <is>
          <t>Dominica</t>
        </is>
      </c>
      <c r="E37" s="4" t="inlineStr">
        <is>
          <t>DMA</t>
        </is>
      </c>
      <c r="F37" s="10" t="n">
        <v>44562</v>
      </c>
      <c r="G37" s="4" t="inlineStr">
        <is>
          <t>2018gn</t>
        </is>
      </c>
      <c r="H37" s="4" t="n">
        <v>2021</v>
      </c>
      <c r="I37" s="4" t="inlineStr">
        <is>
          <t>old.tds.prvt.cmbk</t>
        </is>
      </c>
      <c r="J37" t="inlineStr">
        <is>
          <t>Commecial Bank</t>
        </is>
      </c>
      <c r="N37" t="n">
        <v>8.21840481471458</v>
      </c>
      <c r="O37" t="n">
        <v>6.44219057478901</v>
      </c>
      <c r="P37" t="n">
        <v>7.84470270855312</v>
      </c>
      <c r="Q37" t="n">
        <v>6.57803998714606</v>
      </c>
      <c r="R37" t="n">
        <v>7.35934946595267</v>
      </c>
      <c r="S37" t="n">
        <v>6.35124312214636</v>
      </c>
      <c r="T37" t="n">
        <v>6.1298775951308</v>
      </c>
      <c r="U37" t="n">
        <v>6.03779454074013</v>
      </c>
      <c r="V37" t="n">
        <v>5.94254539913369</v>
      </c>
      <c r="W37" t="n">
        <v>5.86265252090638</v>
      </c>
      <c r="X37" t="n">
        <v>5.58896183694061</v>
      </c>
      <c r="Y37" t="n">
        <v>3.94466620864053</v>
      </c>
      <c r="Z37" t="n">
        <v>2.56626064488828</v>
      </c>
      <c r="AA37" t="n">
        <v>7.25737831418471</v>
      </c>
      <c r="AB37" t="n">
        <v>6.79758740779437</v>
      </c>
      <c r="AC37" t="n">
        <v>0.169461041152537</v>
      </c>
      <c r="AD37" t="n">
        <v>0.1479808108874</v>
      </c>
      <c r="AE37" t="n">
        <v>0.129223332052947</v>
      </c>
      <c r="AF37" t="n">
        <v>0.112843479142524</v>
      </c>
      <c r="AG37" t="n">
        <v>0.0985398734322373</v>
      </c>
      <c r="AH37" t="n">
        <v>0.08604933780690339</v>
      </c>
      <c r="AI37" t="n">
        <v>0.07514205447095899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I37" t="inlineStr">
        <is>
          <t>OLD_COM2</t>
        </is>
      </c>
    </row>
    <row r="38">
      <c r="A38" t="inlineStr">
        <is>
          <t>Dominica_2022_January</t>
        </is>
      </c>
      <c r="B38" s="2" t="n"/>
      <c r="C38" s="3" t="inlineStr">
        <is>
          <t>SM.22.7, Sup.2</t>
        </is>
      </c>
      <c r="D38" s="4" t="inlineStr">
        <is>
          <t>Dominica</t>
        </is>
      </c>
      <c r="E38" s="4" t="inlineStr">
        <is>
          <t>DMA</t>
        </is>
      </c>
      <c r="F38" s="10" t="n">
        <v>44562</v>
      </c>
      <c r="G38" s="4" t="inlineStr">
        <is>
          <t>2018gn</t>
        </is>
      </c>
      <c r="H38" s="4" t="n">
        <v>2021</v>
      </c>
      <c r="I38" s="4" t="inlineStr">
        <is>
          <t>old.tds.prvt.com3</t>
        </is>
      </c>
      <c r="J38" t="inlineStr">
        <is>
          <t>COM3</t>
        </is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I38" t="inlineStr">
        <is>
          <t>OLD_COM3</t>
        </is>
      </c>
    </row>
    <row r="39">
      <c r="A39" t="inlineStr">
        <is>
          <t>Dominica_2022_January</t>
        </is>
      </c>
      <c r="B39" s="2" t="n"/>
      <c r="C39" s="3" t="inlineStr">
        <is>
          <t>SM.22.7, Sup.2</t>
        </is>
      </c>
      <c r="D39" s="4" t="inlineStr">
        <is>
          <t>Dominica</t>
        </is>
      </c>
      <c r="E39" s="4" t="inlineStr">
        <is>
          <t>DMA</t>
        </is>
      </c>
      <c r="F39" s="10" t="n">
        <v>44562</v>
      </c>
      <c r="G39" s="4" t="inlineStr">
        <is>
          <t>2018gn</t>
        </is>
      </c>
      <c r="H39" s="4" t="n">
        <v>2021</v>
      </c>
      <c r="I39" s="4" t="inlineStr">
        <is>
          <t>old.tds.prvt.com4</t>
        </is>
      </c>
      <c r="J39" t="inlineStr">
        <is>
          <t>COM4</t>
        </is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G39" t="n">
        <v>0</v>
      </c>
      <c r="BI39" t="inlineStr">
        <is>
          <t>OLD_COM4</t>
        </is>
      </c>
    </row>
    <row r="40">
      <c r="A40" t="inlineStr">
        <is>
          <t>Dominica_2022_January</t>
        </is>
      </c>
      <c r="B40" s="2" t="n"/>
      <c r="C40" s="3" t="inlineStr">
        <is>
          <t>SM.22.7, Sup.2</t>
        </is>
      </c>
      <c r="D40" s="4" t="inlineStr">
        <is>
          <t>Dominica</t>
        </is>
      </c>
      <c r="E40" s="4" t="inlineStr">
        <is>
          <t>DMA</t>
        </is>
      </c>
      <c r="F40" s="10" t="n">
        <v>44562</v>
      </c>
      <c r="G40" s="4" t="inlineStr">
        <is>
          <t>2018gn</t>
        </is>
      </c>
      <c r="H40" s="4" t="n">
        <v>2021</v>
      </c>
      <c r="I40" s="4" t="inlineStr">
        <is>
          <t>old.tds.prvt.com5</t>
        </is>
      </c>
      <c r="J40" t="inlineStr">
        <is>
          <t>COM5</t>
        </is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I40" t="inlineStr">
        <is>
          <t>OLD_COM5</t>
        </is>
      </c>
    </row>
    <row r="41">
      <c r="A41" t="inlineStr">
        <is>
          <t>Dominica_2022_January</t>
        </is>
      </c>
      <c r="B41" s="2" t="n"/>
      <c r="C41" s="3" t="inlineStr">
        <is>
          <t>SM.22.7, Sup.2</t>
        </is>
      </c>
      <c r="D41" s="4" t="inlineStr">
        <is>
          <t>Dominica</t>
        </is>
      </c>
      <c r="E41" s="4" t="inlineStr">
        <is>
          <t>DMA</t>
        </is>
      </c>
      <c r="F41" s="10" t="n">
        <v>44562</v>
      </c>
      <c r="G41" s="4" t="inlineStr">
        <is>
          <t>2018gn</t>
        </is>
      </c>
      <c r="H41" s="4" t="n">
        <v>2021</v>
      </c>
      <c r="I41" s="5" t="n"/>
    </row>
    <row r="42">
      <c r="A42" t="inlineStr">
        <is>
          <t>Dominica_2022_January</t>
        </is>
      </c>
      <c r="B42" s="2" t="n"/>
      <c r="C42" s="3" t="inlineStr">
        <is>
          <t>SM.22.7, Sup.2</t>
        </is>
      </c>
      <c r="D42" s="4" t="inlineStr">
        <is>
          <t>Dominica</t>
        </is>
      </c>
      <c r="E42" s="4" t="inlineStr">
        <is>
          <t>DMA</t>
        </is>
      </c>
      <c r="F42" s="10" t="n">
        <v>44562</v>
      </c>
      <c r="G42" s="4" t="inlineStr">
        <is>
          <t>2018gn</t>
        </is>
      </c>
      <c r="H42" s="4" t="n">
        <v>2021</v>
      </c>
      <c r="I42" s="4" t="inlineStr">
        <is>
          <t>old.tds.exc.lcl.iss</t>
        </is>
      </c>
      <c r="J42" t="inlineStr">
        <is>
          <t>Total external debt (excluding locally-issued debt)</t>
        </is>
      </c>
      <c r="N42" t="n">
        <v>23.43446151028682</v>
      </c>
      <c r="O42" t="n">
        <v>24.44857049471105</v>
      </c>
      <c r="P42" t="n">
        <v>34.4589629523203</v>
      </c>
      <c r="Q42" t="n">
        <v>34.37034651108014</v>
      </c>
      <c r="R42" t="n">
        <v>33.39357470541012</v>
      </c>
      <c r="S42" t="n">
        <v>29.41833219859557</v>
      </c>
      <c r="T42" t="n">
        <v>26.73111822572625</v>
      </c>
      <c r="U42" t="n">
        <v>23.59690790847998</v>
      </c>
      <c r="V42" t="n">
        <v>22.06161671313607</v>
      </c>
      <c r="W42" t="n">
        <v>20.62252230166495</v>
      </c>
      <c r="X42" t="n">
        <v>19.41827054897696</v>
      </c>
      <c r="Y42" t="n">
        <v>16.96307443693873</v>
      </c>
      <c r="Z42" t="n">
        <v>14.84701919133685</v>
      </c>
      <c r="AA42" t="n">
        <v>18.87558411038166</v>
      </c>
      <c r="AB42" t="n">
        <v>17.81813883200538</v>
      </c>
      <c r="AC42" t="n">
        <v>10.40995659090558</v>
      </c>
      <c r="AD42" t="n">
        <v>11.03534602010786</v>
      </c>
      <c r="AE42" t="n">
        <v>7.749306123675828</v>
      </c>
      <c r="AF42" t="n">
        <v>7.357842311718808</v>
      </c>
      <c r="AG42" t="n">
        <v>4.996999762810598</v>
      </c>
      <c r="AH42" t="n">
        <v>4.668874148442763</v>
      </c>
      <c r="AI42" t="n">
        <v>6.367437549654092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</row>
    <row r="43">
      <c r="A43" t="inlineStr">
        <is>
          <t>Dominica_2022_January</t>
        </is>
      </c>
      <c r="B43" s="2" t="n"/>
      <c r="C43" s="3" t="inlineStr">
        <is>
          <t>SM.22.7, Sup.2</t>
        </is>
      </c>
      <c r="D43" s="4" t="inlineStr">
        <is>
          <t>Dominica</t>
        </is>
      </c>
      <c r="E43" s="4" t="inlineStr">
        <is>
          <t>DMA</t>
        </is>
      </c>
      <c r="F43" s="10" t="n">
        <v>44562</v>
      </c>
      <c r="G43" s="4" t="inlineStr">
        <is>
          <t>2018gn</t>
        </is>
      </c>
      <c r="H43" s="4" t="n">
        <v>2021</v>
      </c>
      <c r="I43" s="7" t="inlineStr">
        <is>
          <t>old.tds.exc.lcl.iss.amt</t>
        </is>
      </c>
      <c r="J43" t="inlineStr">
        <is>
          <t xml:space="preserve">    of which: principal</t>
        </is>
      </c>
      <c r="N43" t="n">
        <v>15.90536222222222</v>
      </c>
      <c r="O43" t="n">
        <v>17.89457247629811</v>
      </c>
      <c r="P43" t="n">
        <v>28.45380132692422</v>
      </c>
      <c r="Q43" t="n">
        <v>28.43047993648263</v>
      </c>
      <c r="R43" t="n">
        <v>27.80277092205833</v>
      </c>
      <c r="S43" t="n">
        <v>24.60878870925355</v>
      </c>
      <c r="T43" t="n">
        <v>22.82195708334333</v>
      </c>
      <c r="U43" t="n">
        <v>20.27395039255985</v>
      </c>
      <c r="V43" t="n">
        <v>18.37837060759404</v>
      </c>
      <c r="W43" t="n">
        <v>16.79596709075763</v>
      </c>
      <c r="X43" t="n">
        <v>16.0149253292447</v>
      </c>
      <c r="Y43" t="n">
        <v>14.20887458364644</v>
      </c>
      <c r="Z43" t="n">
        <v>11.24252382279678</v>
      </c>
      <c r="AA43" t="n">
        <v>10.72114980534059</v>
      </c>
      <c r="AB43" t="n">
        <v>9.886801031589185</v>
      </c>
      <c r="AC43" t="n">
        <v>9.02723033683</v>
      </c>
      <c r="AD43" t="n">
        <v>8.197938553062295</v>
      </c>
      <c r="AE43" t="n">
        <v>7.544278808287554</v>
      </c>
      <c r="AF43" t="n">
        <v>6.016235160246554</v>
      </c>
      <c r="AG43" t="n">
        <v>3.293765280080555</v>
      </c>
      <c r="AH43" t="n">
        <v>3.188025935958037</v>
      </c>
      <c r="AI43" t="n">
        <v>3.134488350009296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</row>
    <row r="44">
      <c r="A44" t="inlineStr">
        <is>
          <t>Dominica_2022_January</t>
        </is>
      </c>
      <c r="B44" s="2" t="n"/>
      <c r="C44" s="3" t="inlineStr">
        <is>
          <t>SM.22.7, Sup.2</t>
        </is>
      </c>
      <c r="D44" s="4" t="inlineStr">
        <is>
          <t>Dominica</t>
        </is>
      </c>
      <c r="E44" s="4" t="inlineStr">
        <is>
          <t>DMA</t>
        </is>
      </c>
      <c r="F44" s="10" t="n">
        <v>44562</v>
      </c>
      <c r="G44" s="4" t="inlineStr">
        <is>
          <t>2018gn</t>
        </is>
      </c>
      <c r="H44" s="4" t="n">
        <v>2021</v>
      </c>
      <c r="I44" s="4" t="inlineStr">
        <is>
          <t>old.tds.exc.lcl.iss.int</t>
        </is>
      </c>
      <c r="J44" t="inlineStr">
        <is>
          <t xml:space="preserve">    of which: interest</t>
        </is>
      </c>
      <c r="N44" t="n">
        <v>7.529099288064597</v>
      </c>
      <c r="O44" t="n">
        <v>6.55399801841294</v>
      </c>
      <c r="P44" t="n">
        <v>6.005161625396077</v>
      </c>
      <c r="Q44" t="n">
        <v>5.939866574597509</v>
      </c>
      <c r="R44" t="n">
        <v>5.590803783351795</v>
      </c>
      <c r="S44" t="n">
        <v>4.809543489342015</v>
      </c>
      <c r="T44" t="n">
        <v>3.909161142382914</v>
      </c>
      <c r="U44" t="n">
        <v>3.322957515920134</v>
      </c>
      <c r="V44" t="n">
        <v>3.683246105542036</v>
      </c>
      <c r="W44" t="n">
        <v>3.826555210907326</v>
      </c>
      <c r="X44" t="n">
        <v>3.403345219732252</v>
      </c>
      <c r="Y44" t="n">
        <v>2.754199853292281</v>
      </c>
      <c r="Z44" t="n">
        <v>3.604495368540068</v>
      </c>
      <c r="AA44" t="n">
        <v>8.154434305041063</v>
      </c>
      <c r="AB44" t="n">
        <v>7.9313378004162</v>
      </c>
      <c r="AC44" t="n">
        <v>1.382726254075582</v>
      </c>
      <c r="AD44" t="n">
        <v>2.837407467045562</v>
      </c>
      <c r="AE44" t="n">
        <v>0.2050273153882731</v>
      </c>
      <c r="AF44" t="n">
        <v>1.341607151472254</v>
      </c>
      <c r="AG44" t="n">
        <v>1.703234482730043</v>
      </c>
      <c r="AH44" t="n">
        <v>1.480848212484726</v>
      </c>
      <c r="AI44" t="n">
        <v>3.232949199644795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</row>
    <row r="45">
      <c r="A45" t="inlineStr">
        <is>
          <t>Dominica_2022_January</t>
        </is>
      </c>
      <c r="B45" s="2" t="n"/>
      <c r="C45" s="3" t="inlineStr">
        <is>
          <t>SM.22.7, Sup.2</t>
        </is>
      </c>
      <c r="D45" s="4" t="inlineStr">
        <is>
          <t>Dominica</t>
        </is>
      </c>
      <c r="E45" s="4" t="inlineStr">
        <is>
          <t>DMA</t>
        </is>
      </c>
      <c r="F45" s="10" t="n">
        <v>44562</v>
      </c>
      <c r="G45" s="4" t="inlineStr">
        <is>
          <t>2018gn</t>
        </is>
      </c>
      <c r="H45" s="4" t="n">
        <v>2021</v>
      </c>
      <c r="I45" s="5" t="n"/>
      <c r="J45" t="inlineStr">
        <is>
          <t>(hide) Evolution of debt (excluding locally-issued debt)</t>
        </is>
      </c>
      <c r="N45" t="n">
        <v>375.034355363731</v>
      </c>
      <c r="O45" t="n">
        <v>357.1397828874329</v>
      </c>
      <c r="P45" t="n">
        <v>328.6859815605087</v>
      </c>
      <c r="Q45" t="n">
        <v>300.255501624026</v>
      </c>
      <c r="R45" t="n">
        <v>272.4527307019677</v>
      </c>
      <c r="S45" t="n">
        <v>247.8439419927141</v>
      </c>
      <c r="T45" t="n">
        <v>225.0219849093708</v>
      </c>
      <c r="U45" t="n">
        <v>204.7480345168109</v>
      </c>
      <c r="V45" t="n">
        <v>186.3696639092169</v>
      </c>
      <c r="W45" t="n">
        <v>169.5736968184593</v>
      </c>
      <c r="X45" t="n">
        <v>153.5587714892146</v>
      </c>
      <c r="Y45" t="n">
        <v>139.3498969055681</v>
      </c>
      <c r="Z45" t="n">
        <v>128.1073730827713</v>
      </c>
      <c r="AA45" t="n">
        <v>117.3862232774308</v>
      </c>
      <c r="AB45" t="n">
        <v>107.4994222458416</v>
      </c>
      <c r="AC45" t="n">
        <v>98.47219190901157</v>
      </c>
      <c r="AD45" t="n">
        <v>90.27425335594927</v>
      </c>
      <c r="AE45" t="n">
        <v>82.72997454766171</v>
      </c>
      <c r="AF45" t="n">
        <v>76.71373938741516</v>
      </c>
      <c r="AG45" t="n">
        <v>73.41997410733461</v>
      </c>
      <c r="AH45" t="n">
        <v>70.23194817137657</v>
      </c>
      <c r="AI45" t="n">
        <v>67.09745982136728</v>
      </c>
      <c r="AJ45" t="n">
        <v>67.09745982136728</v>
      </c>
      <c r="AK45" t="n">
        <v>67.09745982136728</v>
      </c>
      <c r="AL45" t="n">
        <v>67.09745982136728</v>
      </c>
      <c r="AM45" t="n">
        <v>67.09745982136728</v>
      </c>
      <c r="AN45" t="n">
        <v>67.09745982136728</v>
      </c>
      <c r="AO45" t="n">
        <v>67.09745982136728</v>
      </c>
      <c r="AP45" t="n">
        <v>67.09745982136728</v>
      </c>
      <c r="AQ45" t="n">
        <v>67.09745982136728</v>
      </c>
      <c r="AR45" t="n">
        <v>67.09745982136728</v>
      </c>
      <c r="AS45" t="n">
        <v>67.09745982136728</v>
      </c>
      <c r="AT45" t="n">
        <v>67.09745982136728</v>
      </c>
      <c r="AU45" t="n">
        <v>67.09745982136728</v>
      </c>
      <c r="AV45" t="n">
        <v>67.09745982136728</v>
      </c>
      <c r="AW45" t="n">
        <v>67.09745982136728</v>
      </c>
      <c r="AX45" t="n">
        <v>67.09745982136728</v>
      </c>
      <c r="AY45" t="n">
        <v>67.09745982136728</v>
      </c>
      <c r="AZ45" t="n">
        <v>67.09745982136728</v>
      </c>
      <c r="BA45" t="n">
        <v>67.09745982136728</v>
      </c>
      <c r="BB45" t="n">
        <v>67.09745982136728</v>
      </c>
      <c r="BC45" t="n">
        <v>67.09745982136728</v>
      </c>
      <c r="BD45" t="n">
        <v>67.09745982136728</v>
      </c>
      <c r="BE45" t="n">
        <v>67.09745982136728</v>
      </c>
      <c r="BF45" t="n">
        <v>67.09745982136728</v>
      </c>
      <c r="BG45" t="n">
        <v>67.09745982136728</v>
      </c>
    </row>
    <row r="46">
      <c r="A46" t="inlineStr">
        <is>
          <t>Dominica_2022_January</t>
        </is>
      </c>
      <c r="B46" s="2" t="n"/>
      <c r="C46" s="3" t="inlineStr">
        <is>
          <t>SM.22.7, Sup.2</t>
        </is>
      </c>
      <c r="D46" s="4" t="inlineStr">
        <is>
          <t>Dominica</t>
        </is>
      </c>
      <c r="E46" s="4" t="inlineStr">
        <is>
          <t>DMA</t>
        </is>
      </c>
      <c r="F46" s="10" t="n">
        <v>44562</v>
      </c>
      <c r="G46" s="4" t="inlineStr">
        <is>
          <t>2018gn</t>
        </is>
      </c>
      <c r="H46" s="4" t="n">
        <v>2021</v>
      </c>
      <c r="I46" s="5" t="n"/>
      <c r="J46" t="inlineStr">
        <is>
          <t>check (outstanding as of end-2020 - total debt services)</t>
        </is>
      </c>
      <c r="N46" t="n">
        <v>67.09745982136741</v>
      </c>
    </row>
    <row r="47">
      <c r="A47" t="inlineStr">
        <is>
          <t>Dominica_2022_January</t>
        </is>
      </c>
      <c r="B47" s="2" t="n"/>
      <c r="C47" s="3" t="inlineStr">
        <is>
          <t>SM.22.7, Sup.2</t>
        </is>
      </c>
      <c r="D47" s="4" t="inlineStr">
        <is>
          <t>Dominica</t>
        </is>
      </c>
      <c r="E47" s="4" t="inlineStr">
        <is>
          <t>DMA</t>
        </is>
      </c>
      <c r="F47" s="10" t="n">
        <v>44562</v>
      </c>
      <c r="G47" s="4" t="inlineStr">
        <is>
          <t>2018gn</t>
        </is>
      </c>
      <c r="H47" s="4" t="n">
        <v>2021</v>
      </c>
      <c r="I47" s="5" t="n"/>
    </row>
    <row r="48">
      <c r="A48" t="inlineStr">
        <is>
          <t>Dominica_2022_January</t>
        </is>
      </c>
      <c r="B48" s="2" t="n"/>
      <c r="C48" s="3" t="inlineStr">
        <is>
          <t>SM.22.7, Sup.2</t>
        </is>
      </c>
      <c r="D48" s="4" t="inlineStr">
        <is>
          <t>Dominica</t>
        </is>
      </c>
      <c r="E48" s="4" t="inlineStr">
        <is>
          <t>DMA</t>
        </is>
      </c>
      <c r="F48" s="10" t="n">
        <v>44562</v>
      </c>
      <c r="G48" s="4" t="inlineStr">
        <is>
          <t>2018gn</t>
        </is>
      </c>
      <c r="H48" s="4" t="n">
        <v>2021</v>
      </c>
      <c r="I48" s="5" t="n"/>
      <c r="J48" t="inlineStr">
        <is>
          <t>Locally-issued debt</t>
        </is>
      </c>
    </row>
    <row r="49">
      <c r="A49" t="inlineStr">
        <is>
          <t>Dominica_2022_January</t>
        </is>
      </c>
      <c r="B49" s="2" t="n"/>
      <c r="C49" s="3" t="inlineStr">
        <is>
          <t>SM.22.7, Sup.2</t>
        </is>
      </c>
      <c r="D49" s="4" t="inlineStr">
        <is>
          <t>Dominica</t>
        </is>
      </c>
      <c r="E49" s="4" t="inlineStr">
        <is>
          <t>DMA</t>
        </is>
      </c>
      <c r="F49" s="10" t="n">
        <v>44562</v>
      </c>
      <c r="G49" s="4" t="inlineStr">
        <is>
          <t>2018gn</t>
        </is>
      </c>
      <c r="H49" s="4" t="n">
        <v>2021</v>
      </c>
      <c r="I49" s="4" t="inlineStr">
        <is>
          <t>old.tds.lcl.nres</t>
        </is>
      </c>
      <c r="J49" t="inlineStr">
        <is>
          <t>Locally-issued debt held by non-residents</t>
        </is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BI49" t="inlineStr">
        <is>
          <t>OLD_LC_NR_ALL</t>
        </is>
      </c>
    </row>
    <row r="50">
      <c r="A50" t="inlineStr">
        <is>
          <t>Dominica_2022_January</t>
        </is>
      </c>
      <c r="B50" s="2" t="n"/>
      <c r="C50" s="3" t="inlineStr">
        <is>
          <t>SM.22.7, Sup.2</t>
        </is>
      </c>
      <c r="D50" s="4" t="inlineStr">
        <is>
          <t>Dominica</t>
        </is>
      </c>
      <c r="E50" s="4" t="inlineStr">
        <is>
          <t>DMA</t>
        </is>
      </c>
      <c r="F50" s="10" t="n">
        <v>44562</v>
      </c>
      <c r="G50" s="4" t="inlineStr">
        <is>
          <t>2018gn</t>
        </is>
      </c>
      <c r="H50" s="4" t="n">
        <v>2021</v>
      </c>
      <c r="I50" s="4" t="inlineStr">
        <is>
          <t>old.tds.lcl.nres.lc</t>
        </is>
      </c>
      <c r="J50" t="inlineStr">
        <is>
          <t>Denominated in local currency (LC)</t>
        </is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</row>
    <row r="51">
      <c r="A51" t="inlineStr">
        <is>
          <t>Dominica_2022_January</t>
        </is>
      </c>
      <c r="B51" s="2" t="n"/>
      <c r="C51" s="3" t="inlineStr">
        <is>
          <t>SM.22.7, Sup.2</t>
        </is>
      </c>
      <c r="D51" s="4" t="inlineStr">
        <is>
          <t>Dominica</t>
        </is>
      </c>
      <c r="E51" s="4" t="inlineStr">
        <is>
          <t>DMA</t>
        </is>
      </c>
      <c r="F51" s="10" t="n">
        <v>44562</v>
      </c>
      <c r="G51" s="4" t="inlineStr">
        <is>
          <t>2018gn</t>
        </is>
      </c>
      <c r="H51" s="4" t="n">
        <v>2021</v>
      </c>
      <c r="I51" s="4" t="inlineStr">
        <is>
          <t>old.tds.lcl.nres.fx</t>
        </is>
      </c>
      <c r="J51" t="inlineStr">
        <is>
          <t>Denominated in foreign currency (FX)</t>
        </is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</row>
    <row r="52">
      <c r="A52" t="inlineStr">
        <is>
          <t>Dominica_2022_January</t>
        </is>
      </c>
      <c r="B52" s="2" t="n"/>
      <c r="C52" s="3" t="inlineStr">
        <is>
          <t>SM.22.7, Sup.2</t>
        </is>
      </c>
      <c r="D52" s="4" t="inlineStr">
        <is>
          <t>Dominica</t>
        </is>
      </c>
      <c r="E52" s="4" t="inlineStr">
        <is>
          <t>DMA</t>
        </is>
      </c>
      <c r="F52" s="10" t="n">
        <v>44562</v>
      </c>
      <c r="G52" s="4" t="inlineStr">
        <is>
          <t>2018gn</t>
        </is>
      </c>
      <c r="H52" s="4" t="n">
        <v>2021</v>
      </c>
      <c r="I52" s="5" t="n"/>
      <c r="J52" t="inlineStr">
        <is>
          <t>Locally-issued debt held by residents</t>
        </is>
      </c>
    </row>
    <row r="53">
      <c r="A53" t="inlineStr">
        <is>
          <t>Dominica_2022_January</t>
        </is>
      </c>
      <c r="B53" s="2" t="n"/>
      <c r="C53" s="3" t="inlineStr">
        <is>
          <t>SM.22.7, Sup.2</t>
        </is>
      </c>
      <c r="D53" s="4" t="inlineStr">
        <is>
          <t>Dominica</t>
        </is>
      </c>
      <c r="E53" s="4" t="inlineStr">
        <is>
          <t>DMA</t>
        </is>
      </c>
      <c r="F53" s="10" t="n">
        <v>44562</v>
      </c>
      <c r="G53" s="4" t="inlineStr">
        <is>
          <t>2018gn</t>
        </is>
      </c>
      <c r="H53" s="4" t="n">
        <v>2021</v>
      </c>
      <c r="I53" s="4" t="inlineStr">
        <is>
          <t>old.tds.lcl.fx</t>
        </is>
      </c>
      <c r="J53" t="inlineStr">
        <is>
          <t>Denominated in foreign currency (FX)</t>
        </is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</row>
    <row r="54">
      <c r="A54" t="inlineStr">
        <is>
          <t>Dominica_2022_January</t>
        </is>
      </c>
      <c r="B54" s="2" t="n"/>
      <c r="C54" s="3" t="inlineStr">
        <is>
          <t>SM.22.7, Sup.2</t>
        </is>
      </c>
      <c r="D54" s="4" t="inlineStr">
        <is>
          <t>Dominica</t>
        </is>
      </c>
      <c r="E54" s="4" t="inlineStr">
        <is>
          <t>DMA</t>
        </is>
      </c>
      <c r="F54" s="10" t="n">
        <v>44562</v>
      </c>
      <c r="G54" s="4" t="inlineStr">
        <is>
          <t>2018gn</t>
        </is>
      </c>
      <c r="H54" s="4" t="n">
        <v>2021</v>
      </c>
      <c r="I54" s="5" t="n"/>
      <c r="J54" t="inlineStr">
        <is>
          <t>If the Breakdown is not available insert total debt service here</t>
        </is>
      </c>
    </row>
    <row r="55">
      <c r="A55" t="inlineStr">
        <is>
          <t>Dominica_2022_January</t>
        </is>
      </c>
      <c r="B55" s="2" t="n"/>
      <c r="C55" s="3" t="inlineStr">
        <is>
          <t>SM.22.7, Sup.2</t>
        </is>
      </c>
      <c r="D55" s="4" t="inlineStr">
        <is>
          <t>Dominica</t>
        </is>
      </c>
      <c r="E55" s="4" t="inlineStr">
        <is>
          <t>DMA</t>
        </is>
      </c>
      <c r="F55" s="10" t="n">
        <v>44562</v>
      </c>
      <c r="G55" s="4" t="inlineStr">
        <is>
          <t>2018gn</t>
        </is>
      </c>
      <c r="H55" s="4" t="n">
        <v>2021</v>
      </c>
      <c r="I55" s="4" t="inlineStr">
        <is>
          <t>old.tds.lcl.incl.dom</t>
        </is>
      </c>
      <c r="J55" t="inlineStr">
        <is>
          <t>Total locally-issued debt service</t>
        </is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</row>
    <row r="56">
      <c r="A56" t="inlineStr">
        <is>
          <t>Dominica_2022_January</t>
        </is>
      </c>
      <c r="B56" s="2" t="n"/>
      <c r="C56" s="3" t="inlineStr">
        <is>
          <t>SM.22.7, Sup.2</t>
        </is>
      </c>
      <c r="D56" s="4" t="inlineStr">
        <is>
          <t>Dominica</t>
        </is>
      </c>
      <c r="E56" s="4" t="inlineStr">
        <is>
          <t>DMA</t>
        </is>
      </c>
      <c r="F56" s="10" t="n">
        <v>44562</v>
      </c>
      <c r="G56" s="4" t="inlineStr">
        <is>
          <t>2018gn</t>
        </is>
      </c>
      <c r="H56" s="4" t="n">
        <v>2021</v>
      </c>
      <c r="I56" s="4" t="inlineStr">
        <is>
          <t>old.tds.lcl.incl.dom.amt</t>
        </is>
      </c>
      <c r="J56" t="inlineStr">
        <is>
          <t xml:space="preserve">    of which: principal</t>
        </is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</row>
    <row r="57">
      <c r="A57" t="inlineStr">
        <is>
          <t>Dominica_2022_January</t>
        </is>
      </c>
      <c r="B57" s="2" t="n"/>
      <c r="C57" s="3" t="inlineStr">
        <is>
          <t>SM.22.7, Sup.2</t>
        </is>
      </c>
      <c r="D57" s="4" t="inlineStr">
        <is>
          <t>Dominica</t>
        </is>
      </c>
      <c r="E57" s="4" t="inlineStr">
        <is>
          <t>DMA</t>
        </is>
      </c>
      <c r="F57" s="10" t="n">
        <v>44562</v>
      </c>
      <c r="G57" s="4" t="inlineStr">
        <is>
          <t>2018gn</t>
        </is>
      </c>
      <c r="H57" s="4" t="n">
        <v>2021</v>
      </c>
      <c r="I57" s="4" t="inlineStr">
        <is>
          <t>old.tds.lcl.incl.dom.int</t>
        </is>
      </c>
      <c r="J57" t="inlineStr">
        <is>
          <t xml:space="preserve">    of which: interest</t>
        </is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</row>
    <row r="58">
      <c r="A58" t="inlineStr">
        <is>
          <t>Dominica_2022_January</t>
        </is>
      </c>
      <c r="B58" s="2" t="n"/>
      <c r="C58" s="3" t="inlineStr">
        <is>
          <t>SM.22.7, Sup.2</t>
        </is>
      </c>
      <c r="D58" s="4" t="inlineStr">
        <is>
          <t>Dominica</t>
        </is>
      </c>
      <c r="E58" s="4" t="inlineStr">
        <is>
          <t>DMA</t>
        </is>
      </c>
      <c r="F58" s="10" t="n">
        <v>44562</v>
      </c>
      <c r="G58" s="4" t="inlineStr">
        <is>
          <t>2018gn</t>
        </is>
      </c>
      <c r="H58" s="4" t="n">
        <v>2021</v>
      </c>
      <c r="I58" s="4" t="inlineStr">
        <is>
          <t>dbt.evol</t>
        </is>
      </c>
      <c r="J58" t="inlineStr">
        <is>
          <t>Evolution of debt</t>
        </is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</row>
    <row r="59">
      <c r="A59" t="inlineStr">
        <is>
          <t>Dominica_2022_January</t>
        </is>
      </c>
      <c r="B59" s="2" t="n"/>
      <c r="C59" s="3" t="inlineStr">
        <is>
          <t>SM.22.7, Sup.2</t>
        </is>
      </c>
      <c r="D59" s="4" t="inlineStr">
        <is>
          <t>Dominica</t>
        </is>
      </c>
      <c r="E59" s="4" t="inlineStr">
        <is>
          <t>DMA</t>
        </is>
      </c>
      <c r="F59" s="10" t="n">
        <v>44562</v>
      </c>
      <c r="G59" s="4" t="inlineStr">
        <is>
          <t>2018gn</t>
        </is>
      </c>
      <c r="H59" s="4" t="n">
        <v>2021</v>
      </c>
      <c r="I59" s="5" t="n"/>
      <c r="J59" t="inlineStr">
        <is>
          <t>Please check line 168 for domestic debt consistency</t>
        </is>
      </c>
    </row>
    <row r="60">
      <c r="A60" t="inlineStr">
        <is>
          <t>Dominica_2022_January</t>
        </is>
      </c>
      <c r="B60" s="2" t="n"/>
      <c r="C60" s="3" t="inlineStr">
        <is>
          <t>SM.22.7, Sup.2</t>
        </is>
      </c>
      <c r="D60" s="4" t="inlineStr">
        <is>
          <t>Dominica</t>
        </is>
      </c>
      <c r="E60" s="4" t="inlineStr">
        <is>
          <t>DMA</t>
        </is>
      </c>
      <c r="F60" s="10" t="n">
        <v>44562</v>
      </c>
      <c r="G60" s="4" t="inlineStr">
        <is>
          <t>2018gn</t>
        </is>
      </c>
      <c r="H60" s="4" t="n">
        <v>2021</v>
      </c>
      <c r="I60" s="5" t="n"/>
      <c r="O60" t="n">
        <v>48.3153456860049</v>
      </c>
      <c r="P60" t="n">
        <v>76.8252635826954</v>
      </c>
      <c r="Q60" t="n">
        <v>76.7622958285031</v>
      </c>
      <c r="R60" t="n">
        <v>75.06748148955749</v>
      </c>
      <c r="S60" t="n">
        <v>66.4437295149846</v>
      </c>
      <c r="T60" t="n">
        <v>61.619284125027</v>
      </c>
      <c r="U60" t="n">
        <v>57.22798676017552</v>
      </c>
      <c r="V60" t="n">
        <v>55.97196667595865</v>
      </c>
      <c r="W60" t="n">
        <v>54.92926885090971</v>
      </c>
      <c r="X60" t="n">
        <v>55.71093495967513</v>
      </c>
      <c r="Y60" t="n">
        <v>53.58161444035336</v>
      </c>
      <c r="Z60" t="n">
        <v>49.77954093567087</v>
      </c>
      <c r="AA60" t="n">
        <v>55.10277045205331</v>
      </c>
      <c r="AB60" t="n">
        <v>57.89689899514708</v>
      </c>
      <c r="AC60" t="n">
        <v>59.7435877006892</v>
      </c>
      <c r="AD60" t="n">
        <v>61.47869625363491</v>
      </c>
      <c r="AE60" t="n">
        <v>63.87759528477562</v>
      </c>
      <c r="AF60" t="n">
        <v>63.16658119884445</v>
      </c>
      <c r="AG60" t="n">
        <v>58.33748130189252</v>
      </c>
      <c r="AH60" t="n">
        <v>59.90574098306614</v>
      </c>
      <c r="AI60" t="n">
        <v>8.4631185450251</v>
      </c>
    </row>
    <row r="61">
      <c r="A61" t="inlineStr">
        <is>
          <t>Dominica_2022_January</t>
        </is>
      </c>
      <c r="B61" s="2" t="n"/>
      <c r="C61" s="3" t="inlineStr">
        <is>
          <t>SM.22.7, Sup.2</t>
        </is>
      </c>
      <c r="D61" s="4" t="inlineStr">
        <is>
          <t>Dominica</t>
        </is>
      </c>
      <c r="E61" s="4" t="inlineStr">
        <is>
          <t>DMA</t>
        </is>
      </c>
      <c r="F61" s="10" t="n">
        <v>44562</v>
      </c>
      <c r="G61" s="4" t="inlineStr">
        <is>
          <t>2018gn</t>
        </is>
      </c>
      <c r="H61" s="4" t="n">
        <v>2021</v>
      </c>
      <c r="I61" s="4" t="inlineStr">
        <is>
          <t>old.tds.inc.lcl.iss</t>
        </is>
      </c>
      <c r="J61" t="inlineStr">
        <is>
          <t>Total external debt (including locally-issued debt)</t>
        </is>
      </c>
      <c r="N61" t="n">
        <v>23.43446151028682</v>
      </c>
      <c r="O61" t="n">
        <v>24.44857049471105</v>
      </c>
      <c r="P61" t="n">
        <v>34.4589629523203</v>
      </c>
      <c r="Q61" t="n">
        <v>34.37034651108014</v>
      </c>
      <c r="R61" t="n">
        <v>33.39357470541012</v>
      </c>
      <c r="S61" t="n">
        <v>29.41833219859557</v>
      </c>
      <c r="T61" t="n">
        <v>26.73111822572625</v>
      </c>
      <c r="U61" t="n">
        <v>23.59690790847998</v>
      </c>
      <c r="V61" t="n">
        <v>22.06161671313607</v>
      </c>
      <c r="W61" t="n">
        <v>20.62252230166495</v>
      </c>
      <c r="X61" t="n">
        <v>19.41827054897696</v>
      </c>
      <c r="Y61" t="n">
        <v>16.96307443693873</v>
      </c>
      <c r="Z61" t="n">
        <v>14.84701919133685</v>
      </c>
      <c r="AA61" t="n">
        <v>18.87558411038166</v>
      </c>
      <c r="AB61" t="n">
        <v>17.81813883200538</v>
      </c>
      <c r="AC61" t="n">
        <v>10.40995659090558</v>
      </c>
      <c r="AD61" t="n">
        <v>11.03534602010786</v>
      </c>
      <c r="AE61" t="n">
        <v>7.749306123675828</v>
      </c>
      <c r="AF61" t="n">
        <v>7.357842311718808</v>
      </c>
      <c r="AG61" t="n">
        <v>4.996999762810598</v>
      </c>
      <c r="AH61" t="n">
        <v>4.668874148442763</v>
      </c>
      <c r="AI61" t="n">
        <v>6.367437549654092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  <c r="BI61" t="inlineStr">
        <is>
          <t>OLD_TOTAL</t>
        </is>
      </c>
    </row>
    <row r="62">
      <c r="A62" t="inlineStr">
        <is>
          <t>Dominica_2022_January</t>
        </is>
      </c>
      <c r="B62" s="2" t="n"/>
      <c r="C62" s="3" t="inlineStr">
        <is>
          <t>SM.22.7, Sup.2</t>
        </is>
      </c>
      <c r="D62" s="4" t="inlineStr">
        <is>
          <t>Dominica</t>
        </is>
      </c>
      <c r="E62" s="4" t="inlineStr">
        <is>
          <t>DMA</t>
        </is>
      </c>
      <c r="F62" s="10" t="n">
        <v>44562</v>
      </c>
      <c r="G62" s="4" t="inlineStr">
        <is>
          <t>2018gn</t>
        </is>
      </c>
      <c r="H62" s="4" t="n">
        <v>2021</v>
      </c>
      <c r="I62" s="4" t="inlineStr">
        <is>
          <t>old.tds.inc.lcl.iss.amt</t>
        </is>
      </c>
      <c r="J62" t="inlineStr">
        <is>
          <t xml:space="preserve">    of which: principal</t>
        </is>
      </c>
      <c r="N62" t="n">
        <v>15.90536222222222</v>
      </c>
      <c r="O62" t="n">
        <v>17.89457247629811</v>
      </c>
      <c r="P62" t="n">
        <v>28.45380132692422</v>
      </c>
      <c r="Q62" t="n">
        <v>28.43047993648263</v>
      </c>
      <c r="R62" t="n">
        <v>27.80277092205833</v>
      </c>
      <c r="S62" t="n">
        <v>24.60878870925355</v>
      </c>
      <c r="T62" t="n">
        <v>22.82195708334333</v>
      </c>
      <c r="U62" t="n">
        <v>20.27395039255985</v>
      </c>
      <c r="V62" t="n">
        <v>18.37837060759404</v>
      </c>
      <c r="W62" t="n">
        <v>16.79596709075763</v>
      </c>
      <c r="X62" t="n">
        <v>16.0149253292447</v>
      </c>
      <c r="Y62" t="n">
        <v>14.20887458364644</v>
      </c>
      <c r="Z62" t="n">
        <v>11.24252382279678</v>
      </c>
      <c r="AA62" t="n">
        <v>10.72114980534059</v>
      </c>
      <c r="AB62" t="n">
        <v>9.886801031589185</v>
      </c>
      <c r="AC62" t="n">
        <v>9.02723033683</v>
      </c>
      <c r="AD62" t="n">
        <v>8.197938553062295</v>
      </c>
      <c r="AE62" t="n">
        <v>7.544278808287554</v>
      </c>
      <c r="AF62" t="n">
        <v>6.016235160246554</v>
      </c>
      <c r="AG62" t="n">
        <v>3.293765280080555</v>
      </c>
      <c r="AH62" t="n">
        <v>3.188025935958037</v>
      </c>
      <c r="AI62" t="n">
        <v>3.134488350009296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I62" t="inlineStr">
        <is>
          <t>OLD_TOTAL_P</t>
        </is>
      </c>
    </row>
    <row r="63">
      <c r="A63" t="inlineStr">
        <is>
          <t>Dominica_2022_January</t>
        </is>
      </c>
      <c r="B63" s="2" t="n"/>
      <c r="C63" s="3" t="inlineStr">
        <is>
          <t>SM.22.7, Sup.2</t>
        </is>
      </c>
      <c r="D63" s="4" t="inlineStr">
        <is>
          <t>Dominica</t>
        </is>
      </c>
      <c r="E63" s="4" t="inlineStr">
        <is>
          <t>DMA</t>
        </is>
      </c>
      <c r="F63" s="10" t="n">
        <v>44562</v>
      </c>
      <c r="G63" s="4" t="inlineStr">
        <is>
          <t>2018gn</t>
        </is>
      </c>
      <c r="H63" s="4" t="n">
        <v>2021</v>
      </c>
      <c r="I63" s="4" t="inlineStr">
        <is>
          <t>old.tds.inc.lcl.iss.int</t>
        </is>
      </c>
      <c r="J63" t="inlineStr">
        <is>
          <t xml:space="preserve">    of which: interest</t>
        </is>
      </c>
      <c r="N63" t="n">
        <v>7.529099288064597</v>
      </c>
      <c r="O63" t="n">
        <v>6.55399801841294</v>
      </c>
      <c r="P63" t="n">
        <v>6.005161625396077</v>
      </c>
      <c r="Q63" t="n">
        <v>5.939866574597509</v>
      </c>
      <c r="R63" t="n">
        <v>5.590803783351795</v>
      </c>
      <c r="S63" t="n">
        <v>4.809543489342015</v>
      </c>
      <c r="T63" t="n">
        <v>3.909161142382914</v>
      </c>
      <c r="U63" t="n">
        <v>3.322957515920134</v>
      </c>
      <c r="V63" t="n">
        <v>3.683246105542036</v>
      </c>
      <c r="W63" t="n">
        <v>3.826555210907326</v>
      </c>
      <c r="X63" t="n">
        <v>3.403345219732252</v>
      </c>
      <c r="Y63" t="n">
        <v>2.754199853292281</v>
      </c>
      <c r="Z63" t="n">
        <v>3.604495368540068</v>
      </c>
      <c r="AA63" t="n">
        <v>8.154434305041063</v>
      </c>
      <c r="AB63" t="n">
        <v>7.9313378004162</v>
      </c>
      <c r="AC63" t="n">
        <v>1.382726254075582</v>
      </c>
      <c r="AD63" t="n">
        <v>2.837407467045562</v>
      </c>
      <c r="AE63" t="n">
        <v>0.2050273153882731</v>
      </c>
      <c r="AF63" t="n">
        <v>1.341607151472254</v>
      </c>
      <c r="AG63" t="n">
        <v>1.703234482730043</v>
      </c>
      <c r="AH63" t="n">
        <v>1.480848212484726</v>
      </c>
      <c r="AI63" t="n">
        <v>3.232949199644795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I63" t="inlineStr">
        <is>
          <t>OLD_TOTAL_I</t>
        </is>
      </c>
    </row>
    <row r="64">
      <c r="A64" t="inlineStr">
        <is>
          <t>Dominica_2022_January</t>
        </is>
      </c>
      <c r="B64" s="2" t="n"/>
      <c r="C64" s="3" t="inlineStr">
        <is>
          <t>SM.22.7, Sup.2</t>
        </is>
      </c>
      <c r="D64" s="4" t="inlineStr">
        <is>
          <t>Dominica</t>
        </is>
      </c>
      <c r="E64" s="4" t="inlineStr">
        <is>
          <t>DMA</t>
        </is>
      </c>
      <c r="F64" s="10" t="n">
        <v>44562</v>
      </c>
      <c r="G64" s="4" t="inlineStr">
        <is>
          <t>2018gn</t>
        </is>
      </c>
      <c r="H64" s="4" t="n">
        <v>2021</v>
      </c>
      <c r="I64" s="5" t="n"/>
    </row>
    <row r="65">
      <c r="A65" t="inlineStr">
        <is>
          <t>Dominica_2022_January</t>
        </is>
      </c>
      <c r="B65" s="2" t="n"/>
      <c r="C65" s="3" t="inlineStr">
        <is>
          <t>SM.22.7, Sup.2</t>
        </is>
      </c>
      <c r="D65" s="4" t="inlineStr">
        <is>
          <t>Dominica</t>
        </is>
      </c>
      <c r="E65" s="4" t="inlineStr">
        <is>
          <t>DMA</t>
        </is>
      </c>
      <c r="F65" s="10" t="n">
        <v>44562</v>
      </c>
      <c r="G65" s="4" t="inlineStr">
        <is>
          <t>2018gn</t>
        </is>
      </c>
      <c r="H65" s="4" t="n">
        <v>2021</v>
      </c>
      <c r="I65" s="4" t="inlineStr">
        <is>
          <t>out.arr</t>
        </is>
      </c>
      <c r="J65" t="inlineStr">
        <is>
          <t>2. Stock of outstanding arrears</t>
        </is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I65" t="inlineStr">
        <is>
          <t>OLD_ARREARS</t>
        </is>
      </c>
    </row>
    <row r="66">
      <c r="A66" t="inlineStr">
        <is>
          <t>Dominica_2022_January</t>
        </is>
      </c>
      <c r="B66" s="2" t="n"/>
      <c r="C66" s="3" t="inlineStr">
        <is>
          <t>SM.22.7, Sup.2</t>
        </is>
      </c>
      <c r="D66" s="4" t="inlineStr">
        <is>
          <t>Dominica</t>
        </is>
      </c>
      <c r="E66" s="4" t="inlineStr">
        <is>
          <t>DMA</t>
        </is>
      </c>
      <c r="F66" s="10" t="n">
        <v>44562</v>
      </c>
      <c r="G66" s="4" t="inlineStr">
        <is>
          <t>2018gn</t>
        </is>
      </c>
      <c r="H66" s="4" t="n">
        <v>2021</v>
      </c>
      <c r="I66" s="5" t="n"/>
    </row>
    <row r="67">
      <c r="A67" t="inlineStr">
        <is>
          <t>Dominica_2022_January</t>
        </is>
      </c>
      <c r="B67" s="2" t="n"/>
      <c r="C67" s="3" t="inlineStr">
        <is>
          <t>SM.22.7, Sup.2</t>
        </is>
      </c>
      <c r="D67" s="4" t="inlineStr">
        <is>
          <t>Dominica</t>
        </is>
      </c>
      <c r="E67" s="4" t="inlineStr">
        <is>
          <t>DMA</t>
        </is>
      </c>
      <c r="F67" s="10" t="n">
        <v>44562</v>
      </c>
      <c r="G67" s="4" t="inlineStr">
        <is>
          <t>2018gn</t>
        </is>
      </c>
      <c r="H67" s="4" t="n">
        <v>2021</v>
      </c>
      <c r="I67" s="4" t="inlineStr">
        <is>
          <t>old.mlt.dbt.evol.exc.arr</t>
        </is>
      </c>
      <c r="J67" t="inlineStr">
        <is>
          <t>Evolution of old MLT debt, excluding arrears (nominal)</t>
        </is>
      </c>
      <c r="N67" t="n">
        <v>375.034355363731</v>
      </c>
      <c r="O67" t="n">
        <v>357.1397828874329</v>
      </c>
      <c r="P67" t="n">
        <v>328.6859815605087</v>
      </c>
      <c r="Q67" t="n">
        <v>300.255501624026</v>
      </c>
      <c r="R67" t="n">
        <v>272.4527307019677</v>
      </c>
      <c r="S67" t="n">
        <v>247.8439419927141</v>
      </c>
      <c r="T67" t="n">
        <v>225.0219849093708</v>
      </c>
      <c r="U67" t="n">
        <v>204.7480345168109</v>
      </c>
      <c r="V67" t="n">
        <v>186.3696639092169</v>
      </c>
      <c r="W67" t="n">
        <v>169.5736968184593</v>
      </c>
      <c r="X67" t="n">
        <v>153.5587714892146</v>
      </c>
      <c r="Y67" t="n">
        <v>139.3498969055681</v>
      </c>
      <c r="Z67" t="n">
        <v>128.1073730827713</v>
      </c>
      <c r="AA67" t="n">
        <v>117.3862232774308</v>
      </c>
      <c r="AB67" t="n">
        <v>107.4994222458416</v>
      </c>
      <c r="AC67" t="n">
        <v>98.47219190901157</v>
      </c>
      <c r="AD67" t="n">
        <v>90.27425335594927</v>
      </c>
      <c r="AE67" t="n">
        <v>82.72997454766171</v>
      </c>
      <c r="AF67" t="n">
        <v>76.71373938741516</v>
      </c>
      <c r="AG67" t="n">
        <v>73.41997410733461</v>
      </c>
      <c r="AH67" t="n">
        <v>70.23194817137657</v>
      </c>
      <c r="AI67" t="n">
        <v>67.09745982136728</v>
      </c>
      <c r="AJ67" t="n">
        <v>67.09745982136728</v>
      </c>
      <c r="AK67" t="n">
        <v>67.09745982136728</v>
      </c>
      <c r="AL67" t="n">
        <v>67.09745982136728</v>
      </c>
      <c r="AM67" t="n">
        <v>67.09745982136728</v>
      </c>
      <c r="AN67" t="n">
        <v>67.09745982136728</v>
      </c>
      <c r="AO67" t="n">
        <v>67.09745982136728</v>
      </c>
      <c r="AP67" t="n">
        <v>67.09745982136728</v>
      </c>
      <c r="AQ67" t="n">
        <v>67.09745982136728</v>
      </c>
      <c r="AR67" t="n">
        <v>67.09745982136728</v>
      </c>
      <c r="AS67" t="n">
        <v>67.09745982136728</v>
      </c>
      <c r="AT67" t="n">
        <v>67.09745982136728</v>
      </c>
      <c r="AU67" t="n">
        <v>67.09745982136728</v>
      </c>
      <c r="AV67" t="n">
        <v>67.09745982136728</v>
      </c>
      <c r="AW67" t="n">
        <v>67.09745982136728</v>
      </c>
      <c r="AX67" t="n">
        <v>67.09745982136728</v>
      </c>
      <c r="AY67" t="n">
        <v>67.09745982136728</v>
      </c>
      <c r="AZ67" t="n">
        <v>67.09745982136728</v>
      </c>
      <c r="BA67" t="n">
        <v>67.09745982136728</v>
      </c>
      <c r="BB67" t="n">
        <v>67.09745982136728</v>
      </c>
      <c r="BC67" t="n">
        <v>67.09745982136728</v>
      </c>
      <c r="BD67" t="n">
        <v>67.09745982136728</v>
      </c>
      <c r="BE67" t="n">
        <v>67.09745982136728</v>
      </c>
      <c r="BF67" t="n">
        <v>67.09745982136728</v>
      </c>
      <c r="BG67" t="n">
        <v>67.09745982136728</v>
      </c>
      <c r="BI67" t="inlineStr">
        <is>
          <t>OLD_MLT_CHG</t>
        </is>
      </c>
    </row>
    <row r="68">
      <c r="A68" t="inlineStr">
        <is>
          <t>Dominica_2022_January</t>
        </is>
      </c>
      <c r="B68" s="2" t="n"/>
      <c r="C68" s="3" t="inlineStr">
        <is>
          <t>SM.22.7, Sup.2</t>
        </is>
      </c>
      <c r="D68" s="4" t="inlineStr">
        <is>
          <t>Dominica</t>
        </is>
      </c>
      <c r="E68" s="4" t="inlineStr">
        <is>
          <t>DMA</t>
        </is>
      </c>
      <c r="F68" s="10" t="n">
        <v>44562</v>
      </c>
      <c r="G68" s="4" t="inlineStr">
        <is>
          <t>2018gn</t>
        </is>
      </c>
      <c r="H68" s="4" t="n">
        <v>2021</v>
      </c>
      <c r="I68" s="5" t="n"/>
    </row>
    <row r="69">
      <c r="A69" t="inlineStr">
        <is>
          <t>Dominica_2022_January</t>
        </is>
      </c>
      <c r="B69" s="2" t="n"/>
      <c r="C69" s="3" t="inlineStr">
        <is>
          <t>SM.22.7, Sup.2</t>
        </is>
      </c>
      <c r="D69" s="4" t="inlineStr">
        <is>
          <t>Dominica</t>
        </is>
      </c>
      <c r="E69" s="4" t="inlineStr">
        <is>
          <t>DMA</t>
        </is>
      </c>
      <c r="F69" s="10" t="n">
        <v>44562</v>
      </c>
      <c r="G69" s="4" t="inlineStr">
        <is>
          <t>2018gn</t>
        </is>
      </c>
      <c r="H69" s="4" t="n">
        <v>2021</v>
      </c>
      <c r="I69" s="5" t="n"/>
    </row>
    <row r="70">
      <c r="A70" t="inlineStr">
        <is>
          <t>Dominica_2022_January</t>
        </is>
      </c>
      <c r="B70" s="2" t="n"/>
      <c r="C70" s="3" t="inlineStr">
        <is>
          <t>SM.22.7, Sup.2</t>
        </is>
      </c>
      <c r="D70" s="4" t="inlineStr">
        <is>
          <t>Dominica</t>
        </is>
      </c>
      <c r="E70" s="4" t="inlineStr">
        <is>
          <t>DMA</t>
        </is>
      </c>
      <c r="F70" s="10" t="n">
        <v>44562</v>
      </c>
      <c r="G70" s="4" t="inlineStr">
        <is>
          <t>2018gn</t>
        </is>
      </c>
      <c r="H70" s="4" t="n">
        <v>2021</v>
      </c>
      <c r="I70" s="5" t="n"/>
      <c r="J70" t="inlineStr">
        <is>
          <t>3. NEW MLT DEBT: Disbursements (including for refinancing/clearance of arrears)</t>
        </is>
      </c>
    </row>
    <row r="71">
      <c r="A71" t="inlineStr">
        <is>
          <t>Dominica_2022_January</t>
        </is>
      </c>
      <c r="B71" s="2" t="n"/>
      <c r="C71" s="3" t="inlineStr">
        <is>
          <t>SM.22.7, Sup.2</t>
        </is>
      </c>
      <c r="D71" s="4" t="inlineStr">
        <is>
          <t>Dominica</t>
        </is>
      </c>
      <c r="E71" s="4" t="inlineStr">
        <is>
          <t>DMA</t>
        </is>
      </c>
      <c r="F71" s="10" t="n">
        <v>44562</v>
      </c>
      <c r="G71" s="4" t="inlineStr">
        <is>
          <t>2018gn</t>
        </is>
      </c>
      <c r="H71" s="4" t="n">
        <v>2021</v>
      </c>
      <c r="I71" s="4" t="inlineStr">
        <is>
          <t>new.dis.mlt</t>
        </is>
      </c>
      <c r="J71" t="inlineStr">
        <is>
          <t>Multilaterals</t>
        </is>
      </c>
      <c r="O71" t="n">
        <v>22</v>
      </c>
      <c r="P71" t="n">
        <v>67.59999999999999</v>
      </c>
      <c r="Q71" t="n">
        <v>50</v>
      </c>
      <c r="R71" t="n">
        <v>42.5559761462496</v>
      </c>
      <c r="S71" t="n">
        <v>40.3378911999337</v>
      </c>
      <c r="T71" t="n">
        <v>42.0420594627752</v>
      </c>
      <c r="U71" t="n">
        <v>30.67742387326371</v>
      </c>
      <c r="V71" t="n">
        <v>16.03622206008543</v>
      </c>
      <c r="W71" t="n">
        <v>5.02488672634026</v>
      </c>
      <c r="X71" t="n">
        <v>2.61135659901107</v>
      </c>
      <c r="Y71" t="n">
        <v>2.703537229808256</v>
      </c>
      <c r="Z71" t="n">
        <v>1.399485919941805</v>
      </c>
      <c r="AA71" t="n">
        <v>1.448887680036286</v>
      </c>
      <c r="AB71" t="n">
        <v>1.050023323288424</v>
      </c>
      <c r="AC71" t="n">
        <v>0.7609623538396391</v>
      </c>
      <c r="AD71" t="n">
        <v>0.787824274427507</v>
      </c>
      <c r="AE71" t="n">
        <v>0.8156344190293859</v>
      </c>
      <c r="AF71" t="n">
        <v>0.8444262598900409</v>
      </c>
      <c r="AG71" t="n">
        <v>0.8742344508222529</v>
      </c>
      <c r="AH71" t="n">
        <v>0.66977020299791</v>
      </c>
      <c r="AI71" t="n">
        <v>0.693413046713202</v>
      </c>
      <c r="BI71" t="inlineStr">
        <is>
          <t>NEW_ML</t>
        </is>
      </c>
    </row>
    <row r="72">
      <c r="A72" t="inlineStr">
        <is>
          <t>Dominica_2022_January</t>
        </is>
      </c>
      <c r="B72" s="2" t="n"/>
      <c r="C72" s="3" t="inlineStr">
        <is>
          <t>SM.22.7, Sup.2</t>
        </is>
      </c>
      <c r="D72" s="4" t="inlineStr">
        <is>
          <t>Dominica</t>
        </is>
      </c>
      <c r="E72" s="4" t="inlineStr">
        <is>
          <t>DMA</t>
        </is>
      </c>
      <c r="F72" s="10" t="n">
        <v>44562</v>
      </c>
      <c r="G72" s="4" t="inlineStr">
        <is>
          <t>2018gn</t>
        </is>
      </c>
      <c r="H72" s="4" t="n">
        <v>2021</v>
      </c>
      <c r="I72" s="4" t="inlineStr">
        <is>
          <t>new.dis.mlt.imf</t>
        </is>
      </c>
      <c r="J72" t="inlineStr">
        <is>
          <t>IMF</t>
        </is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BI72" t="inlineStr">
        <is>
          <t>NEW_IMF</t>
        </is>
      </c>
    </row>
    <row r="73">
      <c r="A73" t="inlineStr">
        <is>
          <t>Dominica_2022_January</t>
        </is>
      </c>
      <c r="B73" s="2" t="n"/>
      <c r="C73" s="3" t="inlineStr">
        <is>
          <t>SM.22.7, Sup.2</t>
        </is>
      </c>
      <c r="D73" s="4" t="inlineStr">
        <is>
          <t>Dominica</t>
        </is>
      </c>
      <c r="E73" s="4" t="inlineStr">
        <is>
          <t>DMA</t>
        </is>
      </c>
      <c r="F73" s="10" t="n">
        <v>44562</v>
      </c>
      <c r="G73" s="4" t="inlineStr">
        <is>
          <t>2018gn</t>
        </is>
      </c>
      <c r="H73" s="4" t="n">
        <v>2021</v>
      </c>
      <c r="I73" s="4" t="inlineStr">
        <is>
          <t>new.dis.mlt.ida.reg</t>
        </is>
      </c>
      <c r="J73" t="inlineStr">
        <is>
          <t>IDA - small economy</t>
        </is>
      </c>
      <c r="O73" t="n">
        <v>15</v>
      </c>
      <c r="P73" t="n">
        <v>47.6</v>
      </c>
      <c r="Q73" t="n">
        <v>35</v>
      </c>
      <c r="R73" t="n">
        <v>29.7891833023747</v>
      </c>
      <c r="S73" t="n">
        <v>28.2365238399536</v>
      </c>
      <c r="T73" t="n">
        <v>29.4294416239426</v>
      </c>
      <c r="U73" t="n">
        <v>21.4741967112846</v>
      </c>
      <c r="V73" t="n">
        <v>11.2253554420598</v>
      </c>
      <c r="W73" t="n">
        <v>3.51742070843818</v>
      </c>
      <c r="X73" t="n">
        <v>1.82794961930775</v>
      </c>
      <c r="Y73" t="n">
        <v>1.89247606086578</v>
      </c>
      <c r="Z73" t="n">
        <v>0.979640143959263</v>
      </c>
      <c r="AA73" t="n">
        <v>1.0142213760254</v>
      </c>
      <c r="AB73" t="n">
        <v>0.7350163263018969</v>
      </c>
      <c r="AC73" t="n">
        <v>0.5326736476877471</v>
      </c>
      <c r="AD73" t="n">
        <v>0.551476992099255</v>
      </c>
      <c r="AE73" t="n">
        <v>0.5709440933205699</v>
      </c>
      <c r="AF73" t="n">
        <v>0.591098381923029</v>
      </c>
      <c r="AG73" t="n">
        <v>0.611964115575577</v>
      </c>
      <c r="AH73" t="n">
        <v>0.506853126593013</v>
      </c>
      <c r="AI73" t="n">
        <v>0.524745008323504</v>
      </c>
      <c r="BI73" t="inlineStr">
        <is>
          <t>NEW_IDA</t>
        </is>
      </c>
    </row>
    <row r="74">
      <c r="A74" t="inlineStr">
        <is>
          <t>Dominica_2022_January</t>
        </is>
      </c>
      <c r="B74" s="2" t="n"/>
      <c r="C74" s="3" t="inlineStr">
        <is>
          <t>SM.22.7, Sup.2</t>
        </is>
      </c>
      <c r="D74" s="4" t="inlineStr">
        <is>
          <t>Dominica</t>
        </is>
      </c>
      <c r="E74" s="4" t="inlineStr">
        <is>
          <t>DMA</t>
        </is>
      </c>
      <c r="F74" s="10" t="n">
        <v>44562</v>
      </c>
      <c r="G74" s="4" t="inlineStr">
        <is>
          <t>2018gn</t>
        </is>
      </c>
      <c r="H74" s="4" t="n">
        <v>2021</v>
      </c>
      <c r="I74" s="4" t="inlineStr">
        <is>
          <t>new.dis.mlt.ida.bld</t>
        </is>
      </c>
      <c r="J74" t="inlineStr">
        <is>
          <t>IDA - small economy</t>
        </is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BI74" t="inlineStr">
        <is>
          <t>NEW_IDA_REG</t>
        </is>
      </c>
    </row>
    <row r="75">
      <c r="A75" t="inlineStr">
        <is>
          <t>Dominica_2022_January</t>
        </is>
      </c>
      <c r="B75" s="2" t="n"/>
      <c r="C75" s="3" t="inlineStr">
        <is>
          <t>SM.22.7, Sup.2</t>
        </is>
      </c>
      <c r="D75" s="4" t="inlineStr">
        <is>
          <t>Dominica</t>
        </is>
      </c>
      <c r="E75" s="4" t="inlineStr">
        <is>
          <t>DMA</t>
        </is>
      </c>
      <c r="F75" s="10" t="n">
        <v>44562</v>
      </c>
      <c r="G75" s="4" t="inlineStr">
        <is>
          <t>2018gn</t>
        </is>
      </c>
      <c r="H75" s="4" t="n">
        <v>2021</v>
      </c>
      <c r="I75" s="4" t="inlineStr">
        <is>
          <t>new.dis.mlt.afdb</t>
        </is>
      </c>
      <c r="J75" t="inlineStr">
        <is>
          <t>CDB</t>
        </is>
      </c>
      <c r="O75" t="n">
        <v>7</v>
      </c>
      <c r="P75" t="n">
        <v>20</v>
      </c>
      <c r="Q75" t="n">
        <v>15</v>
      </c>
      <c r="R75" t="n">
        <v>12.7667928438749</v>
      </c>
      <c r="S75" t="n">
        <v>12.1013673599801</v>
      </c>
      <c r="T75" t="n">
        <v>12.6126178388326</v>
      </c>
      <c r="U75" t="n">
        <v>9.203227161979109</v>
      </c>
      <c r="V75" t="n">
        <v>4.81086661802563</v>
      </c>
      <c r="W75" t="n">
        <v>1.50746601790208</v>
      </c>
      <c r="X75" t="n">
        <v>0.78340697970332</v>
      </c>
      <c r="Y75" t="n">
        <v>0.811061168942476</v>
      </c>
      <c r="Z75" t="n">
        <v>0.419845775982542</v>
      </c>
      <c r="AA75" t="n">
        <v>0.434666304010886</v>
      </c>
      <c r="AB75" t="n">
        <v>0.315006996986527</v>
      </c>
      <c r="AC75" t="n">
        <v>0.228288706151892</v>
      </c>
      <c r="AD75" t="n">
        <v>0.236347282328252</v>
      </c>
      <c r="AE75" t="n">
        <v>0.244690325708816</v>
      </c>
      <c r="AF75" t="n">
        <v>0.253327877967012</v>
      </c>
      <c r="AG75" t="n">
        <v>0.262270335246676</v>
      </c>
      <c r="AH75" t="n">
        <v>0.162917076404897</v>
      </c>
      <c r="AI75" t="n">
        <v>0.168668038389698</v>
      </c>
      <c r="BI75" t="inlineStr">
        <is>
          <t>NEW_OTHERS1</t>
        </is>
      </c>
    </row>
    <row r="76">
      <c r="A76" t="inlineStr">
        <is>
          <t>Dominica_2022_January</t>
        </is>
      </c>
      <c r="B76" s="2" t="n"/>
      <c r="C76" s="3" t="inlineStr">
        <is>
          <t>SM.22.7, Sup.2</t>
        </is>
      </c>
      <c r="D76" s="4" t="inlineStr">
        <is>
          <t>Dominica</t>
        </is>
      </c>
      <c r="E76" s="4" t="inlineStr">
        <is>
          <t>DMA</t>
        </is>
      </c>
      <c r="F76" s="10" t="n">
        <v>44562</v>
      </c>
      <c r="G76" s="4" t="inlineStr">
        <is>
          <t>2018gn</t>
        </is>
      </c>
      <c r="H76" s="4" t="n">
        <v>2021</v>
      </c>
      <c r="I76" s="4" t="inlineStr">
        <is>
          <t>new.dis.mlt2</t>
        </is>
      </c>
      <c r="J76" t="inlineStr">
        <is>
          <t>MULTIRES</t>
        </is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BI76" t="inlineStr">
        <is>
          <t>NEW_OTHERS2</t>
        </is>
      </c>
    </row>
    <row r="77">
      <c r="A77" t="inlineStr">
        <is>
          <t>Dominica_2022_January</t>
        </is>
      </c>
      <c r="B77" s="2" t="n"/>
      <c r="C77" s="3" t="inlineStr">
        <is>
          <t>SM.22.7, Sup.2</t>
        </is>
      </c>
      <c r="D77" s="4" t="inlineStr">
        <is>
          <t>Dominica</t>
        </is>
      </c>
      <c r="E77" s="4" t="inlineStr">
        <is>
          <t>DMA</t>
        </is>
      </c>
      <c r="F77" s="10" t="n">
        <v>44562</v>
      </c>
      <c r="G77" s="4" t="inlineStr">
        <is>
          <t>2018gn</t>
        </is>
      </c>
      <c r="H77" s="4" t="n">
        <v>2021</v>
      </c>
      <c r="I77" s="4" t="inlineStr">
        <is>
          <t>new.dis.mlt3</t>
        </is>
      </c>
      <c r="J77" t="inlineStr">
        <is>
          <t>MULTI3</t>
        </is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</row>
    <row r="78">
      <c r="A78" t="inlineStr">
        <is>
          <t>Dominica_2022_January</t>
        </is>
      </c>
      <c r="B78" s="2" t="n"/>
      <c r="C78" s="3" t="inlineStr">
        <is>
          <t>SM.22.7, Sup.2</t>
        </is>
      </c>
      <c r="D78" s="4" t="inlineStr">
        <is>
          <t>Dominica</t>
        </is>
      </c>
      <c r="E78" s="4" t="inlineStr">
        <is>
          <t>DMA</t>
        </is>
      </c>
      <c r="F78" s="10" t="n">
        <v>44562</v>
      </c>
      <c r="G78" s="4" t="inlineStr">
        <is>
          <t>2018gn</t>
        </is>
      </c>
      <c r="H78" s="4" t="n">
        <v>2021</v>
      </c>
      <c r="I78" s="4" t="inlineStr">
        <is>
          <t>new.dis.mlt.oth</t>
        </is>
      </c>
      <c r="J78" t="inlineStr">
        <is>
          <t>Other Multilaterals</t>
        </is>
      </c>
      <c r="O78" t="n">
        <v>14.2821756210486</v>
      </c>
      <c r="P78" t="n">
        <v>10.758032766085</v>
      </c>
      <c r="Q78" t="n">
        <v>11.1554784297162</v>
      </c>
      <c r="R78" t="n">
        <v>10.8052021382149</v>
      </c>
      <c r="S78" t="n">
        <v>10.2441883465963</v>
      </c>
      <c r="T78" t="n">
        <v>10.6673151715909</v>
      </c>
      <c r="U78" t="n">
        <v>11.1528120059903</v>
      </c>
      <c r="V78" t="n">
        <v>11.4825340961084</v>
      </c>
      <c r="W78" t="n">
        <v>11.8795849237167</v>
      </c>
      <c r="X78" t="n">
        <v>12.2884192709513</v>
      </c>
      <c r="Y78" t="n">
        <v>12.678404004038</v>
      </c>
      <c r="Z78" t="n">
        <v>13.0652855104157</v>
      </c>
      <c r="AA78" t="n">
        <v>13.43667014568</v>
      </c>
      <c r="AB78" t="n">
        <v>13.8394639069612</v>
      </c>
      <c r="AC78" t="n">
        <v>14.2667582326255</v>
      </c>
      <c r="AD78" t="n">
        <v>15.0851911987127</v>
      </c>
      <c r="AE78" t="n">
        <v>15.9497614391658</v>
      </c>
      <c r="AF78" t="n">
        <v>16.8656802751421</v>
      </c>
      <c r="AG78" t="n">
        <v>17.8425414243761</v>
      </c>
      <c r="AH78" t="n">
        <v>18.5467604361372</v>
      </c>
      <c r="AI78" t="n">
        <v>19.2744533785081</v>
      </c>
    </row>
    <row r="79">
      <c r="A79" t="inlineStr">
        <is>
          <t>Dominica_2022_January</t>
        </is>
      </c>
      <c r="B79" s="2" t="n"/>
      <c r="C79" s="3" t="inlineStr">
        <is>
          <t>SM.22.7, Sup.2</t>
        </is>
      </c>
      <c r="D79" s="4" t="inlineStr">
        <is>
          <t>Dominica</t>
        </is>
      </c>
      <c r="E79" s="4" t="inlineStr">
        <is>
          <t>DMA</t>
        </is>
      </c>
      <c r="F79" s="10" t="n">
        <v>44562</v>
      </c>
      <c r="G79" s="4" t="inlineStr">
        <is>
          <t>2018gn</t>
        </is>
      </c>
      <c r="H79" s="4" t="n">
        <v>2021</v>
      </c>
      <c r="I79" s="4" t="inlineStr">
        <is>
          <t>new.dis.mlt.oth1</t>
        </is>
      </c>
      <c r="J79" t="inlineStr">
        <is>
          <t>OTH_MULTI1</t>
        </is>
      </c>
      <c r="O79" t="n">
        <v>14.2821756210486</v>
      </c>
      <c r="P79" t="n">
        <v>10.758032766085</v>
      </c>
      <c r="Q79" t="n">
        <v>11.1554784297162</v>
      </c>
      <c r="R79" t="n">
        <v>10.8052021382149</v>
      </c>
      <c r="S79" t="n">
        <v>10.2441883465963</v>
      </c>
      <c r="T79" t="n">
        <v>10.6673151715909</v>
      </c>
      <c r="U79" t="n">
        <v>11.1528120059903</v>
      </c>
      <c r="V79" t="n">
        <v>11.4825340961084</v>
      </c>
      <c r="W79" t="n">
        <v>11.8795849237167</v>
      </c>
      <c r="X79" t="n">
        <v>12.2884192709513</v>
      </c>
      <c r="Y79" t="n">
        <v>12.678404004038</v>
      </c>
      <c r="Z79" t="n">
        <v>13.0652855104157</v>
      </c>
      <c r="AA79" t="n">
        <v>13.43667014568</v>
      </c>
      <c r="AB79" t="n">
        <v>13.8394639069612</v>
      </c>
      <c r="AC79" t="n">
        <v>14.2667582326255</v>
      </c>
      <c r="AD79" t="n">
        <v>15.0851911987127</v>
      </c>
      <c r="AE79" t="n">
        <v>15.9497614391658</v>
      </c>
      <c r="AF79" t="n">
        <v>16.8656802751421</v>
      </c>
      <c r="AG79" t="n">
        <v>17.8425414243761</v>
      </c>
      <c r="AH79" t="n">
        <v>18.5467604361372</v>
      </c>
      <c r="AI79" t="n">
        <v>19.2744533785081</v>
      </c>
    </row>
    <row r="80">
      <c r="A80" t="inlineStr">
        <is>
          <t>Dominica_2022_January</t>
        </is>
      </c>
      <c r="B80" s="2" t="n"/>
      <c r="C80" s="3" t="inlineStr">
        <is>
          <t>SM.22.7, Sup.2</t>
        </is>
      </c>
      <c r="D80" s="4" t="inlineStr">
        <is>
          <t>Dominica</t>
        </is>
      </c>
      <c r="E80" s="4" t="inlineStr">
        <is>
          <t>DMA</t>
        </is>
      </c>
      <c r="F80" s="10" t="n">
        <v>44562</v>
      </c>
      <c r="G80" s="4" t="inlineStr">
        <is>
          <t>2018gn</t>
        </is>
      </c>
      <c r="H80" s="4" t="n">
        <v>2021</v>
      </c>
      <c r="I80" s="4" t="inlineStr">
        <is>
          <t>new.dis.mlt.oth2</t>
        </is>
      </c>
      <c r="J80" t="inlineStr">
        <is>
          <t>OTH_MULTI2</t>
        </is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</row>
    <row r="81">
      <c r="A81" t="inlineStr">
        <is>
          <t>Dominica_2022_January</t>
        </is>
      </c>
      <c r="B81" s="2" t="n"/>
      <c r="C81" s="3" t="inlineStr">
        <is>
          <t>SM.22.7, Sup.2</t>
        </is>
      </c>
      <c r="D81" s="4" t="inlineStr">
        <is>
          <t>Dominica</t>
        </is>
      </c>
      <c r="E81" s="4" t="inlineStr">
        <is>
          <t>DMA</t>
        </is>
      </c>
      <c r="F81" s="10" t="n">
        <v>44562</v>
      </c>
      <c r="G81" s="4" t="inlineStr">
        <is>
          <t>2018gn</t>
        </is>
      </c>
      <c r="H81" s="4" t="n">
        <v>2021</v>
      </c>
      <c r="I81" s="4" t="inlineStr">
        <is>
          <t>new.dis.mlt.oth3</t>
        </is>
      </c>
      <c r="J81" t="inlineStr">
        <is>
          <t>OTH_MULTI3</t>
        </is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</row>
    <row r="82">
      <c r="A82" t="inlineStr">
        <is>
          <t>Dominica_2022_January</t>
        </is>
      </c>
      <c r="B82" s="2" t="n"/>
      <c r="C82" s="3" t="inlineStr">
        <is>
          <t>SM.22.7, Sup.2</t>
        </is>
      </c>
      <c r="D82" s="4" t="inlineStr">
        <is>
          <t>Dominica</t>
        </is>
      </c>
      <c r="E82" s="4" t="inlineStr">
        <is>
          <t>DMA</t>
        </is>
      </c>
      <c r="F82" s="10" t="n">
        <v>44562</v>
      </c>
      <c r="G82" s="4" t="inlineStr">
        <is>
          <t>2018gn</t>
        </is>
      </c>
      <c r="H82" s="4" t="n">
        <v>2021</v>
      </c>
      <c r="I82" s="4" t="inlineStr">
        <is>
          <t>new.dis.blt</t>
        </is>
      </c>
      <c r="J82" t="inlineStr">
        <is>
          <t>Official Bilaterals</t>
        </is>
      </c>
      <c r="O82" t="n">
        <v>0.0103367389970622</v>
      </c>
      <c r="P82" t="n">
        <v>0.00217306776689881</v>
      </c>
      <c r="Q82" t="n">
        <v>0</v>
      </c>
      <c r="R82" t="n">
        <v>0</v>
      </c>
      <c r="S82" t="n">
        <v>0.0850612737800218</v>
      </c>
      <c r="T82" t="n">
        <v>0.0281123680126269</v>
      </c>
      <c r="U82" t="n">
        <v>0</v>
      </c>
      <c r="V82" t="n">
        <v>0.08909457833729929</v>
      </c>
      <c r="W82" t="n">
        <v>0</v>
      </c>
      <c r="X82" t="n">
        <v>0</v>
      </c>
      <c r="Y82" t="n">
        <v>0.444518624419678</v>
      </c>
      <c r="Z82" t="n">
        <v>0.1747294374392</v>
      </c>
      <c r="AA82" t="n">
        <v>0.0176789914394953</v>
      </c>
      <c r="AB82" t="n">
        <v>0</v>
      </c>
      <c r="AC82" t="n">
        <v>0.351252493252851</v>
      </c>
      <c r="AD82" t="n">
        <v>0.127847975552428</v>
      </c>
      <c r="AE82" t="n">
        <v>0.0705706180724703</v>
      </c>
      <c r="AF82" t="n">
        <v>0.441210138892411</v>
      </c>
      <c r="AG82" t="n">
        <v>0</v>
      </c>
      <c r="AH82" t="n">
        <v>0</v>
      </c>
      <c r="AI82" t="n">
        <v>0</v>
      </c>
      <c r="BI82" t="inlineStr">
        <is>
          <t>NEW_OB</t>
        </is>
      </c>
    </row>
    <row r="83">
      <c r="A83" t="inlineStr">
        <is>
          <t>Dominica_2022_January</t>
        </is>
      </c>
      <c r="B83" s="2" t="n"/>
      <c r="C83" s="3" t="inlineStr">
        <is>
          <t>SM.22.7, Sup.2</t>
        </is>
      </c>
      <c r="D83" s="4" t="inlineStr">
        <is>
          <t>Dominica</t>
        </is>
      </c>
      <c r="E83" s="4" t="inlineStr">
        <is>
          <t>DMA</t>
        </is>
      </c>
      <c r="F83" s="10" t="n">
        <v>44562</v>
      </c>
      <c r="G83" s="4" t="inlineStr">
        <is>
          <t>2018gn</t>
        </is>
      </c>
      <c r="H83" s="4" t="n">
        <v>2021</v>
      </c>
      <c r="I83" s="4" t="inlineStr">
        <is>
          <t>new.dis.pc</t>
        </is>
      </c>
      <c r="J83" t="inlineStr">
        <is>
          <t xml:space="preserve">   Paris Club</t>
        </is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BI83" t="inlineStr">
        <is>
          <t>NEW_PC_ALL</t>
        </is>
      </c>
    </row>
    <row r="84">
      <c r="A84" t="inlineStr">
        <is>
          <t>Dominica_2022_January</t>
        </is>
      </c>
      <c r="B84" s="2" t="n"/>
      <c r="C84" s="3" t="inlineStr">
        <is>
          <t>SM.22.7, Sup.2</t>
        </is>
      </c>
      <c r="D84" s="4" t="inlineStr">
        <is>
          <t>Dominica</t>
        </is>
      </c>
      <c r="E84" s="4" t="inlineStr">
        <is>
          <t>DMA</t>
        </is>
      </c>
      <c r="F84" s="10" t="n">
        <v>44562</v>
      </c>
      <c r="G84" s="4" t="inlineStr">
        <is>
          <t>2018gn</t>
        </is>
      </c>
      <c r="H84" s="4" t="n">
        <v>2021</v>
      </c>
      <c r="I84" s="4" t="inlineStr">
        <is>
          <t>new.dis.pc1</t>
        </is>
      </c>
      <c r="J84" t="inlineStr">
        <is>
          <t>Export Credit Agencies</t>
        </is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BI84" t="inlineStr">
        <is>
          <t>NEW_PC1</t>
        </is>
      </c>
    </row>
    <row r="85">
      <c r="A85" t="inlineStr">
        <is>
          <t>Dominica_2022_January</t>
        </is>
      </c>
      <c r="B85" s="2" t="n"/>
      <c r="C85" s="3" t="inlineStr">
        <is>
          <t>SM.22.7, Sup.2</t>
        </is>
      </c>
      <c r="D85" s="4" t="inlineStr">
        <is>
          <t>Dominica</t>
        </is>
      </c>
      <c r="E85" s="4" t="inlineStr">
        <is>
          <t>DMA</t>
        </is>
      </c>
      <c r="F85" s="10" t="n">
        <v>44562</v>
      </c>
      <c r="G85" s="4" t="inlineStr">
        <is>
          <t>2018gn</t>
        </is>
      </c>
      <c r="H85" s="4" t="n">
        <v>2021</v>
      </c>
      <c r="I85" s="4" t="inlineStr">
        <is>
          <t>new.dis.pc2</t>
        </is>
      </c>
      <c r="J85" t="inlineStr">
        <is>
          <t>PC2</t>
        </is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BI85" t="inlineStr">
        <is>
          <t>NEW_PC2</t>
        </is>
      </c>
    </row>
    <row r="86">
      <c r="A86" t="inlineStr">
        <is>
          <t>Dominica_2022_January</t>
        </is>
      </c>
      <c r="B86" s="2" t="n"/>
      <c r="C86" s="3" t="inlineStr">
        <is>
          <t>SM.22.7, Sup.2</t>
        </is>
      </c>
      <c r="D86" s="4" t="inlineStr">
        <is>
          <t>Dominica</t>
        </is>
      </c>
      <c r="E86" s="4" t="inlineStr">
        <is>
          <t>DMA</t>
        </is>
      </c>
      <c r="F86" s="10" t="n">
        <v>44562</v>
      </c>
      <c r="G86" s="4" t="inlineStr">
        <is>
          <t>2018gn</t>
        </is>
      </c>
      <c r="H86" s="4" t="n">
        <v>2021</v>
      </c>
      <c r="I86" s="4" t="inlineStr">
        <is>
          <t>new.dis.pc3</t>
        </is>
      </c>
      <c r="J86" t="inlineStr">
        <is>
          <t>PC3</t>
        </is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BI86" t="inlineStr">
        <is>
          <t>NEW_PC3</t>
        </is>
      </c>
    </row>
    <row r="87">
      <c r="A87" t="inlineStr">
        <is>
          <t>Dominica_2022_January</t>
        </is>
      </c>
      <c r="B87" s="2" t="n"/>
      <c r="C87" s="3" t="inlineStr">
        <is>
          <t>SM.22.7, Sup.2</t>
        </is>
      </c>
      <c r="D87" s="4" t="inlineStr">
        <is>
          <t>Dominica</t>
        </is>
      </c>
      <c r="E87" s="4" t="inlineStr">
        <is>
          <t>DMA</t>
        </is>
      </c>
      <c r="F87" s="10" t="n">
        <v>44562</v>
      </c>
      <c r="G87" s="4" t="inlineStr">
        <is>
          <t>2018gn</t>
        </is>
      </c>
      <c r="H87" s="4" t="n">
        <v>2021</v>
      </c>
      <c r="I87" s="4" t="inlineStr">
        <is>
          <t>new.dis.pc4</t>
        </is>
      </c>
      <c r="J87" t="inlineStr">
        <is>
          <t>PC4</t>
        </is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</row>
    <row r="88">
      <c r="A88" t="inlineStr">
        <is>
          <t>Dominica_2022_January</t>
        </is>
      </c>
      <c r="B88" s="2" t="n"/>
      <c r="C88" s="3" t="inlineStr">
        <is>
          <t>SM.22.7, Sup.2</t>
        </is>
      </c>
      <c r="D88" s="4" t="inlineStr">
        <is>
          <t>Dominica</t>
        </is>
      </c>
      <c r="E88" s="4" t="inlineStr">
        <is>
          <t>DMA</t>
        </is>
      </c>
      <c r="F88" s="10" t="n">
        <v>44562</v>
      </c>
      <c r="G88" s="4" t="inlineStr">
        <is>
          <t>2018gn</t>
        </is>
      </c>
      <c r="H88" s="4" t="n">
        <v>2021</v>
      </c>
      <c r="I88" s="4" t="inlineStr">
        <is>
          <t>new.dis.pc5</t>
        </is>
      </c>
      <c r="J88" t="inlineStr">
        <is>
          <t>PC5</t>
        </is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</row>
    <row r="89">
      <c r="A89" t="inlineStr">
        <is>
          <t>Dominica_2022_January</t>
        </is>
      </c>
      <c r="B89" s="2" t="n"/>
      <c r="C89" s="3" t="inlineStr">
        <is>
          <t>SM.22.7, Sup.2</t>
        </is>
      </c>
      <c r="D89" s="4" t="inlineStr">
        <is>
          <t>Dominica</t>
        </is>
      </c>
      <c r="E89" s="4" t="inlineStr">
        <is>
          <t>DMA</t>
        </is>
      </c>
      <c r="F89" s="10" t="n">
        <v>44562</v>
      </c>
      <c r="G89" s="4" t="inlineStr">
        <is>
          <t>2018gn</t>
        </is>
      </c>
      <c r="H89" s="4" t="n">
        <v>2021</v>
      </c>
      <c r="I89" s="4" t="inlineStr">
        <is>
          <t>new.dis.npc</t>
        </is>
      </c>
      <c r="J89" t="inlineStr">
        <is>
          <t xml:space="preserve">   Non-Paris Club</t>
        </is>
      </c>
      <c r="O89" t="n">
        <v>0.0103367389970622</v>
      </c>
      <c r="P89" t="n">
        <v>0.00217306776689881</v>
      </c>
      <c r="Q89" t="n">
        <v>0</v>
      </c>
      <c r="R89" t="n">
        <v>0</v>
      </c>
      <c r="S89" t="n">
        <v>0.0850612737800218</v>
      </c>
      <c r="T89" t="n">
        <v>0.0281123680126269</v>
      </c>
      <c r="U89" t="n">
        <v>0</v>
      </c>
      <c r="V89" t="n">
        <v>0.08909457833729929</v>
      </c>
      <c r="W89" t="n">
        <v>0</v>
      </c>
      <c r="X89" t="n">
        <v>0</v>
      </c>
      <c r="Y89" t="n">
        <v>0.444518624419678</v>
      </c>
      <c r="Z89" t="n">
        <v>0.1747294374392</v>
      </c>
      <c r="AA89" t="n">
        <v>0.0176789914394953</v>
      </c>
      <c r="AB89" t="n">
        <v>0</v>
      </c>
      <c r="AC89" t="n">
        <v>0.351252493252851</v>
      </c>
      <c r="AD89" t="n">
        <v>0.127847975552428</v>
      </c>
      <c r="AE89" t="n">
        <v>0.0705706180724703</v>
      </c>
      <c r="AF89" t="n">
        <v>0.441210138892411</v>
      </c>
      <c r="AG89" t="n">
        <v>0</v>
      </c>
      <c r="AH89" t="n">
        <v>0</v>
      </c>
      <c r="AI89" t="n">
        <v>0</v>
      </c>
      <c r="BI89" t="inlineStr">
        <is>
          <t>NEW_NPC_ALL</t>
        </is>
      </c>
    </row>
    <row r="90">
      <c r="A90" t="inlineStr">
        <is>
          <t>Dominica_2022_January</t>
        </is>
      </c>
      <c r="B90" s="2" t="n"/>
      <c r="C90" s="3" t="inlineStr">
        <is>
          <t>SM.22.7, Sup.2</t>
        </is>
      </c>
      <c r="D90" s="4" t="inlineStr">
        <is>
          <t>Dominica</t>
        </is>
      </c>
      <c r="E90" s="4" t="inlineStr">
        <is>
          <t>DMA</t>
        </is>
      </c>
      <c r="F90" s="10" t="n">
        <v>44562</v>
      </c>
      <c r="G90" s="4" t="inlineStr">
        <is>
          <t>2018gn</t>
        </is>
      </c>
      <c r="H90" s="4" t="n">
        <v>2021</v>
      </c>
      <c r="I90" s="4" t="inlineStr">
        <is>
          <t>new.dis.npc.eximbk</t>
        </is>
      </c>
      <c r="J90" t="inlineStr">
        <is>
          <t>NPC2</t>
        </is>
      </c>
      <c r="O90" t="n">
        <v>0.0103367389970622</v>
      </c>
      <c r="P90" t="n">
        <v>0.00217306776689881</v>
      </c>
      <c r="Q90" t="n">
        <v>0</v>
      </c>
      <c r="R90" t="n">
        <v>0</v>
      </c>
      <c r="S90" t="n">
        <v>0.0850612737800218</v>
      </c>
      <c r="T90" t="n">
        <v>0.0281123680126269</v>
      </c>
      <c r="U90" t="n">
        <v>0</v>
      </c>
      <c r="V90" t="n">
        <v>0.08909457833729929</v>
      </c>
      <c r="W90" t="n">
        <v>0</v>
      </c>
      <c r="X90" t="n">
        <v>0</v>
      </c>
      <c r="Y90" t="n">
        <v>0.444518624419678</v>
      </c>
      <c r="Z90" t="n">
        <v>0.1747294374392</v>
      </c>
      <c r="AA90" t="n">
        <v>0.0176789914394953</v>
      </c>
      <c r="AB90" t="n">
        <v>0</v>
      </c>
      <c r="AC90" t="n">
        <v>0.351252493252851</v>
      </c>
      <c r="AD90" t="n">
        <v>0.127847975552428</v>
      </c>
      <c r="AE90" t="n">
        <v>0.0705706180724703</v>
      </c>
      <c r="AF90" t="n">
        <v>0.441210138892411</v>
      </c>
      <c r="AG90" t="n">
        <v>0</v>
      </c>
      <c r="AH90" t="n">
        <v>0</v>
      </c>
      <c r="AI90" t="n">
        <v>0</v>
      </c>
      <c r="BI90" t="inlineStr">
        <is>
          <t>NEW_NPC1</t>
        </is>
      </c>
    </row>
    <row r="91">
      <c r="A91" t="inlineStr">
        <is>
          <t>Dominica_2022_January</t>
        </is>
      </c>
      <c r="B91" s="2" t="n"/>
      <c r="C91" s="3" t="inlineStr">
        <is>
          <t>SM.22.7, Sup.2</t>
        </is>
      </c>
      <c r="D91" s="4" t="inlineStr">
        <is>
          <t>Dominica</t>
        </is>
      </c>
      <c r="E91" s="4" t="inlineStr">
        <is>
          <t>DMA</t>
        </is>
      </c>
      <c r="F91" s="10" t="n">
        <v>44562</v>
      </c>
      <c r="G91" s="4" t="inlineStr">
        <is>
          <t>2018gn</t>
        </is>
      </c>
      <c r="H91" s="4" t="n">
        <v>2021</v>
      </c>
      <c r="I91" s="4" t="inlineStr">
        <is>
          <t>new.dis.npc2</t>
        </is>
      </c>
      <c r="J91" t="inlineStr">
        <is>
          <t>NPC2</t>
        </is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BI91" t="inlineStr">
        <is>
          <t>NEW_NPC2</t>
        </is>
      </c>
    </row>
    <row r="92">
      <c r="A92" t="inlineStr">
        <is>
          <t>Dominica_2022_January</t>
        </is>
      </c>
      <c r="B92" s="2" t="n"/>
      <c r="C92" s="3" t="inlineStr">
        <is>
          <t>SM.22.7, Sup.2</t>
        </is>
      </c>
      <c r="D92" s="4" t="inlineStr">
        <is>
          <t>Dominica</t>
        </is>
      </c>
      <c r="E92" s="4" t="inlineStr">
        <is>
          <t>DMA</t>
        </is>
      </c>
      <c r="F92" s="10" t="n">
        <v>44562</v>
      </c>
      <c r="G92" s="4" t="inlineStr">
        <is>
          <t>2018gn</t>
        </is>
      </c>
      <c r="H92" s="4" t="n">
        <v>2021</v>
      </c>
      <c r="I92" s="4" t="inlineStr">
        <is>
          <t>new.dis.npc3</t>
        </is>
      </c>
      <c r="J92" t="inlineStr">
        <is>
          <t>NPC3</t>
        </is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BI92" t="inlineStr">
        <is>
          <t>NEW_NPC3</t>
        </is>
      </c>
    </row>
    <row r="93">
      <c r="A93" t="inlineStr">
        <is>
          <t>Dominica_2022_January</t>
        </is>
      </c>
      <c r="B93" s="2" t="n"/>
      <c r="C93" s="3" t="inlineStr">
        <is>
          <t>SM.22.7, Sup.2</t>
        </is>
      </c>
      <c r="D93" s="4" t="inlineStr">
        <is>
          <t>Dominica</t>
        </is>
      </c>
      <c r="E93" s="4" t="inlineStr">
        <is>
          <t>DMA</t>
        </is>
      </c>
      <c r="F93" s="10" t="n">
        <v>44562</v>
      </c>
      <c r="G93" s="4" t="inlineStr">
        <is>
          <t>2018gn</t>
        </is>
      </c>
      <c r="H93" s="4" t="n">
        <v>2021</v>
      </c>
      <c r="I93" s="4" t="inlineStr">
        <is>
          <t>new.dis.npc4</t>
        </is>
      </c>
      <c r="J93" t="inlineStr">
        <is>
          <t>NPC4</t>
        </is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</row>
    <row r="94">
      <c r="A94" t="inlineStr">
        <is>
          <t>Dominica_2022_January</t>
        </is>
      </c>
      <c r="B94" s="2" t="n"/>
      <c r="C94" s="3" t="inlineStr">
        <is>
          <t>SM.22.7, Sup.2</t>
        </is>
      </c>
      <c r="D94" s="4" t="inlineStr">
        <is>
          <t>Dominica</t>
        </is>
      </c>
      <c r="E94" s="4" t="inlineStr">
        <is>
          <t>DMA</t>
        </is>
      </c>
      <c r="F94" s="10" t="n">
        <v>44562</v>
      </c>
      <c r="G94" s="4" t="inlineStr">
        <is>
          <t>2018gn</t>
        </is>
      </c>
      <c r="H94" s="4" t="n">
        <v>2021</v>
      </c>
      <c r="I94" s="4" t="inlineStr">
        <is>
          <t>new.dis.npc5</t>
        </is>
      </c>
      <c r="J94" t="inlineStr">
        <is>
          <t>NPC5</t>
        </is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</row>
    <row r="95">
      <c r="A95" t="inlineStr">
        <is>
          <t>Dominica_2022_January</t>
        </is>
      </c>
      <c r="B95" s="2" t="n"/>
      <c r="C95" s="3" t="inlineStr">
        <is>
          <t>SM.22.7, Sup.2</t>
        </is>
      </c>
      <c r="D95" s="4" t="inlineStr">
        <is>
          <t>Dominica</t>
        </is>
      </c>
      <c r="E95" s="4" t="inlineStr">
        <is>
          <t>DMA</t>
        </is>
      </c>
      <c r="F95" s="10" t="n">
        <v>44562</v>
      </c>
      <c r="G95" s="4" t="inlineStr">
        <is>
          <t>2018gn</t>
        </is>
      </c>
      <c r="H95" s="4" t="n">
        <v>2021</v>
      </c>
      <c r="I95" s="4" t="inlineStr">
        <is>
          <t>new.dis.prvt</t>
        </is>
      </c>
      <c r="J95" t="inlineStr">
        <is>
          <t>Commercial</t>
        </is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BI95" t="inlineStr">
        <is>
          <t>NEW_COM_ALL</t>
        </is>
      </c>
    </row>
    <row r="96">
      <c r="A96" t="inlineStr">
        <is>
          <t>Dominica_2022_January</t>
        </is>
      </c>
      <c r="B96" s="2" t="n"/>
      <c r="C96" s="3" t="inlineStr">
        <is>
          <t>SM.22.7, Sup.2</t>
        </is>
      </c>
      <c r="D96" s="4" t="inlineStr">
        <is>
          <t>Dominica</t>
        </is>
      </c>
      <c r="E96" s="4" t="inlineStr">
        <is>
          <t>DMA</t>
        </is>
      </c>
      <c r="F96" s="10" t="n">
        <v>44562</v>
      </c>
      <c r="G96" s="4" t="inlineStr">
        <is>
          <t>2018gn</t>
        </is>
      </c>
      <c r="H96" s="4" t="n">
        <v>2021</v>
      </c>
      <c r="I96" s="4" t="inlineStr">
        <is>
          <t>new.dis.prvt.bnd</t>
        </is>
      </c>
      <c r="J96" t="inlineStr">
        <is>
          <t>Eurobond</t>
        </is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BI96" t="inlineStr">
        <is>
          <t>NEW_COM1</t>
        </is>
      </c>
    </row>
    <row r="97">
      <c r="A97" t="inlineStr">
        <is>
          <t>Dominica_2022_January</t>
        </is>
      </c>
      <c r="B97" s="2" t="n"/>
      <c r="C97" s="3" t="inlineStr">
        <is>
          <t>SM.22.7, Sup.2</t>
        </is>
      </c>
      <c r="D97" s="4" t="inlineStr">
        <is>
          <t>Dominica</t>
        </is>
      </c>
      <c r="E97" s="4" t="inlineStr">
        <is>
          <t>DMA</t>
        </is>
      </c>
      <c r="F97" s="10" t="n">
        <v>44562</v>
      </c>
      <c r="G97" s="4" t="inlineStr">
        <is>
          <t>2018gn</t>
        </is>
      </c>
      <c r="H97" s="4" t="n">
        <v>2021</v>
      </c>
      <c r="I97" s="4" t="inlineStr">
        <is>
          <t>new.dis.prvt.cmbk</t>
        </is>
      </c>
      <c r="J97" t="inlineStr">
        <is>
          <t>Commecial Bank</t>
        </is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BI97" t="inlineStr">
        <is>
          <t>NEW_COM2</t>
        </is>
      </c>
    </row>
    <row r="98">
      <c r="A98" t="inlineStr">
        <is>
          <t>Dominica_2022_January</t>
        </is>
      </c>
      <c r="B98" s="2" t="n"/>
      <c r="C98" s="3" t="inlineStr">
        <is>
          <t>SM.22.7, Sup.2</t>
        </is>
      </c>
      <c r="D98" s="4" t="inlineStr">
        <is>
          <t>Dominica</t>
        </is>
      </c>
      <c r="E98" s="4" t="inlineStr">
        <is>
          <t>DMA</t>
        </is>
      </c>
      <c r="F98" s="10" t="n">
        <v>44562</v>
      </c>
      <c r="G98" s="4" t="inlineStr">
        <is>
          <t>2018gn</t>
        </is>
      </c>
      <c r="H98" s="4" t="n">
        <v>2021</v>
      </c>
      <c r="I98" s="4" t="inlineStr">
        <is>
          <t>new.dis.prvt.com3</t>
        </is>
      </c>
      <c r="J98" t="inlineStr">
        <is>
          <t>COM3</t>
        </is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BI98" t="inlineStr">
        <is>
          <t>NEW_COM3</t>
        </is>
      </c>
    </row>
    <row r="99">
      <c r="A99" t="inlineStr">
        <is>
          <t>Dominica_2022_January</t>
        </is>
      </c>
      <c r="B99" s="2" t="n"/>
      <c r="C99" s="3" t="inlineStr">
        <is>
          <t>SM.22.7, Sup.2</t>
        </is>
      </c>
      <c r="D99" s="4" t="inlineStr">
        <is>
          <t>Dominica</t>
        </is>
      </c>
      <c r="E99" s="4" t="inlineStr">
        <is>
          <t>DMA</t>
        </is>
      </c>
      <c r="F99" s="10" t="n">
        <v>44562</v>
      </c>
      <c r="G99" s="4" t="inlineStr">
        <is>
          <t>2018gn</t>
        </is>
      </c>
      <c r="H99" s="4" t="n">
        <v>2021</v>
      </c>
      <c r="I99" s="4" t="inlineStr">
        <is>
          <t>new.dis.prvt.com4</t>
        </is>
      </c>
      <c r="J99" t="inlineStr">
        <is>
          <t>COM4</t>
        </is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</row>
    <row r="100">
      <c r="A100" t="inlineStr">
        <is>
          <t>Dominica_2022_January</t>
        </is>
      </c>
      <c r="B100" s="2" t="n"/>
      <c r="C100" s="3" t="inlineStr">
        <is>
          <t>SM.22.7, Sup.2</t>
        </is>
      </c>
      <c r="D100" s="4" t="inlineStr">
        <is>
          <t>Dominica</t>
        </is>
      </c>
      <c r="E100" s="4" t="inlineStr">
        <is>
          <t>DMA</t>
        </is>
      </c>
      <c r="F100" s="10" t="n">
        <v>44562</v>
      </c>
      <c r="G100" s="4" t="inlineStr">
        <is>
          <t>2018gn</t>
        </is>
      </c>
      <c r="H100" s="4" t="n">
        <v>2021</v>
      </c>
      <c r="I100" s="4" t="inlineStr">
        <is>
          <t>new.dis.prvt.com5</t>
        </is>
      </c>
      <c r="J100" t="inlineStr">
        <is>
          <t>COM5</t>
        </is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</row>
    <row r="101">
      <c r="A101" t="inlineStr">
        <is>
          <t>Dominica_2022_January</t>
        </is>
      </c>
      <c r="B101" s="2" t="n"/>
      <c r="C101" s="3" t="inlineStr">
        <is>
          <t>SM.22.7, Sup.2</t>
        </is>
      </c>
      <c r="D101" s="4" t="inlineStr">
        <is>
          <t>Dominica</t>
        </is>
      </c>
      <c r="E101" s="4" t="inlineStr">
        <is>
          <t>DMA</t>
        </is>
      </c>
      <c r="F101" s="10" t="n">
        <v>44562</v>
      </c>
      <c r="G101" s="4" t="inlineStr">
        <is>
          <t>2018gn</t>
        </is>
      </c>
      <c r="H101" s="4" t="n">
        <v>2021</v>
      </c>
      <c r="I101" s="4" t="inlineStr">
        <is>
          <t>new.dis.lcl.nres</t>
        </is>
      </c>
      <c r="J101" t="inlineStr">
        <is>
          <t>Locally-issued debt held by non-residents</t>
        </is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</row>
    <row r="102">
      <c r="A102" t="inlineStr">
        <is>
          <t>Dominica_2022_January</t>
        </is>
      </c>
      <c r="B102" s="2" t="n"/>
      <c r="C102" s="3" t="inlineStr">
        <is>
          <t>SM.22.7, Sup.2</t>
        </is>
      </c>
      <c r="D102" s="4" t="inlineStr">
        <is>
          <t>Dominica</t>
        </is>
      </c>
      <c r="E102" s="4" t="inlineStr">
        <is>
          <t>DMA</t>
        </is>
      </c>
      <c r="F102" s="10" t="n">
        <v>44562</v>
      </c>
      <c r="G102" s="4" t="inlineStr">
        <is>
          <t>2018gn</t>
        </is>
      </c>
      <c r="H102" s="4" t="n">
        <v>2021</v>
      </c>
      <c r="I102" s="4" t="inlineStr">
        <is>
          <t>new.dis.lcl.nres.lc</t>
        </is>
      </c>
      <c r="J102" t="inlineStr">
        <is>
          <t>Denominated in local currency (LC)</t>
        </is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</row>
    <row r="103">
      <c r="A103" t="inlineStr">
        <is>
          <t>Dominica_2022_January</t>
        </is>
      </c>
      <c r="B103" s="2" t="n"/>
      <c r="C103" s="3" t="inlineStr">
        <is>
          <t>SM.22.7, Sup.2</t>
        </is>
      </c>
      <c r="D103" s="4" t="inlineStr">
        <is>
          <t>Dominica</t>
        </is>
      </c>
      <c r="E103" s="4" t="inlineStr">
        <is>
          <t>DMA</t>
        </is>
      </c>
      <c r="F103" s="10" t="n">
        <v>44562</v>
      </c>
      <c r="G103" s="4" t="inlineStr">
        <is>
          <t>2018gn</t>
        </is>
      </c>
      <c r="H103" s="4" t="n">
        <v>2021</v>
      </c>
      <c r="I103" s="4" t="inlineStr">
        <is>
          <t>new.dis.lcl.nres.bnd.1to3.lc</t>
        </is>
      </c>
      <c r="J103" t="inlineStr">
        <is>
          <t>Bonds (1 to 3 years)-LC</t>
        </is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</row>
    <row r="104">
      <c r="A104" t="inlineStr">
        <is>
          <t>Dominica_2022_January</t>
        </is>
      </c>
      <c r="B104" s="2" t="n"/>
      <c r="C104" s="3" t="inlineStr">
        <is>
          <t>SM.22.7, Sup.2</t>
        </is>
      </c>
      <c r="D104" s="4" t="inlineStr">
        <is>
          <t>Dominica</t>
        </is>
      </c>
      <c r="E104" s="4" t="inlineStr">
        <is>
          <t>DMA</t>
        </is>
      </c>
      <c r="F104" s="10" t="n">
        <v>44562</v>
      </c>
      <c r="G104" s="4" t="inlineStr">
        <is>
          <t>2018gn</t>
        </is>
      </c>
      <c r="H104" s="4" t="n">
        <v>2021</v>
      </c>
      <c r="I104" s="4" t="inlineStr">
        <is>
          <t>new.dis.lcl.nres.bnd.4to7.lc</t>
        </is>
      </c>
      <c r="J104" t="inlineStr">
        <is>
          <t>Bonds (4 to 7 years)-LC</t>
        </is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</row>
    <row r="105">
      <c r="A105" t="inlineStr">
        <is>
          <t>Dominica_2022_January</t>
        </is>
      </c>
      <c r="B105" s="2" t="n"/>
      <c r="C105" s="3" t="inlineStr">
        <is>
          <t>SM.22.7, Sup.2</t>
        </is>
      </c>
      <c r="D105" s="4" t="inlineStr">
        <is>
          <t>Dominica</t>
        </is>
      </c>
      <c r="E105" s="4" t="inlineStr">
        <is>
          <t>DMA</t>
        </is>
      </c>
      <c r="F105" s="10" t="n">
        <v>44562</v>
      </c>
      <c r="G105" s="4" t="inlineStr">
        <is>
          <t>2018gn</t>
        </is>
      </c>
      <c r="H105" s="4" t="n">
        <v>2021</v>
      </c>
      <c r="I105" s="4" t="inlineStr">
        <is>
          <t>new.dis.lcl.nres.bnd.byd7.lc</t>
        </is>
      </c>
      <c r="J105" t="inlineStr">
        <is>
          <t>Bonds (beyond 7 years)-LC</t>
        </is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</row>
    <row r="106">
      <c r="A106" t="inlineStr">
        <is>
          <t>Dominica_2022_January</t>
        </is>
      </c>
      <c r="B106" s="2" t="n"/>
      <c r="C106" s="3" t="inlineStr">
        <is>
          <t>SM.22.7, Sup.2</t>
        </is>
      </c>
      <c r="D106" s="4" t="inlineStr">
        <is>
          <t>Dominica</t>
        </is>
      </c>
      <c r="E106" s="4" t="inlineStr">
        <is>
          <t>DMA</t>
        </is>
      </c>
      <c r="F106" s="10" t="n">
        <v>44562</v>
      </c>
      <c r="G106" s="4" t="inlineStr">
        <is>
          <t>2018gn</t>
        </is>
      </c>
      <c r="H106" s="4" t="n">
        <v>2021</v>
      </c>
      <c r="I106" s="4" t="inlineStr">
        <is>
          <t>new.dis.lcl.nres.fx</t>
        </is>
      </c>
      <c r="J106" t="inlineStr">
        <is>
          <t>Denominated in foreign currency (FX)</t>
        </is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</row>
    <row r="107">
      <c r="A107" t="inlineStr">
        <is>
          <t>Dominica_2022_January</t>
        </is>
      </c>
      <c r="B107" s="2" t="n"/>
      <c r="C107" s="3" t="inlineStr">
        <is>
          <t>SM.22.7, Sup.2</t>
        </is>
      </c>
      <c r="D107" s="4" t="inlineStr">
        <is>
          <t>Dominica</t>
        </is>
      </c>
      <c r="E107" s="4" t="inlineStr">
        <is>
          <t>DMA</t>
        </is>
      </c>
      <c r="F107" s="10" t="n">
        <v>44562</v>
      </c>
      <c r="G107" s="4" t="inlineStr">
        <is>
          <t>2018gn</t>
        </is>
      </c>
      <c r="H107" s="4" t="n">
        <v>2021</v>
      </c>
      <c r="I107" s="4" t="inlineStr">
        <is>
          <t>new.dis.lcl.nres.bnd.1to3.fx</t>
        </is>
      </c>
      <c r="J107" t="inlineStr">
        <is>
          <t>Bonds (1 to 3 years)-FX</t>
        </is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</row>
    <row r="108">
      <c r="A108" t="inlineStr">
        <is>
          <t>Dominica_2022_January</t>
        </is>
      </c>
      <c r="B108" s="2" t="n"/>
      <c r="C108" s="3" t="inlineStr">
        <is>
          <t>SM.22.7, Sup.2</t>
        </is>
      </c>
      <c r="D108" s="4" t="inlineStr">
        <is>
          <t>Dominica</t>
        </is>
      </c>
      <c r="E108" s="4" t="inlineStr">
        <is>
          <t>DMA</t>
        </is>
      </c>
      <c r="F108" s="10" t="n">
        <v>44562</v>
      </c>
      <c r="G108" s="4" t="inlineStr">
        <is>
          <t>2018gn</t>
        </is>
      </c>
      <c r="H108" s="4" t="n">
        <v>2021</v>
      </c>
      <c r="I108" s="4" t="inlineStr">
        <is>
          <t>new.dis.lcl.nres.bnd.4to7.fx</t>
        </is>
      </c>
      <c r="J108" t="inlineStr">
        <is>
          <t>Bonds (4 to 7 years)-FX</t>
        </is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</row>
    <row r="109">
      <c r="A109" t="inlineStr">
        <is>
          <t>Dominica_2022_January</t>
        </is>
      </c>
      <c r="B109" s="2" t="n"/>
      <c r="C109" s="3" t="inlineStr">
        <is>
          <t>SM.22.7, Sup.2</t>
        </is>
      </c>
      <c r="D109" s="4" t="inlineStr">
        <is>
          <t>Dominica</t>
        </is>
      </c>
      <c r="E109" s="4" t="inlineStr">
        <is>
          <t>DMA</t>
        </is>
      </c>
      <c r="F109" s="10" t="n">
        <v>44562</v>
      </c>
      <c r="G109" s="4" t="inlineStr">
        <is>
          <t>2018gn</t>
        </is>
      </c>
      <c r="H109" s="4" t="n">
        <v>2021</v>
      </c>
      <c r="I109" s="4" t="inlineStr">
        <is>
          <t>new.dis.lcl.nres.bnd.byd7.fx</t>
        </is>
      </c>
      <c r="J109" t="inlineStr">
        <is>
          <t>Bonds (beyond 7 years)-FX</t>
        </is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</row>
    <row r="110">
      <c r="A110" t="inlineStr">
        <is>
          <t>Dominica_2022_January</t>
        </is>
      </c>
      <c r="B110" s="2" t="n"/>
      <c r="C110" s="3" t="inlineStr">
        <is>
          <t>SM.22.7, Sup.2</t>
        </is>
      </c>
      <c r="D110" s="4" t="inlineStr">
        <is>
          <t>Dominica</t>
        </is>
      </c>
      <c r="E110" s="4" t="inlineStr">
        <is>
          <t>DMA</t>
        </is>
      </c>
      <c r="F110" s="10" t="n">
        <v>44562</v>
      </c>
      <c r="G110" s="4" t="inlineStr">
        <is>
          <t>2018gn</t>
        </is>
      </c>
      <c r="H110" s="4" t="n">
        <v>2021</v>
      </c>
      <c r="I110" s="5" t="n"/>
      <c r="J110" t="inlineStr">
        <is>
          <t>Locally-issued debt held by residents</t>
        </is>
      </c>
    </row>
    <row r="111">
      <c r="A111" t="inlineStr">
        <is>
          <t>Dominica_2022_January</t>
        </is>
      </c>
      <c r="B111" s="2" t="n"/>
      <c r="C111" s="3" t="inlineStr">
        <is>
          <t>SM.22.7, Sup.2</t>
        </is>
      </c>
      <c r="D111" s="4" t="inlineStr">
        <is>
          <t>Dominica</t>
        </is>
      </c>
      <c r="E111" s="4" t="inlineStr">
        <is>
          <t>DMA</t>
        </is>
      </c>
      <c r="F111" s="10" t="n">
        <v>44562</v>
      </c>
      <c r="G111" s="4" t="inlineStr">
        <is>
          <t>2018gn</t>
        </is>
      </c>
      <c r="H111" s="4" t="n">
        <v>2021</v>
      </c>
      <c r="I111" s="4" t="inlineStr">
        <is>
          <t>new.dis.lcl.fx</t>
        </is>
      </c>
      <c r="J111" t="inlineStr">
        <is>
          <t>Denominated in foreign currency (FX)</t>
        </is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</row>
    <row r="112">
      <c r="A112" t="inlineStr">
        <is>
          <t>Dominica_2022_January</t>
        </is>
      </c>
      <c r="B112" s="2" t="n"/>
      <c r="C112" s="3" t="inlineStr">
        <is>
          <t>SM.22.7, Sup.2</t>
        </is>
      </c>
      <c r="D112" s="4" t="inlineStr">
        <is>
          <t>Dominica</t>
        </is>
      </c>
      <c r="E112" s="4" t="inlineStr">
        <is>
          <t>DMA</t>
        </is>
      </c>
      <c r="F112" s="10" t="n">
        <v>44562</v>
      </c>
      <c r="G112" s="4" t="inlineStr">
        <is>
          <t>2018gn</t>
        </is>
      </c>
      <c r="H112" s="4" t="n">
        <v>2021</v>
      </c>
      <c r="I112" s="4" t="inlineStr">
        <is>
          <t>new.dis.lcl.fx.bnd.1to3.fx</t>
        </is>
      </c>
      <c r="J112" t="inlineStr">
        <is>
          <t>Bonds (1 to 3 years)-FX</t>
        </is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</row>
    <row r="113">
      <c r="A113" t="inlineStr">
        <is>
          <t>Dominica_2022_January</t>
        </is>
      </c>
      <c r="B113" s="2" t="n"/>
      <c r="C113" s="3" t="inlineStr">
        <is>
          <t>SM.22.7, Sup.2</t>
        </is>
      </c>
      <c r="D113" s="4" t="inlineStr">
        <is>
          <t>Dominica</t>
        </is>
      </c>
      <c r="E113" s="4" t="inlineStr">
        <is>
          <t>DMA</t>
        </is>
      </c>
      <c r="F113" s="10" t="n">
        <v>44562</v>
      </c>
      <c r="G113" s="4" t="inlineStr">
        <is>
          <t>2018gn</t>
        </is>
      </c>
      <c r="H113" s="4" t="n">
        <v>2021</v>
      </c>
      <c r="I113" s="4" t="inlineStr">
        <is>
          <t>new.dis.lcl.fx.bnd.4to7.fx</t>
        </is>
      </c>
      <c r="J113" t="inlineStr">
        <is>
          <t>Bonds (4 to 7 years)-FX</t>
        </is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</row>
    <row r="114">
      <c r="A114" t="inlineStr">
        <is>
          <t>Dominica_2022_January</t>
        </is>
      </c>
      <c r="B114" s="2" t="n"/>
      <c r="C114" s="3" t="inlineStr">
        <is>
          <t>SM.22.7, Sup.2</t>
        </is>
      </c>
      <c r="D114" s="4" t="inlineStr">
        <is>
          <t>Dominica</t>
        </is>
      </c>
      <c r="E114" s="4" t="inlineStr">
        <is>
          <t>DMA</t>
        </is>
      </c>
      <c r="F114" s="10" t="n">
        <v>44562</v>
      </c>
      <c r="G114" s="4" t="inlineStr">
        <is>
          <t>2018gn</t>
        </is>
      </c>
      <c r="H114" s="4" t="n">
        <v>2021</v>
      </c>
      <c r="I114" s="4" t="inlineStr">
        <is>
          <t>new.dis.lcl.fx.bnd.byd7.fx</t>
        </is>
      </c>
      <c r="J114" t="inlineStr">
        <is>
          <t>Bonds (beyond 7 years)-FX</t>
        </is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</row>
    <row r="115">
      <c r="A115" t="inlineStr">
        <is>
          <t>Dominica_2022_January</t>
        </is>
      </c>
      <c r="B115" s="2" t="n"/>
      <c r="C115" s="3" t="inlineStr">
        <is>
          <t>SM.22.7, Sup.2</t>
        </is>
      </c>
      <c r="D115" s="4" t="inlineStr">
        <is>
          <t>Dominica</t>
        </is>
      </c>
      <c r="E115" s="4" t="inlineStr">
        <is>
          <t>DMA</t>
        </is>
      </c>
      <c r="F115" s="10" t="n">
        <v>44562</v>
      </c>
      <c r="G115" s="4" t="inlineStr">
        <is>
          <t>2018gn</t>
        </is>
      </c>
      <c r="H115" s="4" t="n">
        <v>2021</v>
      </c>
      <c r="I115" s="5" t="n"/>
    </row>
    <row r="116">
      <c r="A116" t="inlineStr">
        <is>
          <t>Dominica_2022_January</t>
        </is>
      </c>
      <c r="B116" s="2" t="n"/>
      <c r="C116" s="3" t="inlineStr">
        <is>
          <t>SM.22.7, Sup.2</t>
        </is>
      </c>
      <c r="D116" s="4" t="inlineStr">
        <is>
          <t>Dominica</t>
        </is>
      </c>
      <c r="E116" s="4" t="inlineStr">
        <is>
          <t>DMA</t>
        </is>
      </c>
      <c r="F116" s="10" t="n">
        <v>44562</v>
      </c>
      <c r="G116" s="4" t="inlineStr">
        <is>
          <t>2018gn</t>
        </is>
      </c>
      <c r="H116" s="4" t="n">
        <v>2021</v>
      </c>
      <c r="I116" s="4" t="inlineStr">
        <is>
          <t>def.ext.dom.curres</t>
        </is>
      </c>
      <c r="J116" t="inlineStr">
        <is>
          <t>Definition of external/domestic debt</t>
        </is>
      </c>
      <c r="L116" t="inlineStr">
        <is>
          <t>Residency-based</t>
        </is>
      </c>
    </row>
    <row r="117">
      <c r="A117" t="inlineStr">
        <is>
          <t>Dominica_2022_January</t>
        </is>
      </c>
      <c r="B117" s="2" t="n"/>
      <c r="C117" s="3" t="inlineStr">
        <is>
          <t>SM.22.7, Sup.2</t>
        </is>
      </c>
      <c r="D117" s="4" t="inlineStr">
        <is>
          <t>Dominica</t>
        </is>
      </c>
      <c r="E117" s="4" t="inlineStr">
        <is>
          <t>DMA</t>
        </is>
      </c>
      <c r="F117" s="10" t="n">
        <v>44562</v>
      </c>
      <c r="G117" s="4" t="inlineStr">
        <is>
          <t>2018gn</t>
        </is>
      </c>
      <c r="H117" s="4" t="n">
        <v>2021</v>
      </c>
      <c r="I117" s="5" t="n"/>
    </row>
    <row r="118">
      <c r="A118" t="inlineStr">
        <is>
          <t>Dominica_2022_January</t>
        </is>
      </c>
      <c r="B118" s="2" t="n"/>
      <c r="C118" s="3" t="inlineStr">
        <is>
          <t>SM.22.7, Sup.2</t>
        </is>
      </c>
      <c r="D118" s="4" t="inlineStr">
        <is>
          <t>Dominica</t>
        </is>
      </c>
      <c r="E118" s="4" t="inlineStr">
        <is>
          <t>DMA</t>
        </is>
      </c>
      <c r="F118" s="10" t="n">
        <v>44562</v>
      </c>
      <c r="G118" s="4" t="inlineStr">
        <is>
          <t>2018gn</t>
        </is>
      </c>
      <c r="H118" s="4" t="n">
        <v>2021</v>
      </c>
      <c r="I118" s="4" t="inlineStr">
        <is>
          <t>new.tot.pub.ext.dis.mlt</t>
        </is>
      </c>
      <c r="J118" t="inlineStr">
        <is>
          <t>Total new public external MLT disbursements</t>
        </is>
      </c>
      <c r="O118" t="n">
        <v>36.29251236004566</v>
      </c>
      <c r="P118" t="n">
        <v>78.36020583385189</v>
      </c>
      <c r="Q118" t="n">
        <v>61.1554784297162</v>
      </c>
      <c r="R118" t="n">
        <v>53.3611782844645</v>
      </c>
      <c r="S118" t="n">
        <v>50.66714082031002</v>
      </c>
      <c r="T118" t="n">
        <v>52.73748700237873</v>
      </c>
      <c r="U118" t="n">
        <v>41.830235879254</v>
      </c>
      <c r="V118" t="n">
        <v>27.60785073453113</v>
      </c>
      <c r="W118" t="n">
        <v>16.90447165005696</v>
      </c>
      <c r="X118" t="n">
        <v>14.89977586996237</v>
      </c>
      <c r="Y118" t="n">
        <v>15.82645985826593</v>
      </c>
      <c r="Z118" t="n">
        <v>14.63950086779671</v>
      </c>
      <c r="AA118" t="n">
        <v>14.90323681715578</v>
      </c>
      <c r="AB118" t="n">
        <v>14.88948723024962</v>
      </c>
      <c r="AC118" t="n">
        <v>15.37897307971799</v>
      </c>
      <c r="AD118" t="n">
        <v>16.00086344869263</v>
      </c>
      <c r="AE118" t="n">
        <v>16.83596647626765</v>
      </c>
      <c r="AF118" t="n">
        <v>18.15131667392455</v>
      </c>
      <c r="AG118" t="n">
        <v>18.71677587519835</v>
      </c>
      <c r="AH118" t="n">
        <v>19.21653063913511</v>
      </c>
      <c r="AI118" t="n">
        <v>19.9678664252213</v>
      </c>
      <c r="BI118" t="inlineStr">
        <is>
          <t>NEW_MLT_ALL</t>
        </is>
      </c>
    </row>
    <row r="119">
      <c r="A119" t="inlineStr">
        <is>
          <t>Dominica_2022_January</t>
        </is>
      </c>
      <c r="B119" s="2" t="n"/>
      <c r="C119" s="3" t="inlineStr">
        <is>
          <t>SM.22.7, Sup.2</t>
        </is>
      </c>
      <c r="D119" s="4" t="inlineStr">
        <is>
          <t>Dominica</t>
        </is>
      </c>
      <c r="E119" s="4" t="inlineStr">
        <is>
          <t>DMA</t>
        </is>
      </c>
      <c r="F119" s="10" t="n">
        <v>44562</v>
      </c>
      <c r="G119" s="4" t="inlineStr">
        <is>
          <t>2018gn</t>
        </is>
      </c>
      <c r="H119" s="4" t="n">
        <v>2021</v>
      </c>
      <c r="I119" s="4" t="inlineStr">
        <is>
          <t>new.tot.pub.dis</t>
        </is>
      </c>
      <c r="J119" t="inlineStr">
        <is>
          <t>Total public new (external and domestic) ST&amp;MLT disbursements</t>
        </is>
      </c>
      <c r="O119" t="n">
        <v>41.77107021039018</v>
      </c>
      <c r="P119" t="n">
        <v>90.5817825018058</v>
      </c>
      <c r="Q119" t="n">
        <v>82.74044382495258</v>
      </c>
      <c r="R119" t="n">
        <v>62.52803581494603</v>
      </c>
      <c r="S119" t="n">
        <v>59.6000899674512</v>
      </c>
      <c r="T119" t="n">
        <v>61.25744876387819</v>
      </c>
      <c r="U119" t="n">
        <v>50.03244493134066</v>
      </c>
      <c r="V119" t="n">
        <v>34.97928047806149</v>
      </c>
      <c r="W119" t="n">
        <v>23.91426410105679</v>
      </c>
      <c r="X119" t="n">
        <v>20.9794873442261</v>
      </c>
      <c r="Y119" t="n">
        <v>21.21630791820868</v>
      </c>
      <c r="Z119" t="n">
        <v>18.11664983194109</v>
      </c>
      <c r="AA119" t="n">
        <v>24.92409530289896</v>
      </c>
      <c r="AB119" t="n">
        <v>25.74140023253256</v>
      </c>
      <c r="AC119" t="n">
        <v>22.28583877677548</v>
      </c>
      <c r="AD119" t="n">
        <v>26.11125878768371</v>
      </c>
      <c r="AE119" t="n">
        <v>29.12228037463865</v>
      </c>
      <c r="AF119" t="n">
        <v>34.56942134515367</v>
      </c>
      <c r="AG119" t="n">
        <v>39.83360721823533</v>
      </c>
      <c r="AH119" t="n">
        <v>44.21964509167431</v>
      </c>
      <c r="AI119" t="n">
        <v>49.93251710756192</v>
      </c>
    </row>
    <row r="120">
      <c r="A120" t="inlineStr">
        <is>
          <t>Dominica_2022_January</t>
        </is>
      </c>
      <c r="B120" s="2" t="n"/>
      <c r="C120" s="3" t="inlineStr">
        <is>
          <t>SM.22.7, Sup.2</t>
        </is>
      </c>
      <c r="D120" s="4" t="inlineStr">
        <is>
          <t>Dominica</t>
        </is>
      </c>
      <c r="E120" s="4" t="inlineStr">
        <is>
          <t>DMA</t>
        </is>
      </c>
      <c r="F120" s="10" t="n">
        <v>44562</v>
      </c>
      <c r="G120" s="4" t="inlineStr">
        <is>
          <t>2018gn</t>
        </is>
      </c>
      <c r="H120" s="4" t="n">
        <v>2021</v>
      </c>
      <c r="I120" s="5" t="n"/>
    </row>
    <row r="121">
      <c r="A121" t="inlineStr">
        <is>
          <t>Dominica_2022_January</t>
        </is>
      </c>
      <c r="B121" s="2" t="n"/>
      <c r="C121" s="3" t="inlineStr">
        <is>
          <t>SM.22.7, Sup.2</t>
        </is>
      </c>
      <c r="D121" s="4" t="inlineStr">
        <is>
          <t>Dominica</t>
        </is>
      </c>
      <c r="E121" s="4" t="inlineStr">
        <is>
          <t>DMA</t>
        </is>
      </c>
      <c r="F121" s="10" t="n">
        <v>44562</v>
      </c>
      <c r="G121" s="4" t="inlineStr">
        <is>
          <t>2018gn</t>
        </is>
      </c>
      <c r="H121" s="4" t="n">
        <v>2021</v>
      </c>
      <c r="I121" s="5" t="n"/>
      <c r="J121" t="inlineStr">
        <is>
          <t>Shares of marginal debt</t>
        </is>
      </c>
      <c r="M121" t="inlineStr">
        <is>
          <t>Average</t>
        </is>
      </c>
    </row>
    <row r="122">
      <c r="A122" t="inlineStr">
        <is>
          <t>Dominica_2022_January</t>
        </is>
      </c>
      <c r="B122" s="2" t="n"/>
      <c r="C122" s="3" t="inlineStr">
        <is>
          <t>SM.22.7, Sup.2</t>
        </is>
      </c>
      <c r="D122" s="4" t="inlineStr">
        <is>
          <t>Dominica</t>
        </is>
      </c>
      <c r="E122" s="4" t="inlineStr">
        <is>
          <t>DMA</t>
        </is>
      </c>
      <c r="F122" s="10" t="n">
        <v>44562</v>
      </c>
      <c r="G122" s="4" t="inlineStr">
        <is>
          <t>2018gn</t>
        </is>
      </c>
      <c r="H122" s="4" t="n">
        <v>2021</v>
      </c>
      <c r="I122" s="4" t="inlineStr">
        <is>
          <t>shr.ext.ppg.mlt</t>
        </is>
      </c>
      <c r="J122" t="inlineStr">
        <is>
          <t>External PPG medium and long-term</t>
        </is>
      </c>
      <c r="L122" t="n">
        <v>0.682591735012706</v>
      </c>
      <c r="M122" t="n">
        <v>0.682591735012706</v>
      </c>
      <c r="O122" t="n">
        <v>0.868843249101581</v>
      </c>
      <c r="P122" t="n">
        <v>0.8650768804675458</v>
      </c>
      <c r="Q122" t="n">
        <v>0.7391243701701433</v>
      </c>
      <c r="R122" t="n">
        <v>0.8533960420952423</v>
      </c>
      <c r="S122" t="n">
        <v>0.8501185291495424</v>
      </c>
      <c r="T122" t="n">
        <v>0.8609154978957687</v>
      </c>
      <c r="U122" t="n">
        <v>0.8360621979728852</v>
      </c>
      <c r="V122" t="n">
        <v>0.7892629681690103</v>
      </c>
      <c r="W122" t="n">
        <v>0.706878186952445</v>
      </c>
      <c r="X122" t="n">
        <v>0.7102068618498932</v>
      </c>
      <c r="Y122" t="n">
        <v>0.7459573041303303</v>
      </c>
      <c r="Z122" t="n">
        <v>0.8080688760670366</v>
      </c>
      <c r="AA122" t="n">
        <v>0.5979449458862551</v>
      </c>
      <c r="AB122" t="n">
        <v>0.5784256915220934</v>
      </c>
      <c r="AC122" t="n">
        <v>0.6900782704999521</v>
      </c>
      <c r="AD122" t="n">
        <v>0.6127955599076672</v>
      </c>
      <c r="AE122" t="n">
        <v>0.5781129176590641</v>
      </c>
      <c r="AF122" t="n">
        <v>0.5250685712293304</v>
      </c>
      <c r="AG122" t="n">
        <v>0.4698739878780059</v>
      </c>
      <c r="AH122" t="n">
        <v>0.4345699880516048</v>
      </c>
      <c r="AI122" t="n">
        <v>0.3998970527002996</v>
      </c>
    </row>
    <row r="123">
      <c r="A123" t="inlineStr">
        <is>
          <t>Dominica_2022_January</t>
        </is>
      </c>
      <c r="B123" s="2" t="n"/>
      <c r="C123" s="3" t="inlineStr">
        <is>
          <t>SM.22.7, Sup.2</t>
        </is>
      </c>
      <c r="D123" s="4" t="inlineStr">
        <is>
          <t>Dominica</t>
        </is>
      </c>
      <c r="E123" s="4" t="inlineStr">
        <is>
          <t>DMA</t>
        </is>
      </c>
      <c r="F123" s="10" t="n">
        <v>44562</v>
      </c>
      <c r="G123" s="4" t="inlineStr">
        <is>
          <t>2018gn</t>
        </is>
      </c>
      <c r="H123" s="4" t="n">
        <v>2021</v>
      </c>
      <c r="I123" s="4" t="inlineStr">
        <is>
          <t>shr.dom.mlt</t>
        </is>
      </c>
      <c r="J123" t="inlineStr">
        <is>
          <t>Domestic medium and long-term</t>
        </is>
      </c>
      <c r="L123" t="n">
        <v>0.3174082649872942</v>
      </c>
      <c r="M123" t="n">
        <v>0.3174082649872942</v>
      </c>
      <c r="O123" t="n">
        <v>0.131156750898419</v>
      </c>
      <c r="P123" t="n">
        <v>0.1349231195324542</v>
      </c>
      <c r="Q123" t="n">
        <v>0.2608756298298567</v>
      </c>
      <c r="R123" t="n">
        <v>0.1466039579047577</v>
      </c>
      <c r="S123" t="n">
        <v>0.1498814708504576</v>
      </c>
      <c r="T123" t="n">
        <v>0.1390845021042313</v>
      </c>
      <c r="U123" t="n">
        <v>0.1639378020271149</v>
      </c>
      <c r="V123" t="n">
        <v>0.2107370318309897</v>
      </c>
      <c r="W123" t="n">
        <v>0.2931218130475551</v>
      </c>
      <c r="X123" t="n">
        <v>0.2897931381501069</v>
      </c>
      <c r="Y123" t="n">
        <v>0.2540426958696697</v>
      </c>
      <c r="Z123" t="n">
        <v>0.1919311239329634</v>
      </c>
      <c r="AA123" t="n">
        <v>0.4020550541137449</v>
      </c>
      <c r="AB123" t="n">
        <v>0.4215743084779065</v>
      </c>
      <c r="AC123" t="n">
        <v>0.3099217295000479</v>
      </c>
      <c r="AD123" t="n">
        <v>0.3872044400923329</v>
      </c>
      <c r="AE123" t="n">
        <v>0.4218870823409358</v>
      </c>
      <c r="AF123" t="n">
        <v>0.4749314287706697</v>
      </c>
      <c r="AG123" t="n">
        <v>0.5301260121219941</v>
      </c>
      <c r="AH123" t="n">
        <v>0.5654300119483952</v>
      </c>
      <c r="AI123" t="n">
        <v>0.6001029472997003</v>
      </c>
    </row>
    <row r="124">
      <c r="A124" t="inlineStr">
        <is>
          <t>Dominica_2022_January</t>
        </is>
      </c>
      <c r="B124" s="2" t="n"/>
      <c r="C124" s="3" t="inlineStr">
        <is>
          <t>SM.22.7, Sup.2</t>
        </is>
      </c>
      <c r="D124" s="4" t="inlineStr">
        <is>
          <t>Dominica</t>
        </is>
      </c>
      <c r="E124" s="4" t="inlineStr">
        <is>
          <t>DMA</t>
        </is>
      </c>
      <c r="F124" s="10" t="n">
        <v>44562</v>
      </c>
      <c r="G124" s="4" t="inlineStr">
        <is>
          <t>2018gn</t>
        </is>
      </c>
      <c r="H124" s="4" t="n">
        <v>2021</v>
      </c>
      <c r="I124" s="4" t="inlineStr">
        <is>
          <t>shr.dom.sht.trm</t>
        </is>
      </c>
      <c r="J124" t="inlineStr">
        <is>
          <t>Domestic short-term</t>
        </is>
      </c>
      <c r="L124" t="n">
        <v>0</v>
      </c>
      <c r="M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</row>
    <row r="125">
      <c r="A125" t="inlineStr">
        <is>
          <t>Dominica_2022_January</t>
        </is>
      </c>
      <c r="B125" s="2" t="n"/>
      <c r="C125" s="3" t="inlineStr">
        <is>
          <t>SM.22.7, Sup.2</t>
        </is>
      </c>
      <c r="D125" s="4" t="inlineStr">
        <is>
          <t>Dominica</t>
        </is>
      </c>
      <c r="E125" s="4" t="inlineStr">
        <is>
          <t>DMA</t>
        </is>
      </c>
      <c r="F125" s="10" t="n">
        <v>44562</v>
      </c>
      <c r="G125" s="4" t="inlineStr">
        <is>
          <t>2018gn</t>
        </is>
      </c>
      <c r="H125" s="4" t="n">
        <v>2021</v>
      </c>
      <c r="I125" s="5" t="n"/>
    </row>
    <row r="126">
      <c r="A126" t="inlineStr">
        <is>
          <t>Dominica_2022_January</t>
        </is>
      </c>
      <c r="B126" s="2" t="n"/>
      <c r="C126" s="3" t="inlineStr">
        <is>
          <t>SM.22.7, Sup.2</t>
        </is>
      </c>
      <c r="D126" s="4" t="inlineStr">
        <is>
          <t>Dominica</t>
        </is>
      </c>
      <c r="E126" s="4" t="inlineStr">
        <is>
          <t>DMA</t>
        </is>
      </c>
      <c r="F126" s="10" t="n">
        <v>44562</v>
      </c>
      <c r="G126" s="4" t="inlineStr">
        <is>
          <t>2018gn</t>
        </is>
      </c>
      <c r="H126" s="4" t="n">
        <v>2021</v>
      </c>
      <c r="I126" s="5" t="n"/>
      <c r="J126" t="inlineStr">
        <is>
          <t>Terms of residual financing under stress tests</t>
        </is>
      </c>
    </row>
    <row r="127">
      <c r="A127" t="inlineStr">
        <is>
          <t>Dominica_2022_January</t>
        </is>
      </c>
      <c r="B127" s="2" t="n"/>
      <c r="C127" s="3" t="inlineStr">
        <is>
          <t>SM.22.7, Sup.2</t>
        </is>
      </c>
      <c r="D127" s="4" t="inlineStr">
        <is>
          <t>Dominica</t>
        </is>
      </c>
      <c r="E127" s="4" t="inlineStr">
        <is>
          <t>DMA</t>
        </is>
      </c>
      <c r="F127" s="10" t="n">
        <v>44562</v>
      </c>
      <c r="G127" s="4" t="inlineStr">
        <is>
          <t>2018gn</t>
        </is>
      </c>
      <c r="H127" s="4" t="n">
        <v>2021</v>
      </c>
      <c r="I127" s="4" t="inlineStr">
        <is>
          <t>rsdl.ndr.strs.tst.avg.int.rat</t>
        </is>
      </c>
      <c r="J127" t="inlineStr">
        <is>
          <t>Average interest rate on new debt</t>
        </is>
      </c>
      <c r="L127" t="n">
        <v>0.8946145503695633</v>
      </c>
      <c r="M127" t="n">
        <v>0.8946145503695633</v>
      </c>
      <c r="O127" t="n">
        <v>0.8966729014845396</v>
      </c>
      <c r="P127" t="n">
        <v>0.8481372034010259</v>
      </c>
      <c r="Q127" t="n">
        <v>0.8569220579304917</v>
      </c>
      <c r="R127" t="n">
        <v>0.8604360685985475</v>
      </c>
      <c r="S127" t="n">
        <v>0.8606763506742277</v>
      </c>
      <c r="T127" t="n">
        <v>0.8604908799379501</v>
      </c>
      <c r="U127" t="n">
        <v>0.8716586443997627</v>
      </c>
      <c r="V127" t="n">
        <v>0.8983499698147503</v>
      </c>
      <c r="W127" t="n">
        <v>0.9479809132569618</v>
      </c>
      <c r="X127" t="n">
        <v>0.9693292430157818</v>
      </c>
      <c r="Y127" t="n">
        <v>0.9701058215511578</v>
      </c>
      <c r="Z127" t="n">
        <v>0.9832706020374945</v>
      </c>
      <c r="AA127" t="n">
        <v>0.982986558751152</v>
      </c>
      <c r="AB127" t="n">
        <v>0.9876588039108453</v>
      </c>
      <c r="AC127" t="n">
        <v>0.9913408774934679</v>
      </c>
      <c r="AD127" t="n">
        <v>0.9913836369851605</v>
      </c>
      <c r="AE127" t="n">
        <v>0.9915219584494098</v>
      </c>
      <c r="AF127" t="n">
        <v>0.9918587396090639</v>
      </c>
      <c r="AG127" t="n">
        <v>0.9918259945027912</v>
      </c>
      <c r="AH127" t="n">
        <v>0.9934060271321715</v>
      </c>
      <c r="AI127" t="n">
        <v>0.9934301317282864</v>
      </c>
      <c r="BI127" t="inlineStr">
        <is>
          <t>NEW_IR_AVG</t>
        </is>
      </c>
    </row>
    <row r="128">
      <c r="A128" t="inlineStr">
        <is>
          <t>Dominica_2022_January</t>
        </is>
      </c>
      <c r="B128" s="2" t="n"/>
      <c r="C128" s="3" t="inlineStr">
        <is>
          <t>SM.22.7, Sup.2</t>
        </is>
      </c>
      <c r="D128" s="4" t="inlineStr">
        <is>
          <t>Dominica</t>
        </is>
      </c>
      <c r="E128" s="4" t="inlineStr">
        <is>
          <t>DMA</t>
        </is>
      </c>
      <c r="F128" s="10" t="n">
        <v>44562</v>
      </c>
      <c r="G128" s="4" t="inlineStr">
        <is>
          <t>2018gn</t>
        </is>
      </c>
      <c r="H128" s="4" t="n">
        <v>2021</v>
      </c>
      <c r="I128" s="4" t="inlineStr">
        <is>
          <t>rsdl.ndr.strs.tst.avg.grc.prd</t>
        </is>
      </c>
      <c r="J128" t="inlineStr">
        <is>
          <t>Average grace period on new debt</t>
        </is>
      </c>
      <c r="L128" t="n">
        <v>7</v>
      </c>
      <c r="M128" t="n">
        <v>7.107708992608734</v>
      </c>
      <c r="O128" t="n">
        <v>7.066541970309206</v>
      </c>
      <c r="P128" t="n">
        <v>8.037255931979484</v>
      </c>
      <c r="Q128" t="n">
        <v>7.861558841390167</v>
      </c>
      <c r="R128" t="n">
        <v>7.791278628029048</v>
      </c>
      <c r="S128" t="n">
        <v>7.786472986515448</v>
      </c>
      <c r="T128" t="n">
        <v>7.790182401240998</v>
      </c>
      <c r="U128" t="n">
        <v>7.56682711200475</v>
      </c>
      <c r="V128" t="n">
        <v>7.033000603704989</v>
      </c>
      <c r="W128" t="n">
        <v>6.040381734860765</v>
      </c>
      <c r="X128" t="n">
        <v>5.613415139684369</v>
      </c>
      <c r="Y128" t="n">
        <v>5.597883568976852</v>
      </c>
      <c r="Z128" t="n">
        <v>5.33458795925011</v>
      </c>
      <c r="AA128" t="n">
        <v>5.340268824976961</v>
      </c>
      <c r="AB128" t="n">
        <v>5.246823921783092</v>
      </c>
      <c r="AC128" t="n">
        <v>5.173182450130642</v>
      </c>
      <c r="AD128" t="n">
        <v>5.172327260296791</v>
      </c>
      <c r="AE128" t="n">
        <v>5.169560831011807</v>
      </c>
      <c r="AF128" t="n">
        <v>5.162825207818718</v>
      </c>
      <c r="AG128" t="n">
        <v>5.163480109944173</v>
      </c>
      <c r="AH128" t="n">
        <v>5.131879457356571</v>
      </c>
      <c r="AI128" t="n">
        <v>5.131397365434271</v>
      </c>
      <c r="BI128" t="inlineStr">
        <is>
          <t>NEW_GP_AVG</t>
        </is>
      </c>
    </row>
    <row r="129">
      <c r="A129" t="inlineStr">
        <is>
          <t>Dominica_2022_January</t>
        </is>
      </c>
      <c r="B129" s="2" t="n"/>
      <c r="C129" s="3" t="inlineStr">
        <is>
          <t>SM.22.7, Sup.2</t>
        </is>
      </c>
      <c r="D129" s="4" t="inlineStr">
        <is>
          <t>Dominica</t>
        </is>
      </c>
      <c r="E129" s="4" t="inlineStr">
        <is>
          <t>DMA</t>
        </is>
      </c>
      <c r="F129" s="10" t="n">
        <v>44562</v>
      </c>
      <c r="G129" s="4" t="inlineStr">
        <is>
          <t>2018gn</t>
        </is>
      </c>
      <c r="H129" s="4" t="n">
        <v>2021</v>
      </c>
      <c r="I129" s="4" t="inlineStr">
        <is>
          <t>rsdl.ndr.strs.tst.avg.matrty</t>
        </is>
      </c>
      <c r="J129" t="inlineStr">
        <is>
          <t>Average maturity of new debt</t>
        </is>
      </c>
      <c r="L129" t="n">
        <v>33</v>
      </c>
      <c r="M129" t="n">
        <v>33.33188748071766</v>
      </c>
      <c r="O129" t="n">
        <v>33.17097622700463</v>
      </c>
      <c r="P129" t="n">
        <v>34.79857576356307</v>
      </c>
      <c r="Q129" t="n">
        <v>34.49673532218455</v>
      </c>
      <c r="R129" t="n">
        <v>34.38629498690279</v>
      </c>
      <c r="S129" t="n">
        <v>34.39217386627569</v>
      </c>
      <c r="T129" t="n">
        <v>34.38883684349473</v>
      </c>
      <c r="U129" t="n">
        <v>34.03358546172175</v>
      </c>
      <c r="V129" t="n">
        <v>33.22053240623905</v>
      </c>
      <c r="W129" t="n">
        <v>31.63488558335263</v>
      </c>
      <c r="X129" t="n">
        <v>30.96393807664687</v>
      </c>
      <c r="Y129" t="n">
        <v>31.16422775050856</v>
      </c>
      <c r="Z129" t="n">
        <v>30.6212649011279</v>
      </c>
      <c r="AA129" t="n">
        <v>30.54419816790265</v>
      </c>
      <c r="AB129" t="n">
        <v>30.387866162802</v>
      </c>
      <c r="AC129" t="n">
        <v>30.45486215860318</v>
      </c>
      <c r="AD129" t="n">
        <v>30.33472051873603</v>
      </c>
      <c r="AE129" t="n">
        <v>30.29998600058754</v>
      </c>
      <c r="AF129" t="n">
        <v>30.45032686539357</v>
      </c>
      <c r="AG129" t="n">
        <v>30.25689731562656</v>
      </c>
      <c r="AH129" t="n">
        <v>30.22136908913424</v>
      </c>
      <c r="AI129" t="n">
        <v>30.22055986340752</v>
      </c>
      <c r="BI129" t="inlineStr">
        <is>
          <t>NEW_M_AVG</t>
        </is>
      </c>
    </row>
    <row r="130">
      <c r="A130" t="inlineStr">
        <is>
          <t>Dominica_2022_January</t>
        </is>
      </c>
      <c r="B130" s="2" t="n"/>
      <c r="C130" s="3" t="inlineStr">
        <is>
          <t>SM.22.7, Sup.2</t>
        </is>
      </c>
      <c r="D130" s="4" t="inlineStr">
        <is>
          <t>Dominica</t>
        </is>
      </c>
      <c r="E130" s="4" t="inlineStr">
        <is>
          <t>DMA</t>
        </is>
      </c>
      <c r="F130" s="10" t="n">
        <v>44562</v>
      </c>
      <c r="G130" s="4" t="inlineStr">
        <is>
          <t>2018gn</t>
        </is>
      </c>
      <c r="H130" s="4" t="n">
        <v>2021</v>
      </c>
      <c r="I130" s="5" t="n"/>
    </row>
    <row r="131">
      <c r="A131" t="inlineStr">
        <is>
          <t>Dominica_2022_January</t>
        </is>
      </c>
      <c r="B131" s="2" t="n"/>
      <c r="C131" s="3" t="inlineStr">
        <is>
          <t>SM.22.7, Sup.2</t>
        </is>
      </c>
      <c r="D131" s="4" t="inlineStr">
        <is>
          <t>Dominica</t>
        </is>
      </c>
      <c r="E131" s="4" t="inlineStr">
        <is>
          <t>DMA</t>
        </is>
      </c>
      <c r="F131" s="10" t="n">
        <v>44562</v>
      </c>
      <c r="G131" s="4" t="inlineStr">
        <is>
          <t>2018gn</t>
        </is>
      </c>
      <c r="H131" s="4" t="n">
        <v>2021</v>
      </c>
      <c r="I131" s="4" t="inlineStr">
        <is>
          <t>rsdl.ndr.strs.tst.avg.grc.prd.rnd</t>
        </is>
      </c>
      <c r="J131" t="inlineStr">
        <is>
          <t>Average grace period on new debt (rounded down)</t>
        </is>
      </c>
      <c r="M131" t="n">
        <v>7</v>
      </c>
      <c r="O131" t="n">
        <v>7</v>
      </c>
      <c r="P131" t="n">
        <v>8</v>
      </c>
      <c r="Q131" t="n">
        <v>7</v>
      </c>
      <c r="R131" t="n">
        <v>7</v>
      </c>
      <c r="S131" t="n">
        <v>7</v>
      </c>
      <c r="T131" t="n">
        <v>7</v>
      </c>
      <c r="U131" t="n">
        <v>7</v>
      </c>
      <c r="V131" t="n">
        <v>7</v>
      </c>
      <c r="W131" t="n">
        <v>6</v>
      </c>
      <c r="X131" t="n">
        <v>5</v>
      </c>
      <c r="Y131" t="n">
        <v>5</v>
      </c>
      <c r="Z131" t="n">
        <v>5</v>
      </c>
      <c r="AA131" t="n">
        <v>5</v>
      </c>
      <c r="AB131" t="n">
        <v>5</v>
      </c>
      <c r="AC131" t="n">
        <v>5</v>
      </c>
      <c r="AD131" t="n">
        <v>5</v>
      </c>
      <c r="AE131" t="n">
        <v>5</v>
      </c>
      <c r="AF131" t="n">
        <v>5</v>
      </c>
      <c r="AG131" t="n">
        <v>5</v>
      </c>
      <c r="AH131" t="n">
        <v>5</v>
      </c>
      <c r="AI131" t="n">
        <v>5</v>
      </c>
      <c r="BI131" t="inlineStr">
        <is>
          <t>NEW_GP_AVG_R</t>
        </is>
      </c>
    </row>
    <row r="132">
      <c r="A132" t="inlineStr">
        <is>
          <t>Dominica_2022_January</t>
        </is>
      </c>
      <c r="B132" s="2" t="n"/>
      <c r="C132" s="3" t="inlineStr">
        <is>
          <t>SM.22.7, Sup.2</t>
        </is>
      </c>
      <c r="D132" s="4" t="inlineStr">
        <is>
          <t>Dominica</t>
        </is>
      </c>
      <c r="E132" s="4" t="inlineStr">
        <is>
          <t>DMA</t>
        </is>
      </c>
      <c r="F132" s="10" t="n">
        <v>44562</v>
      </c>
      <c r="G132" s="4" t="inlineStr">
        <is>
          <t>2018gn</t>
        </is>
      </c>
      <c r="H132" s="4" t="n">
        <v>2021</v>
      </c>
      <c r="I132" s="4" t="inlineStr">
        <is>
          <t>rsdl.ndr.strs.tst.avg.matrty.rnd</t>
        </is>
      </c>
      <c r="J132" t="inlineStr">
        <is>
          <t>Average maturity of new debt (rounded down)</t>
        </is>
      </c>
      <c r="M132" t="n">
        <v>33</v>
      </c>
      <c r="O132" t="n">
        <v>33</v>
      </c>
      <c r="P132" t="n">
        <v>34</v>
      </c>
      <c r="Q132" t="n">
        <v>34</v>
      </c>
      <c r="R132" t="n">
        <v>34</v>
      </c>
      <c r="S132" t="n">
        <v>34</v>
      </c>
      <c r="T132" t="n">
        <v>34</v>
      </c>
      <c r="U132" t="n">
        <v>34</v>
      </c>
      <c r="V132" t="n">
        <v>33</v>
      </c>
      <c r="W132" t="n">
        <v>31</v>
      </c>
      <c r="X132" t="n">
        <v>30</v>
      </c>
      <c r="Y132" t="n">
        <v>31</v>
      </c>
      <c r="Z132" t="n">
        <v>30</v>
      </c>
      <c r="AA132" t="n">
        <v>30</v>
      </c>
      <c r="AB132" t="n">
        <v>30</v>
      </c>
      <c r="AC132" t="n">
        <v>30</v>
      </c>
      <c r="AD132" t="n">
        <v>30</v>
      </c>
      <c r="AE132" t="n">
        <v>30</v>
      </c>
      <c r="AF132" t="n">
        <v>30</v>
      </c>
      <c r="AG132" t="n">
        <v>30</v>
      </c>
      <c r="AH132" t="n">
        <v>30</v>
      </c>
      <c r="AI132" t="n">
        <v>30</v>
      </c>
      <c r="BI132" t="inlineStr">
        <is>
          <t>NEW_M_AVG_R</t>
        </is>
      </c>
    </row>
    <row r="133">
      <c r="A133" t="inlineStr">
        <is>
          <t>Dominica_2022_January</t>
        </is>
      </c>
      <c r="B133" s="2" t="n"/>
      <c r="C133" s="3" t="inlineStr">
        <is>
          <t>SM.22.7, Sup.2</t>
        </is>
      </c>
      <c r="D133" s="4" t="inlineStr">
        <is>
          <t>Dominica</t>
        </is>
      </c>
      <c r="E133" s="4" t="inlineStr">
        <is>
          <t>DMA</t>
        </is>
      </c>
      <c r="F133" s="10" t="n">
        <v>44562</v>
      </c>
      <c r="G133" s="4" t="inlineStr">
        <is>
          <t>2018gn</t>
        </is>
      </c>
      <c r="H133" s="4" t="n">
        <v>2021</v>
      </c>
      <c r="I133" s="5" t="n"/>
    </row>
    <row r="134">
      <c r="A134" t="inlineStr">
        <is>
          <t>Dominica_2022_January</t>
        </is>
      </c>
      <c r="B134" s="2" t="n"/>
      <c r="C134" s="3" t="inlineStr">
        <is>
          <t>SM.22.7, Sup.2</t>
        </is>
      </c>
      <c r="D134" s="4" t="inlineStr">
        <is>
          <t>Dominica</t>
        </is>
      </c>
      <c r="E134" s="4" t="inlineStr">
        <is>
          <t>DMA</t>
        </is>
      </c>
      <c r="F134" s="10" t="n">
        <v>44562</v>
      </c>
      <c r="G134" s="4" t="inlineStr">
        <is>
          <t>2018gn</t>
        </is>
      </c>
      <c r="H134" s="4" t="n">
        <v>2021</v>
      </c>
      <c r="I134" s="5" t="n"/>
      <c r="J134" t="inlineStr">
        <is>
          <t>New debt: Debt service</t>
        </is>
      </c>
    </row>
    <row r="135">
      <c r="A135" t="inlineStr">
        <is>
          <t>Dominica_2022_January</t>
        </is>
      </c>
      <c r="B135" s="2" t="n"/>
      <c r="C135" s="3" t="inlineStr">
        <is>
          <t>SM.22.7, Sup.2</t>
        </is>
      </c>
      <c r="D135" s="4" t="inlineStr">
        <is>
          <t>Dominica</t>
        </is>
      </c>
      <c r="E135" s="4" t="inlineStr">
        <is>
          <t>DMA</t>
        </is>
      </c>
      <c r="F135" s="10" t="n">
        <v>44562</v>
      </c>
      <c r="G135" s="4" t="inlineStr">
        <is>
          <t>2018gn</t>
        </is>
      </c>
      <c r="H135" s="4" t="n">
        <v>2021</v>
      </c>
      <c r="I135" s="5" t="n"/>
    </row>
    <row r="136">
      <c r="A136" t="inlineStr">
        <is>
          <t>Dominica_2022_January</t>
        </is>
      </c>
      <c r="B136" s="2" t="n"/>
      <c r="C136" s="3" t="inlineStr">
        <is>
          <t>SM.22.7, Sup.2</t>
        </is>
      </c>
      <c r="D136" s="4" t="inlineStr">
        <is>
          <t>Dominica</t>
        </is>
      </c>
      <c r="E136" s="4" t="inlineStr">
        <is>
          <t>DMA</t>
        </is>
      </c>
      <c r="F136" s="10" t="n">
        <v>44562</v>
      </c>
      <c r="G136" s="4" t="inlineStr">
        <is>
          <t>2018gn</t>
        </is>
      </c>
      <c r="H136" s="4" t="n">
        <v>2021</v>
      </c>
      <c r="I136" s="4" t="inlineStr">
        <is>
          <t>new.tds</t>
        </is>
      </c>
      <c r="J136" t="inlineStr">
        <is>
          <t>Total new debt service</t>
        </is>
      </c>
      <c r="O136" t="n">
        <v>0</v>
      </c>
      <c r="P136" t="n">
        <v>0.3254251236004566</v>
      </c>
      <c r="Q136" t="n">
        <v>0.9900271819389757</v>
      </c>
      <c r="R136" t="n">
        <v>1.514081966236138</v>
      </c>
      <c r="S136" t="n">
        <v>1.973220790824846</v>
      </c>
      <c r="T136" t="n">
        <v>2.409300889428062</v>
      </c>
      <c r="U136" t="n">
        <v>3.784702414748999</v>
      </c>
      <c r="V136" t="n">
        <v>5.570490440351549</v>
      </c>
      <c r="W136" t="n">
        <v>6.991204822074971</v>
      </c>
      <c r="X136" t="n">
        <v>8.186521648949512</v>
      </c>
      <c r="Y136" t="n">
        <v>9.302175506966195</v>
      </c>
      <c r="Z136" t="n">
        <v>10.95752262612504</v>
      </c>
      <c r="AA136" t="n">
        <v>13.52371560754419</v>
      </c>
      <c r="AB136" t="n">
        <v>15.44776744910763</v>
      </c>
      <c r="AC136" t="n">
        <v>17.03092263959191</v>
      </c>
      <c r="AD136" t="n">
        <v>18.53492078902878</v>
      </c>
      <c r="AE136" t="n">
        <v>20.10294091790059</v>
      </c>
      <c r="AF136" t="n">
        <v>21.38885868436625</v>
      </c>
      <c r="AG136" t="n">
        <v>22.34623129758288</v>
      </c>
      <c r="AH136" t="n">
        <v>23.05346454143651</v>
      </c>
      <c r="AI136" t="n">
        <v>23.72646963662446</v>
      </c>
      <c r="BI136" t="inlineStr">
        <is>
          <t>NEW_DS_TOT</t>
        </is>
      </c>
    </row>
    <row r="137">
      <c r="A137" t="inlineStr">
        <is>
          <t>Dominica_2022_January</t>
        </is>
      </c>
      <c r="B137" s="2" t="n"/>
      <c r="C137" s="3" t="inlineStr">
        <is>
          <t>SM.22.7, Sup.2</t>
        </is>
      </c>
      <c r="D137" s="4" t="inlineStr">
        <is>
          <t>Dominica</t>
        </is>
      </c>
      <c r="E137" s="4" t="inlineStr">
        <is>
          <t>DMA</t>
        </is>
      </c>
      <c r="F137" s="10" t="n">
        <v>44562</v>
      </c>
      <c r="G137" s="4" t="inlineStr">
        <is>
          <t>2018gn</t>
        </is>
      </c>
      <c r="H137" s="4" t="n">
        <v>2021</v>
      </c>
      <c r="I137" s="5" t="n"/>
    </row>
    <row r="138">
      <c r="A138" t="inlineStr">
        <is>
          <t>Dominica_2022_January</t>
        </is>
      </c>
      <c r="B138" s="2" t="n"/>
      <c r="C138" s="3" t="inlineStr">
        <is>
          <t>SM.22.7, Sup.2</t>
        </is>
      </c>
      <c r="D138" s="4" t="inlineStr">
        <is>
          <t>Dominica</t>
        </is>
      </c>
      <c r="E138" s="4" t="inlineStr">
        <is>
          <t>DMA</t>
        </is>
      </c>
      <c r="F138" s="10" t="n">
        <v>44562</v>
      </c>
      <c r="G138" s="4" t="inlineStr">
        <is>
          <t>2018gn</t>
        </is>
      </c>
      <c r="H138" s="4" t="n">
        <v>2021</v>
      </c>
      <c r="I138" s="4" t="inlineStr">
        <is>
          <t>new.int</t>
        </is>
      </c>
      <c r="J138" t="inlineStr">
        <is>
          <t>Interest</t>
        </is>
      </c>
      <c r="M138" t="n">
        <v>26</v>
      </c>
      <c r="O138" t="n">
        <v>0</v>
      </c>
      <c r="P138" t="n">
        <v>0.3254251236004566</v>
      </c>
      <c r="Q138" t="n">
        <v>0.9900271819389757</v>
      </c>
      <c r="R138" t="n">
        <v>1.514081966236138</v>
      </c>
      <c r="S138" t="n">
        <v>1.973220790824846</v>
      </c>
      <c r="T138" t="n">
        <v>2.409300889428062</v>
      </c>
      <c r="U138" t="n">
        <v>2.863102155391993</v>
      </c>
      <c r="V138" t="n">
        <v>3.218503019812751</v>
      </c>
      <c r="W138" t="n">
        <v>3.442998264347525</v>
      </c>
      <c r="X138" t="n">
        <v>3.567767363499725</v>
      </c>
      <c r="Y138" t="n">
        <v>3.666007705296581</v>
      </c>
      <c r="Z138" t="n">
        <v>3.76317943571038</v>
      </c>
      <c r="AA138" t="n">
        <v>3.836431912124302</v>
      </c>
      <c r="AB138" t="n">
        <v>3.891272556568265</v>
      </c>
      <c r="AC138" t="n">
        <v>3.930898272462946</v>
      </c>
      <c r="AD138" t="n">
        <v>3.962971840744814</v>
      </c>
      <c r="AE138" t="n">
        <v>3.98885110219718</v>
      </c>
      <c r="AF138" t="n">
        <v>4.010063770966711</v>
      </c>
      <c r="AG138" t="n">
        <v>4.033522021406949</v>
      </c>
      <c r="AH138" t="n">
        <v>4.054179002184869</v>
      </c>
      <c r="AI138" t="n">
        <v>4.073523663836226</v>
      </c>
      <c r="BI138" t="inlineStr">
        <is>
          <t>NEW_DS_I</t>
        </is>
      </c>
    </row>
    <row r="139">
      <c r="A139" t="inlineStr">
        <is>
          <t>Dominica_2022_January</t>
        </is>
      </c>
      <c r="B139" s="2" t="n"/>
      <c r="C139" s="3" t="inlineStr">
        <is>
          <t>SM.22.7, Sup.2</t>
        </is>
      </c>
      <c r="D139" s="4" t="inlineStr">
        <is>
          <t>Dominica</t>
        </is>
      </c>
      <c r="E139" s="4" t="inlineStr">
        <is>
          <t>DMA</t>
        </is>
      </c>
      <c r="F139" s="10" t="n">
        <v>44562</v>
      </c>
      <c r="G139" s="4" t="inlineStr">
        <is>
          <t>2018gn</t>
        </is>
      </c>
      <c r="H139" s="4" t="n">
        <v>2021</v>
      </c>
      <c r="I139" s="4" t="inlineStr">
        <is>
          <t>new.int.mlt</t>
        </is>
      </c>
      <c r="J139" t="inlineStr">
        <is>
          <t>Multilaterals</t>
        </is>
      </c>
      <c r="M139" t="inlineStr">
        <is>
          <t>"PV_Base" line no.</t>
        </is>
      </c>
      <c r="O139" t="n">
        <v>0</v>
      </c>
      <c r="P139" t="n">
        <v>0.1825</v>
      </c>
      <c r="Q139" t="n">
        <v>0.7395</v>
      </c>
      <c r="R139" t="n">
        <v>1.152</v>
      </c>
      <c r="S139" t="n">
        <v>1.503086803206559</v>
      </c>
      <c r="T139" t="n">
        <v>1.835874405606012</v>
      </c>
      <c r="U139" t="n">
        <v>2.182721396173908</v>
      </c>
      <c r="V139" t="n">
        <v>2.432310143128333</v>
      </c>
      <c r="W139" t="n">
        <v>2.551108975124038</v>
      </c>
      <c r="X139" t="n">
        <v>2.571564290616346</v>
      </c>
      <c r="Y139" t="n">
        <v>2.565724586136249</v>
      </c>
      <c r="Z139" t="n">
        <v>2.55459468818024</v>
      </c>
      <c r="AA139" t="n">
        <v>2.522650057998416</v>
      </c>
      <c r="AB139" t="n">
        <v>2.474611378756382</v>
      </c>
      <c r="AC139" t="n">
        <v>2.412126635262165</v>
      </c>
      <c r="AD139" t="n">
        <v>2.339056109935451</v>
      </c>
      <c r="AE139" t="n">
        <v>2.258756361003747</v>
      </c>
      <c r="AF139" t="n">
        <v>2.170923154774552</v>
      </c>
      <c r="AG139" t="n">
        <v>2.077749009166644</v>
      </c>
      <c r="AH139" t="n">
        <v>1.981797109121407</v>
      </c>
      <c r="AI139" t="n">
        <v>1.88302648539478</v>
      </c>
      <c r="BI139" t="inlineStr">
        <is>
          <t>NEW_DS_ML</t>
        </is>
      </c>
    </row>
    <row r="140">
      <c r="A140" t="inlineStr">
        <is>
          <t>Dominica_2022_January</t>
        </is>
      </c>
      <c r="B140" s="2" t="n"/>
      <c r="C140" s="3" t="inlineStr">
        <is>
          <t>SM.22.7, Sup.2</t>
        </is>
      </c>
      <c r="D140" s="4" t="inlineStr">
        <is>
          <t>Dominica</t>
        </is>
      </c>
      <c r="E140" s="4" t="inlineStr">
        <is>
          <t>DMA</t>
        </is>
      </c>
      <c r="F140" s="10" t="n">
        <v>44562</v>
      </c>
      <c r="G140" s="4" t="inlineStr">
        <is>
          <t>2018gn</t>
        </is>
      </c>
      <c r="H140" s="4" t="n">
        <v>2021</v>
      </c>
      <c r="I140" s="4" t="inlineStr">
        <is>
          <t>new.int.mlt.imf</t>
        </is>
      </c>
      <c r="J140" t="inlineStr">
        <is>
          <t>IMF</t>
        </is>
      </c>
      <c r="M140" t="n">
        <v>26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</row>
    <row r="141">
      <c r="A141" t="inlineStr">
        <is>
          <t>Dominica_2022_January</t>
        </is>
      </c>
      <c r="B141" s="2" t="n"/>
      <c r="C141" s="3" t="inlineStr">
        <is>
          <t>SM.22.7, Sup.2</t>
        </is>
      </c>
      <c r="D141" s="4" t="inlineStr">
        <is>
          <t>Dominica</t>
        </is>
      </c>
      <c r="E141" s="4" t="inlineStr">
        <is>
          <t>DMA</t>
        </is>
      </c>
      <c r="F141" s="10" t="n">
        <v>44562</v>
      </c>
      <c r="G141" s="4" t="inlineStr">
        <is>
          <t>2018gn</t>
        </is>
      </c>
      <c r="H141" s="4" t="n">
        <v>2021</v>
      </c>
      <c r="I141" s="4" t="inlineStr">
        <is>
          <t>new.int.mlt.ida.reg</t>
        </is>
      </c>
      <c r="J141" t="inlineStr">
        <is>
          <t>IDA - small economy</t>
        </is>
      </c>
      <c r="M141" t="n">
        <v>60</v>
      </c>
      <c r="O141" t="n">
        <v>0</v>
      </c>
      <c r="P141" t="n">
        <v>0.1125</v>
      </c>
      <c r="Q141" t="n">
        <v>0.4695</v>
      </c>
      <c r="R141" t="n">
        <v>0.732</v>
      </c>
      <c r="S141" t="n">
        <v>0.9554188747678102</v>
      </c>
      <c r="T141" t="n">
        <v>1.167192803567462</v>
      </c>
      <c r="U141" t="n">
        <v>1.387913615747032</v>
      </c>
      <c r="V141" t="n">
        <v>1.548970091081666</v>
      </c>
      <c r="W141" t="n">
        <v>1.633160256897115</v>
      </c>
      <c r="X141" t="n">
        <v>1.659540912210401</v>
      </c>
      <c r="Y141" t="n">
        <v>1.673250534355209</v>
      </c>
      <c r="Z141" t="n">
        <v>1.687444104811703</v>
      </c>
      <c r="AA141" t="n">
        <v>1.691041405891397</v>
      </c>
      <c r="AB141" t="n">
        <v>1.682998066211588</v>
      </c>
      <c r="AC141" t="n">
        <v>1.664110688658852</v>
      </c>
      <c r="AD141" t="n">
        <v>1.636258445190916</v>
      </c>
      <c r="AE141" t="n">
        <v>1.601488095846079</v>
      </c>
      <c r="AF141" t="n">
        <v>1.559506389354415</v>
      </c>
      <c r="AG141" t="n">
        <v>1.512307290849449</v>
      </c>
      <c r="AH141" t="n">
        <v>1.462458346486362</v>
      </c>
      <c r="AI141" t="n">
        <v>1.410941714528796</v>
      </c>
    </row>
    <row r="142">
      <c r="A142" t="inlineStr">
        <is>
          <t>Dominica_2022_January</t>
        </is>
      </c>
      <c r="B142" s="2" t="n"/>
      <c r="C142" s="3" t="inlineStr">
        <is>
          <t>SM.22.7, Sup.2</t>
        </is>
      </c>
      <c r="D142" s="4" t="inlineStr">
        <is>
          <t>Dominica</t>
        </is>
      </c>
      <c r="E142" s="4" t="inlineStr">
        <is>
          <t>DMA</t>
        </is>
      </c>
      <c r="F142" s="10" t="n">
        <v>44562</v>
      </c>
      <c r="G142" s="4" t="inlineStr">
        <is>
          <t>2018gn</t>
        </is>
      </c>
      <c r="H142" s="4" t="n">
        <v>2021</v>
      </c>
      <c r="I142" s="4" t="inlineStr">
        <is>
          <t>new.int.mlt.ida.bld</t>
        </is>
      </c>
      <c r="J142" t="inlineStr">
        <is>
          <t>IDA - small economy</t>
        </is>
      </c>
      <c r="M142" t="n">
        <v>86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</row>
    <row r="143">
      <c r="A143" t="inlineStr">
        <is>
          <t>Dominica_2022_January</t>
        </is>
      </c>
      <c r="B143" s="2" t="n"/>
      <c r="C143" s="3" t="inlineStr">
        <is>
          <t>SM.22.7, Sup.2</t>
        </is>
      </c>
      <c r="D143" s="4" t="inlineStr">
        <is>
          <t>Dominica</t>
        </is>
      </c>
      <c r="E143" s="4" t="inlineStr">
        <is>
          <t>DMA</t>
        </is>
      </c>
      <c r="F143" s="10" t="n">
        <v>44562</v>
      </c>
      <c r="G143" s="4" t="inlineStr">
        <is>
          <t>2018gn</t>
        </is>
      </c>
      <c r="H143" s="4" t="n">
        <v>2021</v>
      </c>
      <c r="I143" s="4" t="inlineStr">
        <is>
          <t>new.int.mlt.afdb</t>
        </is>
      </c>
      <c r="J143" t="inlineStr">
        <is>
          <t>CDB</t>
        </is>
      </c>
      <c r="M143" t="n">
        <v>111</v>
      </c>
      <c r="O143" t="n">
        <v>0</v>
      </c>
      <c r="P143" t="n">
        <v>0.07000000000000001</v>
      </c>
      <c r="Q143" t="n">
        <v>0.27</v>
      </c>
      <c r="R143" t="n">
        <v>0.42</v>
      </c>
      <c r="S143" t="n">
        <v>0.547667928438749</v>
      </c>
      <c r="T143" t="n">
        <v>0.66868160203855</v>
      </c>
      <c r="U143" t="n">
        <v>0.7948077804268761</v>
      </c>
      <c r="V143" t="n">
        <v>0.8833400520466672</v>
      </c>
      <c r="W143" t="n">
        <v>0.9179487182269236</v>
      </c>
      <c r="X143" t="n">
        <v>0.9120233784059444</v>
      </c>
      <c r="Y143" t="n">
        <v>0.89247405178104</v>
      </c>
      <c r="Z143" t="n">
        <v>0.8671505833685373</v>
      </c>
      <c r="AA143" t="n">
        <v>0.8316086521070188</v>
      </c>
      <c r="AB143" t="n">
        <v>0.7916133125447944</v>
      </c>
      <c r="AC143" t="n">
        <v>0.7480159466033135</v>
      </c>
      <c r="AD143" t="n">
        <v>0.7027976647445351</v>
      </c>
      <c r="AE143" t="n">
        <v>0.6572682651576688</v>
      </c>
      <c r="AF143" t="n">
        <v>0.6114167654201368</v>
      </c>
      <c r="AG143" t="n">
        <v>0.5654417183171956</v>
      </c>
      <c r="AH143" t="n">
        <v>0.5193387626350454</v>
      </c>
      <c r="AI143" t="n">
        <v>0.4720847708659843</v>
      </c>
    </row>
    <row r="144">
      <c r="A144" t="inlineStr">
        <is>
          <t>Dominica_2022_January</t>
        </is>
      </c>
      <c r="B144" s="2" t="n"/>
      <c r="C144" s="3" t="inlineStr">
        <is>
          <t>SM.22.7, Sup.2</t>
        </is>
      </c>
      <c r="D144" s="4" t="inlineStr">
        <is>
          <t>Dominica</t>
        </is>
      </c>
      <c r="E144" s="4" t="inlineStr">
        <is>
          <t>DMA</t>
        </is>
      </c>
      <c r="F144" s="10" t="n">
        <v>44562</v>
      </c>
      <c r="G144" s="4" t="inlineStr">
        <is>
          <t>2018gn</t>
        </is>
      </c>
      <c r="H144" s="4" t="n">
        <v>2021</v>
      </c>
      <c r="I144" s="4" t="inlineStr">
        <is>
          <t>new.int.mlt2</t>
        </is>
      </c>
      <c r="J144" t="inlineStr">
        <is>
          <t>MULTIRES</t>
        </is>
      </c>
      <c r="M144" t="n">
        <v>137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</row>
    <row r="145">
      <c r="A145" t="inlineStr">
        <is>
          <t>Dominica_2022_January</t>
        </is>
      </c>
      <c r="B145" s="2" t="n"/>
      <c r="C145" s="3" t="inlineStr">
        <is>
          <t>SM.22.7, Sup.2</t>
        </is>
      </c>
      <c r="D145" s="4" t="inlineStr">
        <is>
          <t>Dominica</t>
        </is>
      </c>
      <c r="E145" s="4" t="inlineStr">
        <is>
          <t>DMA</t>
        </is>
      </c>
      <c r="F145" s="10" t="n">
        <v>44562</v>
      </c>
      <c r="G145" s="4" t="inlineStr">
        <is>
          <t>2018gn</t>
        </is>
      </c>
      <c r="H145" s="4" t="n">
        <v>2021</v>
      </c>
      <c r="I145" s="4" t="inlineStr">
        <is>
          <t>new.int.mlt3</t>
        </is>
      </c>
      <c r="J145" t="inlineStr">
        <is>
          <t>MULTI3</t>
        </is>
      </c>
      <c r="M145" t="n">
        <v>163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</row>
    <row r="146">
      <c r="A146" t="inlineStr">
        <is>
          <t>Dominica_2022_January</t>
        </is>
      </c>
      <c r="B146" s="2" t="n"/>
      <c r="C146" s="3" t="inlineStr">
        <is>
          <t>SM.22.7, Sup.2</t>
        </is>
      </c>
      <c r="D146" s="4" t="inlineStr">
        <is>
          <t>Dominica</t>
        </is>
      </c>
      <c r="E146" s="4" t="inlineStr">
        <is>
          <t>DMA</t>
        </is>
      </c>
      <c r="F146" s="10" t="n">
        <v>44562</v>
      </c>
      <c r="G146" s="4" t="inlineStr">
        <is>
          <t>2018gn</t>
        </is>
      </c>
      <c r="H146" s="4" t="n">
        <v>2021</v>
      </c>
      <c r="I146" s="4" t="inlineStr">
        <is>
          <t>new.int.mlt.oth</t>
        </is>
      </c>
      <c r="J146" t="inlineStr">
        <is>
          <t>Other Multilaterals</t>
        </is>
      </c>
      <c r="O146" t="n">
        <v>0</v>
      </c>
      <c r="P146" t="n">
        <v>0.142821756210486</v>
      </c>
      <c r="Q146" t="n">
        <v>0.250402083871336</v>
      </c>
      <c r="R146" t="n">
        <v>0.361956868168498</v>
      </c>
      <c r="S146" t="n">
        <v>0.470008889550647</v>
      </c>
      <c r="T146" t="n">
        <v>0.57245077301661</v>
      </c>
      <c r="U146" t="n">
        <v>0.679123924732519</v>
      </c>
      <c r="V146" t="n">
        <v>0.7849391745440025</v>
      </c>
      <c r="W146" t="n">
        <v>0.889748432150233</v>
      </c>
      <c r="X146" t="n">
        <v>0.9940660066606601</v>
      </c>
      <c r="Y146" t="n">
        <v>1.098149843788147</v>
      </c>
      <c r="Z146" t="n">
        <v>1.202035852907863</v>
      </c>
      <c r="AA146" t="n">
        <v>1.305523751022719</v>
      </c>
      <c r="AB146" t="n">
        <v>1.408264370687822</v>
      </c>
      <c r="AC146" t="n">
        <v>1.510439914327294</v>
      </c>
      <c r="AD146" t="n">
        <v>1.612136567253922</v>
      </c>
      <c r="AE146" t="n">
        <v>1.717102182133041</v>
      </c>
      <c r="AF146" t="n">
        <v>1.825642137815077</v>
      </c>
      <c r="AG146" t="n">
        <v>1.938115167652709</v>
      </c>
      <c r="AH146" t="n">
        <v>2.054982140924409</v>
      </c>
      <c r="AI146" t="n">
        <v>2.173355518750935</v>
      </c>
    </row>
    <row r="147">
      <c r="A147" t="inlineStr">
        <is>
          <t>Dominica_2022_January</t>
        </is>
      </c>
      <c r="B147" s="2" t="n"/>
      <c r="C147" s="3" t="inlineStr">
        <is>
          <t>SM.22.7, Sup.2</t>
        </is>
      </c>
      <c r="D147" s="4" t="inlineStr">
        <is>
          <t>Dominica</t>
        </is>
      </c>
      <c r="E147" s="4" t="inlineStr">
        <is>
          <t>DMA</t>
        </is>
      </c>
      <c r="F147" s="10" t="n">
        <v>44562</v>
      </c>
      <c r="G147" s="4" t="inlineStr">
        <is>
          <t>2018gn</t>
        </is>
      </c>
      <c r="H147" s="4" t="n">
        <v>2021</v>
      </c>
      <c r="I147" s="4" t="inlineStr">
        <is>
          <t>new.int.mlt.oth1</t>
        </is>
      </c>
      <c r="J147" t="inlineStr">
        <is>
          <t>OTH_MULTI1</t>
        </is>
      </c>
      <c r="M147" t="n">
        <v>189</v>
      </c>
      <c r="O147" t="n">
        <v>0</v>
      </c>
      <c r="P147" t="n">
        <v>0.142821756210486</v>
      </c>
      <c r="Q147" t="n">
        <v>0.250402083871336</v>
      </c>
      <c r="R147" t="n">
        <v>0.361956868168498</v>
      </c>
      <c r="S147" t="n">
        <v>0.470008889550647</v>
      </c>
      <c r="T147" t="n">
        <v>0.57245077301661</v>
      </c>
      <c r="U147" t="n">
        <v>0.679123924732519</v>
      </c>
      <c r="V147" t="n">
        <v>0.7849391745440025</v>
      </c>
      <c r="W147" t="n">
        <v>0.889748432150233</v>
      </c>
      <c r="X147" t="n">
        <v>0.9940660066606601</v>
      </c>
      <c r="Y147" t="n">
        <v>1.098149843788147</v>
      </c>
      <c r="Z147" t="n">
        <v>1.202035852907863</v>
      </c>
      <c r="AA147" t="n">
        <v>1.305523751022719</v>
      </c>
      <c r="AB147" t="n">
        <v>1.408264370687822</v>
      </c>
      <c r="AC147" t="n">
        <v>1.510439914327294</v>
      </c>
      <c r="AD147" t="n">
        <v>1.612136567253922</v>
      </c>
      <c r="AE147" t="n">
        <v>1.717102182133041</v>
      </c>
      <c r="AF147" t="n">
        <v>1.825642137815077</v>
      </c>
      <c r="AG147" t="n">
        <v>1.938115167652709</v>
      </c>
      <c r="AH147" t="n">
        <v>2.054982140924409</v>
      </c>
      <c r="AI147" t="n">
        <v>2.173355518750935</v>
      </c>
    </row>
    <row r="148">
      <c r="A148" t="inlineStr">
        <is>
          <t>Dominica_2022_January</t>
        </is>
      </c>
      <c r="B148" s="2" t="n"/>
      <c r="C148" s="3" t="inlineStr">
        <is>
          <t>SM.22.7, Sup.2</t>
        </is>
      </c>
      <c r="D148" s="4" t="inlineStr">
        <is>
          <t>Dominica</t>
        </is>
      </c>
      <c r="E148" s="4" t="inlineStr">
        <is>
          <t>DMA</t>
        </is>
      </c>
      <c r="F148" s="10" t="n">
        <v>44562</v>
      </c>
      <c r="G148" s="4" t="inlineStr">
        <is>
          <t>2018gn</t>
        </is>
      </c>
      <c r="H148" s="4" t="n">
        <v>2021</v>
      </c>
      <c r="I148" s="4" t="inlineStr">
        <is>
          <t>new.int.mlt.oth2</t>
        </is>
      </c>
      <c r="J148" t="inlineStr">
        <is>
          <t>OTH_MULTI2</t>
        </is>
      </c>
      <c r="M148" t="n">
        <v>215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</row>
    <row r="149">
      <c r="A149" t="inlineStr">
        <is>
          <t>Dominica_2022_January</t>
        </is>
      </c>
      <c r="B149" s="2" t="n"/>
      <c r="C149" s="3" t="inlineStr">
        <is>
          <t>SM.22.7, Sup.2</t>
        </is>
      </c>
      <c r="D149" s="4" t="inlineStr">
        <is>
          <t>Dominica</t>
        </is>
      </c>
      <c r="E149" s="4" t="inlineStr">
        <is>
          <t>DMA</t>
        </is>
      </c>
      <c r="F149" s="10" t="n">
        <v>44562</v>
      </c>
      <c r="G149" s="4" t="inlineStr">
        <is>
          <t>2018gn</t>
        </is>
      </c>
      <c r="H149" s="4" t="n">
        <v>2021</v>
      </c>
      <c r="I149" s="4" t="inlineStr">
        <is>
          <t>new.int.mlt.oth3</t>
        </is>
      </c>
      <c r="J149" t="inlineStr">
        <is>
          <t>OTH_MULTI3</t>
        </is>
      </c>
      <c r="M149" t="n">
        <v>241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</row>
    <row r="150">
      <c r="A150" t="inlineStr">
        <is>
          <t>Dominica_2022_January</t>
        </is>
      </c>
      <c r="B150" s="2" t="n"/>
      <c r="C150" s="3" t="inlineStr">
        <is>
          <t>SM.22.7, Sup.2</t>
        </is>
      </c>
      <c r="D150" s="4" t="inlineStr">
        <is>
          <t>Dominica</t>
        </is>
      </c>
      <c r="E150" s="4" t="inlineStr">
        <is>
          <t>DMA</t>
        </is>
      </c>
      <c r="F150" s="10" t="n">
        <v>44562</v>
      </c>
      <c r="G150" s="4" t="inlineStr">
        <is>
          <t>2018gn</t>
        </is>
      </c>
      <c r="H150" s="4" t="n">
        <v>2021</v>
      </c>
      <c r="I150" s="4" t="inlineStr">
        <is>
          <t>new.int.blt</t>
        </is>
      </c>
      <c r="J150" t="inlineStr">
        <is>
          <t>Official Bilaterals</t>
        </is>
      </c>
      <c r="O150" t="n">
        <v>0</v>
      </c>
      <c r="P150" t="n">
        <v>0.000103367389970622</v>
      </c>
      <c r="Q150" t="n">
        <v>0.0001250980676396101</v>
      </c>
      <c r="R150" t="n">
        <v>0.0001250980676396101</v>
      </c>
      <c r="S150" t="n">
        <v>0.0001250980676396101</v>
      </c>
      <c r="T150" t="n">
        <v>0.0009757108054398281</v>
      </c>
      <c r="U150" t="n">
        <v>0.001256834485566097</v>
      </c>
      <c r="V150" t="n">
        <v>0.001253702140415472</v>
      </c>
      <c r="W150" t="n">
        <v>0.002140857073253932</v>
      </c>
      <c r="X150" t="n">
        <v>0.002137066222719398</v>
      </c>
      <c r="Y150" t="n">
        <v>0.002133275372184865</v>
      </c>
      <c r="Z150" t="n">
        <v>0.006548894622277407</v>
      </c>
      <c r="AA150" t="n">
        <v>0.008258103103167404</v>
      </c>
      <c r="AB150" t="n">
        <v>0.008396807124060353</v>
      </c>
      <c r="AC150" t="n">
        <v>0.008331722873486441</v>
      </c>
      <c r="AD150" t="n">
        <v>0.01177916355544104</v>
      </c>
      <c r="AE150" t="n">
        <v>0.01299255906039141</v>
      </c>
      <c r="AF150" t="n">
        <v>0.01349847837708169</v>
      </c>
      <c r="AG150" t="n">
        <v>0.01765784458759586</v>
      </c>
      <c r="AH150" t="n">
        <v>0.01739975213905275</v>
      </c>
      <c r="AI150" t="n">
        <v>0.01714165969050963</v>
      </c>
      <c r="BI150" t="inlineStr">
        <is>
          <t>NEW_DS_I_OB</t>
        </is>
      </c>
    </row>
    <row r="151">
      <c r="A151" t="inlineStr">
        <is>
          <t>Dominica_2022_January</t>
        </is>
      </c>
      <c r="B151" s="2" t="n"/>
      <c r="C151" s="3" t="inlineStr">
        <is>
          <t>SM.22.7, Sup.2</t>
        </is>
      </c>
      <c r="D151" s="4" t="inlineStr">
        <is>
          <t>Dominica</t>
        </is>
      </c>
      <c r="E151" s="4" t="inlineStr">
        <is>
          <t>DMA</t>
        </is>
      </c>
      <c r="F151" s="10" t="n">
        <v>44562</v>
      </c>
      <c r="G151" s="4" t="inlineStr">
        <is>
          <t>2018gn</t>
        </is>
      </c>
      <c r="H151" s="4" t="n">
        <v>2021</v>
      </c>
      <c r="I151" s="4" t="inlineStr">
        <is>
          <t>new.int.pc</t>
        </is>
      </c>
      <c r="J151" t="inlineStr">
        <is>
          <t xml:space="preserve">   Paris Club</t>
        </is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</row>
    <row r="152">
      <c r="A152" t="inlineStr">
        <is>
          <t>Dominica_2022_January</t>
        </is>
      </c>
      <c r="B152" s="2" t="n"/>
      <c r="C152" s="3" t="inlineStr">
        <is>
          <t>SM.22.7, Sup.2</t>
        </is>
      </c>
      <c r="D152" s="4" t="inlineStr">
        <is>
          <t>Dominica</t>
        </is>
      </c>
      <c r="E152" s="4" t="inlineStr">
        <is>
          <t>DMA</t>
        </is>
      </c>
      <c r="F152" s="10" t="n">
        <v>44562</v>
      </c>
      <c r="G152" s="4" t="inlineStr">
        <is>
          <t>2018gn</t>
        </is>
      </c>
      <c r="H152" s="4" t="n">
        <v>2021</v>
      </c>
      <c r="I152" s="4" t="inlineStr">
        <is>
          <t>new.int.pc1</t>
        </is>
      </c>
      <c r="J152" t="inlineStr">
        <is>
          <t>Export Credit Agencies</t>
        </is>
      </c>
      <c r="M152" t="n">
        <v>267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</row>
    <row r="153">
      <c r="A153" t="inlineStr">
        <is>
          <t>Dominica_2022_January</t>
        </is>
      </c>
      <c r="B153" s="2" t="n"/>
      <c r="C153" s="3" t="inlineStr">
        <is>
          <t>SM.22.7, Sup.2</t>
        </is>
      </c>
      <c r="D153" s="4" t="inlineStr">
        <is>
          <t>Dominica</t>
        </is>
      </c>
      <c r="E153" s="4" t="inlineStr">
        <is>
          <t>DMA</t>
        </is>
      </c>
      <c r="F153" s="10" t="n">
        <v>44562</v>
      </c>
      <c r="G153" s="4" t="inlineStr">
        <is>
          <t>2018gn</t>
        </is>
      </c>
      <c r="H153" s="4" t="n">
        <v>2021</v>
      </c>
      <c r="I153" s="4" t="inlineStr">
        <is>
          <t>new.int.pc2</t>
        </is>
      </c>
      <c r="J153" t="inlineStr">
        <is>
          <t>PC2</t>
        </is>
      </c>
      <c r="M153" t="n">
        <v>293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</row>
    <row r="154">
      <c r="A154" t="inlineStr">
        <is>
          <t>Dominica_2022_January</t>
        </is>
      </c>
      <c r="B154" s="2" t="n"/>
      <c r="C154" s="3" t="inlineStr">
        <is>
          <t>SM.22.7, Sup.2</t>
        </is>
      </c>
      <c r="D154" s="4" t="inlineStr">
        <is>
          <t>Dominica</t>
        </is>
      </c>
      <c r="E154" s="4" t="inlineStr">
        <is>
          <t>DMA</t>
        </is>
      </c>
      <c r="F154" s="10" t="n">
        <v>44562</v>
      </c>
      <c r="G154" s="4" t="inlineStr">
        <is>
          <t>2018gn</t>
        </is>
      </c>
      <c r="H154" s="4" t="n">
        <v>2021</v>
      </c>
      <c r="I154" s="4" t="inlineStr">
        <is>
          <t>new.int.pc3</t>
        </is>
      </c>
      <c r="J154" t="inlineStr">
        <is>
          <t>PC3</t>
        </is>
      </c>
      <c r="M154" t="n">
        <v>319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</row>
    <row r="155">
      <c r="A155" t="inlineStr">
        <is>
          <t>Dominica_2022_January</t>
        </is>
      </c>
      <c r="B155" s="2" t="n"/>
      <c r="C155" s="3" t="inlineStr">
        <is>
          <t>SM.22.7, Sup.2</t>
        </is>
      </c>
      <c r="D155" s="4" t="inlineStr">
        <is>
          <t>Dominica</t>
        </is>
      </c>
      <c r="E155" s="4" t="inlineStr">
        <is>
          <t>DMA</t>
        </is>
      </c>
      <c r="F155" s="10" t="n">
        <v>44562</v>
      </c>
      <c r="G155" s="4" t="inlineStr">
        <is>
          <t>2018gn</t>
        </is>
      </c>
      <c r="H155" s="4" t="n">
        <v>2021</v>
      </c>
      <c r="I155" s="4" t="inlineStr">
        <is>
          <t>new.int.pc4</t>
        </is>
      </c>
      <c r="J155" t="inlineStr">
        <is>
          <t>PC4</t>
        </is>
      </c>
      <c r="M155" t="n">
        <v>345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</row>
    <row r="156">
      <c r="A156" t="inlineStr">
        <is>
          <t>Dominica_2022_January</t>
        </is>
      </c>
      <c r="B156" s="2" t="n"/>
      <c r="C156" s="3" t="inlineStr">
        <is>
          <t>SM.22.7, Sup.2</t>
        </is>
      </c>
      <c r="D156" s="4" t="inlineStr">
        <is>
          <t>Dominica</t>
        </is>
      </c>
      <c r="E156" s="4" t="inlineStr">
        <is>
          <t>DMA</t>
        </is>
      </c>
      <c r="F156" s="10" t="n">
        <v>44562</v>
      </c>
      <c r="G156" s="4" t="inlineStr">
        <is>
          <t>2018gn</t>
        </is>
      </c>
      <c r="H156" s="4" t="n">
        <v>2021</v>
      </c>
      <c r="I156" s="4" t="inlineStr">
        <is>
          <t>new.int.pc5</t>
        </is>
      </c>
      <c r="J156" t="inlineStr">
        <is>
          <t>PC5</t>
        </is>
      </c>
      <c r="M156" t="n">
        <v>371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</row>
    <row r="157">
      <c r="A157" t="inlineStr">
        <is>
          <t>Dominica_2022_January</t>
        </is>
      </c>
      <c r="B157" s="2" t="n"/>
      <c r="C157" s="3" t="inlineStr">
        <is>
          <t>SM.22.7, Sup.2</t>
        </is>
      </c>
      <c r="D157" s="4" t="inlineStr">
        <is>
          <t>Dominica</t>
        </is>
      </c>
      <c r="E157" s="4" t="inlineStr">
        <is>
          <t>DMA</t>
        </is>
      </c>
      <c r="F157" s="10" t="n">
        <v>44562</v>
      </c>
      <c r="G157" s="4" t="inlineStr">
        <is>
          <t>2018gn</t>
        </is>
      </c>
      <c r="H157" s="4" t="n">
        <v>2021</v>
      </c>
      <c r="I157" s="4" t="inlineStr">
        <is>
          <t>new.int.npc</t>
        </is>
      </c>
      <c r="J157" t="inlineStr">
        <is>
          <t xml:space="preserve">   Non-Paris Club</t>
        </is>
      </c>
      <c r="O157" t="n">
        <v>0</v>
      </c>
      <c r="P157" t="n">
        <v>0.000103367389970622</v>
      </c>
      <c r="Q157" t="n">
        <v>0.0001250980676396101</v>
      </c>
      <c r="R157" t="n">
        <v>0.0001250980676396101</v>
      </c>
      <c r="S157" t="n">
        <v>0.0001250980676396101</v>
      </c>
      <c r="T157" t="n">
        <v>0.0009757108054398281</v>
      </c>
      <c r="U157" t="n">
        <v>0.001256834485566097</v>
      </c>
      <c r="V157" t="n">
        <v>0.001253702140415472</v>
      </c>
      <c r="W157" t="n">
        <v>0.002140857073253932</v>
      </c>
      <c r="X157" t="n">
        <v>0.002137066222719398</v>
      </c>
      <c r="Y157" t="n">
        <v>0.002133275372184865</v>
      </c>
      <c r="Z157" t="n">
        <v>0.006548894622277407</v>
      </c>
      <c r="AA157" t="n">
        <v>0.008258103103167404</v>
      </c>
      <c r="AB157" t="n">
        <v>0.008396807124060353</v>
      </c>
      <c r="AC157" t="n">
        <v>0.008331722873486441</v>
      </c>
      <c r="AD157" t="n">
        <v>0.01177916355544104</v>
      </c>
      <c r="AE157" t="n">
        <v>0.01299255906039141</v>
      </c>
      <c r="AF157" t="n">
        <v>0.01349847837708169</v>
      </c>
      <c r="AG157" t="n">
        <v>0.01765784458759586</v>
      </c>
      <c r="AH157" t="n">
        <v>0.01739975213905275</v>
      </c>
      <c r="AI157" t="n">
        <v>0.01714165969050963</v>
      </c>
    </row>
    <row r="158">
      <c r="A158" t="inlineStr">
        <is>
          <t>Dominica_2022_January</t>
        </is>
      </c>
      <c r="B158" s="2" t="n"/>
      <c r="C158" s="3" t="inlineStr">
        <is>
          <t>SM.22.7, Sup.2</t>
        </is>
      </c>
      <c r="D158" s="4" t="inlineStr">
        <is>
          <t>Dominica</t>
        </is>
      </c>
      <c r="E158" s="4" t="inlineStr">
        <is>
          <t>DMA</t>
        </is>
      </c>
      <c r="F158" s="10" t="n">
        <v>44562</v>
      </c>
      <c r="G158" s="4" t="inlineStr">
        <is>
          <t>2018gn</t>
        </is>
      </c>
      <c r="H158" s="4" t="n">
        <v>2021</v>
      </c>
      <c r="I158" s="4" t="inlineStr">
        <is>
          <t>new.int.npc.eximbk</t>
        </is>
      </c>
      <c r="J158" t="inlineStr">
        <is>
          <t>NPC2</t>
        </is>
      </c>
      <c r="M158" t="n">
        <v>397</v>
      </c>
      <c r="O158" t="n">
        <v>0</v>
      </c>
      <c r="P158" t="n">
        <v>0.000103367389970622</v>
      </c>
      <c r="Q158" t="n">
        <v>0.0001250980676396101</v>
      </c>
      <c r="R158" t="n">
        <v>0.0001250980676396101</v>
      </c>
      <c r="S158" t="n">
        <v>0.0001250980676396101</v>
      </c>
      <c r="T158" t="n">
        <v>0.0009757108054398281</v>
      </c>
      <c r="U158" t="n">
        <v>0.001256834485566097</v>
      </c>
      <c r="V158" t="n">
        <v>0.001253702140415472</v>
      </c>
      <c r="W158" t="n">
        <v>0.002140857073253932</v>
      </c>
      <c r="X158" t="n">
        <v>0.002137066222719398</v>
      </c>
      <c r="Y158" t="n">
        <v>0.002133275372184865</v>
      </c>
      <c r="Z158" t="n">
        <v>0.006548894622277407</v>
      </c>
      <c r="AA158" t="n">
        <v>0.008258103103167404</v>
      </c>
      <c r="AB158" t="n">
        <v>0.008396807124060353</v>
      </c>
      <c r="AC158" t="n">
        <v>0.008331722873486441</v>
      </c>
      <c r="AD158" t="n">
        <v>0.01177916355544104</v>
      </c>
      <c r="AE158" t="n">
        <v>0.01299255906039141</v>
      </c>
      <c r="AF158" t="n">
        <v>0.01349847837708169</v>
      </c>
      <c r="AG158" t="n">
        <v>0.01765784458759586</v>
      </c>
      <c r="AH158" t="n">
        <v>0.01739975213905275</v>
      </c>
      <c r="AI158" t="n">
        <v>0.01714165969050963</v>
      </c>
    </row>
    <row r="159">
      <c r="A159" t="inlineStr">
        <is>
          <t>Dominica_2022_January</t>
        </is>
      </c>
      <c r="B159" s="2" t="n"/>
      <c r="C159" s="3" t="inlineStr">
        <is>
          <t>SM.22.7, Sup.2</t>
        </is>
      </c>
      <c r="D159" s="4" t="inlineStr">
        <is>
          <t>Dominica</t>
        </is>
      </c>
      <c r="E159" s="4" t="inlineStr">
        <is>
          <t>DMA</t>
        </is>
      </c>
      <c r="F159" s="10" t="n">
        <v>44562</v>
      </c>
      <c r="G159" s="4" t="inlineStr">
        <is>
          <t>2018gn</t>
        </is>
      </c>
      <c r="H159" s="4" t="n">
        <v>2021</v>
      </c>
      <c r="I159" s="4" t="inlineStr">
        <is>
          <t>new.int.npc2</t>
        </is>
      </c>
      <c r="J159" t="inlineStr">
        <is>
          <t>NPC2</t>
        </is>
      </c>
      <c r="M159" t="n">
        <v>423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</row>
    <row r="160">
      <c r="A160" t="inlineStr">
        <is>
          <t>Dominica_2022_January</t>
        </is>
      </c>
      <c r="B160" s="2" t="n"/>
      <c r="C160" s="3" t="inlineStr">
        <is>
          <t>SM.22.7, Sup.2</t>
        </is>
      </c>
      <c r="D160" s="4" t="inlineStr">
        <is>
          <t>Dominica</t>
        </is>
      </c>
      <c r="E160" s="4" t="inlineStr">
        <is>
          <t>DMA</t>
        </is>
      </c>
      <c r="F160" s="10" t="n">
        <v>44562</v>
      </c>
      <c r="G160" s="4" t="inlineStr">
        <is>
          <t>2018gn</t>
        </is>
      </c>
      <c r="H160" s="4" t="n">
        <v>2021</v>
      </c>
      <c r="I160" s="4" t="inlineStr">
        <is>
          <t>new.int.npc3</t>
        </is>
      </c>
      <c r="J160" t="inlineStr">
        <is>
          <t>NPC3</t>
        </is>
      </c>
      <c r="M160" t="n">
        <v>449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</row>
    <row r="161">
      <c r="A161" t="inlineStr">
        <is>
          <t>Dominica_2022_January</t>
        </is>
      </c>
      <c r="B161" s="2" t="n"/>
      <c r="C161" s="3" t="inlineStr">
        <is>
          <t>SM.22.7, Sup.2</t>
        </is>
      </c>
      <c r="D161" s="4" t="inlineStr">
        <is>
          <t>Dominica</t>
        </is>
      </c>
      <c r="E161" s="4" t="inlineStr">
        <is>
          <t>DMA</t>
        </is>
      </c>
      <c r="F161" s="10" t="n">
        <v>44562</v>
      </c>
      <c r="G161" s="4" t="inlineStr">
        <is>
          <t>2018gn</t>
        </is>
      </c>
      <c r="H161" s="4" t="n">
        <v>2021</v>
      </c>
      <c r="I161" s="4" t="inlineStr">
        <is>
          <t>new.int.npc4</t>
        </is>
      </c>
      <c r="J161" t="inlineStr">
        <is>
          <t>NPC4</t>
        </is>
      </c>
      <c r="M161" t="n">
        <v>475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</row>
    <row r="162">
      <c r="A162" t="inlineStr">
        <is>
          <t>Dominica_2022_January</t>
        </is>
      </c>
      <c r="B162" s="2" t="n"/>
      <c r="C162" s="3" t="inlineStr">
        <is>
          <t>SM.22.7, Sup.2</t>
        </is>
      </c>
      <c r="D162" s="4" t="inlineStr">
        <is>
          <t>Dominica</t>
        </is>
      </c>
      <c r="E162" s="4" t="inlineStr">
        <is>
          <t>DMA</t>
        </is>
      </c>
      <c r="F162" s="10" t="n">
        <v>44562</v>
      </c>
      <c r="G162" s="4" t="inlineStr">
        <is>
          <t>2018gn</t>
        </is>
      </c>
      <c r="H162" s="4" t="n">
        <v>2021</v>
      </c>
      <c r="I162" s="4" t="inlineStr">
        <is>
          <t>new.int.npc5</t>
        </is>
      </c>
      <c r="J162" t="inlineStr">
        <is>
          <t>NPC5</t>
        </is>
      </c>
      <c r="M162" t="n">
        <v>501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</row>
    <row r="163">
      <c r="A163" t="inlineStr">
        <is>
          <t>Dominica_2022_January</t>
        </is>
      </c>
      <c r="B163" s="2" t="n"/>
      <c r="C163" s="3" t="inlineStr">
        <is>
          <t>SM.22.7, Sup.2</t>
        </is>
      </c>
      <c r="D163" s="4" t="inlineStr">
        <is>
          <t>Dominica</t>
        </is>
      </c>
      <c r="E163" s="4" t="inlineStr">
        <is>
          <t>DMA</t>
        </is>
      </c>
      <c r="F163" s="10" t="n">
        <v>44562</v>
      </c>
      <c r="G163" s="4" t="inlineStr">
        <is>
          <t>2018gn</t>
        </is>
      </c>
      <c r="H163" s="4" t="n">
        <v>2021</v>
      </c>
      <c r="I163" s="4" t="inlineStr">
        <is>
          <t>new.int.prvt</t>
        </is>
      </c>
      <c r="J163" t="inlineStr">
        <is>
          <t>Commercial</t>
        </is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BI163" t="inlineStr">
        <is>
          <t>NEW_DS_I_COM</t>
        </is>
      </c>
    </row>
    <row r="164">
      <c r="A164" t="inlineStr">
        <is>
          <t>Dominica_2022_January</t>
        </is>
      </c>
      <c r="B164" s="2" t="n"/>
      <c r="C164" s="3" t="inlineStr">
        <is>
          <t>SM.22.7, Sup.2</t>
        </is>
      </c>
      <c r="D164" s="4" t="inlineStr">
        <is>
          <t>Dominica</t>
        </is>
      </c>
      <c r="E164" s="4" t="inlineStr">
        <is>
          <t>DMA</t>
        </is>
      </c>
      <c r="F164" s="10" t="n">
        <v>44562</v>
      </c>
      <c r="G164" s="4" t="inlineStr">
        <is>
          <t>2018gn</t>
        </is>
      </c>
      <c r="H164" s="4" t="n">
        <v>2021</v>
      </c>
      <c r="I164" s="4" t="inlineStr">
        <is>
          <t>new.int.prvt.bnd</t>
        </is>
      </c>
      <c r="J164" t="inlineStr">
        <is>
          <t>Eurobond</t>
        </is>
      </c>
      <c r="M164" t="n">
        <v>527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</row>
    <row r="165">
      <c r="A165" t="inlineStr">
        <is>
          <t>Dominica_2022_January</t>
        </is>
      </c>
      <c r="B165" s="2" t="n"/>
      <c r="C165" s="3" t="inlineStr">
        <is>
          <t>SM.22.7, Sup.2</t>
        </is>
      </c>
      <c r="D165" s="4" t="inlineStr">
        <is>
          <t>Dominica</t>
        </is>
      </c>
      <c r="E165" s="4" t="inlineStr">
        <is>
          <t>DMA</t>
        </is>
      </c>
      <c r="F165" s="10" t="n">
        <v>44562</v>
      </c>
      <c r="G165" s="4" t="inlineStr">
        <is>
          <t>2018gn</t>
        </is>
      </c>
      <c r="H165" s="4" t="n">
        <v>2021</v>
      </c>
      <c r="I165" s="4" t="inlineStr">
        <is>
          <t>new.int.prvt.cmbk</t>
        </is>
      </c>
      <c r="J165" t="inlineStr">
        <is>
          <t>Commecial Bank</t>
        </is>
      </c>
      <c r="M165" t="n">
        <v>553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</row>
    <row r="166">
      <c r="A166" t="inlineStr">
        <is>
          <t>Dominica_2022_January</t>
        </is>
      </c>
      <c r="B166" s="2" t="n"/>
      <c r="C166" s="3" t="inlineStr">
        <is>
          <t>SM.22.7, Sup.2</t>
        </is>
      </c>
      <c r="D166" s="4" t="inlineStr">
        <is>
          <t>Dominica</t>
        </is>
      </c>
      <c r="E166" s="4" t="inlineStr">
        <is>
          <t>DMA</t>
        </is>
      </c>
      <c r="F166" s="10" t="n">
        <v>44562</v>
      </c>
      <c r="G166" s="4" t="inlineStr">
        <is>
          <t>2018gn</t>
        </is>
      </c>
      <c r="H166" s="4" t="n">
        <v>2021</v>
      </c>
      <c r="I166" s="4" t="inlineStr">
        <is>
          <t>new.int.prvt.com3</t>
        </is>
      </c>
      <c r="J166" t="inlineStr">
        <is>
          <t>COM3</t>
        </is>
      </c>
      <c r="M166" t="n">
        <v>579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</row>
    <row r="167">
      <c r="A167" t="inlineStr">
        <is>
          <t>Dominica_2022_January</t>
        </is>
      </c>
      <c r="B167" s="2" t="n"/>
      <c r="C167" s="3" t="inlineStr">
        <is>
          <t>SM.22.7, Sup.2</t>
        </is>
      </c>
      <c r="D167" s="4" t="inlineStr">
        <is>
          <t>Dominica</t>
        </is>
      </c>
      <c r="E167" s="4" t="inlineStr">
        <is>
          <t>DMA</t>
        </is>
      </c>
      <c r="F167" s="10" t="n">
        <v>44562</v>
      </c>
      <c r="G167" s="4" t="inlineStr">
        <is>
          <t>2018gn</t>
        </is>
      </c>
      <c r="H167" s="4" t="n">
        <v>2021</v>
      </c>
      <c r="I167" s="4" t="inlineStr">
        <is>
          <t>new.int.prvt.com4</t>
        </is>
      </c>
      <c r="J167" t="inlineStr">
        <is>
          <t>COM4</t>
        </is>
      </c>
      <c r="M167" t="n">
        <v>605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</row>
    <row r="168">
      <c r="A168" t="inlineStr">
        <is>
          <t>Dominica_2022_January</t>
        </is>
      </c>
      <c r="B168" s="2" t="n"/>
      <c r="C168" s="3" t="inlineStr">
        <is>
          <t>SM.22.7, Sup.2</t>
        </is>
      </c>
      <c r="D168" s="4" t="inlineStr">
        <is>
          <t>Dominica</t>
        </is>
      </c>
      <c r="E168" s="4" t="inlineStr">
        <is>
          <t>DMA</t>
        </is>
      </c>
      <c r="F168" s="10" t="n">
        <v>44562</v>
      </c>
      <c r="G168" s="4" t="inlineStr">
        <is>
          <t>2018gn</t>
        </is>
      </c>
      <c r="H168" s="4" t="n">
        <v>2021</v>
      </c>
      <c r="I168" s="4" t="inlineStr">
        <is>
          <t>new.int.prvt.com5</t>
        </is>
      </c>
      <c r="J168" t="inlineStr">
        <is>
          <t>COM5</t>
        </is>
      </c>
      <c r="M168" t="n">
        <v>631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</row>
    <row r="169">
      <c r="A169" t="inlineStr">
        <is>
          <t>Dominica_2022_January</t>
        </is>
      </c>
      <c r="B169" s="2" t="n"/>
      <c r="C169" s="3" t="inlineStr">
        <is>
          <t>SM.22.7, Sup.2</t>
        </is>
      </c>
      <c r="D169" s="4" t="inlineStr">
        <is>
          <t>Dominica</t>
        </is>
      </c>
      <c r="E169" s="4" t="inlineStr">
        <is>
          <t>DMA</t>
        </is>
      </c>
      <c r="F169" s="10" t="n">
        <v>44562</v>
      </c>
      <c r="G169" s="4" t="inlineStr">
        <is>
          <t>2018gn</t>
        </is>
      </c>
      <c r="H169" s="4" t="n">
        <v>2021</v>
      </c>
      <c r="I169" s="4" t="inlineStr">
        <is>
          <t>new.int.lcl.nres</t>
        </is>
      </c>
      <c r="J169" t="inlineStr">
        <is>
          <t>Locally-issued debt held by non-residents</t>
        </is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</row>
    <row r="170">
      <c r="A170" t="inlineStr">
        <is>
          <t>Dominica_2022_January</t>
        </is>
      </c>
      <c r="B170" s="2" t="n"/>
      <c r="C170" s="3" t="inlineStr">
        <is>
          <t>SM.22.7, Sup.2</t>
        </is>
      </c>
      <c r="D170" s="4" t="inlineStr">
        <is>
          <t>Dominica</t>
        </is>
      </c>
      <c r="E170" s="4" t="inlineStr">
        <is>
          <t>DMA</t>
        </is>
      </c>
      <c r="F170" s="10" t="n">
        <v>44562</v>
      </c>
      <c r="G170" s="4" t="inlineStr">
        <is>
          <t>2018gn</t>
        </is>
      </c>
      <c r="H170" s="4" t="n">
        <v>2021</v>
      </c>
      <c r="I170" s="4" t="inlineStr">
        <is>
          <t>new.int.lcl.nres.lc</t>
        </is>
      </c>
      <c r="J170" t="inlineStr">
        <is>
          <t>Denominated in local currency (LC)</t>
        </is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</row>
    <row r="171">
      <c r="A171" t="inlineStr">
        <is>
          <t>Dominica_2022_January</t>
        </is>
      </c>
      <c r="B171" s="2" t="n"/>
      <c r="C171" s="3" t="inlineStr">
        <is>
          <t>SM.22.7, Sup.2</t>
        </is>
      </c>
      <c r="D171" s="4" t="inlineStr">
        <is>
          <t>Dominica</t>
        </is>
      </c>
      <c r="E171" s="4" t="inlineStr">
        <is>
          <t>DMA</t>
        </is>
      </c>
      <c r="F171" s="10" t="n">
        <v>44562</v>
      </c>
      <c r="G171" s="4" t="inlineStr">
        <is>
          <t>2018gn</t>
        </is>
      </c>
      <c r="H171" s="4" t="n">
        <v>2021</v>
      </c>
      <c r="I171" s="4" t="inlineStr">
        <is>
          <t>new.int.lcl.nres.bnd.1to3.lc</t>
        </is>
      </c>
      <c r="J171" t="inlineStr">
        <is>
          <t>Bonds (1 to 3 years)-LC</t>
        </is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</row>
    <row r="172">
      <c r="A172" t="inlineStr">
        <is>
          <t>Dominica_2022_January</t>
        </is>
      </c>
      <c r="B172" s="2" t="n"/>
      <c r="C172" s="3" t="inlineStr">
        <is>
          <t>SM.22.7, Sup.2</t>
        </is>
      </c>
      <c r="D172" s="4" t="inlineStr">
        <is>
          <t>Dominica</t>
        </is>
      </c>
      <c r="E172" s="4" t="inlineStr">
        <is>
          <t>DMA</t>
        </is>
      </c>
      <c r="F172" s="10" t="n">
        <v>44562</v>
      </c>
      <c r="G172" s="4" t="inlineStr">
        <is>
          <t>2018gn</t>
        </is>
      </c>
      <c r="H172" s="4" t="n">
        <v>2021</v>
      </c>
      <c r="I172" s="4" t="inlineStr">
        <is>
          <t>new.int.lcl.nres.bnd.4to7.lc</t>
        </is>
      </c>
      <c r="J172" t="inlineStr">
        <is>
          <t>Bonds (4 to 7 years)-LC</t>
        </is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</row>
    <row r="173">
      <c r="A173" t="inlineStr">
        <is>
          <t>Dominica_2022_January</t>
        </is>
      </c>
      <c r="B173" s="2" t="n"/>
      <c r="C173" s="3" t="inlineStr">
        <is>
          <t>SM.22.7, Sup.2</t>
        </is>
      </c>
      <c r="D173" s="4" t="inlineStr">
        <is>
          <t>Dominica</t>
        </is>
      </c>
      <c r="E173" s="4" t="inlineStr">
        <is>
          <t>DMA</t>
        </is>
      </c>
      <c r="F173" s="10" t="n">
        <v>44562</v>
      </c>
      <c r="G173" s="4" t="inlineStr">
        <is>
          <t>2018gn</t>
        </is>
      </c>
      <c r="H173" s="4" t="n">
        <v>2021</v>
      </c>
      <c r="I173" s="4" t="inlineStr">
        <is>
          <t>new.int.lcl.nres.bnd.byd7.lc</t>
        </is>
      </c>
      <c r="J173" t="inlineStr">
        <is>
          <t>Bonds (beyond 7 years)-LC</t>
        </is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</row>
    <row r="174">
      <c r="A174" t="inlineStr">
        <is>
          <t>Dominica_2022_January</t>
        </is>
      </c>
      <c r="B174" s="2" t="n"/>
      <c r="C174" s="3" t="inlineStr">
        <is>
          <t>SM.22.7, Sup.2</t>
        </is>
      </c>
      <c r="D174" s="4" t="inlineStr">
        <is>
          <t>Dominica</t>
        </is>
      </c>
      <c r="E174" s="4" t="inlineStr">
        <is>
          <t>DMA</t>
        </is>
      </c>
      <c r="F174" s="10" t="n">
        <v>44562</v>
      </c>
      <c r="G174" s="4" t="inlineStr">
        <is>
          <t>2018gn</t>
        </is>
      </c>
      <c r="H174" s="4" t="n">
        <v>2021</v>
      </c>
      <c r="I174" s="4" t="inlineStr">
        <is>
          <t>new.int.lcl.nres.fx</t>
        </is>
      </c>
      <c r="J174" t="inlineStr">
        <is>
          <t>Denominated in foreign currency (FX)</t>
        </is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</row>
    <row r="175">
      <c r="A175" t="inlineStr">
        <is>
          <t>Dominica_2022_January</t>
        </is>
      </c>
      <c r="B175" s="2" t="n"/>
      <c r="C175" s="3" t="inlineStr">
        <is>
          <t>SM.22.7, Sup.2</t>
        </is>
      </c>
      <c r="D175" s="4" t="inlineStr">
        <is>
          <t>Dominica</t>
        </is>
      </c>
      <c r="E175" s="4" t="inlineStr">
        <is>
          <t>DMA</t>
        </is>
      </c>
      <c r="F175" s="10" t="n">
        <v>44562</v>
      </c>
      <c r="G175" s="4" t="inlineStr">
        <is>
          <t>2018gn</t>
        </is>
      </c>
      <c r="H175" s="4" t="n">
        <v>2021</v>
      </c>
      <c r="I175" s="4" t="inlineStr">
        <is>
          <t>new.int.lcl.nres.bnd.1to3.fx</t>
        </is>
      </c>
      <c r="J175" t="inlineStr">
        <is>
          <t>Bonds (1 to 3 years)-FX</t>
        </is>
      </c>
      <c r="M175" t="n">
        <v>657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</row>
    <row r="176">
      <c r="A176" t="inlineStr">
        <is>
          <t>Dominica_2022_January</t>
        </is>
      </c>
      <c r="B176" s="2" t="n"/>
      <c r="C176" s="3" t="inlineStr">
        <is>
          <t>SM.22.7, Sup.2</t>
        </is>
      </c>
      <c r="D176" s="4" t="inlineStr">
        <is>
          <t>Dominica</t>
        </is>
      </c>
      <c r="E176" s="4" t="inlineStr">
        <is>
          <t>DMA</t>
        </is>
      </c>
      <c r="F176" s="10" t="n">
        <v>44562</v>
      </c>
      <c r="G176" s="4" t="inlineStr">
        <is>
          <t>2018gn</t>
        </is>
      </c>
      <c r="H176" s="4" t="n">
        <v>2021</v>
      </c>
      <c r="I176" s="4" t="inlineStr">
        <is>
          <t>new.int.lcl.nres.bnd.4to7.fx</t>
        </is>
      </c>
      <c r="J176" t="inlineStr">
        <is>
          <t>Bonds (4 to 7 years)-FX</t>
        </is>
      </c>
      <c r="M176" t="n">
        <v>683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</row>
    <row r="177">
      <c r="A177" t="inlineStr">
        <is>
          <t>Dominica_2022_January</t>
        </is>
      </c>
      <c r="B177" s="2" t="n"/>
      <c r="C177" s="3" t="inlineStr">
        <is>
          <t>SM.22.7, Sup.2</t>
        </is>
      </c>
      <c r="D177" s="4" t="inlineStr">
        <is>
          <t>Dominica</t>
        </is>
      </c>
      <c r="E177" s="4" t="inlineStr">
        <is>
          <t>DMA</t>
        </is>
      </c>
      <c r="F177" s="10" t="n">
        <v>44562</v>
      </c>
      <c r="G177" s="4" t="inlineStr">
        <is>
          <t>2018gn</t>
        </is>
      </c>
      <c r="H177" s="4" t="n">
        <v>2021</v>
      </c>
      <c r="I177" s="4" t="inlineStr">
        <is>
          <t>new.int.lcl.nres.bnd.byd7.fx</t>
        </is>
      </c>
      <c r="J177" t="inlineStr">
        <is>
          <t>Bonds (beyond 7 years)-FX</t>
        </is>
      </c>
      <c r="M177" t="n">
        <v>709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</row>
    <row r="178">
      <c r="A178" t="inlineStr">
        <is>
          <t>Dominica_2022_January</t>
        </is>
      </c>
      <c r="B178" s="2" t="n"/>
      <c r="C178" s="3" t="inlineStr">
        <is>
          <t>SM.22.7, Sup.2</t>
        </is>
      </c>
      <c r="D178" s="4" t="inlineStr">
        <is>
          <t>Dominica</t>
        </is>
      </c>
      <c r="E178" s="4" t="inlineStr">
        <is>
          <t>DMA</t>
        </is>
      </c>
      <c r="F178" s="10" t="n">
        <v>44562</v>
      </c>
      <c r="G178" s="4" t="inlineStr">
        <is>
          <t>2018gn</t>
        </is>
      </c>
      <c r="H178" s="4" t="n">
        <v>2021</v>
      </c>
      <c r="I178" s="5" t="n"/>
      <c r="J178" t="inlineStr">
        <is>
          <t>Locally-issued debt held by residents</t>
        </is>
      </c>
    </row>
    <row r="179">
      <c r="A179" t="inlineStr">
        <is>
          <t>Dominica_2022_January</t>
        </is>
      </c>
      <c r="B179" s="2" t="n"/>
      <c r="C179" s="3" t="inlineStr">
        <is>
          <t>SM.22.7, Sup.2</t>
        </is>
      </c>
      <c r="D179" s="4" t="inlineStr">
        <is>
          <t>Dominica</t>
        </is>
      </c>
      <c r="E179" s="4" t="inlineStr">
        <is>
          <t>DMA</t>
        </is>
      </c>
      <c r="F179" s="10" t="n">
        <v>44562</v>
      </c>
      <c r="G179" s="4" t="inlineStr">
        <is>
          <t>2018gn</t>
        </is>
      </c>
      <c r="H179" s="4" t="n">
        <v>2021</v>
      </c>
      <c r="I179" s="4" t="inlineStr">
        <is>
          <t>new.int.lcl.fx</t>
        </is>
      </c>
      <c r="J179" t="inlineStr">
        <is>
          <t>Denominated in foreign currency (FX)</t>
        </is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</row>
    <row r="180">
      <c r="A180" t="inlineStr">
        <is>
          <t>Dominica_2022_January</t>
        </is>
      </c>
      <c r="B180" s="2" t="n"/>
      <c r="C180" s="3" t="inlineStr">
        <is>
          <t>SM.22.7, Sup.2</t>
        </is>
      </c>
      <c r="D180" s="4" t="inlineStr">
        <is>
          <t>Dominica</t>
        </is>
      </c>
      <c r="E180" s="4" t="inlineStr">
        <is>
          <t>DMA</t>
        </is>
      </c>
      <c r="F180" s="10" t="n">
        <v>44562</v>
      </c>
      <c r="G180" s="4" t="inlineStr">
        <is>
          <t>2018gn</t>
        </is>
      </c>
      <c r="H180" s="4" t="n">
        <v>2021</v>
      </c>
      <c r="I180" s="4" t="inlineStr">
        <is>
          <t>new.int.lcl.fx.bnd.1to3.fx</t>
        </is>
      </c>
      <c r="J180" t="inlineStr">
        <is>
          <t>Bonds (1 to 3 years)-FX</t>
        </is>
      </c>
      <c r="M180" t="n">
        <v>735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</row>
    <row r="181">
      <c r="A181" t="inlineStr">
        <is>
          <t>Dominica_2022_January</t>
        </is>
      </c>
      <c r="B181" s="2" t="n"/>
      <c r="C181" s="3" t="inlineStr">
        <is>
          <t>SM.22.7, Sup.2</t>
        </is>
      </c>
      <c r="D181" s="4" t="inlineStr">
        <is>
          <t>Dominica</t>
        </is>
      </c>
      <c r="E181" s="4" t="inlineStr">
        <is>
          <t>DMA</t>
        </is>
      </c>
      <c r="F181" s="10" t="n">
        <v>44562</v>
      </c>
      <c r="G181" s="4" t="inlineStr">
        <is>
          <t>2018gn</t>
        </is>
      </c>
      <c r="H181" s="4" t="n">
        <v>2021</v>
      </c>
      <c r="I181" s="4" t="inlineStr">
        <is>
          <t>new.int.lcl.fx.bnd.4to7.fx</t>
        </is>
      </c>
      <c r="J181" t="inlineStr">
        <is>
          <t>Bonds (4 to 7 years)-FX</t>
        </is>
      </c>
      <c r="M181" t="n">
        <v>761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</row>
    <row r="182">
      <c r="A182" t="inlineStr">
        <is>
          <t>Dominica_2022_January</t>
        </is>
      </c>
      <c r="B182" s="2" t="n"/>
      <c r="C182" s="3" t="inlineStr">
        <is>
          <t>SM.22.7, Sup.2</t>
        </is>
      </c>
      <c r="D182" s="4" t="inlineStr">
        <is>
          <t>Dominica</t>
        </is>
      </c>
      <c r="E182" s="4" t="inlineStr">
        <is>
          <t>DMA</t>
        </is>
      </c>
      <c r="F182" s="10" t="n">
        <v>44562</v>
      </c>
      <c r="G182" s="4" t="inlineStr">
        <is>
          <t>2018gn</t>
        </is>
      </c>
      <c r="H182" s="4" t="n">
        <v>2021</v>
      </c>
      <c r="I182" s="4" t="inlineStr">
        <is>
          <t>new.int.lcl.fx.bnd.byd7.fx</t>
        </is>
      </c>
      <c r="J182" t="inlineStr">
        <is>
          <t>Bonds (beyond 7 years)-FX</t>
        </is>
      </c>
      <c r="M182" t="n">
        <v>787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</row>
    <row r="183">
      <c r="A183" t="inlineStr">
        <is>
          <t>Dominica_2022_January</t>
        </is>
      </c>
      <c r="B183" s="2" t="n"/>
      <c r="C183" s="3" t="inlineStr">
        <is>
          <t>SM.22.7, Sup.2</t>
        </is>
      </c>
      <c r="D183" s="4" t="inlineStr">
        <is>
          <t>Dominica</t>
        </is>
      </c>
      <c r="E183" s="4" t="inlineStr">
        <is>
          <t>DMA</t>
        </is>
      </c>
      <c r="F183" s="10" t="n">
        <v>44562</v>
      </c>
      <c r="G183" s="4" t="inlineStr">
        <is>
          <t>2018gn</t>
        </is>
      </c>
      <c r="H183" s="4" t="n">
        <v>2021</v>
      </c>
      <c r="I183" s="5" t="n"/>
    </row>
    <row r="184">
      <c r="A184" t="inlineStr">
        <is>
          <t>Dominica_2022_January</t>
        </is>
      </c>
      <c r="B184" s="2" t="n"/>
      <c r="C184" s="3" t="inlineStr">
        <is>
          <t>SM.22.7, Sup.2</t>
        </is>
      </c>
      <c r="D184" s="4" t="inlineStr">
        <is>
          <t>Dominica</t>
        </is>
      </c>
      <c r="E184" s="4" t="inlineStr">
        <is>
          <t>DMA</t>
        </is>
      </c>
      <c r="F184" s="10" t="n">
        <v>44562</v>
      </c>
      <c r="G184" s="4" t="inlineStr">
        <is>
          <t>2018gn</t>
        </is>
      </c>
      <c r="H184" s="4" t="n">
        <v>2021</v>
      </c>
      <c r="I184" s="4" t="inlineStr">
        <is>
          <t>new.amt</t>
        </is>
      </c>
      <c r="J184" t="inlineStr">
        <is>
          <t>Amortization</t>
        </is>
      </c>
      <c r="M184" t="n">
        <v>1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0.9216002593570064</v>
      </c>
      <c r="V184" t="n">
        <v>2.351987420538797</v>
      </c>
      <c r="W184" t="n">
        <v>3.548206557727446</v>
      </c>
      <c r="X184" t="n">
        <v>4.618754285449787</v>
      </c>
      <c r="Y184" t="n">
        <v>5.636167801669614</v>
      </c>
      <c r="Z184" t="n">
        <v>7.194343190414656</v>
      </c>
      <c r="AA184" t="n">
        <v>9.687283695419891</v>
      </c>
      <c r="AB184" t="n">
        <v>11.55649489253936</v>
      </c>
      <c r="AC184" t="n">
        <v>13.10002436712896</v>
      </c>
      <c r="AD184" t="n">
        <v>14.57194894828396</v>
      </c>
      <c r="AE184" t="n">
        <v>16.11408981570341</v>
      </c>
      <c r="AF184" t="n">
        <v>17.37879491339954</v>
      </c>
      <c r="AG184" t="n">
        <v>18.31270927617593</v>
      </c>
      <c r="AH184" t="n">
        <v>18.99928553925164</v>
      </c>
      <c r="AI184" t="n">
        <v>19.65294597278823</v>
      </c>
      <c r="BI184" t="inlineStr">
        <is>
          <t>NEW_DP_TOT</t>
        </is>
      </c>
    </row>
    <row r="185">
      <c r="A185" t="inlineStr">
        <is>
          <t>Dominica_2022_January</t>
        </is>
      </c>
      <c r="B185" s="2" t="n"/>
      <c r="C185" s="3" t="inlineStr">
        <is>
          <t>SM.22.7, Sup.2</t>
        </is>
      </c>
      <c r="D185" s="4" t="inlineStr">
        <is>
          <t>Dominica</t>
        </is>
      </c>
      <c r="E185" s="4" t="inlineStr">
        <is>
          <t>DMA</t>
        </is>
      </c>
      <c r="F185" s="10" t="n">
        <v>44562</v>
      </c>
      <c r="G185" s="4" t="inlineStr">
        <is>
          <t>2018gn</t>
        </is>
      </c>
      <c r="H185" s="4" t="n">
        <v>2021</v>
      </c>
      <c r="I185" s="4" t="inlineStr">
        <is>
          <t>new.amt.mlt</t>
        </is>
      </c>
      <c r="J185" t="inlineStr">
        <is>
          <t>Multilaterals</t>
        </is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0.35</v>
      </c>
      <c r="V185" t="n">
        <v>1.35</v>
      </c>
      <c r="W185" t="n">
        <v>2.1</v>
      </c>
      <c r="X185" t="n">
        <v>2.738339642193745</v>
      </c>
      <c r="Y185" t="n">
        <v>3.34340801019275</v>
      </c>
      <c r="Z185" t="n">
        <v>4.47403890213438</v>
      </c>
      <c r="AA185" t="n">
        <v>6.520866926900003</v>
      </c>
      <c r="AB185" t="n">
        <v>7.92807692446795</v>
      </c>
      <c r="AC185" t="n">
        <v>8.996423002108877</v>
      </c>
      <c r="AD185" t="n">
        <v>9.97681081242583</v>
      </c>
      <c r="AE185" t="n">
        <v>10.99834525833771</v>
      </c>
      <c r="AF185" t="n">
        <v>11.73514410417965</v>
      </c>
      <c r="AG185" t="n">
        <v>12.13105593411553</v>
      </c>
      <c r="AH185" t="n">
        <v>12.26405364091279</v>
      </c>
      <c r="AI185" t="n">
        <v>12.33639973019731</v>
      </c>
      <c r="BI185" t="inlineStr">
        <is>
          <t>NEW_DP_ML</t>
        </is>
      </c>
    </row>
    <row r="186">
      <c r="A186" t="inlineStr">
        <is>
          <t>Dominica_2022_January</t>
        </is>
      </c>
      <c r="B186" s="2" t="n"/>
      <c r="C186" s="3" t="inlineStr">
        <is>
          <t>SM.22.7, Sup.2</t>
        </is>
      </c>
      <c r="D186" s="4" t="inlineStr">
        <is>
          <t>Dominica</t>
        </is>
      </c>
      <c r="E186" s="4" t="inlineStr">
        <is>
          <t>DMA</t>
        </is>
      </c>
      <c r="F186" s="10" t="n">
        <v>44562</v>
      </c>
      <c r="G186" s="4" t="inlineStr">
        <is>
          <t>2018gn</t>
        </is>
      </c>
      <c r="H186" s="4" t="n">
        <v>2021</v>
      </c>
      <c r="I186" s="4" t="inlineStr">
        <is>
          <t>new.amt.mlt.imf</t>
        </is>
      </c>
      <c r="J186" t="inlineStr">
        <is>
          <t>IMF</t>
        </is>
      </c>
      <c r="M186" t="n">
        <v>27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</row>
    <row r="187">
      <c r="A187" t="inlineStr">
        <is>
          <t>Dominica_2022_January</t>
        </is>
      </c>
      <c r="B187" s="2" t="n"/>
      <c r="C187" s="3" t="inlineStr">
        <is>
          <t>SM.22.7, Sup.2</t>
        </is>
      </c>
      <c r="D187" s="4" t="inlineStr">
        <is>
          <t>Dominica</t>
        </is>
      </c>
      <c r="E187" s="4" t="inlineStr">
        <is>
          <t>DMA</t>
        </is>
      </c>
      <c r="F187" s="10" t="n">
        <v>44562</v>
      </c>
      <c r="G187" s="4" t="inlineStr">
        <is>
          <t>2018gn</t>
        </is>
      </c>
      <c r="H187" s="4" t="n">
        <v>2021</v>
      </c>
      <c r="I187" s="4" t="inlineStr">
        <is>
          <t>new.amt.mlt.ida.reg</t>
        </is>
      </c>
      <c r="J187" t="inlineStr">
        <is>
          <t>IDA - small economy</t>
        </is>
      </c>
      <c r="M187" t="n">
        <v>61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0.5</v>
      </c>
      <c r="AA187" t="n">
        <v>2.086666666666667</v>
      </c>
      <c r="AB187" t="n">
        <v>3.253333333333333</v>
      </c>
      <c r="AC187" t="n">
        <v>4.246306110079156</v>
      </c>
      <c r="AD187" t="n">
        <v>5.187523571410943</v>
      </c>
      <c r="AE187" t="n">
        <v>6.168504958875697</v>
      </c>
      <c r="AF187" t="n">
        <v>6.884311515918516</v>
      </c>
      <c r="AG187" t="n">
        <v>7.258490030653843</v>
      </c>
      <c r="AH187" t="n">
        <v>7.375737387601783</v>
      </c>
      <c r="AI187" t="n">
        <v>7.436669041578708</v>
      </c>
    </row>
    <row r="188">
      <c r="A188" t="inlineStr">
        <is>
          <t>Dominica_2022_January</t>
        </is>
      </c>
      <c r="B188" s="2" t="n"/>
      <c r="C188" s="3" t="inlineStr">
        <is>
          <t>SM.22.7, Sup.2</t>
        </is>
      </c>
      <c r="D188" s="4" t="inlineStr">
        <is>
          <t>Dominica</t>
        </is>
      </c>
      <c r="E188" s="4" t="inlineStr">
        <is>
          <t>DMA</t>
        </is>
      </c>
      <c r="F188" s="10" t="n">
        <v>44562</v>
      </c>
      <c r="G188" s="4" t="inlineStr">
        <is>
          <t>2018gn</t>
        </is>
      </c>
      <c r="H188" s="4" t="n">
        <v>2021</v>
      </c>
      <c r="I188" s="4" t="inlineStr">
        <is>
          <t>new.amt.mlt.ida.bld</t>
        </is>
      </c>
      <c r="J188" t="inlineStr">
        <is>
          <t>IDA - small economy</t>
        </is>
      </c>
      <c r="M188" t="n">
        <v>87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</row>
    <row r="189">
      <c r="A189" t="inlineStr">
        <is>
          <t>Dominica_2022_January</t>
        </is>
      </c>
      <c r="B189" s="2" t="n"/>
      <c r="C189" s="3" t="inlineStr">
        <is>
          <t>SM.22.7, Sup.2</t>
        </is>
      </c>
      <c r="D189" s="4" t="inlineStr">
        <is>
          <t>Dominica</t>
        </is>
      </c>
      <c r="E189" s="4" t="inlineStr">
        <is>
          <t>DMA</t>
        </is>
      </c>
      <c r="F189" s="10" t="n">
        <v>44562</v>
      </c>
      <c r="G189" s="4" t="inlineStr">
        <is>
          <t>2018gn</t>
        </is>
      </c>
      <c r="H189" s="4" t="n">
        <v>2021</v>
      </c>
      <c r="I189" s="4" t="inlineStr">
        <is>
          <t>new.amt.mlt.afdb</t>
        </is>
      </c>
      <c r="J189" t="inlineStr">
        <is>
          <t>CDB</t>
        </is>
      </c>
      <c r="M189" t="n">
        <v>112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0.35</v>
      </c>
      <c r="V189" t="n">
        <v>1.35</v>
      </c>
      <c r="W189" t="n">
        <v>2.1</v>
      </c>
      <c r="X189" t="n">
        <v>2.738339642193745</v>
      </c>
      <c r="Y189" t="n">
        <v>3.34340801019275</v>
      </c>
      <c r="Z189" t="n">
        <v>3.97403890213438</v>
      </c>
      <c r="AA189" t="n">
        <v>4.434200260233336</v>
      </c>
      <c r="AB189" t="n">
        <v>4.674743591134617</v>
      </c>
      <c r="AC189" t="n">
        <v>4.750116892029721</v>
      </c>
      <c r="AD189" t="n">
        <v>4.789287241014887</v>
      </c>
      <c r="AE189" t="n">
        <v>4.829840299462011</v>
      </c>
      <c r="AF189" t="n">
        <v>4.850832588261137</v>
      </c>
      <c r="AG189" t="n">
        <v>4.872565903461682</v>
      </c>
      <c r="AH189" t="n">
        <v>4.888316253311008</v>
      </c>
      <c r="AI189" t="n">
        <v>4.899730688618602</v>
      </c>
    </row>
    <row r="190">
      <c r="A190" t="inlineStr">
        <is>
          <t>Dominica_2022_January</t>
        </is>
      </c>
      <c r="B190" s="2" t="n"/>
      <c r="C190" s="3" t="inlineStr">
        <is>
          <t>SM.22.7, Sup.2</t>
        </is>
      </c>
      <c r="D190" s="4" t="inlineStr">
        <is>
          <t>Dominica</t>
        </is>
      </c>
      <c r="E190" s="4" t="inlineStr">
        <is>
          <t>DMA</t>
        </is>
      </c>
      <c r="F190" s="10" t="n">
        <v>44562</v>
      </c>
      <c r="G190" s="4" t="inlineStr">
        <is>
          <t>2018gn</t>
        </is>
      </c>
      <c r="H190" s="4" t="n">
        <v>2021</v>
      </c>
      <c r="I190" s="4" t="inlineStr">
        <is>
          <t>new.amt.mlt2</t>
        </is>
      </c>
      <c r="J190" t="inlineStr">
        <is>
          <t>MULTIRES</t>
        </is>
      </c>
      <c r="M190" t="n">
        <v>138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</row>
    <row r="191">
      <c r="A191" t="inlineStr">
        <is>
          <t>Dominica_2022_January</t>
        </is>
      </c>
      <c r="B191" s="2" t="n"/>
      <c r="C191" s="3" t="inlineStr">
        <is>
          <t>SM.22.7, Sup.2</t>
        </is>
      </c>
      <c r="D191" s="4" t="inlineStr">
        <is>
          <t>Dominica</t>
        </is>
      </c>
      <c r="E191" s="4" t="inlineStr">
        <is>
          <t>DMA</t>
        </is>
      </c>
      <c r="F191" s="10" t="n">
        <v>44562</v>
      </c>
      <c r="G191" s="4" t="inlineStr">
        <is>
          <t>2018gn</t>
        </is>
      </c>
      <c r="H191" s="4" t="n">
        <v>2021</v>
      </c>
      <c r="I191" s="4" t="inlineStr">
        <is>
          <t>new.amt.mlt3</t>
        </is>
      </c>
      <c r="J191" t="inlineStr">
        <is>
          <t>MULTI3</t>
        </is>
      </c>
      <c r="M191" t="n">
        <v>164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</row>
    <row r="192">
      <c r="A192" t="inlineStr">
        <is>
          <t>Dominica_2022_January</t>
        </is>
      </c>
      <c r="B192" s="2" t="n"/>
      <c r="C192" s="3" t="inlineStr">
        <is>
          <t>SM.22.7, Sup.2</t>
        </is>
      </c>
      <c r="D192" s="4" t="inlineStr">
        <is>
          <t>Dominica</t>
        </is>
      </c>
      <c r="E192" s="4" t="inlineStr">
        <is>
          <t>DMA</t>
        </is>
      </c>
      <c r="F192" s="10" t="n">
        <v>44562</v>
      </c>
      <c r="G192" s="4" t="inlineStr">
        <is>
          <t>2018gn</t>
        </is>
      </c>
      <c r="H192" s="4" t="n">
        <v>2021</v>
      </c>
      <c r="I192" s="4" t="inlineStr">
        <is>
          <t>new.amt.mlt.oth</t>
        </is>
      </c>
      <c r="J192" t="inlineStr">
        <is>
          <t>Other Multilaterals</t>
        </is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0.5712870248419439</v>
      </c>
      <c r="V192" t="n">
        <v>1.001608335485344</v>
      </c>
      <c r="W192" t="n">
        <v>1.447827472673992</v>
      </c>
      <c r="X192" t="n">
        <v>1.880035558202588</v>
      </c>
      <c r="Y192" t="n">
        <v>2.28980309206644</v>
      </c>
      <c r="Z192" t="n">
        <v>2.716495698930076</v>
      </c>
      <c r="AA192" t="n">
        <v>3.162608179169688</v>
      </c>
      <c r="AB192" t="n">
        <v>3.621909543014024</v>
      </c>
      <c r="AC192" t="n">
        <v>4.097092939962692</v>
      </c>
      <c r="AD192" t="n">
        <v>4.588629710800744</v>
      </c>
      <c r="AE192" t="n">
        <v>5.095765870962264</v>
      </c>
      <c r="AF192" t="n">
        <v>5.618377291378891</v>
      </c>
      <c r="AG192" t="n">
        <v>6.155844097206092</v>
      </c>
      <c r="AH192" t="n">
        <v>6.709422653484539</v>
      </c>
      <c r="AI192" t="n">
        <v>7.28009298278956</v>
      </c>
    </row>
    <row r="193">
      <c r="A193" t="inlineStr">
        <is>
          <t>Dominica_2022_January</t>
        </is>
      </c>
      <c r="B193" s="2" t="n"/>
      <c r="C193" s="3" t="inlineStr">
        <is>
          <t>SM.22.7, Sup.2</t>
        </is>
      </c>
      <c r="D193" s="4" t="inlineStr">
        <is>
          <t>Dominica</t>
        </is>
      </c>
      <c r="E193" s="4" t="inlineStr">
        <is>
          <t>DMA</t>
        </is>
      </c>
      <c r="F193" s="10" t="n">
        <v>44562</v>
      </c>
      <c r="G193" s="4" t="inlineStr">
        <is>
          <t>2018gn</t>
        </is>
      </c>
      <c r="H193" s="4" t="n">
        <v>2021</v>
      </c>
      <c r="I193" s="4" t="inlineStr">
        <is>
          <t>new.amt.mlt.oth1</t>
        </is>
      </c>
      <c r="J193" t="inlineStr">
        <is>
          <t>OTH_MULTI1</t>
        </is>
      </c>
      <c r="M193" t="n">
        <v>190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0.5712870248419439</v>
      </c>
      <c r="V193" t="n">
        <v>1.001608335485344</v>
      </c>
      <c r="W193" t="n">
        <v>1.447827472673992</v>
      </c>
      <c r="X193" t="n">
        <v>1.880035558202588</v>
      </c>
      <c r="Y193" t="n">
        <v>2.28980309206644</v>
      </c>
      <c r="Z193" t="n">
        <v>2.716495698930076</v>
      </c>
      <c r="AA193" t="n">
        <v>3.162608179169688</v>
      </c>
      <c r="AB193" t="n">
        <v>3.621909543014024</v>
      </c>
      <c r="AC193" t="n">
        <v>4.097092939962692</v>
      </c>
      <c r="AD193" t="n">
        <v>4.588629710800744</v>
      </c>
      <c r="AE193" t="n">
        <v>5.095765870962264</v>
      </c>
      <c r="AF193" t="n">
        <v>5.618377291378891</v>
      </c>
      <c r="AG193" t="n">
        <v>6.155844097206092</v>
      </c>
      <c r="AH193" t="n">
        <v>6.709422653484539</v>
      </c>
      <c r="AI193" t="n">
        <v>7.28009298278956</v>
      </c>
    </row>
    <row r="194">
      <c r="A194" t="inlineStr">
        <is>
          <t>Dominica_2022_January</t>
        </is>
      </c>
      <c r="B194" s="2" t="n"/>
      <c r="C194" s="3" t="inlineStr">
        <is>
          <t>SM.22.7, Sup.2</t>
        </is>
      </c>
      <c r="D194" s="4" t="inlineStr">
        <is>
          <t>Dominica</t>
        </is>
      </c>
      <c r="E194" s="4" t="inlineStr">
        <is>
          <t>DMA</t>
        </is>
      </c>
      <c r="F194" s="10" t="n">
        <v>44562</v>
      </c>
      <c r="G194" s="4" t="inlineStr">
        <is>
          <t>2018gn</t>
        </is>
      </c>
      <c r="H194" s="4" t="n">
        <v>2021</v>
      </c>
      <c r="I194" s="4" t="inlineStr">
        <is>
          <t>new.amt.mlt.oth2</t>
        </is>
      </c>
      <c r="J194" t="inlineStr">
        <is>
          <t>OTH_MULTI2</t>
        </is>
      </c>
      <c r="M194" t="n">
        <v>216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</row>
    <row r="195">
      <c r="A195" t="inlineStr">
        <is>
          <t>Dominica_2022_January</t>
        </is>
      </c>
      <c r="B195" s="2" t="n"/>
      <c r="C195" s="3" t="inlineStr">
        <is>
          <t>SM.22.7, Sup.2</t>
        </is>
      </c>
      <c r="D195" s="4" t="inlineStr">
        <is>
          <t>Dominica</t>
        </is>
      </c>
      <c r="E195" s="4" t="inlineStr">
        <is>
          <t>DMA</t>
        </is>
      </c>
      <c r="F195" s="10" t="n">
        <v>44562</v>
      </c>
      <c r="G195" s="4" t="inlineStr">
        <is>
          <t>2018gn</t>
        </is>
      </c>
      <c r="H195" s="4" t="n">
        <v>2021</v>
      </c>
      <c r="I195" s="4" t="inlineStr">
        <is>
          <t>new.amt.mlt.oth3</t>
        </is>
      </c>
      <c r="J195" t="inlineStr">
        <is>
          <t>OTH_MULTI3</t>
        </is>
      </c>
      <c r="M195" t="n">
        <v>242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</row>
    <row r="196">
      <c r="A196" t="inlineStr">
        <is>
          <t>Dominica_2022_January</t>
        </is>
      </c>
      <c r="B196" s="2" t="n"/>
      <c r="C196" s="3" t="inlineStr">
        <is>
          <t>SM.22.7, Sup.2</t>
        </is>
      </c>
      <c r="D196" s="4" t="inlineStr">
        <is>
          <t>Dominica</t>
        </is>
      </c>
      <c r="E196" s="4" t="inlineStr">
        <is>
          <t>DMA</t>
        </is>
      </c>
      <c r="F196" s="10" t="n">
        <v>44562</v>
      </c>
      <c r="G196" s="4" t="inlineStr">
        <is>
          <t>2018gn</t>
        </is>
      </c>
      <c r="H196" s="4" t="n">
        <v>2021</v>
      </c>
      <c r="I196" s="4" t="inlineStr">
        <is>
          <t>new.amt.blt</t>
        </is>
      </c>
      <c r="J196" t="inlineStr">
        <is>
          <t>Official Bilaterals</t>
        </is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0.0003132345150624909</v>
      </c>
      <c r="V196" t="n">
        <v>0.0003790850534533639</v>
      </c>
      <c r="W196" t="n">
        <v>0.0003790850534533639</v>
      </c>
      <c r="X196" t="n">
        <v>0.0003790850534533639</v>
      </c>
      <c r="Y196" t="n">
        <v>0.002956699410423722</v>
      </c>
      <c r="Z196" t="n">
        <v>0.003808589350200294</v>
      </c>
      <c r="AA196" t="n">
        <v>0.003808589350200294</v>
      </c>
      <c r="AB196" t="n">
        <v>0.006508425057391182</v>
      </c>
      <c r="AC196" t="n">
        <v>0.006508425057391182</v>
      </c>
      <c r="AD196" t="n">
        <v>0.006508425057391182</v>
      </c>
      <c r="AE196" t="n">
        <v>0.01997868640344203</v>
      </c>
      <c r="AF196" t="n">
        <v>0.02527351784099354</v>
      </c>
      <c r="AG196" t="n">
        <v>0.02580924485431158</v>
      </c>
      <c r="AH196" t="n">
        <v>0.02580924485431158</v>
      </c>
      <c r="AI196" t="n">
        <v>0.03645325980136768</v>
      </c>
      <c r="BI196" t="inlineStr">
        <is>
          <t>NEW_DP_OB</t>
        </is>
      </c>
    </row>
    <row r="197">
      <c r="A197" t="inlineStr">
        <is>
          <t>Dominica_2022_January</t>
        </is>
      </c>
      <c r="B197" s="2" t="n"/>
      <c r="C197" s="3" t="inlineStr">
        <is>
          <t>SM.22.7, Sup.2</t>
        </is>
      </c>
      <c r="D197" s="4" t="inlineStr">
        <is>
          <t>Dominica</t>
        </is>
      </c>
      <c r="E197" s="4" t="inlineStr">
        <is>
          <t>DMA</t>
        </is>
      </c>
      <c r="F197" s="10" t="n">
        <v>44562</v>
      </c>
      <c r="G197" s="4" t="inlineStr">
        <is>
          <t>2018gn</t>
        </is>
      </c>
      <c r="H197" s="4" t="n">
        <v>2021</v>
      </c>
      <c r="I197" s="4" t="inlineStr">
        <is>
          <t>new.amt.pc</t>
        </is>
      </c>
      <c r="J197" t="inlineStr">
        <is>
          <t xml:space="preserve">   Paris Club</t>
        </is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</row>
    <row r="198">
      <c r="A198" t="inlineStr">
        <is>
          <t>Dominica_2022_January</t>
        </is>
      </c>
      <c r="B198" s="2" t="n"/>
      <c r="C198" s="3" t="inlineStr">
        <is>
          <t>SM.22.7, Sup.2</t>
        </is>
      </c>
      <c r="D198" s="4" t="inlineStr">
        <is>
          <t>Dominica</t>
        </is>
      </c>
      <c r="E198" s="4" t="inlineStr">
        <is>
          <t>DMA</t>
        </is>
      </c>
      <c r="F198" s="10" t="n">
        <v>44562</v>
      </c>
      <c r="G198" s="4" t="inlineStr">
        <is>
          <t>2018gn</t>
        </is>
      </c>
      <c r="H198" s="4" t="n">
        <v>2021</v>
      </c>
      <c r="I198" s="4" t="inlineStr">
        <is>
          <t>new.amt.pc1</t>
        </is>
      </c>
      <c r="J198" t="inlineStr">
        <is>
          <t>Export Credit Agencies</t>
        </is>
      </c>
      <c r="M198" t="n">
        <v>268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</row>
    <row r="199">
      <c r="A199" t="inlineStr">
        <is>
          <t>Dominica_2022_January</t>
        </is>
      </c>
      <c r="B199" s="2" t="n"/>
      <c r="C199" s="3" t="inlineStr">
        <is>
          <t>SM.22.7, Sup.2</t>
        </is>
      </c>
      <c r="D199" s="4" t="inlineStr">
        <is>
          <t>Dominica</t>
        </is>
      </c>
      <c r="E199" s="4" t="inlineStr">
        <is>
          <t>DMA</t>
        </is>
      </c>
      <c r="F199" s="10" t="n">
        <v>44562</v>
      </c>
      <c r="G199" s="4" t="inlineStr">
        <is>
          <t>2018gn</t>
        </is>
      </c>
      <c r="H199" s="4" t="n">
        <v>2021</v>
      </c>
      <c r="I199" s="4" t="inlineStr">
        <is>
          <t>new.amt.pc2</t>
        </is>
      </c>
      <c r="J199" t="inlineStr">
        <is>
          <t>PC2</t>
        </is>
      </c>
      <c r="M199" t="n">
        <v>294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</row>
    <row r="200">
      <c r="A200" t="inlineStr">
        <is>
          <t>Dominica_2022_January</t>
        </is>
      </c>
      <c r="B200" s="2" t="n"/>
      <c r="C200" s="3" t="inlineStr">
        <is>
          <t>SM.22.7, Sup.2</t>
        </is>
      </c>
      <c r="D200" s="4" t="inlineStr">
        <is>
          <t>Dominica</t>
        </is>
      </c>
      <c r="E200" s="4" t="inlineStr">
        <is>
          <t>DMA</t>
        </is>
      </c>
      <c r="F200" s="10" t="n">
        <v>44562</v>
      </c>
      <c r="G200" s="4" t="inlineStr">
        <is>
          <t>2018gn</t>
        </is>
      </c>
      <c r="H200" s="4" t="n">
        <v>2021</v>
      </c>
      <c r="I200" s="4" t="inlineStr">
        <is>
          <t>new.amt.pc3</t>
        </is>
      </c>
      <c r="J200" t="inlineStr">
        <is>
          <t>PC3</t>
        </is>
      </c>
      <c r="M200" t="n">
        <v>320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</row>
    <row r="201">
      <c r="A201" t="inlineStr">
        <is>
          <t>Dominica_2022_January</t>
        </is>
      </c>
      <c r="B201" s="2" t="n"/>
      <c r="C201" s="3" t="inlineStr">
        <is>
          <t>SM.22.7, Sup.2</t>
        </is>
      </c>
      <c r="D201" s="4" t="inlineStr">
        <is>
          <t>Dominica</t>
        </is>
      </c>
      <c r="E201" s="4" t="inlineStr">
        <is>
          <t>DMA</t>
        </is>
      </c>
      <c r="F201" s="10" t="n">
        <v>44562</v>
      </c>
      <c r="G201" s="4" t="inlineStr">
        <is>
          <t>2018gn</t>
        </is>
      </c>
      <c r="H201" s="4" t="n">
        <v>2021</v>
      </c>
      <c r="I201" s="4" t="inlineStr">
        <is>
          <t>new.amt.pc4</t>
        </is>
      </c>
      <c r="J201" t="inlineStr">
        <is>
          <t>PC4</t>
        </is>
      </c>
      <c r="M201" t="n">
        <v>346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</row>
    <row r="202">
      <c r="A202" t="inlineStr">
        <is>
          <t>Dominica_2022_January</t>
        </is>
      </c>
      <c r="B202" s="2" t="n"/>
      <c r="C202" s="3" t="inlineStr">
        <is>
          <t>SM.22.7, Sup.2</t>
        </is>
      </c>
      <c r="D202" s="4" t="inlineStr">
        <is>
          <t>Dominica</t>
        </is>
      </c>
      <c r="E202" s="4" t="inlineStr">
        <is>
          <t>DMA</t>
        </is>
      </c>
      <c r="F202" s="10" t="n">
        <v>44562</v>
      </c>
      <c r="G202" s="4" t="inlineStr">
        <is>
          <t>2018gn</t>
        </is>
      </c>
      <c r="H202" s="4" t="n">
        <v>2021</v>
      </c>
      <c r="I202" s="4" t="inlineStr">
        <is>
          <t>new.amt.pc5</t>
        </is>
      </c>
      <c r="J202" t="inlineStr">
        <is>
          <t>PC5</t>
        </is>
      </c>
      <c r="M202" t="n">
        <v>372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</row>
    <row r="203">
      <c r="A203" t="inlineStr">
        <is>
          <t>Dominica_2022_January</t>
        </is>
      </c>
      <c r="B203" s="2" t="n"/>
      <c r="C203" s="3" t="inlineStr">
        <is>
          <t>SM.22.7, Sup.2</t>
        </is>
      </c>
      <c r="D203" s="4" t="inlineStr">
        <is>
          <t>Dominica</t>
        </is>
      </c>
      <c r="E203" s="4" t="inlineStr">
        <is>
          <t>DMA</t>
        </is>
      </c>
      <c r="F203" s="10" t="n">
        <v>44562</v>
      </c>
      <c r="G203" s="4" t="inlineStr">
        <is>
          <t>2018gn</t>
        </is>
      </c>
      <c r="H203" s="4" t="n">
        <v>2021</v>
      </c>
      <c r="I203" s="4" t="inlineStr">
        <is>
          <t>new.amt.npc</t>
        </is>
      </c>
      <c r="J203" t="inlineStr">
        <is>
          <t xml:space="preserve">   Non-Paris Club</t>
        </is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0.0003132345150624909</v>
      </c>
      <c r="V203" t="n">
        <v>0.0003790850534533639</v>
      </c>
      <c r="W203" t="n">
        <v>0.0003790850534533639</v>
      </c>
      <c r="X203" t="n">
        <v>0.0003790850534533639</v>
      </c>
      <c r="Y203" t="n">
        <v>0.002956699410423722</v>
      </c>
      <c r="Z203" t="n">
        <v>0.003808589350200294</v>
      </c>
      <c r="AA203" t="n">
        <v>0.003808589350200294</v>
      </c>
      <c r="AB203" t="n">
        <v>0.006508425057391182</v>
      </c>
      <c r="AC203" t="n">
        <v>0.006508425057391182</v>
      </c>
      <c r="AD203" t="n">
        <v>0.006508425057391182</v>
      </c>
      <c r="AE203" t="n">
        <v>0.01997868640344203</v>
      </c>
      <c r="AF203" t="n">
        <v>0.02527351784099354</v>
      </c>
      <c r="AG203" t="n">
        <v>0.02580924485431158</v>
      </c>
      <c r="AH203" t="n">
        <v>0.02580924485431158</v>
      </c>
      <c r="AI203" t="n">
        <v>0.03645325980136768</v>
      </c>
    </row>
    <row r="204">
      <c r="A204" t="inlineStr">
        <is>
          <t>Dominica_2022_January</t>
        </is>
      </c>
      <c r="B204" s="2" t="n"/>
      <c r="C204" s="3" t="inlineStr">
        <is>
          <t>SM.22.7, Sup.2</t>
        </is>
      </c>
      <c r="D204" s="4" t="inlineStr">
        <is>
          <t>Dominica</t>
        </is>
      </c>
      <c r="E204" s="4" t="inlineStr">
        <is>
          <t>DMA</t>
        </is>
      </c>
      <c r="F204" s="10" t="n">
        <v>44562</v>
      </c>
      <c r="G204" s="4" t="inlineStr">
        <is>
          <t>2018gn</t>
        </is>
      </c>
      <c r="H204" s="4" t="n">
        <v>2021</v>
      </c>
      <c r="I204" s="4" t="inlineStr">
        <is>
          <t>new.amt.npc.eximbk</t>
        </is>
      </c>
      <c r="J204" t="inlineStr">
        <is>
          <t>NPC2</t>
        </is>
      </c>
      <c r="M204" t="n">
        <v>398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0.0003132345150624909</v>
      </c>
      <c r="V204" t="n">
        <v>0.0003790850534533639</v>
      </c>
      <c r="W204" t="n">
        <v>0.0003790850534533639</v>
      </c>
      <c r="X204" t="n">
        <v>0.0003790850534533639</v>
      </c>
      <c r="Y204" t="n">
        <v>0.002956699410423722</v>
      </c>
      <c r="Z204" t="n">
        <v>0.003808589350200294</v>
      </c>
      <c r="AA204" t="n">
        <v>0.003808589350200294</v>
      </c>
      <c r="AB204" t="n">
        <v>0.006508425057391182</v>
      </c>
      <c r="AC204" t="n">
        <v>0.006508425057391182</v>
      </c>
      <c r="AD204" t="n">
        <v>0.006508425057391182</v>
      </c>
      <c r="AE204" t="n">
        <v>0.01997868640344203</v>
      </c>
      <c r="AF204" t="n">
        <v>0.02527351784099354</v>
      </c>
      <c r="AG204" t="n">
        <v>0.02580924485431158</v>
      </c>
      <c r="AH204" t="n">
        <v>0.02580924485431158</v>
      </c>
      <c r="AI204" t="n">
        <v>0.03645325980136768</v>
      </c>
    </row>
    <row r="205">
      <c r="A205" t="inlineStr">
        <is>
          <t>Dominica_2022_January</t>
        </is>
      </c>
      <c r="B205" s="2" t="n"/>
      <c r="C205" s="3" t="inlineStr">
        <is>
          <t>SM.22.7, Sup.2</t>
        </is>
      </c>
      <c r="D205" s="4" t="inlineStr">
        <is>
          <t>Dominica</t>
        </is>
      </c>
      <c r="E205" s="4" t="inlineStr">
        <is>
          <t>DMA</t>
        </is>
      </c>
      <c r="F205" s="10" t="n">
        <v>44562</v>
      </c>
      <c r="G205" s="4" t="inlineStr">
        <is>
          <t>2018gn</t>
        </is>
      </c>
      <c r="H205" s="4" t="n">
        <v>2021</v>
      </c>
      <c r="I205" s="4" t="inlineStr">
        <is>
          <t>new.amt.npc2</t>
        </is>
      </c>
      <c r="J205" t="inlineStr">
        <is>
          <t>NPC2</t>
        </is>
      </c>
      <c r="M205" t="n">
        <v>424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</row>
    <row r="206">
      <c r="A206" t="inlineStr">
        <is>
          <t>Dominica_2022_January</t>
        </is>
      </c>
      <c r="B206" s="2" t="n"/>
      <c r="C206" s="3" t="inlineStr">
        <is>
          <t>SM.22.7, Sup.2</t>
        </is>
      </c>
      <c r="D206" s="4" t="inlineStr">
        <is>
          <t>Dominica</t>
        </is>
      </c>
      <c r="E206" s="4" t="inlineStr">
        <is>
          <t>DMA</t>
        </is>
      </c>
      <c r="F206" s="10" t="n">
        <v>44562</v>
      </c>
      <c r="G206" s="4" t="inlineStr">
        <is>
          <t>2018gn</t>
        </is>
      </c>
      <c r="H206" s="4" t="n">
        <v>2021</v>
      </c>
      <c r="I206" s="4" t="inlineStr">
        <is>
          <t>new.amt.npc3</t>
        </is>
      </c>
      <c r="J206" t="inlineStr">
        <is>
          <t>NPC3</t>
        </is>
      </c>
      <c r="M206" t="n">
        <v>450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</row>
    <row r="207">
      <c r="A207" t="inlineStr">
        <is>
          <t>Dominica_2022_January</t>
        </is>
      </c>
      <c r="B207" s="2" t="n"/>
      <c r="C207" s="3" t="inlineStr">
        <is>
          <t>SM.22.7, Sup.2</t>
        </is>
      </c>
      <c r="D207" s="4" t="inlineStr">
        <is>
          <t>Dominica</t>
        </is>
      </c>
      <c r="E207" s="4" t="inlineStr">
        <is>
          <t>DMA</t>
        </is>
      </c>
      <c r="F207" s="10" t="n">
        <v>44562</v>
      </c>
      <c r="G207" s="4" t="inlineStr">
        <is>
          <t>2018gn</t>
        </is>
      </c>
      <c r="H207" s="4" t="n">
        <v>2021</v>
      </c>
      <c r="I207" s="4" t="inlineStr">
        <is>
          <t>new.amt.npc4</t>
        </is>
      </c>
      <c r="J207" t="inlineStr">
        <is>
          <t>NPC4</t>
        </is>
      </c>
      <c r="M207" t="n">
        <v>476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</row>
    <row r="208">
      <c r="A208" t="inlineStr">
        <is>
          <t>Dominica_2022_January</t>
        </is>
      </c>
      <c r="B208" s="2" t="n"/>
      <c r="C208" s="3" t="inlineStr">
        <is>
          <t>SM.22.7, Sup.2</t>
        </is>
      </c>
      <c r="D208" s="4" t="inlineStr">
        <is>
          <t>Dominica</t>
        </is>
      </c>
      <c r="E208" s="4" t="inlineStr">
        <is>
          <t>DMA</t>
        </is>
      </c>
      <c r="F208" s="10" t="n">
        <v>44562</v>
      </c>
      <c r="G208" s="4" t="inlineStr">
        <is>
          <t>2018gn</t>
        </is>
      </c>
      <c r="H208" s="4" t="n">
        <v>2021</v>
      </c>
      <c r="I208" s="4" t="inlineStr">
        <is>
          <t>new.amt.npc5</t>
        </is>
      </c>
      <c r="J208" t="inlineStr">
        <is>
          <t>NPC5</t>
        </is>
      </c>
      <c r="M208" t="n">
        <v>502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</row>
    <row r="209">
      <c r="A209" t="inlineStr">
        <is>
          <t>Dominica_2022_January</t>
        </is>
      </c>
      <c r="B209" s="2" t="n"/>
      <c r="C209" s="3" t="inlineStr">
        <is>
          <t>SM.22.7, Sup.2</t>
        </is>
      </c>
      <c r="D209" s="4" t="inlineStr">
        <is>
          <t>Dominica</t>
        </is>
      </c>
      <c r="E209" s="4" t="inlineStr">
        <is>
          <t>DMA</t>
        </is>
      </c>
      <c r="F209" s="10" t="n">
        <v>44562</v>
      </c>
      <c r="G209" s="4" t="inlineStr">
        <is>
          <t>2018gn</t>
        </is>
      </c>
      <c r="H209" s="4" t="n">
        <v>2021</v>
      </c>
      <c r="I209" s="4" t="inlineStr">
        <is>
          <t>new.amt.prvt</t>
        </is>
      </c>
      <c r="J209" t="inlineStr">
        <is>
          <t>Commercial</t>
        </is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BI209" t="inlineStr">
        <is>
          <t>NEW_DP_COM</t>
        </is>
      </c>
    </row>
    <row r="210">
      <c r="A210" t="inlineStr">
        <is>
          <t>Dominica_2022_January</t>
        </is>
      </c>
      <c r="B210" s="2" t="n"/>
      <c r="C210" s="3" t="inlineStr">
        <is>
          <t>SM.22.7, Sup.2</t>
        </is>
      </c>
      <c r="D210" s="4" t="inlineStr">
        <is>
          <t>Dominica</t>
        </is>
      </c>
      <c r="E210" s="4" t="inlineStr">
        <is>
          <t>DMA</t>
        </is>
      </c>
      <c r="F210" s="10" t="n">
        <v>44562</v>
      </c>
      <c r="G210" s="4" t="inlineStr">
        <is>
          <t>2018gn</t>
        </is>
      </c>
      <c r="H210" s="4" t="n">
        <v>2021</v>
      </c>
      <c r="I210" s="4" t="inlineStr">
        <is>
          <t>new.amt.prvt.bnd</t>
        </is>
      </c>
      <c r="J210" t="inlineStr">
        <is>
          <t>Eurobond</t>
        </is>
      </c>
      <c r="M210" t="n">
        <v>528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</row>
    <row r="211">
      <c r="A211" t="inlineStr">
        <is>
          <t>Dominica_2022_January</t>
        </is>
      </c>
      <c r="B211" s="2" t="n"/>
      <c r="C211" s="3" t="inlineStr">
        <is>
          <t>SM.22.7, Sup.2</t>
        </is>
      </c>
      <c r="D211" s="4" t="inlineStr">
        <is>
          <t>Dominica</t>
        </is>
      </c>
      <c r="E211" s="4" t="inlineStr">
        <is>
          <t>DMA</t>
        </is>
      </c>
      <c r="F211" s="10" t="n">
        <v>44562</v>
      </c>
      <c r="G211" s="4" t="inlineStr">
        <is>
          <t>2018gn</t>
        </is>
      </c>
      <c r="H211" s="4" t="n">
        <v>2021</v>
      </c>
      <c r="I211" s="4" t="inlineStr">
        <is>
          <t>new.amt.prvt.cmbk</t>
        </is>
      </c>
      <c r="J211" t="inlineStr">
        <is>
          <t>Commecial Bank</t>
        </is>
      </c>
      <c r="M211" t="n">
        <v>554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</row>
    <row r="212">
      <c r="A212" t="inlineStr">
        <is>
          <t>Dominica_2022_January</t>
        </is>
      </c>
      <c r="B212" s="2" t="n"/>
      <c r="C212" s="3" t="inlineStr">
        <is>
          <t>SM.22.7, Sup.2</t>
        </is>
      </c>
      <c r="D212" s="4" t="inlineStr">
        <is>
          <t>Dominica</t>
        </is>
      </c>
      <c r="E212" s="4" t="inlineStr">
        <is>
          <t>DMA</t>
        </is>
      </c>
      <c r="F212" s="10" t="n">
        <v>44562</v>
      </c>
      <c r="G212" s="4" t="inlineStr">
        <is>
          <t>2018gn</t>
        </is>
      </c>
      <c r="H212" s="4" t="n">
        <v>2021</v>
      </c>
      <c r="I212" s="4" t="inlineStr">
        <is>
          <t>new.amt.prvt.com3</t>
        </is>
      </c>
      <c r="J212" t="inlineStr">
        <is>
          <t>COM3</t>
        </is>
      </c>
      <c r="M212" t="n">
        <v>580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</row>
    <row r="213">
      <c r="A213" t="inlineStr">
        <is>
          <t>Dominica_2022_January</t>
        </is>
      </c>
      <c r="B213" s="2" t="n"/>
      <c r="C213" s="3" t="inlineStr">
        <is>
          <t>SM.22.7, Sup.2</t>
        </is>
      </c>
      <c r="D213" s="4" t="inlineStr">
        <is>
          <t>Dominica</t>
        </is>
      </c>
      <c r="E213" s="4" t="inlineStr">
        <is>
          <t>DMA</t>
        </is>
      </c>
      <c r="F213" s="10" t="n">
        <v>44562</v>
      </c>
      <c r="G213" s="4" t="inlineStr">
        <is>
          <t>2018gn</t>
        </is>
      </c>
      <c r="H213" s="4" t="n">
        <v>2021</v>
      </c>
      <c r="I213" s="4" t="inlineStr">
        <is>
          <t>new.amt.prvt.com4</t>
        </is>
      </c>
      <c r="J213" t="inlineStr">
        <is>
          <t>COM4</t>
        </is>
      </c>
      <c r="M213" t="n">
        <v>606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</row>
    <row r="214">
      <c r="A214" t="inlineStr">
        <is>
          <t>Dominica_2022_January</t>
        </is>
      </c>
      <c r="B214" s="2" t="n"/>
      <c r="C214" s="3" t="inlineStr">
        <is>
          <t>SM.22.7, Sup.2</t>
        </is>
      </c>
      <c r="D214" s="4" t="inlineStr">
        <is>
          <t>Dominica</t>
        </is>
      </c>
      <c r="E214" s="4" t="inlineStr">
        <is>
          <t>DMA</t>
        </is>
      </c>
      <c r="F214" s="10" t="n">
        <v>44562</v>
      </c>
      <c r="G214" s="4" t="inlineStr">
        <is>
          <t>2018gn</t>
        </is>
      </c>
      <c r="H214" s="4" t="n">
        <v>2021</v>
      </c>
      <c r="I214" s="4" t="inlineStr">
        <is>
          <t>new.amt.prvt.com5</t>
        </is>
      </c>
      <c r="J214" t="inlineStr">
        <is>
          <t>COM5</t>
        </is>
      </c>
      <c r="M214" t="n">
        <v>632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</row>
    <row r="215">
      <c r="A215" t="inlineStr">
        <is>
          <t>Dominica_2022_January</t>
        </is>
      </c>
      <c r="B215" s="2" t="n"/>
      <c r="C215" s="3" t="inlineStr">
        <is>
          <t>SM.22.7, Sup.2</t>
        </is>
      </c>
      <c r="D215" s="4" t="inlineStr">
        <is>
          <t>Dominica</t>
        </is>
      </c>
      <c r="E215" s="4" t="inlineStr">
        <is>
          <t>DMA</t>
        </is>
      </c>
      <c r="F215" s="10" t="n">
        <v>44562</v>
      </c>
      <c r="G215" s="4" t="inlineStr">
        <is>
          <t>2018gn</t>
        </is>
      </c>
      <c r="H215" s="4" t="n">
        <v>2021</v>
      </c>
      <c r="I215" s="4" t="inlineStr">
        <is>
          <t>new.amt.lcl.nres</t>
        </is>
      </c>
      <c r="J215" t="inlineStr">
        <is>
          <t>Locally-issued debt held by non-residents</t>
        </is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</row>
    <row r="216">
      <c r="A216" t="inlineStr">
        <is>
          <t>Dominica_2022_January</t>
        </is>
      </c>
      <c r="B216" s="2" t="n"/>
      <c r="C216" s="3" t="inlineStr">
        <is>
          <t>SM.22.7, Sup.2</t>
        </is>
      </c>
      <c r="D216" s="4" t="inlineStr">
        <is>
          <t>Dominica</t>
        </is>
      </c>
      <c r="E216" s="4" t="inlineStr">
        <is>
          <t>DMA</t>
        </is>
      </c>
      <c r="F216" s="10" t="n">
        <v>44562</v>
      </c>
      <c r="G216" s="4" t="inlineStr">
        <is>
          <t>2018gn</t>
        </is>
      </c>
      <c r="H216" s="4" t="n">
        <v>2021</v>
      </c>
      <c r="I216" s="4" t="inlineStr">
        <is>
          <t>new.amt.lcl.nres.lc</t>
        </is>
      </c>
      <c r="J216" t="inlineStr">
        <is>
          <t>Denominated in local currency (LC)</t>
        </is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</row>
    <row r="217">
      <c r="A217" t="inlineStr">
        <is>
          <t>Dominica_2022_January</t>
        </is>
      </c>
      <c r="B217" s="2" t="n"/>
      <c r="C217" s="3" t="inlineStr">
        <is>
          <t>SM.22.7, Sup.2</t>
        </is>
      </c>
      <c r="D217" s="4" t="inlineStr">
        <is>
          <t>Dominica</t>
        </is>
      </c>
      <c r="E217" s="4" t="inlineStr">
        <is>
          <t>DMA</t>
        </is>
      </c>
      <c r="F217" s="10" t="n">
        <v>44562</v>
      </c>
      <c r="G217" s="4" t="inlineStr">
        <is>
          <t>2018gn</t>
        </is>
      </c>
      <c r="H217" s="4" t="n">
        <v>2021</v>
      </c>
      <c r="I217" s="4" t="inlineStr">
        <is>
          <t>new.amt.lcl.nres.bnd.1to3.lc</t>
        </is>
      </c>
      <c r="J217" t="inlineStr">
        <is>
          <t>Bonds (1 to 3 years)-LC</t>
        </is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</row>
    <row r="218">
      <c r="A218" t="inlineStr">
        <is>
          <t>Dominica_2022_January</t>
        </is>
      </c>
      <c r="B218" s="2" t="n"/>
      <c r="C218" s="3" t="inlineStr">
        <is>
          <t>SM.22.7, Sup.2</t>
        </is>
      </c>
      <c r="D218" s="4" t="inlineStr">
        <is>
          <t>Dominica</t>
        </is>
      </c>
      <c r="E218" s="4" t="inlineStr">
        <is>
          <t>DMA</t>
        </is>
      </c>
      <c r="F218" s="10" t="n">
        <v>44562</v>
      </c>
      <c r="G218" s="4" t="inlineStr">
        <is>
          <t>2018gn</t>
        </is>
      </c>
      <c r="H218" s="4" t="n">
        <v>2021</v>
      </c>
      <c r="I218" s="4" t="inlineStr">
        <is>
          <t>new.amt.lcl.nres.bnd.4to7.lc</t>
        </is>
      </c>
      <c r="J218" t="inlineStr">
        <is>
          <t>Bonds (4 to 7 years)-LC</t>
        </is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</row>
    <row r="219">
      <c r="A219" t="inlineStr">
        <is>
          <t>Dominica_2022_January</t>
        </is>
      </c>
      <c r="B219" s="2" t="n"/>
      <c r="C219" s="3" t="inlineStr">
        <is>
          <t>SM.22.7, Sup.2</t>
        </is>
      </c>
      <c r="D219" s="4" t="inlineStr">
        <is>
          <t>Dominica</t>
        </is>
      </c>
      <c r="E219" s="4" t="inlineStr">
        <is>
          <t>DMA</t>
        </is>
      </c>
      <c r="F219" s="10" t="n">
        <v>44562</v>
      </c>
      <c r="G219" s="4" t="inlineStr">
        <is>
          <t>2018gn</t>
        </is>
      </c>
      <c r="H219" s="4" t="n">
        <v>2021</v>
      </c>
      <c r="I219" s="4" t="inlineStr">
        <is>
          <t>new.amt.lcl.nres.bnd.byd7.lc</t>
        </is>
      </c>
      <c r="J219" t="inlineStr">
        <is>
          <t>Bonds (beyond 7 years)-LC</t>
        </is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</row>
    <row r="220">
      <c r="A220" t="inlineStr">
        <is>
          <t>Dominica_2022_January</t>
        </is>
      </c>
      <c r="B220" s="2" t="n"/>
      <c r="C220" s="3" t="inlineStr">
        <is>
          <t>SM.22.7, Sup.2</t>
        </is>
      </c>
      <c r="D220" s="4" t="inlineStr">
        <is>
          <t>Dominica</t>
        </is>
      </c>
      <c r="E220" s="4" t="inlineStr">
        <is>
          <t>DMA</t>
        </is>
      </c>
      <c r="F220" s="10" t="n">
        <v>44562</v>
      </c>
      <c r="G220" s="4" t="inlineStr">
        <is>
          <t>2018gn</t>
        </is>
      </c>
      <c r="H220" s="4" t="n">
        <v>2021</v>
      </c>
      <c r="I220" s="4" t="inlineStr">
        <is>
          <t>new.amt.lcl.nres.fx</t>
        </is>
      </c>
      <c r="J220" t="inlineStr">
        <is>
          <t>Denominated in foreign currency (FX)</t>
        </is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</row>
    <row r="221">
      <c r="A221" t="inlineStr">
        <is>
          <t>Dominica_2022_January</t>
        </is>
      </c>
      <c r="B221" s="2" t="n"/>
      <c r="C221" s="3" t="inlineStr">
        <is>
          <t>SM.22.7, Sup.2</t>
        </is>
      </c>
      <c r="D221" s="4" t="inlineStr">
        <is>
          <t>Dominica</t>
        </is>
      </c>
      <c r="E221" s="4" t="inlineStr">
        <is>
          <t>DMA</t>
        </is>
      </c>
      <c r="F221" s="10" t="n">
        <v>44562</v>
      </c>
      <c r="G221" s="4" t="inlineStr">
        <is>
          <t>2018gn</t>
        </is>
      </c>
      <c r="H221" s="4" t="n">
        <v>2021</v>
      </c>
      <c r="I221" s="4" t="inlineStr">
        <is>
          <t>new.amt.lcl.nres.bnd.1to3.fx</t>
        </is>
      </c>
      <c r="J221" t="inlineStr">
        <is>
          <t>Bonds (1 to 3 years)-FX</t>
        </is>
      </c>
      <c r="M221" t="n">
        <v>658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</row>
    <row r="222">
      <c r="A222" t="inlineStr">
        <is>
          <t>Dominica_2022_January</t>
        </is>
      </c>
      <c r="B222" s="2" t="n"/>
      <c r="C222" s="3" t="inlineStr">
        <is>
          <t>SM.22.7, Sup.2</t>
        </is>
      </c>
      <c r="D222" s="4" t="inlineStr">
        <is>
          <t>Dominica</t>
        </is>
      </c>
      <c r="E222" s="4" t="inlineStr">
        <is>
          <t>DMA</t>
        </is>
      </c>
      <c r="F222" s="10" t="n">
        <v>44562</v>
      </c>
      <c r="G222" s="4" t="inlineStr">
        <is>
          <t>2018gn</t>
        </is>
      </c>
      <c r="H222" s="4" t="n">
        <v>2021</v>
      </c>
      <c r="I222" s="4" t="inlineStr">
        <is>
          <t>new.amt.lcl.nres.bnd.4to7.fx</t>
        </is>
      </c>
      <c r="J222" t="inlineStr">
        <is>
          <t>Bonds (4 to 7 years)-FX</t>
        </is>
      </c>
      <c r="M222" t="n">
        <v>684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</row>
    <row r="223">
      <c r="A223" t="inlineStr">
        <is>
          <t>Dominica_2022_January</t>
        </is>
      </c>
      <c r="B223" s="2" t="n"/>
      <c r="C223" s="3" t="inlineStr">
        <is>
          <t>SM.22.7, Sup.2</t>
        </is>
      </c>
      <c r="D223" s="4" t="inlineStr">
        <is>
          <t>Dominica</t>
        </is>
      </c>
      <c r="E223" s="4" t="inlineStr">
        <is>
          <t>DMA</t>
        </is>
      </c>
      <c r="F223" s="10" t="n">
        <v>44562</v>
      </c>
      <c r="G223" s="4" t="inlineStr">
        <is>
          <t>2018gn</t>
        </is>
      </c>
      <c r="H223" s="4" t="n">
        <v>2021</v>
      </c>
      <c r="I223" s="4" t="inlineStr">
        <is>
          <t>new.amt.lcl.nres.bnd.byd7.fx</t>
        </is>
      </c>
      <c r="J223" t="inlineStr">
        <is>
          <t>Bonds (beyond 7 years)-FX</t>
        </is>
      </c>
      <c r="M223" t="n">
        <v>710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</row>
    <row r="224">
      <c r="A224" t="inlineStr">
        <is>
          <t>Dominica_2022_January</t>
        </is>
      </c>
      <c r="B224" s="2" t="n"/>
      <c r="C224" s="3" t="inlineStr">
        <is>
          <t>SM.22.7, Sup.2</t>
        </is>
      </c>
      <c r="D224" s="4" t="inlineStr">
        <is>
          <t>Dominica</t>
        </is>
      </c>
      <c r="E224" s="4" t="inlineStr">
        <is>
          <t>DMA</t>
        </is>
      </c>
      <c r="F224" s="10" t="n">
        <v>44562</v>
      </c>
      <c r="G224" s="4" t="inlineStr">
        <is>
          <t>2018gn</t>
        </is>
      </c>
      <c r="H224" s="4" t="n">
        <v>2021</v>
      </c>
      <c r="I224" s="5" t="n"/>
      <c r="J224" t="inlineStr">
        <is>
          <t>Locally-issued debt held by non-residents</t>
        </is>
      </c>
    </row>
    <row r="225">
      <c r="A225" t="inlineStr">
        <is>
          <t>Dominica_2022_January</t>
        </is>
      </c>
      <c r="B225" s="2" t="n"/>
      <c r="C225" s="3" t="inlineStr">
        <is>
          <t>SM.22.7, Sup.2</t>
        </is>
      </c>
      <c r="D225" s="4" t="inlineStr">
        <is>
          <t>Dominica</t>
        </is>
      </c>
      <c r="E225" s="4" t="inlineStr">
        <is>
          <t>DMA</t>
        </is>
      </c>
      <c r="F225" s="10" t="n">
        <v>44562</v>
      </c>
      <c r="G225" s="4" t="inlineStr">
        <is>
          <t>2018gn</t>
        </is>
      </c>
      <c r="H225" s="4" t="n">
        <v>2021</v>
      </c>
      <c r="I225" s="4" t="inlineStr">
        <is>
          <t>new.amt.lcl.fx</t>
        </is>
      </c>
      <c r="J225" t="inlineStr">
        <is>
          <t>Denominated in foreign currency (FX)</t>
        </is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</row>
    <row r="226">
      <c r="A226" t="inlineStr">
        <is>
          <t>Dominica_2022_January</t>
        </is>
      </c>
      <c r="B226" s="2" t="n"/>
      <c r="C226" s="3" t="inlineStr">
        <is>
          <t>SM.22.7, Sup.2</t>
        </is>
      </c>
      <c r="D226" s="4" t="inlineStr">
        <is>
          <t>Dominica</t>
        </is>
      </c>
      <c r="E226" s="4" t="inlineStr">
        <is>
          <t>DMA</t>
        </is>
      </c>
      <c r="F226" s="10" t="n">
        <v>44562</v>
      </c>
      <c r="G226" s="4" t="inlineStr">
        <is>
          <t>2018gn</t>
        </is>
      </c>
      <c r="H226" s="4" t="n">
        <v>2021</v>
      </c>
      <c r="I226" s="4" t="inlineStr">
        <is>
          <t>new.amt.lcl.fx.bnd.1to3.fx</t>
        </is>
      </c>
      <c r="J226" t="inlineStr">
        <is>
          <t>Bonds (1 to 3 years)-FX</t>
        </is>
      </c>
      <c r="M226" t="n">
        <v>736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</row>
    <row r="227">
      <c r="A227" t="inlineStr">
        <is>
          <t>Dominica_2022_January</t>
        </is>
      </c>
      <c r="B227" s="2" t="n"/>
      <c r="C227" s="3" t="inlineStr">
        <is>
          <t>SM.22.7, Sup.2</t>
        </is>
      </c>
      <c r="D227" s="4" t="inlineStr">
        <is>
          <t>Dominica</t>
        </is>
      </c>
      <c r="E227" s="4" t="inlineStr">
        <is>
          <t>DMA</t>
        </is>
      </c>
      <c r="F227" s="10" t="n">
        <v>44562</v>
      </c>
      <c r="G227" s="4" t="inlineStr">
        <is>
          <t>2018gn</t>
        </is>
      </c>
      <c r="H227" s="4" t="n">
        <v>2021</v>
      </c>
      <c r="I227" s="4" t="inlineStr">
        <is>
          <t>new.amt.lcl.fx.bnd.4to7.fx</t>
        </is>
      </c>
      <c r="J227" t="inlineStr">
        <is>
          <t>Bonds (4 to 7 years)-FX</t>
        </is>
      </c>
      <c r="M227" t="n">
        <v>762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</row>
    <row r="228">
      <c r="A228" t="inlineStr">
        <is>
          <t>Dominica_2022_January</t>
        </is>
      </c>
      <c r="B228" s="2" t="n"/>
      <c r="C228" s="3" t="inlineStr">
        <is>
          <t>SM.22.7, Sup.2</t>
        </is>
      </c>
      <c r="D228" s="4" t="inlineStr">
        <is>
          <t>Dominica</t>
        </is>
      </c>
      <c r="E228" s="4" t="inlineStr">
        <is>
          <t>DMA</t>
        </is>
      </c>
      <c r="F228" s="10" t="n">
        <v>44562</v>
      </c>
      <c r="G228" s="4" t="inlineStr">
        <is>
          <t>2018gn</t>
        </is>
      </c>
      <c r="H228" s="4" t="n">
        <v>2021</v>
      </c>
      <c r="I228" s="4" t="inlineStr">
        <is>
          <t>new.amt.lcl.fx.bnd.byd7.fx</t>
        </is>
      </c>
      <c r="J228" t="inlineStr">
        <is>
          <t>Bonds (beyond 7 years)-FX</t>
        </is>
      </c>
      <c r="M228" t="n">
        <v>788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</row>
    <row r="229">
      <c r="A229" t="inlineStr">
        <is>
          <t>Dominica_2022_January</t>
        </is>
      </c>
      <c r="B229" s="2" t="n"/>
      <c r="C229" s="3" t="inlineStr">
        <is>
          <t>SM.22.7, Sup.2</t>
        </is>
      </c>
      <c r="D229" s="4" t="inlineStr">
        <is>
          <t>Dominica</t>
        </is>
      </c>
      <c r="E229" s="4" t="inlineStr">
        <is>
          <t>DMA</t>
        </is>
      </c>
      <c r="F229" s="10" t="n">
        <v>44562</v>
      </c>
      <c r="G229" s="4" t="inlineStr">
        <is>
          <t>2018gn</t>
        </is>
      </c>
      <c r="H229" s="4" t="n">
        <v>2021</v>
      </c>
      <c r="I229" s="5" t="n"/>
    </row>
    <row r="230">
      <c r="A230" t="inlineStr">
        <is>
          <t>Dominica_2022_January</t>
        </is>
      </c>
      <c r="B230" s="2" t="n"/>
      <c r="C230" s="3" t="inlineStr">
        <is>
          <t>SM.22.7, Sup.2</t>
        </is>
      </c>
      <c r="D230" s="4" t="inlineStr">
        <is>
          <t>Dominica</t>
        </is>
      </c>
      <c r="E230" s="4" t="inlineStr">
        <is>
          <t>DMA</t>
        </is>
      </c>
      <c r="F230" s="10" t="n">
        <v>44562</v>
      </c>
      <c r="G230" s="4" t="inlineStr">
        <is>
          <t>2018gn</t>
        </is>
      </c>
      <c r="H230" s="4" t="n">
        <v>2021</v>
      </c>
      <c r="I230" s="4" t="inlineStr">
        <is>
          <t>pv.old.dbt.mlg.trm</t>
        </is>
      </c>
      <c r="J230" t="inlineStr">
        <is>
          <t>PV of old MLT debt</t>
        </is>
      </c>
      <c r="N230" t="n">
        <v>271.3354988793758</v>
      </c>
      <c r="O230" t="n">
        <v>260.4537033286335</v>
      </c>
      <c r="P230" t="n">
        <v>239.017425542745</v>
      </c>
      <c r="Q230" t="n">
        <v>216.5979503088021</v>
      </c>
      <c r="R230" t="n">
        <v>194.0342731188321</v>
      </c>
      <c r="S230" t="n">
        <v>174.3176545761781</v>
      </c>
      <c r="T230" t="n">
        <v>156.3024190792608</v>
      </c>
      <c r="U230" t="n">
        <v>140.5206321247439</v>
      </c>
      <c r="V230" t="n">
        <v>125.485047017845</v>
      </c>
      <c r="W230" t="n">
        <v>111.1367770670723</v>
      </c>
      <c r="X230" t="n">
        <v>97.27534537144895</v>
      </c>
      <c r="Y230" t="n">
        <v>85.17603820308267</v>
      </c>
      <c r="Z230" t="n">
        <v>74.58782092189998</v>
      </c>
      <c r="AA230" t="n">
        <v>59.44162785761331</v>
      </c>
      <c r="AB230" t="n">
        <v>44.59557041848859</v>
      </c>
      <c r="AC230" t="n">
        <v>36.41539234850745</v>
      </c>
      <c r="AD230" t="n">
        <v>27.20081594582496</v>
      </c>
      <c r="AE230" t="n">
        <v>20.81155061944039</v>
      </c>
      <c r="AF230" t="n">
        <v>14.4942858386936</v>
      </c>
      <c r="AG230" t="n">
        <v>10.22200036781768</v>
      </c>
      <c r="AH230" t="n">
        <v>6.064226237765801</v>
      </c>
      <c r="AI230" t="n">
        <v>0</v>
      </c>
      <c r="BI230" t="inlineStr">
        <is>
          <t>PV_OLD_MLT</t>
        </is>
      </c>
    </row>
    <row r="231">
      <c r="A231" t="inlineStr">
        <is>
          <t>Dominica_2022_January</t>
        </is>
      </c>
      <c r="B231" s="2" t="n"/>
      <c r="C231" s="3" t="inlineStr">
        <is>
          <t>SM.22.7, Sup.2</t>
        </is>
      </c>
      <c r="D231" s="4" t="inlineStr">
        <is>
          <t>Dominica</t>
        </is>
      </c>
      <c r="E231" s="4" t="inlineStr">
        <is>
          <t>DMA</t>
        </is>
      </c>
      <c r="F231" s="10" t="n">
        <v>44562</v>
      </c>
      <c r="G231" s="4" t="inlineStr">
        <is>
          <t>2018gn</t>
        </is>
      </c>
      <c r="H231" s="4" t="n">
        <v>2021</v>
      </c>
      <c r="I231" s="5" t="n"/>
      <c r="J231" t="inlineStr">
        <is>
          <t>Users can replace PV of old external debt by nominal debt stock when a GE is zero and PV is larger than nominal value (e.g., commercial debt) to cap PV at nominal debt outstanding.</t>
        </is>
      </c>
    </row>
    <row r="232">
      <c r="A232" t="inlineStr">
        <is>
          <t>Dominica_2022_January</t>
        </is>
      </c>
      <c r="B232" s="2" t="n"/>
      <c r="C232" s="3" t="inlineStr">
        <is>
          <t>SM.22.7, Sup.2</t>
        </is>
      </c>
      <c r="D232" s="4" t="inlineStr">
        <is>
          <t>Dominica</t>
        </is>
      </c>
      <c r="E232" s="4" t="inlineStr">
        <is>
          <t>DMA</t>
        </is>
      </c>
      <c r="F232" s="10" t="n">
        <v>44562</v>
      </c>
      <c r="G232" s="4" t="inlineStr">
        <is>
          <t>2018gn</t>
        </is>
      </c>
      <c r="H232" s="4" t="n">
        <v>2021</v>
      </c>
      <c r="I232" s="4" t="inlineStr">
        <is>
          <t>pv.old.dbt.mlt</t>
        </is>
      </c>
      <c r="J232" t="inlineStr">
        <is>
          <t>Multilaterals</t>
        </is>
      </c>
      <c r="N232" t="n">
        <v>144.7469394888506</v>
      </c>
      <c r="O232" t="n">
        <v>144.4709910188487</v>
      </c>
      <c r="P232" t="n">
        <v>137.8278262734949</v>
      </c>
      <c r="Q232" t="n">
        <v>129.5712806982807</v>
      </c>
      <c r="R232" t="n">
        <v>119.9234897971459</v>
      </c>
      <c r="S232" t="n">
        <v>110.6605798979288</v>
      </c>
      <c r="T232" t="n">
        <v>101.7970493802775</v>
      </c>
      <c r="U232" t="n">
        <v>93.62290788575513</v>
      </c>
      <c r="V232" t="n">
        <v>85.7228079618652</v>
      </c>
      <c r="W232" t="n">
        <v>78.2590267367779</v>
      </c>
      <c r="X232" t="n">
        <v>70.95851949216257</v>
      </c>
      <c r="Y232" t="n">
        <v>63.77526866857545</v>
      </c>
      <c r="Z232" t="n">
        <v>56.68689065486239</v>
      </c>
      <c r="AA232" t="n">
        <v>49.67180062378813</v>
      </c>
      <c r="AB232" t="n">
        <v>42.70911585165417</v>
      </c>
      <c r="AC232" t="n">
        <v>35.77856440944531</v>
      </c>
      <c r="AD232" t="n">
        <v>27.53315195483585</v>
      </c>
      <c r="AE232" t="n">
        <v>22.03767829910042</v>
      </c>
      <c r="AF232" t="n">
        <v>16.55328295976788</v>
      </c>
      <c r="AG232" t="n">
        <v>11.06316073679826</v>
      </c>
      <c r="AH232" t="n">
        <v>5.550816333681876</v>
      </c>
      <c r="AI232" t="n">
        <v>0</v>
      </c>
      <c r="BI232" t="inlineStr">
        <is>
          <t>PV_OLD_ML</t>
        </is>
      </c>
    </row>
    <row r="233">
      <c r="A233" t="inlineStr">
        <is>
          <t>Dominica_2022_January</t>
        </is>
      </c>
      <c r="B233" s="2" t="n"/>
      <c r="C233" s="3" t="inlineStr">
        <is>
          <t>SM.22.7, Sup.2</t>
        </is>
      </c>
      <c r="D233" s="4" t="inlineStr">
        <is>
          <t>Dominica</t>
        </is>
      </c>
      <c r="E233" s="4" t="inlineStr">
        <is>
          <t>DMA</t>
        </is>
      </c>
      <c r="F233" s="10" t="n">
        <v>44562</v>
      </c>
      <c r="G233" s="4" t="inlineStr">
        <is>
          <t>2018gn</t>
        </is>
      </c>
      <c r="H233" s="4" t="n">
        <v>2021</v>
      </c>
      <c r="I233" s="4" t="inlineStr">
        <is>
          <t>pv.old.dbt.mlt.imf</t>
        </is>
      </c>
      <c r="J233" t="inlineStr">
        <is>
          <t>IMF</t>
        </is>
      </c>
      <c r="N233" t="n">
        <v>13.92439153022318</v>
      </c>
      <c r="O233" t="n">
        <v>12.58954081043804</v>
      </c>
      <c r="P233" t="n">
        <v>11.47810044355253</v>
      </c>
      <c r="Q233" t="n">
        <v>10.31108805832275</v>
      </c>
      <c r="R233" t="n">
        <v>9.246064131025443</v>
      </c>
      <c r="S233" t="n">
        <v>8.273360804860635</v>
      </c>
      <c r="T233" t="n">
        <v>7.384186898219736</v>
      </c>
      <c r="U233" t="n">
        <v>6.570546479131684</v>
      </c>
      <c r="V233" t="n">
        <v>5.825164901445238</v>
      </c>
      <c r="W233" t="n">
        <v>5.141421617051009</v>
      </c>
      <c r="X233" t="n">
        <v>4.513289138264952</v>
      </c>
      <c r="Y233" t="n">
        <v>3.935277582048631</v>
      </c>
      <c r="Z233" t="n">
        <v>3.402384279989782</v>
      </c>
      <c r="AA233" t="n">
        <v>2.91004798539816</v>
      </c>
      <c r="AB233" t="n">
        <v>2.454107251929669</v>
      </c>
      <c r="AC233" t="n">
        <v>2.030762597238954</v>
      </c>
      <c r="AD233" t="n">
        <v>1.63654210064229</v>
      </c>
      <c r="AE233" t="n">
        <v>1.268270115980833</v>
      </c>
      <c r="AF233" t="n">
        <v>0.9230388101098231</v>
      </c>
      <c r="AG233" t="n">
        <v>0.5981822639762072</v>
      </c>
      <c r="AH233" t="n">
        <v>0.2912528973330666</v>
      </c>
      <c r="AI233" t="n">
        <v>0</v>
      </c>
    </row>
    <row r="234">
      <c r="A234" t="inlineStr">
        <is>
          <t>Dominica_2022_January</t>
        </is>
      </c>
      <c r="B234" s="2" t="n"/>
      <c r="C234" s="3" t="inlineStr">
        <is>
          <t>SM.22.7, Sup.2</t>
        </is>
      </c>
      <c r="D234" s="4" t="inlineStr">
        <is>
          <t>Dominica</t>
        </is>
      </c>
      <c r="E234" s="4" t="inlineStr">
        <is>
          <t>DMA</t>
        </is>
      </c>
      <c r="F234" s="10" t="n">
        <v>44562</v>
      </c>
      <c r="G234" s="4" t="inlineStr">
        <is>
          <t>2018gn</t>
        </is>
      </c>
      <c r="H234" s="4" t="n">
        <v>2021</v>
      </c>
      <c r="I234" s="4" t="inlineStr">
        <is>
          <t>pv.old.dbt.mlt.ida.reg</t>
        </is>
      </c>
      <c r="J234" t="inlineStr">
        <is>
          <t>IDA - small economy</t>
        </is>
      </c>
      <c r="N234" t="n">
        <v>33.00948934330986</v>
      </c>
      <c r="O234" t="n">
        <v>33.33670166232721</v>
      </c>
      <c r="P234" t="n">
        <v>32.94445848618431</v>
      </c>
      <c r="Q234" t="n">
        <v>32.19076789197501</v>
      </c>
      <c r="R234" t="n">
        <v>30.89971076334951</v>
      </c>
      <c r="S234" t="n">
        <v>29.56521356989867</v>
      </c>
      <c r="T234" t="n">
        <v>28.18495063305287</v>
      </c>
      <c r="U234" t="n">
        <v>26.75648110888269</v>
      </c>
      <c r="V234" t="n">
        <v>25.27724322168902</v>
      </c>
      <c r="W234" t="n">
        <v>23.74454820933208</v>
      </c>
      <c r="X234" t="n">
        <v>22.15557396588568</v>
      </c>
      <c r="Y234" t="n">
        <v>20.50735836648253</v>
      </c>
      <c r="Z234" t="n">
        <v>18.7967922584599</v>
      </c>
      <c r="AA234" t="n">
        <v>17.02061210212</v>
      </c>
      <c r="AB234" t="n">
        <v>15.17539224358566</v>
      </c>
      <c r="AC234" t="n">
        <v>13.25753680135537</v>
      </c>
      <c r="AD234" t="n">
        <v>11.26327114724249</v>
      </c>
      <c r="AE234" t="n">
        <v>9.188632961417236</v>
      </c>
      <c r="AF234" t="n">
        <v>7.029462840256328</v>
      </c>
      <c r="AG234" t="n">
        <v>4.781394434640165</v>
      </c>
      <c r="AH234" t="n">
        <v>2.439844095219533</v>
      </c>
      <c r="AI234" t="n">
        <v>0</v>
      </c>
    </row>
    <row r="235">
      <c r="A235" t="inlineStr">
        <is>
          <t>Dominica_2022_January</t>
        </is>
      </c>
      <c r="B235" s="2" t="n"/>
      <c r="C235" s="3" t="inlineStr">
        <is>
          <t>SM.22.7, Sup.2</t>
        </is>
      </c>
      <c r="D235" s="4" t="inlineStr">
        <is>
          <t>Dominica</t>
        </is>
      </c>
      <c r="E235" s="4" t="inlineStr">
        <is>
          <t>DMA</t>
        </is>
      </c>
      <c r="F235" s="10" t="n">
        <v>44562</v>
      </c>
      <c r="G235" s="4" t="inlineStr">
        <is>
          <t>2018gn</t>
        </is>
      </c>
      <c r="H235" s="4" t="n">
        <v>2021</v>
      </c>
      <c r="I235" s="4" t="inlineStr">
        <is>
          <t>pv.old.dbt.mlt.ida.bld</t>
        </is>
      </c>
      <c r="J235" t="inlineStr">
        <is>
          <t>IDA - small economy</t>
        </is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</row>
    <row r="236">
      <c r="A236" t="inlineStr">
        <is>
          <t>Dominica_2022_January</t>
        </is>
      </c>
      <c r="B236" s="2" t="n"/>
      <c r="C236" s="3" t="inlineStr">
        <is>
          <t>SM.22.7, Sup.2</t>
        </is>
      </c>
      <c r="D236" s="4" t="inlineStr">
        <is>
          <t>Dominica</t>
        </is>
      </c>
      <c r="E236" s="4" t="inlineStr">
        <is>
          <t>DMA</t>
        </is>
      </c>
      <c r="F236" s="10" t="n">
        <v>44562</v>
      </c>
      <c r="G236" s="4" t="inlineStr">
        <is>
          <t>2018gn</t>
        </is>
      </c>
      <c r="H236" s="4" t="n">
        <v>2021</v>
      </c>
      <c r="I236" s="4" t="inlineStr">
        <is>
          <t>pv.old.dbt.mlt.afdb</t>
        </is>
      </c>
      <c r="J236" t="inlineStr">
        <is>
          <t>CDB</t>
        </is>
      </c>
      <c r="N236" t="n">
        <v>97.81305861531756</v>
      </c>
      <c r="O236" t="n">
        <v>98.54474854608344</v>
      </c>
      <c r="P236" t="n">
        <v>93.40526734375806</v>
      </c>
      <c r="Q236" t="n">
        <v>87.06942474798296</v>
      </c>
      <c r="R236" t="n">
        <v>79.777714902771</v>
      </c>
      <c r="S236" t="n">
        <v>72.82200552316954</v>
      </c>
      <c r="T236" t="n">
        <v>66.22791184900484</v>
      </c>
      <c r="U236" t="n">
        <v>60.29588029774075</v>
      </c>
      <c r="V236" t="n">
        <v>54.62039983873095</v>
      </c>
      <c r="W236" t="n">
        <v>49.37305691039482</v>
      </c>
      <c r="X236" t="n">
        <v>44.28965638801193</v>
      </c>
      <c r="Y236" t="n">
        <v>39.33263272004429</v>
      </c>
      <c r="Z236" t="n">
        <v>34.48771411641271</v>
      </c>
      <c r="AA236" t="n">
        <v>29.74114053626997</v>
      </c>
      <c r="AB236" t="n">
        <v>25.07961635613884</v>
      </c>
      <c r="AC236" t="n">
        <v>20.49026501085098</v>
      </c>
      <c r="AD236" t="n">
        <v>14.63333870695107</v>
      </c>
      <c r="AE236" t="n">
        <v>11.58077522170235</v>
      </c>
      <c r="AF236" t="n">
        <v>8.600781309401725</v>
      </c>
      <c r="AG236" t="n">
        <v>5.683584038181891</v>
      </c>
      <c r="AH236" t="n">
        <v>2.819719341129276</v>
      </c>
      <c r="AI236" t="n">
        <v>0</v>
      </c>
    </row>
    <row r="237">
      <c r="A237" t="inlineStr">
        <is>
          <t>Dominica_2022_January</t>
        </is>
      </c>
      <c r="B237" s="2" t="n"/>
      <c r="C237" s="3" t="inlineStr">
        <is>
          <t>SM.22.7, Sup.2</t>
        </is>
      </c>
      <c r="D237" s="4" t="inlineStr">
        <is>
          <t>Dominica</t>
        </is>
      </c>
      <c r="E237" s="4" t="inlineStr">
        <is>
          <t>DMA</t>
        </is>
      </c>
      <c r="F237" s="10" t="n">
        <v>44562</v>
      </c>
      <c r="G237" s="4" t="inlineStr">
        <is>
          <t>2018gn</t>
        </is>
      </c>
      <c r="H237" s="4" t="n">
        <v>2021</v>
      </c>
      <c r="I237" s="4" t="inlineStr">
        <is>
          <t>pv.old.dbt.mlt2</t>
        </is>
      </c>
      <c r="J237" t="inlineStr">
        <is>
          <t>MULTIRES</t>
        </is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</row>
    <row r="238">
      <c r="A238" t="inlineStr">
        <is>
          <t>Dominica_2022_January</t>
        </is>
      </c>
      <c r="B238" s="2" t="n"/>
      <c r="C238" s="3" t="inlineStr">
        <is>
          <t>SM.22.7, Sup.2</t>
        </is>
      </c>
      <c r="D238" s="4" t="inlineStr">
        <is>
          <t>Dominica</t>
        </is>
      </c>
      <c r="E238" s="4" t="inlineStr">
        <is>
          <t>DMA</t>
        </is>
      </c>
      <c r="F238" s="10" t="n">
        <v>44562</v>
      </c>
      <c r="G238" s="4" t="inlineStr">
        <is>
          <t>2018gn</t>
        </is>
      </c>
      <c r="H238" s="4" t="n">
        <v>2021</v>
      </c>
      <c r="I238" s="4" t="inlineStr">
        <is>
          <t>pv.old.dbt.mlt3</t>
        </is>
      </c>
      <c r="J238" t="inlineStr">
        <is>
          <t>MULTI3</t>
        </is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</row>
    <row r="239">
      <c r="A239" t="inlineStr">
        <is>
          <t>Dominica_2022_January</t>
        </is>
      </c>
      <c r="B239" s="2" t="n"/>
      <c r="C239" s="3" t="inlineStr">
        <is>
          <t>SM.22.7, Sup.2</t>
        </is>
      </c>
      <c r="D239" s="4" t="inlineStr">
        <is>
          <t>Dominica</t>
        </is>
      </c>
      <c r="E239" s="4" t="inlineStr">
        <is>
          <t>DMA</t>
        </is>
      </c>
      <c r="F239" s="10" t="n">
        <v>44562</v>
      </c>
      <c r="G239" s="4" t="inlineStr">
        <is>
          <t>2018gn</t>
        </is>
      </c>
      <c r="H239" s="4" t="n">
        <v>2021</v>
      </c>
      <c r="I239" s="4" t="inlineStr">
        <is>
          <t>pv.old.dbt.mlt.oth</t>
        </is>
      </c>
      <c r="J239" t="inlineStr">
        <is>
          <t>Other Multilaterals</t>
        </is>
      </c>
      <c r="N239" t="n">
        <v>17.45455406911395</v>
      </c>
      <c r="O239" t="n">
        <v>12.42743188368076</v>
      </c>
      <c r="P239" t="n">
        <v>9.265099181568498</v>
      </c>
      <c r="Q239" t="n">
        <v>6.01188188138766</v>
      </c>
      <c r="R239" t="n">
        <v>3.320130076861494</v>
      </c>
      <c r="S239" t="n">
        <v>1.468138918872398</v>
      </c>
      <c r="T239" t="n">
        <v>0.2563753780203779</v>
      </c>
      <c r="U239" t="n">
        <v>0.1162467383482738</v>
      </c>
      <c r="V239" t="n">
        <v>0.09352213287344781</v>
      </c>
      <c r="W239" t="n">
        <v>0.07762064208529411</v>
      </c>
      <c r="X239" t="n">
        <v>0.06498835320192083</v>
      </c>
      <c r="Y239" t="n">
        <v>0.05438410874977526</v>
      </c>
      <c r="Z239" t="n">
        <v>0.04526694531911673</v>
      </c>
      <c r="AA239" t="n">
        <v>0.03734458144875126</v>
      </c>
      <c r="AB239" t="n">
        <v>0.03042215421801065</v>
      </c>
      <c r="AC239" t="n">
        <v>0.02435019328617439</v>
      </c>
      <c r="AD239" t="n">
        <v>0.01900562466956207</v>
      </c>
      <c r="AE239" t="n">
        <v>0.01428393333975829</v>
      </c>
      <c r="AF239" t="n">
        <v>0.01009522802684258</v>
      </c>
      <c r="AG239" t="n">
        <v>0.006361779739950411</v>
      </c>
      <c r="AH239" t="n">
        <v>0.003016205302485933</v>
      </c>
      <c r="AI239" t="n">
        <v>0</v>
      </c>
    </row>
    <row r="240">
      <c r="A240" t="inlineStr">
        <is>
          <t>Dominica_2022_January</t>
        </is>
      </c>
      <c r="B240" s="2" t="n"/>
      <c r="C240" s="3" t="inlineStr">
        <is>
          <t>SM.22.7, Sup.2</t>
        </is>
      </c>
      <c r="D240" s="4" t="inlineStr">
        <is>
          <t>Dominica</t>
        </is>
      </c>
      <c r="E240" s="4" t="inlineStr">
        <is>
          <t>DMA</t>
        </is>
      </c>
      <c r="F240" s="10" t="n">
        <v>44562</v>
      </c>
      <c r="G240" s="4" t="inlineStr">
        <is>
          <t>2018gn</t>
        </is>
      </c>
      <c r="H240" s="4" t="n">
        <v>2021</v>
      </c>
      <c r="I240" s="4" t="inlineStr">
        <is>
          <t>pv.old.dbt.mlt.oth1</t>
        </is>
      </c>
      <c r="J240" t="inlineStr">
        <is>
          <t>OTH_MULTI1</t>
        </is>
      </c>
      <c r="N240" t="n">
        <v>17.45455406911395</v>
      </c>
      <c r="O240" t="n">
        <v>12.42743188368076</v>
      </c>
      <c r="P240" t="n">
        <v>9.265099181568498</v>
      </c>
      <c r="Q240" t="n">
        <v>6.01188188138766</v>
      </c>
      <c r="R240" t="n">
        <v>3.320130076861494</v>
      </c>
      <c r="S240" t="n">
        <v>1.468138918872398</v>
      </c>
      <c r="T240" t="n">
        <v>0.2563753780203779</v>
      </c>
      <c r="U240" t="n">
        <v>0.1162467383482738</v>
      </c>
      <c r="V240" t="n">
        <v>0.09352213287344781</v>
      </c>
      <c r="W240" t="n">
        <v>0.07762064208529411</v>
      </c>
      <c r="X240" t="n">
        <v>0.06498835320192083</v>
      </c>
      <c r="Y240" t="n">
        <v>0.05438410874977526</v>
      </c>
      <c r="Z240" t="n">
        <v>0.04526694531911673</v>
      </c>
      <c r="AA240" t="n">
        <v>0.03734458144875126</v>
      </c>
      <c r="AB240" t="n">
        <v>0.03042215421801065</v>
      </c>
      <c r="AC240" t="n">
        <v>0.02435019328617439</v>
      </c>
      <c r="AD240" t="n">
        <v>0.01900562466956207</v>
      </c>
      <c r="AE240" t="n">
        <v>0.01428393333975829</v>
      </c>
      <c r="AF240" t="n">
        <v>0.01009522802684258</v>
      </c>
      <c r="AG240" t="n">
        <v>0.006361779739950411</v>
      </c>
      <c r="AH240" t="n">
        <v>0.003016205302485933</v>
      </c>
      <c r="AI240" t="n">
        <v>0</v>
      </c>
    </row>
    <row r="241">
      <c r="A241" t="inlineStr">
        <is>
          <t>Dominica_2022_January</t>
        </is>
      </c>
      <c r="B241" s="2" t="n"/>
      <c r="C241" s="3" t="inlineStr">
        <is>
          <t>SM.22.7, Sup.2</t>
        </is>
      </c>
      <c r="D241" s="4" t="inlineStr">
        <is>
          <t>Dominica</t>
        </is>
      </c>
      <c r="E241" s="4" t="inlineStr">
        <is>
          <t>DMA</t>
        </is>
      </c>
      <c r="F241" s="10" t="n">
        <v>44562</v>
      </c>
      <c r="G241" s="4" t="inlineStr">
        <is>
          <t>2018gn</t>
        </is>
      </c>
      <c r="H241" s="4" t="n">
        <v>2021</v>
      </c>
      <c r="I241" s="4" t="inlineStr">
        <is>
          <t>pv.old.dbt.mlt.oth2</t>
        </is>
      </c>
      <c r="J241" t="inlineStr">
        <is>
          <t>OTH_MULTI2</t>
        </is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</row>
    <row r="242">
      <c r="A242" t="inlineStr">
        <is>
          <t>Dominica_2022_January</t>
        </is>
      </c>
      <c r="B242" s="2" t="n"/>
      <c r="C242" s="3" t="inlineStr">
        <is>
          <t>SM.22.7, Sup.2</t>
        </is>
      </c>
      <c r="D242" s="4" t="inlineStr">
        <is>
          <t>Dominica</t>
        </is>
      </c>
      <c r="E242" s="4" t="inlineStr">
        <is>
          <t>DMA</t>
        </is>
      </c>
      <c r="F242" s="10" t="n">
        <v>44562</v>
      </c>
      <c r="G242" s="4" t="inlineStr">
        <is>
          <t>2018gn</t>
        </is>
      </c>
      <c r="H242" s="4" t="n">
        <v>2021</v>
      </c>
      <c r="I242" s="4" t="inlineStr">
        <is>
          <t>pv.old.dbt.mlt.oth3</t>
        </is>
      </c>
      <c r="J242" t="inlineStr">
        <is>
          <t>OTH_MULTI3</t>
        </is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</row>
    <row r="243">
      <c r="A243" t="inlineStr">
        <is>
          <t>Dominica_2022_January</t>
        </is>
      </c>
      <c r="B243" s="2" t="n"/>
      <c r="C243" s="3" t="inlineStr">
        <is>
          <t>SM.22.7, Sup.2</t>
        </is>
      </c>
      <c r="D243" s="4" t="inlineStr">
        <is>
          <t>Dominica</t>
        </is>
      </c>
      <c r="E243" s="4" t="inlineStr">
        <is>
          <t>DMA</t>
        </is>
      </c>
      <c r="F243" s="10" t="n">
        <v>44562</v>
      </c>
      <c r="G243" s="4" t="inlineStr">
        <is>
          <t>2018gn</t>
        </is>
      </c>
      <c r="H243" s="4" t="n">
        <v>2021</v>
      </c>
      <c r="I243" s="4" t="inlineStr">
        <is>
          <t>pv.old.dbt.blt</t>
        </is>
      </c>
      <c r="J243" t="inlineStr">
        <is>
          <t>Official Bilaterals</t>
        </is>
      </c>
      <c r="N243" t="n">
        <v>47.70405626868313</v>
      </c>
      <c r="O243" t="n">
        <v>45.49602449552857</v>
      </c>
      <c r="P243" t="n">
        <v>38.80698406913039</v>
      </c>
      <c r="Q243" t="n">
        <v>31.81943589680102</v>
      </c>
      <c r="R243" t="n">
        <v>26.49488328682797</v>
      </c>
      <c r="S243" t="n">
        <v>22.02962042562673</v>
      </c>
      <c r="T243" t="n">
        <v>18.21159081565612</v>
      </c>
      <c r="U243" t="n">
        <v>14.9799983608084</v>
      </c>
      <c r="V243" t="n">
        <v>12.21970922541635</v>
      </c>
      <c r="W243" t="n">
        <v>9.841324126540993</v>
      </c>
      <c r="X243" t="n">
        <v>7.734053523273562</v>
      </c>
      <c r="Y243" t="n">
        <v>5.847378431446522</v>
      </c>
      <c r="Z243" t="n">
        <v>4.147966622580288</v>
      </c>
      <c r="AA243" t="n">
        <v>2.596779432466049</v>
      </c>
      <c r="AB243" t="n">
        <v>1.161131439504884</v>
      </c>
      <c r="AC243" t="n">
        <v>0.05229276516139308</v>
      </c>
      <c r="AD243" t="n">
        <v>-0.7915550524383504</v>
      </c>
      <c r="AE243" t="n">
        <v>-1.573412370642635</v>
      </c>
      <c r="AF243" t="n">
        <v>-2.305899665483586</v>
      </c>
      <c r="AG243" t="n">
        <v>-0.997629957489883</v>
      </c>
      <c r="AH243" t="n">
        <v>0.4388298373805263</v>
      </c>
      <c r="AI243" t="n">
        <v>0</v>
      </c>
      <c r="BI243" t="inlineStr">
        <is>
          <t>PV_OLD_OB</t>
        </is>
      </c>
    </row>
    <row r="244">
      <c r="A244" t="inlineStr">
        <is>
          <t>Dominica_2022_January</t>
        </is>
      </c>
      <c r="B244" s="2" t="n"/>
      <c r="C244" s="3" t="inlineStr">
        <is>
          <t>SM.22.7, Sup.2</t>
        </is>
      </c>
      <c r="D244" s="4" t="inlineStr">
        <is>
          <t>Dominica</t>
        </is>
      </c>
      <c r="E244" s="4" t="inlineStr">
        <is>
          <t>DMA</t>
        </is>
      </c>
      <c r="F244" s="10" t="n">
        <v>44562</v>
      </c>
      <c r="G244" s="4" t="inlineStr">
        <is>
          <t>2018gn</t>
        </is>
      </c>
      <c r="H244" s="4" t="n">
        <v>2021</v>
      </c>
      <c r="I244" s="4" t="inlineStr">
        <is>
          <t>pv.old.dbt.pc</t>
        </is>
      </c>
      <c r="J244" t="inlineStr">
        <is>
          <t xml:space="preserve">   Paris Club</t>
        </is>
      </c>
      <c r="N244" t="n">
        <v>15.22745223327871</v>
      </c>
      <c r="O244" t="n">
        <v>14.32097343753523</v>
      </c>
      <c r="P244" t="n">
        <v>11.4824319242268</v>
      </c>
      <c r="Q244" t="n">
        <v>8.601961853771472</v>
      </c>
      <c r="R244" t="n">
        <v>6.442359978325606</v>
      </c>
      <c r="S244" t="n">
        <v>4.823135389732347</v>
      </c>
      <c r="T244" t="n">
        <v>3.608984174335615</v>
      </c>
      <c r="U244" t="n">
        <v>2.698476359551336</v>
      </c>
      <c r="V244" t="n">
        <v>2.015575195127201</v>
      </c>
      <c r="W244" t="n">
        <v>1.503279665583019</v>
      </c>
      <c r="X244" t="n">
        <v>1.118858661500231</v>
      </c>
      <c r="Y244" t="n">
        <v>0.8302783217929938</v>
      </c>
      <c r="Z244" t="n">
        <v>0.6135238245258023</v>
      </c>
      <c r="AA244" t="n">
        <v>0.4505916919973765</v>
      </c>
      <c r="AB244" t="n">
        <v>0.3279847399998714</v>
      </c>
      <c r="AC244" t="n">
        <v>0.2355838291189919</v>
      </c>
      <c r="AD244" t="n">
        <v>0.165802081776062</v>
      </c>
      <c r="AE244" t="n">
        <v>0.1129508467461154</v>
      </c>
      <c r="AF244" t="n">
        <v>0.07276439790717781</v>
      </c>
      <c r="AG244" t="n">
        <v>0.04204362636690882</v>
      </c>
      <c r="AH244" t="n">
        <v>0.01838893462713286</v>
      </c>
      <c r="AI244" t="n">
        <v>0</v>
      </c>
    </row>
    <row r="245">
      <c r="A245" t="inlineStr">
        <is>
          <t>Dominica_2022_January</t>
        </is>
      </c>
      <c r="B245" s="2" t="n"/>
      <c r="C245" s="3" t="inlineStr">
        <is>
          <t>SM.22.7, Sup.2</t>
        </is>
      </c>
      <c r="D245" s="4" t="inlineStr">
        <is>
          <t>Dominica</t>
        </is>
      </c>
      <c r="E245" s="4" t="inlineStr">
        <is>
          <t>DMA</t>
        </is>
      </c>
      <c r="F245" s="10" t="n">
        <v>44562</v>
      </c>
      <c r="G245" s="4" t="inlineStr">
        <is>
          <t>2018gn</t>
        </is>
      </c>
      <c r="H245" s="4" t="n">
        <v>2021</v>
      </c>
      <c r="I245" s="4" t="inlineStr">
        <is>
          <t>pv.old.dbt.pc1</t>
        </is>
      </c>
      <c r="J245" t="inlineStr">
        <is>
          <t>Export Credit Agencies</t>
        </is>
      </c>
      <c r="N245" t="n">
        <v>15.22745223327871</v>
      </c>
      <c r="O245" t="n">
        <v>14.32097343753523</v>
      </c>
      <c r="P245" t="n">
        <v>11.4824319242268</v>
      </c>
      <c r="Q245" t="n">
        <v>8.601961853771472</v>
      </c>
      <c r="R245" t="n">
        <v>6.442359978325606</v>
      </c>
      <c r="S245" t="n">
        <v>4.823135389732347</v>
      </c>
      <c r="T245" t="n">
        <v>3.608984174335615</v>
      </c>
      <c r="U245" t="n">
        <v>2.698476359551336</v>
      </c>
      <c r="V245" t="n">
        <v>2.015575195127201</v>
      </c>
      <c r="W245" t="n">
        <v>1.503279665583019</v>
      </c>
      <c r="X245" t="n">
        <v>1.118858661500231</v>
      </c>
      <c r="Y245" t="n">
        <v>0.8302783217929938</v>
      </c>
      <c r="Z245" t="n">
        <v>0.6135238245258023</v>
      </c>
      <c r="AA245" t="n">
        <v>0.4505916919973765</v>
      </c>
      <c r="AB245" t="n">
        <v>0.3279847399998714</v>
      </c>
      <c r="AC245" t="n">
        <v>0.2355838291189919</v>
      </c>
      <c r="AD245" t="n">
        <v>0.165802081776062</v>
      </c>
      <c r="AE245" t="n">
        <v>0.1129508467461154</v>
      </c>
      <c r="AF245" t="n">
        <v>0.07276439790717781</v>
      </c>
      <c r="AG245" t="n">
        <v>0.04204362636690882</v>
      </c>
      <c r="AH245" t="n">
        <v>0.01838893462713286</v>
      </c>
      <c r="AI245" t="n">
        <v>0</v>
      </c>
    </row>
    <row r="246">
      <c r="A246" t="inlineStr">
        <is>
          <t>Dominica_2022_January</t>
        </is>
      </c>
      <c r="B246" s="2" t="n"/>
      <c r="C246" s="3" t="inlineStr">
        <is>
          <t>SM.22.7, Sup.2</t>
        </is>
      </c>
      <c r="D246" s="4" t="inlineStr">
        <is>
          <t>Dominica</t>
        </is>
      </c>
      <c r="E246" s="4" t="inlineStr">
        <is>
          <t>DMA</t>
        </is>
      </c>
      <c r="F246" s="10" t="n">
        <v>44562</v>
      </c>
      <c r="G246" s="4" t="inlineStr">
        <is>
          <t>2018gn</t>
        </is>
      </c>
      <c r="H246" s="4" t="n">
        <v>2021</v>
      </c>
      <c r="I246" s="4" t="inlineStr">
        <is>
          <t>pv.old.dbt.pc2</t>
        </is>
      </c>
      <c r="J246" t="inlineStr">
        <is>
          <t>PC2</t>
        </is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</row>
    <row r="247">
      <c r="A247" t="inlineStr">
        <is>
          <t>Dominica_2022_January</t>
        </is>
      </c>
      <c r="B247" s="2" t="n"/>
      <c r="C247" s="3" t="inlineStr">
        <is>
          <t>SM.22.7, Sup.2</t>
        </is>
      </c>
      <c r="D247" s="4" t="inlineStr">
        <is>
          <t>Dominica</t>
        </is>
      </c>
      <c r="E247" s="4" t="inlineStr">
        <is>
          <t>DMA</t>
        </is>
      </c>
      <c r="F247" s="10" t="n">
        <v>44562</v>
      </c>
      <c r="G247" s="4" t="inlineStr">
        <is>
          <t>2018gn</t>
        </is>
      </c>
      <c r="H247" s="4" t="n">
        <v>2021</v>
      </c>
      <c r="I247" s="4" t="inlineStr">
        <is>
          <t>pv.old.dbt.pc3</t>
        </is>
      </c>
      <c r="J247" t="inlineStr">
        <is>
          <t>PC3</t>
        </is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</row>
    <row r="248">
      <c r="A248" t="inlineStr">
        <is>
          <t>Dominica_2022_January</t>
        </is>
      </c>
      <c r="B248" s="2" t="n"/>
      <c r="C248" s="3" t="inlineStr">
        <is>
          <t>SM.22.7, Sup.2</t>
        </is>
      </c>
      <c r="D248" s="4" t="inlineStr">
        <is>
          <t>Dominica</t>
        </is>
      </c>
      <c r="E248" s="4" t="inlineStr">
        <is>
          <t>DMA</t>
        </is>
      </c>
      <c r="F248" s="10" t="n">
        <v>44562</v>
      </c>
      <c r="G248" s="4" t="inlineStr">
        <is>
          <t>2018gn</t>
        </is>
      </c>
      <c r="H248" s="4" t="n">
        <v>2021</v>
      </c>
      <c r="I248" s="4" t="inlineStr">
        <is>
          <t>pv.old.dbt.pc4</t>
        </is>
      </c>
      <c r="J248" t="inlineStr">
        <is>
          <t>PC4</t>
        </is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</row>
    <row r="249">
      <c r="A249" t="inlineStr">
        <is>
          <t>Dominica_2022_January</t>
        </is>
      </c>
      <c r="B249" s="2" t="n"/>
      <c r="C249" s="3" t="inlineStr">
        <is>
          <t>SM.22.7, Sup.2</t>
        </is>
      </c>
      <c r="D249" s="4" t="inlineStr">
        <is>
          <t>Dominica</t>
        </is>
      </c>
      <c r="E249" s="4" t="inlineStr">
        <is>
          <t>DMA</t>
        </is>
      </c>
      <c r="F249" s="10" t="n">
        <v>44562</v>
      </c>
      <c r="G249" s="4" t="inlineStr">
        <is>
          <t>2018gn</t>
        </is>
      </c>
      <c r="H249" s="4" t="n">
        <v>2021</v>
      </c>
      <c r="I249" s="4" t="inlineStr">
        <is>
          <t>pv.old.dbt.pc5</t>
        </is>
      </c>
      <c r="J249" t="inlineStr">
        <is>
          <t>PC5</t>
        </is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</row>
    <row r="250">
      <c r="A250" t="inlineStr">
        <is>
          <t>Dominica_2022_January</t>
        </is>
      </c>
      <c r="B250" s="2" t="n"/>
      <c r="C250" s="3" t="inlineStr">
        <is>
          <t>SM.22.7, Sup.2</t>
        </is>
      </c>
      <c r="D250" s="4" t="inlineStr">
        <is>
          <t>Dominica</t>
        </is>
      </c>
      <c r="E250" s="4" t="inlineStr">
        <is>
          <t>DMA</t>
        </is>
      </c>
      <c r="F250" s="10" t="n">
        <v>44562</v>
      </c>
      <c r="G250" s="4" t="inlineStr">
        <is>
          <t>2018gn</t>
        </is>
      </c>
      <c r="H250" s="4" t="n">
        <v>2021</v>
      </c>
      <c r="I250" s="4" t="inlineStr">
        <is>
          <t>pv.old.dbt.npc</t>
        </is>
      </c>
      <c r="J250" t="inlineStr">
        <is>
          <t xml:space="preserve">   Non-Paris Club</t>
        </is>
      </c>
      <c r="N250" t="n">
        <v>32.47660403540442</v>
      </c>
      <c r="O250" t="n">
        <v>31.17505105799334</v>
      </c>
      <c r="P250" t="n">
        <v>27.32455214490359</v>
      </c>
      <c r="Q250" t="n">
        <v>23.21747404302955</v>
      </c>
      <c r="R250" t="n">
        <v>20.05252330850237</v>
      </c>
      <c r="S250" t="n">
        <v>17.20648503589438</v>
      </c>
      <c r="T250" t="n">
        <v>14.60260664132051</v>
      </c>
      <c r="U250" t="n">
        <v>12.28152200125707</v>
      </c>
      <c r="V250" t="n">
        <v>10.20413403028915</v>
      </c>
      <c r="W250" t="n">
        <v>8.338044460957974</v>
      </c>
      <c r="X250" t="n">
        <v>6.615194861773331</v>
      </c>
      <c r="Y250" t="n">
        <v>5.017100109653528</v>
      </c>
      <c r="Z250" t="n">
        <v>3.534442798054486</v>
      </c>
      <c r="AA250" t="n">
        <v>2.146187740468673</v>
      </c>
      <c r="AB250" t="n">
        <v>0.8331466995050127</v>
      </c>
      <c r="AC250" t="n">
        <v>-0.1832910639575989</v>
      </c>
      <c r="AD250" t="n">
        <v>-0.9573571342144125</v>
      </c>
      <c r="AE250" t="n">
        <v>-1.68636321738875</v>
      </c>
      <c r="AF250" t="n">
        <v>-2.378664063390763</v>
      </c>
      <c r="AG250" t="n">
        <v>-1.039673583856792</v>
      </c>
      <c r="AH250" t="n">
        <v>0.4204409027533934</v>
      </c>
      <c r="AI250" t="n">
        <v>0</v>
      </c>
    </row>
    <row r="251">
      <c r="A251" t="inlineStr">
        <is>
          <t>Dominica_2022_January</t>
        </is>
      </c>
      <c r="B251" s="2" t="n"/>
      <c r="C251" s="3" t="inlineStr">
        <is>
          <t>SM.22.7, Sup.2</t>
        </is>
      </c>
      <c r="D251" s="4" t="inlineStr">
        <is>
          <t>Dominica</t>
        </is>
      </c>
      <c r="E251" s="4" t="inlineStr">
        <is>
          <t>DMA</t>
        </is>
      </c>
      <c r="F251" s="10" t="n">
        <v>44562</v>
      </c>
      <c r="G251" s="4" t="inlineStr">
        <is>
          <t>2018gn</t>
        </is>
      </c>
      <c r="H251" s="4" t="n">
        <v>2021</v>
      </c>
      <c r="I251" s="4" t="inlineStr">
        <is>
          <t>pv.old.dbt.npc.eximbk</t>
        </is>
      </c>
      <c r="J251" t="inlineStr">
        <is>
          <t>NPC2</t>
        </is>
      </c>
      <c r="N251" t="n">
        <v>0.280578427463119</v>
      </c>
      <c r="O251" t="n">
        <v>0.2244456080955342</v>
      </c>
      <c r="P251" t="n">
        <v>0.1838875181299406</v>
      </c>
      <c r="Q251" t="n">
        <v>0.1428505977401413</v>
      </c>
      <c r="R251" t="n">
        <v>0.1109258192841225</v>
      </c>
      <c r="S251" t="n">
        <v>0.08608757523322094</v>
      </c>
      <c r="T251" t="n">
        <v>0.06676043170063836</v>
      </c>
      <c r="U251" t="n">
        <v>0.05171907556388981</v>
      </c>
      <c r="V251" t="n">
        <v>0.0400104984509378</v>
      </c>
      <c r="W251" t="n">
        <v>0.0308934754079844</v>
      </c>
      <c r="X251" t="n">
        <v>0.02379149447481777</v>
      </c>
      <c r="Y251" t="n">
        <v>0.01825614767857016</v>
      </c>
      <c r="Z251" t="n">
        <v>0.01393865837546267</v>
      </c>
      <c r="AA251" t="n">
        <v>0.01056773662067428</v>
      </c>
      <c r="AB251" t="n">
        <v>0.007932356148367188</v>
      </c>
      <c r="AC251" t="n">
        <v>0.005868359122432888</v>
      </c>
      <c r="AD251" t="n">
        <v>0.004248037925955763</v>
      </c>
      <c r="AE251" t="n">
        <v>0.002972032333788841</v>
      </c>
      <c r="AF251" t="n">
        <v>0.001963027466486203</v>
      </c>
      <c r="AG251" t="n">
        <v>0.001160852294717167</v>
      </c>
      <c r="AH251" t="n">
        <v>0.0005186674150420086</v>
      </c>
      <c r="AI251" t="n">
        <v>0</v>
      </c>
    </row>
    <row r="252">
      <c r="A252" t="inlineStr">
        <is>
          <t>Dominica_2022_January</t>
        </is>
      </c>
      <c r="B252" s="2" t="n"/>
      <c r="C252" s="3" t="inlineStr">
        <is>
          <t>SM.22.7, Sup.2</t>
        </is>
      </c>
      <c r="D252" s="4" t="inlineStr">
        <is>
          <t>Dominica</t>
        </is>
      </c>
      <c r="E252" s="4" t="inlineStr">
        <is>
          <t>DMA</t>
        </is>
      </c>
      <c r="F252" s="10" t="n">
        <v>44562</v>
      </c>
      <c r="G252" s="4" t="inlineStr">
        <is>
          <t>2018gn</t>
        </is>
      </c>
      <c r="H252" s="4" t="n">
        <v>2021</v>
      </c>
      <c r="I252" s="4" t="inlineStr">
        <is>
          <t>pv.old.dbt.npc2</t>
        </is>
      </c>
      <c r="J252" t="inlineStr">
        <is>
          <t>NPC2</t>
        </is>
      </c>
      <c r="N252" t="n">
        <v>0.8964918062604234</v>
      </c>
      <c r="O252" t="n">
        <v>0.5958462484252964</v>
      </c>
      <c r="P252" t="n">
        <v>0.2926369312169314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</row>
    <row r="253">
      <c r="A253" t="inlineStr">
        <is>
          <t>Dominica_2022_January</t>
        </is>
      </c>
      <c r="B253" s="2" t="n"/>
      <c r="C253" s="3" t="inlineStr">
        <is>
          <t>SM.22.7, Sup.2</t>
        </is>
      </c>
      <c r="D253" s="4" t="inlineStr">
        <is>
          <t>Dominica</t>
        </is>
      </c>
      <c r="E253" s="4" t="inlineStr">
        <is>
          <t>DMA</t>
        </is>
      </c>
      <c r="F253" s="10" t="n">
        <v>44562</v>
      </c>
      <c r="G253" s="4" t="inlineStr">
        <is>
          <t>2018gn</t>
        </is>
      </c>
      <c r="H253" s="4" t="n">
        <v>2021</v>
      </c>
      <c r="I253" s="4" t="inlineStr">
        <is>
          <t>pv.old.dbt.npc3</t>
        </is>
      </c>
      <c r="J253" t="inlineStr">
        <is>
          <t>NPC3</t>
        </is>
      </c>
      <c r="N253" t="n">
        <v>23.98587251558434</v>
      </c>
      <c r="O253" t="n">
        <v>23.44286191914133</v>
      </c>
      <c r="P253" t="n">
        <v>20.60921916324655</v>
      </c>
      <c r="Q253" t="n">
        <v>17.52814219548294</v>
      </c>
      <c r="R253" t="n">
        <v>14.89133039486906</v>
      </c>
      <c r="S253" t="n">
        <v>12.63392847003626</v>
      </c>
      <c r="T253" t="n">
        <v>10.70050875016738</v>
      </c>
      <c r="U253" t="n">
        <v>9.043698746877261</v>
      </c>
      <c r="V253" t="n">
        <v>7.623008410344665</v>
      </c>
      <c r="W253" t="n">
        <v>6.403828018517721</v>
      </c>
      <c r="X253" t="n">
        <v>5.356571867190257</v>
      </c>
      <c r="Y253" t="n">
        <v>4.45594654230982</v>
      </c>
      <c r="Z253" t="n">
        <v>3.680325643585127</v>
      </c>
      <c r="AA253" t="n">
        <v>3.011215466835302</v>
      </c>
      <c r="AB253" t="n">
        <v>2.432798406952518</v>
      </c>
      <c r="AC253" t="n">
        <v>1.931542769706223</v>
      </c>
      <c r="AD253" t="n">
        <v>1.495869326642335</v>
      </c>
      <c r="AE253" t="n">
        <v>1.115866353819006</v>
      </c>
      <c r="AF253" t="n">
        <v>0.7830460969292896</v>
      </c>
      <c r="AG253" t="n">
        <v>0.4901366322755181</v>
      </c>
      <c r="AH253" t="n">
        <v>0.23090397053112</v>
      </c>
      <c r="AI253" t="n">
        <v>0</v>
      </c>
    </row>
    <row r="254">
      <c r="A254" t="inlineStr">
        <is>
          <t>Dominica_2022_January</t>
        </is>
      </c>
      <c r="B254" s="2" t="n"/>
      <c r="C254" s="3" t="inlineStr">
        <is>
          <t>SM.22.7, Sup.2</t>
        </is>
      </c>
      <c r="D254" s="4" t="inlineStr">
        <is>
          <t>Dominica</t>
        </is>
      </c>
      <c r="E254" s="4" t="inlineStr">
        <is>
          <t>DMA</t>
        </is>
      </c>
      <c r="F254" s="10" t="n">
        <v>44562</v>
      </c>
      <c r="G254" s="4" t="inlineStr">
        <is>
          <t>2018gn</t>
        </is>
      </c>
      <c r="H254" s="4" t="n">
        <v>2021</v>
      </c>
      <c r="I254" s="4" t="inlineStr">
        <is>
          <t>pv.old.dbt.npc4</t>
        </is>
      </c>
      <c r="J254" t="inlineStr">
        <is>
          <t>NPC4</t>
        </is>
      </c>
      <c r="N254" t="n">
        <v>0.06088916319804985</v>
      </c>
      <c r="O254" t="n">
        <v>0.06041073847295184</v>
      </c>
      <c r="P254" t="n">
        <v>0.05977514274050712</v>
      </c>
      <c r="Q254" t="n">
        <v>0.0588418574249939</v>
      </c>
      <c r="R254" t="n">
        <v>0.05755767327508425</v>
      </c>
      <c r="S254" t="n">
        <v>0.05587660446314095</v>
      </c>
      <c r="T254" t="n">
        <v>0.05379164060460182</v>
      </c>
      <c r="U254" t="n">
        <v>0.05129097781801739</v>
      </c>
      <c r="V254" t="n">
        <v>0.04833984383332531</v>
      </c>
      <c r="W254" t="n">
        <v>0.04489916911048756</v>
      </c>
      <c r="X254" t="n">
        <v>0.04092460801808504</v>
      </c>
      <c r="Y254" t="n">
        <v>0.03637001909952084</v>
      </c>
      <c r="Z254" t="n">
        <v>0.03118665330591545</v>
      </c>
      <c r="AA254" t="n">
        <v>0.02571083567121156</v>
      </c>
      <c r="AB254" t="n">
        <v>0.02039284929220216</v>
      </c>
      <c r="AC254" t="n">
        <v>0.01507561495461009</v>
      </c>
      <c r="AD254" t="n">
        <v>0.009814137313711934</v>
      </c>
      <c r="AE254" t="n">
        <v>0.004658753543695649</v>
      </c>
      <c r="AF254" t="n">
        <v>0.0005081563569914628</v>
      </c>
      <c r="AG254" t="n">
        <v>0</v>
      </c>
      <c r="AH254" t="n">
        <v>0</v>
      </c>
      <c r="AI254" t="n">
        <v>0</v>
      </c>
    </row>
    <row r="255">
      <c r="A255" t="inlineStr">
        <is>
          <t>Dominica_2022_January</t>
        </is>
      </c>
      <c r="B255" s="2" t="n"/>
      <c r="C255" s="3" t="inlineStr">
        <is>
          <t>SM.22.7, Sup.2</t>
        </is>
      </c>
      <c r="D255" s="4" t="inlineStr">
        <is>
          <t>Dominica</t>
        </is>
      </c>
      <c r="E255" s="4" t="inlineStr">
        <is>
          <t>DMA</t>
        </is>
      </c>
      <c r="F255" s="10" t="n">
        <v>44562</v>
      </c>
      <c r="G255" s="4" t="inlineStr">
        <is>
          <t>2018gn</t>
        </is>
      </c>
      <c r="H255" s="4" t="n">
        <v>2021</v>
      </c>
      <c r="I255" s="4" t="inlineStr">
        <is>
          <t>pv.old.dbt.npc5</t>
        </is>
      </c>
      <c r="J255" t="inlineStr">
        <is>
          <t>NPC5</t>
        </is>
      </c>
      <c r="N255" t="n">
        <v>7.252772122898489</v>
      </c>
      <c r="O255" t="n">
        <v>6.851486543858227</v>
      </c>
      <c r="P255" t="n">
        <v>6.179033389569661</v>
      </c>
      <c r="Q255" t="n">
        <v>5.487639392381475</v>
      </c>
      <c r="R255" t="n">
        <v>4.992709421074101</v>
      </c>
      <c r="S255" t="n">
        <v>4.43059238616176</v>
      </c>
      <c r="T255" t="n">
        <v>3.781545818847882</v>
      </c>
      <c r="U255" t="n">
        <v>3.134813200997899</v>
      </c>
      <c r="V255" t="n">
        <v>2.492775277660221</v>
      </c>
      <c r="W255" t="n">
        <v>1.858423797921781</v>
      </c>
      <c r="X255" t="n">
        <v>1.193906892090171</v>
      </c>
      <c r="Y255" t="n">
        <v>0.5065274005656174</v>
      </c>
      <c r="Z255" t="n">
        <v>-0.1910081572120194</v>
      </c>
      <c r="AA255" t="n">
        <v>-0.9013062986585144</v>
      </c>
      <c r="AB255" t="n">
        <v>-1.627976912888074</v>
      </c>
      <c r="AC255" t="n">
        <v>-2.135777807740865</v>
      </c>
      <c r="AD255" t="n">
        <v>-2.467288636096415</v>
      </c>
      <c r="AE255" t="n">
        <v>-2.809860357085241</v>
      </c>
      <c r="AF255" t="n">
        <v>-3.164181344143531</v>
      </c>
      <c r="AG255" t="n">
        <v>-1.530971068427027</v>
      </c>
      <c r="AH255" t="n">
        <v>0.1890182648072314</v>
      </c>
      <c r="AI255" t="n">
        <v>0</v>
      </c>
    </row>
    <row r="256">
      <c r="A256" t="inlineStr">
        <is>
          <t>Dominica_2022_January</t>
        </is>
      </c>
      <c r="B256" s="2" t="n"/>
      <c r="C256" s="3" t="inlineStr">
        <is>
          <t>SM.22.7, Sup.2</t>
        </is>
      </c>
      <c r="D256" s="4" t="inlineStr">
        <is>
          <t>Dominica</t>
        </is>
      </c>
      <c r="E256" s="4" t="inlineStr">
        <is>
          <t>DMA</t>
        </is>
      </c>
      <c r="F256" s="10" t="n">
        <v>44562</v>
      </c>
      <c r="G256" s="4" t="inlineStr">
        <is>
          <t>2018gn</t>
        </is>
      </c>
      <c r="H256" s="4" t="n">
        <v>2021</v>
      </c>
      <c r="I256" s="4" t="inlineStr">
        <is>
          <t>pv.old.dbt.prvt</t>
        </is>
      </c>
      <c r="J256" t="inlineStr">
        <is>
          <t>Commercial</t>
        </is>
      </c>
      <c r="N256" t="n">
        <v>61.42994905272813</v>
      </c>
      <c r="O256" t="n">
        <v>58.05925593057554</v>
      </c>
      <c r="P256" t="n">
        <v>53.11751601855121</v>
      </c>
      <c r="Q256" t="n">
        <v>49.19535183233271</v>
      </c>
      <c r="R256" t="n">
        <v>44.29576995799668</v>
      </c>
      <c r="S256" t="n">
        <v>40.15931533375014</v>
      </c>
      <c r="T256" t="n">
        <v>36.03740350530686</v>
      </c>
      <c r="U256" t="n">
        <v>31.80147913983206</v>
      </c>
      <c r="V256" t="n">
        <v>27.44900769768998</v>
      </c>
      <c r="W256" t="n">
        <v>22.9588055616681</v>
      </c>
      <c r="X256" t="n">
        <v>18.5177840028109</v>
      </c>
      <c r="Y256" t="n">
        <v>15.49900699431092</v>
      </c>
      <c r="Z256" t="n">
        <v>13.70769669913818</v>
      </c>
      <c r="AA256" t="n">
        <v>7.135703219910379</v>
      </c>
      <c r="AB256" t="n">
        <v>0.6949009731115293</v>
      </c>
      <c r="AC256" t="n">
        <v>0.5601849806145688</v>
      </c>
      <c r="AD256" t="n">
        <v>0.4402134187578972</v>
      </c>
      <c r="AE256" t="n">
        <v>0.3330007576428451</v>
      </c>
      <c r="AF256" t="n">
        <v>0.2368073163824634</v>
      </c>
      <c r="AG256" t="n">
        <v>0.1501078087693493</v>
      </c>
      <c r="AH256" t="n">
        <v>0.07156386140091332</v>
      </c>
      <c r="AI256" t="n">
        <v>0</v>
      </c>
      <c r="BI256" t="inlineStr">
        <is>
          <t>PV_OLD_COM</t>
        </is>
      </c>
    </row>
    <row r="257">
      <c r="A257" t="inlineStr">
        <is>
          <t>Dominica_2022_January</t>
        </is>
      </c>
      <c r="B257" s="2" t="n"/>
      <c r="C257" s="3" t="inlineStr">
        <is>
          <t>SM.22.7, Sup.2</t>
        </is>
      </c>
      <c r="D257" s="4" t="inlineStr">
        <is>
          <t>Dominica</t>
        </is>
      </c>
      <c r="E257" s="4" t="inlineStr">
        <is>
          <t>DMA</t>
        </is>
      </c>
      <c r="F257" s="10" t="n">
        <v>44562</v>
      </c>
      <c r="G257" s="4" t="inlineStr">
        <is>
          <t>2018gn</t>
        </is>
      </c>
      <c r="H257" s="4" t="n">
        <v>2021</v>
      </c>
      <c r="I257" s="4" t="inlineStr">
        <is>
          <t>pv.old.dbt.prvt.bnd</t>
        </is>
      </c>
      <c r="J257" t="inlineStr">
        <is>
          <t>Eurobond</t>
        </is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</row>
    <row r="258">
      <c r="A258" t="inlineStr">
        <is>
          <t>Dominica_2022_January</t>
        </is>
      </c>
      <c r="B258" s="2" t="n"/>
      <c r="C258" s="3" t="inlineStr">
        <is>
          <t>SM.22.7, Sup.2</t>
        </is>
      </c>
      <c r="D258" s="4" t="inlineStr">
        <is>
          <t>Dominica</t>
        </is>
      </c>
      <c r="E258" s="4" t="inlineStr">
        <is>
          <t>DMA</t>
        </is>
      </c>
      <c r="F258" s="10" t="n">
        <v>44562</v>
      </c>
      <c r="G258" s="4" t="inlineStr">
        <is>
          <t>2018gn</t>
        </is>
      </c>
      <c r="H258" s="4" t="n">
        <v>2021</v>
      </c>
      <c r="I258" s="4" t="inlineStr">
        <is>
          <t>pv.old.dbt.prvt.cmbk</t>
        </is>
      </c>
      <c r="J258" t="inlineStr">
        <is>
          <t>Commecial Bank</t>
        </is>
      </c>
      <c r="N258" t="n">
        <v>61.42994905272813</v>
      </c>
      <c r="O258" t="n">
        <v>58.05925593057554</v>
      </c>
      <c r="P258" t="n">
        <v>53.11751601855121</v>
      </c>
      <c r="Q258" t="n">
        <v>49.19535183233271</v>
      </c>
      <c r="R258" t="n">
        <v>44.29576995799668</v>
      </c>
      <c r="S258" t="n">
        <v>40.15931533375014</v>
      </c>
      <c r="T258" t="n">
        <v>36.03740350530686</v>
      </c>
      <c r="U258" t="n">
        <v>31.80147913983206</v>
      </c>
      <c r="V258" t="n">
        <v>27.44900769768998</v>
      </c>
      <c r="W258" t="n">
        <v>22.9588055616681</v>
      </c>
      <c r="X258" t="n">
        <v>18.5177840028109</v>
      </c>
      <c r="Y258" t="n">
        <v>15.49900699431092</v>
      </c>
      <c r="Z258" t="n">
        <v>13.70769669913818</v>
      </c>
      <c r="AA258" t="n">
        <v>7.135703219910379</v>
      </c>
      <c r="AB258" t="n">
        <v>0.6949009731115293</v>
      </c>
      <c r="AC258" t="n">
        <v>0.5601849806145688</v>
      </c>
      <c r="AD258" t="n">
        <v>0.4402134187578972</v>
      </c>
      <c r="AE258" t="n">
        <v>0.3330007576428451</v>
      </c>
      <c r="AF258" t="n">
        <v>0.2368073163824634</v>
      </c>
      <c r="AG258" t="n">
        <v>0.1501078087693493</v>
      </c>
      <c r="AH258" t="n">
        <v>0.07156386140091332</v>
      </c>
      <c r="AI258" t="n">
        <v>0</v>
      </c>
    </row>
    <row r="259">
      <c r="A259" t="inlineStr">
        <is>
          <t>Dominica_2022_January</t>
        </is>
      </c>
      <c r="B259" s="2" t="n"/>
      <c r="C259" s="3" t="inlineStr">
        <is>
          <t>SM.22.7, Sup.2</t>
        </is>
      </c>
      <c r="D259" s="4" t="inlineStr">
        <is>
          <t>Dominica</t>
        </is>
      </c>
      <c r="E259" s="4" t="inlineStr">
        <is>
          <t>DMA</t>
        </is>
      </c>
      <c r="F259" s="10" t="n">
        <v>44562</v>
      </c>
      <c r="G259" s="4" t="inlineStr">
        <is>
          <t>2018gn</t>
        </is>
      </c>
      <c r="H259" s="4" t="n">
        <v>2021</v>
      </c>
      <c r="I259" s="4" t="inlineStr">
        <is>
          <t>pv.old.dbt.prvt.com3</t>
        </is>
      </c>
      <c r="J259" t="inlineStr">
        <is>
          <t>COM3</t>
        </is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</row>
    <row r="260">
      <c r="A260" t="inlineStr">
        <is>
          <t>Dominica_2022_January</t>
        </is>
      </c>
      <c r="B260" s="2" t="n"/>
      <c r="C260" s="3" t="inlineStr">
        <is>
          <t>SM.22.7, Sup.2</t>
        </is>
      </c>
      <c r="D260" s="4" t="inlineStr">
        <is>
          <t>Dominica</t>
        </is>
      </c>
      <c r="E260" s="4" t="inlineStr">
        <is>
          <t>DMA</t>
        </is>
      </c>
      <c r="F260" s="10" t="n">
        <v>44562</v>
      </c>
      <c r="G260" s="4" t="inlineStr">
        <is>
          <t>2018gn</t>
        </is>
      </c>
      <c r="H260" s="4" t="n">
        <v>2021</v>
      </c>
      <c r="I260" s="4" t="inlineStr">
        <is>
          <t>pv.old.dbt.prvt.com4</t>
        </is>
      </c>
      <c r="J260" t="inlineStr">
        <is>
          <t>COM4</t>
        </is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</row>
    <row r="261">
      <c r="A261" t="inlineStr">
        <is>
          <t>Dominica_2022_January</t>
        </is>
      </c>
      <c r="B261" s="2" t="n"/>
      <c r="C261" s="3" t="inlineStr">
        <is>
          <t>SM.22.7, Sup.2</t>
        </is>
      </c>
      <c r="D261" s="4" t="inlineStr">
        <is>
          <t>Dominica</t>
        </is>
      </c>
      <c r="E261" s="4" t="inlineStr">
        <is>
          <t>DMA</t>
        </is>
      </c>
      <c r="F261" s="10" t="n">
        <v>44562</v>
      </c>
      <c r="G261" s="4" t="inlineStr">
        <is>
          <t>2018gn</t>
        </is>
      </c>
      <c r="H261" s="4" t="n">
        <v>2021</v>
      </c>
      <c r="I261" s="4" t="inlineStr">
        <is>
          <t>pv.old.dbt.prvt.com5</t>
        </is>
      </c>
      <c r="J261" t="inlineStr">
        <is>
          <t>COM5</t>
        </is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</row>
    <row r="262">
      <c r="A262" t="inlineStr">
        <is>
          <t>Dominica_2022_January</t>
        </is>
      </c>
      <c r="B262" s="2" t="n"/>
      <c r="C262" s="3" t="inlineStr">
        <is>
          <t>SM.22.7, Sup.2</t>
        </is>
      </c>
      <c r="D262" s="4" t="inlineStr">
        <is>
          <t>Dominica</t>
        </is>
      </c>
      <c r="E262" s="4" t="inlineStr">
        <is>
          <t>DMA</t>
        </is>
      </c>
      <c r="F262" s="10" t="n">
        <v>44562</v>
      </c>
      <c r="G262" s="4" t="inlineStr">
        <is>
          <t>2018gn</t>
        </is>
      </c>
      <c r="H262" s="4" t="n">
        <v>2021</v>
      </c>
      <c r="I262" s="4" t="inlineStr">
        <is>
          <t>pv.old.dbt.lcl.iss</t>
        </is>
      </c>
      <c r="J262" t="inlineStr">
        <is>
          <t>Locally-issued debt</t>
        </is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</row>
    <row r="263">
      <c r="A263" t="inlineStr">
        <is>
          <t>Dominica_2022_January</t>
        </is>
      </c>
      <c r="B263" s="2" t="n"/>
      <c r="C263" s="3" t="inlineStr">
        <is>
          <t>SM.22.7, Sup.2</t>
        </is>
      </c>
      <c r="D263" s="4" t="inlineStr">
        <is>
          <t>Dominica</t>
        </is>
      </c>
      <c r="E263" s="4" t="inlineStr">
        <is>
          <t>DMA</t>
        </is>
      </c>
      <c r="F263" s="10" t="n">
        <v>44562</v>
      </c>
      <c r="G263" s="4" t="inlineStr">
        <is>
          <t>2018gn</t>
        </is>
      </c>
      <c r="H263" s="4" t="n">
        <v>2021</v>
      </c>
      <c r="I263" s="5" t="n"/>
      <c r="J263" t="inlineStr">
        <is>
          <t>Assumed that a grant element is zero for old locally-issued debt</t>
        </is>
      </c>
    </row>
    <row r="264">
      <c r="A264" t="inlineStr">
        <is>
          <t>Dominica_2022_January</t>
        </is>
      </c>
      <c r="B264" s="2" t="n"/>
      <c r="C264" s="3" t="inlineStr">
        <is>
          <t>SM.22.7, Sup.2</t>
        </is>
      </c>
      <c r="D264" s="4" t="inlineStr">
        <is>
          <t>Dominica</t>
        </is>
      </c>
      <c r="E264" s="4" t="inlineStr">
        <is>
          <t>DMA</t>
        </is>
      </c>
      <c r="F264" s="10" t="n">
        <v>44562</v>
      </c>
      <c r="G264" s="4" t="inlineStr">
        <is>
          <t>2018gn</t>
        </is>
      </c>
      <c r="H264" s="4" t="n">
        <v>2021</v>
      </c>
      <c r="I264" s="5" t="n"/>
    </row>
    <row r="265">
      <c r="A265" t="inlineStr">
        <is>
          <t>Dominica_2022_January</t>
        </is>
      </c>
      <c r="B265" s="2" t="n"/>
      <c r="C265" s="3" t="inlineStr">
        <is>
          <t>SM.22.7, Sup.2</t>
        </is>
      </c>
      <c r="D265" s="4" t="inlineStr">
        <is>
          <t>Dominica</t>
        </is>
      </c>
      <c r="E265" s="4" t="inlineStr">
        <is>
          <t>DMA</t>
        </is>
      </c>
      <c r="F265" s="10" t="n">
        <v>44562</v>
      </c>
      <c r="G265" s="4" t="inlineStr">
        <is>
          <t>2018gn</t>
        </is>
      </c>
      <c r="H265" s="4" t="n">
        <v>2021</v>
      </c>
      <c r="I265" s="4" t="inlineStr">
        <is>
          <t>pv.out.arr</t>
        </is>
      </c>
      <c r="J265" t="inlineStr">
        <is>
          <t>PV of existing arrears</t>
        </is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BI265" t="inlineStr">
        <is>
          <t>PV_ARREARS</t>
        </is>
      </c>
    </row>
    <row r="266">
      <c r="A266" t="inlineStr">
        <is>
          <t>Dominica_2022_January</t>
        </is>
      </c>
      <c r="B266" s="2" t="n"/>
      <c r="C266" s="3" t="inlineStr">
        <is>
          <t>SM.22.7, Sup.2</t>
        </is>
      </c>
      <c r="D266" s="4" t="inlineStr">
        <is>
          <t>Dominica</t>
        </is>
      </c>
      <c r="E266" s="4" t="inlineStr">
        <is>
          <t>DMA</t>
        </is>
      </c>
      <c r="F266" s="10" t="n">
        <v>44562</v>
      </c>
      <c r="G266" s="4" t="inlineStr">
        <is>
          <t>2018gn</t>
        </is>
      </c>
      <c r="H266" s="4" t="n">
        <v>2021</v>
      </c>
      <c r="I266" s="5" t="n"/>
      <c r="M266" t="n">
        <v>-2</v>
      </c>
    </row>
    <row r="267">
      <c r="A267" t="inlineStr">
        <is>
          <t>Dominica_2022_January</t>
        </is>
      </c>
      <c r="B267" s="2" t="n"/>
      <c r="C267" s="3" t="inlineStr">
        <is>
          <t>SM.22.7, Sup.2</t>
        </is>
      </c>
      <c r="D267" s="4" t="inlineStr">
        <is>
          <t>Dominica</t>
        </is>
      </c>
      <c r="E267" s="4" t="inlineStr">
        <is>
          <t>DMA</t>
        </is>
      </c>
      <c r="F267" s="10" t="n">
        <v>44562</v>
      </c>
      <c r="G267" s="4" t="inlineStr">
        <is>
          <t>2018gn</t>
        </is>
      </c>
      <c r="H267" s="4" t="n">
        <v>2021</v>
      </c>
      <c r="I267" s="4" t="inlineStr">
        <is>
          <t>pv.new.dbt.mlg.trm</t>
        </is>
      </c>
      <c r="J267" t="inlineStr">
        <is>
          <t>PV of new MLT debt</t>
        </is>
      </c>
      <c r="O267" t="n">
        <v>17.89688982301665</v>
      </c>
      <c r="P267" t="n">
        <v>54.80962380295765</v>
      </c>
      <c r="Q267" t="n">
        <v>85.25178875032977</v>
      </c>
      <c r="R267" t="n">
        <v>113.1456010744041</v>
      </c>
      <c r="S267" t="n">
        <v>140.7084207375611</v>
      </c>
      <c r="T267" t="n">
        <v>170.1862569367245</v>
      </c>
      <c r="U267" t="n">
        <v>194.8987763644065</v>
      </c>
      <c r="V267" t="n">
        <v>212.6945224563555</v>
      </c>
      <c r="W267" t="n">
        <v>225.1749740595093</v>
      </c>
      <c r="X267" t="n">
        <v>236.2233864093149</v>
      </c>
      <c r="Y267" t="n">
        <v>247.1899091834071</v>
      </c>
      <c r="Z267" t="n">
        <v>256.5402314197192</v>
      </c>
      <c r="AA267" t="n">
        <v>263.9404935476194</v>
      </c>
      <c r="AB267" t="n">
        <v>269.8210665696373</v>
      </c>
      <c r="AC267" t="n">
        <v>274.6958002400875</v>
      </c>
      <c r="AD267" t="n">
        <v>278.662683463605</v>
      </c>
      <c r="AE267" t="n">
        <v>281.7219817230178</v>
      </c>
      <c r="AF267" t="n">
        <v>284.3549289732495</v>
      </c>
      <c r="AG267" t="n">
        <v>286.4937934609898</v>
      </c>
      <c r="AH267" t="n">
        <v>288.3223664182537</v>
      </c>
      <c r="AI267" t="n">
        <v>289.9824294134648</v>
      </c>
      <c r="BI267" t="inlineStr">
        <is>
          <t>PV_NEW_MLT</t>
        </is>
      </c>
    </row>
    <row r="268">
      <c r="A268" t="inlineStr">
        <is>
          <t>Dominica_2022_January</t>
        </is>
      </c>
      <c r="B268" s="2" t="n"/>
      <c r="C268" s="3" t="inlineStr">
        <is>
          <t>SM.22.7, Sup.2</t>
        </is>
      </c>
      <c r="D268" s="4" t="inlineStr">
        <is>
          <t>Dominica</t>
        </is>
      </c>
      <c r="E268" s="4" t="inlineStr">
        <is>
          <t>DMA</t>
        </is>
      </c>
      <c r="F268" s="10" t="n">
        <v>44562</v>
      </c>
      <c r="G268" s="4" t="inlineStr">
        <is>
          <t>2018gn</t>
        </is>
      </c>
      <c r="H268" s="4" t="n">
        <v>2021</v>
      </c>
      <c r="I268" s="4" t="inlineStr">
        <is>
          <t>pv.new.dbt.mlt</t>
        </is>
      </c>
      <c r="J268" t="inlineStr">
        <is>
          <t>Multilaterals</t>
        </is>
      </c>
      <c r="O268" t="n">
        <v>9.988279006963237</v>
      </c>
      <c r="P268" t="n">
        <v>40.69418411506742</v>
      </c>
      <c r="Q268" t="n">
        <v>64.50793938264627</v>
      </c>
      <c r="R268" t="n">
        <v>85.74731053288394</v>
      </c>
      <c r="S268" t="n">
        <v>106.6986024767738</v>
      </c>
      <c r="T268" t="n">
        <v>129.1321792459367</v>
      </c>
      <c r="U268" t="n">
        <v>146.8722864630243</v>
      </c>
      <c r="V268" t="n">
        <v>157.6558387454011</v>
      </c>
      <c r="W268" t="n">
        <v>163.1505845715981</v>
      </c>
      <c r="X268" t="n">
        <v>167.1742889445415</v>
      </c>
      <c r="Y268" t="n">
        <v>170.8414653482256</v>
      </c>
      <c r="Z268" t="n">
        <v>172.9851927883439</v>
      </c>
      <c r="AA268" t="n">
        <v>173.2434723220889</v>
      </c>
      <c r="AB268" t="n">
        <v>171.9758576063983</v>
      </c>
      <c r="AC268" t="n">
        <v>169.5088161656722</v>
      </c>
      <c r="AD268" t="n">
        <v>166.0232031958409</v>
      </c>
      <c r="AE268" t="n">
        <v>161.434599760982</v>
      </c>
      <c r="AF268" t="n">
        <v>155.9805675226599</v>
      </c>
      <c r="AG268" t="n">
        <v>149.9645207305042</v>
      </c>
      <c r="AH268" t="n">
        <v>143.5109269590088</v>
      </c>
      <c r="AI268" t="n">
        <v>136.7714573061199</v>
      </c>
      <c r="BI268" t="inlineStr">
        <is>
          <t>PV_NEW_ML</t>
        </is>
      </c>
    </row>
    <row r="269">
      <c r="A269" t="inlineStr">
        <is>
          <t>Dominica_2022_January</t>
        </is>
      </c>
      <c r="B269" s="2" t="n"/>
      <c r="C269" s="3" t="inlineStr">
        <is>
          <t>SM.22.7, Sup.2</t>
        </is>
      </c>
      <c r="D269" s="4" t="inlineStr">
        <is>
          <t>Dominica</t>
        </is>
      </c>
      <c r="E269" s="4" t="inlineStr">
        <is>
          <t>DMA</t>
        </is>
      </c>
      <c r="F269" s="10" t="n">
        <v>44562</v>
      </c>
      <c r="G269" s="4" t="inlineStr">
        <is>
          <t>2018gn</t>
        </is>
      </c>
      <c r="H269" s="4" t="n">
        <v>2021</v>
      </c>
      <c r="I269" s="4" t="inlineStr">
        <is>
          <t>pv.new.dbt.mlt.imf</t>
        </is>
      </c>
      <c r="J269" t="inlineStr">
        <is>
          <t>IMF</t>
        </is>
      </c>
      <c r="M269" t="n">
        <v>24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</row>
    <row r="270">
      <c r="A270" t="inlineStr">
        <is>
          <t>Dominica_2022_January</t>
        </is>
      </c>
      <c r="B270" s="2" t="n"/>
      <c r="C270" s="3" t="inlineStr">
        <is>
          <t>SM.22.7, Sup.2</t>
        </is>
      </c>
      <c r="D270" s="4" t="inlineStr">
        <is>
          <t>Dominica</t>
        </is>
      </c>
      <c r="E270" s="4" t="inlineStr">
        <is>
          <t>DMA</t>
        </is>
      </c>
      <c r="F270" s="10" t="n">
        <v>44562</v>
      </c>
      <c r="G270" s="4" t="inlineStr">
        <is>
          <t>2018gn</t>
        </is>
      </c>
      <c r="H270" s="4" t="n">
        <v>2021</v>
      </c>
      <c r="I270" s="4" t="inlineStr">
        <is>
          <t>pv.new.dbt.mlt.ida.reg</t>
        </is>
      </c>
      <c r="J270" t="inlineStr">
        <is>
          <t>IDA - small economy</t>
        </is>
      </c>
      <c r="M270" t="n">
        <v>58</v>
      </c>
      <c r="O270" t="n">
        <v>5.854227996247337</v>
      </c>
      <c r="P270" t="n">
        <v>24.61185623748458</v>
      </c>
      <c r="Q270" t="n">
        <v>39.03281437393593</v>
      </c>
      <c r="R270" t="n">
        <v>51.87863315090645</v>
      </c>
      <c r="S270" t="n">
        <v>64.53734915905474</v>
      </c>
      <c r="T270" t="n">
        <v>78.08280121802744</v>
      </c>
      <c r="U270" t="n">
        <v>88.98001723545676</v>
      </c>
      <c r="V270" t="n">
        <v>96.26110067926352</v>
      </c>
      <c r="W270" t="n">
        <v>100.8137809753909</v>
      </c>
      <c r="X270" t="n">
        <v>104.9083447010887</v>
      </c>
      <c r="Y270" t="n">
        <v>109.2191104909712</v>
      </c>
      <c r="Z270" t="n">
        <v>112.874957694509</v>
      </c>
      <c r="AA270" t="n">
        <v>115.1368297182711</v>
      </c>
      <c r="AB270" t="n">
        <v>116.2442033483154</v>
      </c>
      <c r="AC270" t="n">
        <v>116.3538895824036</v>
      </c>
      <c r="AD270" t="n">
        <v>115.5630335146842</v>
      </c>
      <c r="AE270" t="n">
        <v>113.7940212620573</v>
      </c>
      <c r="AF270" t="n">
        <v>111.2705993996199</v>
      </c>
      <c r="AG270" t="n">
        <v>108.3021705453044</v>
      </c>
      <c r="AH270" t="n">
        <v>105.0768989227272</v>
      </c>
      <c r="AI270" t="n">
        <v>101.6879315739973</v>
      </c>
    </row>
    <row r="271">
      <c r="A271" t="inlineStr">
        <is>
          <t>Dominica_2022_January</t>
        </is>
      </c>
      <c r="B271" s="2" t="n"/>
      <c r="C271" s="3" t="inlineStr">
        <is>
          <t>SM.22.7, Sup.2</t>
        </is>
      </c>
      <c r="D271" s="4" t="inlineStr">
        <is>
          <t>Dominica</t>
        </is>
      </c>
      <c r="E271" s="4" t="inlineStr">
        <is>
          <t>DMA</t>
        </is>
      </c>
      <c r="F271" s="10" t="n">
        <v>44562</v>
      </c>
      <c r="G271" s="4" t="inlineStr">
        <is>
          <t>2018gn</t>
        </is>
      </c>
      <c r="H271" s="4" t="n">
        <v>2021</v>
      </c>
      <c r="I271" s="4" t="inlineStr">
        <is>
          <t>pv.new.dbt.mlt.ida.bld</t>
        </is>
      </c>
      <c r="J271" t="inlineStr">
        <is>
          <t>IDA - small economy</t>
        </is>
      </c>
      <c r="M271" t="n">
        <v>84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</row>
    <row r="272">
      <c r="A272" t="inlineStr">
        <is>
          <t>Dominica_2022_January</t>
        </is>
      </c>
      <c r="B272" s="2" t="n"/>
      <c r="C272" s="3" t="inlineStr">
        <is>
          <t>SM.22.7, Sup.2</t>
        </is>
      </c>
      <c r="D272" s="4" t="inlineStr">
        <is>
          <t>Dominica</t>
        </is>
      </c>
      <c r="E272" s="4" t="inlineStr">
        <is>
          <t>DMA</t>
        </is>
      </c>
      <c r="F272" s="10" t="n">
        <v>44562</v>
      </c>
      <c r="G272" s="4" t="inlineStr">
        <is>
          <t>2018gn</t>
        </is>
      </c>
      <c r="H272" s="4" t="n">
        <v>2021</v>
      </c>
      <c r="I272" s="4" t="inlineStr">
        <is>
          <t>pv.new.dbt.mlt.afdb</t>
        </is>
      </c>
      <c r="J272" t="inlineStr">
        <is>
          <t>CDB</t>
        </is>
      </c>
      <c r="M272" t="n">
        <v>109</v>
      </c>
      <c r="O272" t="n">
        <v>4.134051010715901</v>
      </c>
      <c r="P272" t="n">
        <v>16.08232787758284</v>
      </c>
      <c r="Q272" t="n">
        <v>25.47512500871034</v>
      </c>
      <c r="R272" t="n">
        <v>33.86867738197751</v>
      </c>
      <c r="S272" t="n">
        <v>42.16125331771908</v>
      </c>
      <c r="T272" t="n">
        <v>51.04937802790923</v>
      </c>
      <c r="U272" t="n">
        <v>57.89226922756751</v>
      </c>
      <c r="V272" t="n">
        <v>61.39473806613754</v>
      </c>
      <c r="W272" t="n">
        <v>62.33680359620721</v>
      </c>
      <c r="X272" t="n">
        <v>62.26594424345279</v>
      </c>
      <c r="Y272" t="n">
        <v>61.62235485725436</v>
      </c>
      <c r="Z272" t="n">
        <v>60.11023509383494</v>
      </c>
      <c r="AA272" t="n">
        <v>58.10664260381782</v>
      </c>
      <c r="AB272" t="n">
        <v>55.73165425808283</v>
      </c>
      <c r="AC272" t="n">
        <v>53.15492658326855</v>
      </c>
      <c r="AD272" t="n">
        <v>50.46016968115671</v>
      </c>
      <c r="AE272" t="n">
        <v>47.64057849892472</v>
      </c>
      <c r="AF272" t="n">
        <v>44.70996812303998</v>
      </c>
      <c r="AG272" t="n">
        <v>41.66235018519986</v>
      </c>
      <c r="AH272" t="n">
        <v>38.43402803628159</v>
      </c>
      <c r="AI272" t="n">
        <v>35.08352573212257</v>
      </c>
    </row>
    <row r="273">
      <c r="A273" t="inlineStr">
        <is>
          <t>Dominica_2022_January</t>
        </is>
      </c>
      <c r="B273" s="2" t="n"/>
      <c r="C273" s="3" t="inlineStr">
        <is>
          <t>SM.22.7, Sup.2</t>
        </is>
      </c>
      <c r="D273" s="4" t="inlineStr">
        <is>
          <t>Dominica</t>
        </is>
      </c>
      <c r="E273" s="4" t="inlineStr">
        <is>
          <t>DMA</t>
        </is>
      </c>
      <c r="F273" s="10" t="n">
        <v>44562</v>
      </c>
      <c r="G273" s="4" t="inlineStr">
        <is>
          <t>2018gn</t>
        </is>
      </c>
      <c r="H273" s="4" t="n">
        <v>2021</v>
      </c>
      <c r="I273" s="4" t="inlineStr">
        <is>
          <t>pv.new.dbt.mlt2</t>
        </is>
      </c>
      <c r="J273" t="inlineStr">
        <is>
          <t>MULTIRES</t>
        </is>
      </c>
      <c r="M273" t="n">
        <v>135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</row>
    <row r="274">
      <c r="A274" t="inlineStr">
        <is>
          <t>Dominica_2022_January</t>
        </is>
      </c>
      <c r="B274" s="2" t="n"/>
      <c r="C274" s="3" t="inlineStr">
        <is>
          <t>SM.22.7, Sup.2</t>
        </is>
      </c>
      <c r="D274" s="4" t="inlineStr">
        <is>
          <t>Dominica</t>
        </is>
      </c>
      <c r="E274" s="4" t="inlineStr">
        <is>
          <t>DMA</t>
        </is>
      </c>
      <c r="F274" s="10" t="n">
        <v>44562</v>
      </c>
      <c r="G274" s="4" t="inlineStr">
        <is>
          <t>2018gn</t>
        </is>
      </c>
      <c r="H274" s="4" t="n">
        <v>2021</v>
      </c>
      <c r="I274" s="4" t="inlineStr">
        <is>
          <t>pv.new.dbt.mlt3</t>
        </is>
      </c>
      <c r="J274" t="inlineStr">
        <is>
          <t>MULTI3</t>
        </is>
      </c>
      <c r="M274" t="n">
        <v>161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</row>
    <row r="275">
      <c r="A275" t="inlineStr">
        <is>
          <t>Dominica_2022_January</t>
        </is>
      </c>
      <c r="B275" s="2" t="n"/>
      <c r="C275" s="3" t="inlineStr">
        <is>
          <t>SM.22.7, Sup.2</t>
        </is>
      </c>
      <c r="D275" s="4" t="inlineStr">
        <is>
          <t>Dominica</t>
        </is>
      </c>
      <c r="E275" s="4" t="inlineStr">
        <is>
          <t>DMA</t>
        </is>
      </c>
      <c r="F275" s="10" t="n">
        <v>44562</v>
      </c>
      <c r="G275" s="4" t="inlineStr">
        <is>
          <t>2018gn</t>
        </is>
      </c>
      <c r="H275" s="4" t="n">
        <v>2021</v>
      </c>
      <c r="I275" s="4" t="inlineStr">
        <is>
          <t>pv.new.dbt.mlt.oth</t>
        </is>
      </c>
      <c r="J275" t="inlineStr">
        <is>
          <t>Other Multilaterals</t>
        </is>
      </c>
      <c r="O275" t="n">
        <v>7.903401496520989</v>
      </c>
      <c r="P275" t="n">
        <v>14.10897812706061</v>
      </c>
      <c r="Q275" t="n">
        <v>20.73718982688005</v>
      </c>
      <c r="R275" t="n">
        <v>27.39142312174418</v>
      </c>
      <c r="S275" t="n">
        <v>33.95986495238651</v>
      </c>
      <c r="T275" t="n">
        <v>40.98843487378537</v>
      </c>
      <c r="U275" t="n">
        <v>47.95913501253024</v>
      </c>
      <c r="V275" t="n">
        <v>54.92469361852875</v>
      </c>
      <c r="W275" t="n">
        <v>61.90721983299099</v>
      </c>
      <c r="X275" t="n">
        <v>68.92858547838318</v>
      </c>
      <c r="Y275" t="n">
        <v>76.00297590668879</v>
      </c>
      <c r="Z275" t="n">
        <v>83.11459786342462</v>
      </c>
      <c r="AA275" t="n">
        <v>90.2377155788086</v>
      </c>
      <c r="AB275" t="n">
        <v>97.37784326636256</v>
      </c>
      <c r="AC275" t="n">
        <v>104.5340724718272</v>
      </c>
      <c r="AD275" t="n">
        <v>111.9077802032358</v>
      </c>
      <c r="AE275" t="n">
        <v>119.5165032580889</v>
      </c>
      <c r="AF275" t="n">
        <v>127.3813578397603</v>
      </c>
      <c r="AG275" t="n">
        <v>135.5300860285567</v>
      </c>
      <c r="AH275" t="n">
        <v>143.805502419213</v>
      </c>
      <c r="AI275" t="n">
        <v>152.2083331348032</v>
      </c>
    </row>
    <row r="276">
      <c r="A276" t="inlineStr">
        <is>
          <t>Dominica_2022_January</t>
        </is>
      </c>
      <c r="B276" s="2" t="n"/>
      <c r="C276" s="3" t="inlineStr">
        <is>
          <t>SM.22.7, Sup.2</t>
        </is>
      </c>
      <c r="D276" s="4" t="inlineStr">
        <is>
          <t>Dominica</t>
        </is>
      </c>
      <c r="E276" s="4" t="inlineStr">
        <is>
          <t>DMA</t>
        </is>
      </c>
      <c r="F276" s="10" t="n">
        <v>44562</v>
      </c>
      <c r="G276" s="4" t="inlineStr">
        <is>
          <t>2018gn</t>
        </is>
      </c>
      <c r="H276" s="4" t="n">
        <v>2021</v>
      </c>
      <c r="I276" s="4" t="inlineStr">
        <is>
          <t>pv.new.dbt.mlt.oth1</t>
        </is>
      </c>
      <c r="J276" t="inlineStr">
        <is>
          <t>OTH_MULTI1</t>
        </is>
      </c>
      <c r="M276" t="n">
        <v>187</v>
      </c>
      <c r="O276" t="n">
        <v>7.903401496520989</v>
      </c>
      <c r="P276" t="n">
        <v>14.10897812706061</v>
      </c>
      <c r="Q276" t="n">
        <v>20.73718982688005</v>
      </c>
      <c r="R276" t="n">
        <v>27.39142312174418</v>
      </c>
      <c r="S276" t="n">
        <v>33.95986495238651</v>
      </c>
      <c r="T276" t="n">
        <v>40.98843487378537</v>
      </c>
      <c r="U276" t="n">
        <v>47.95913501253024</v>
      </c>
      <c r="V276" t="n">
        <v>54.92469361852875</v>
      </c>
      <c r="W276" t="n">
        <v>61.90721983299099</v>
      </c>
      <c r="X276" t="n">
        <v>68.92858547838318</v>
      </c>
      <c r="Y276" t="n">
        <v>76.00297590668879</v>
      </c>
      <c r="Z276" t="n">
        <v>83.11459786342462</v>
      </c>
      <c r="AA276" t="n">
        <v>90.2377155788086</v>
      </c>
      <c r="AB276" t="n">
        <v>97.37784326636256</v>
      </c>
      <c r="AC276" t="n">
        <v>104.5340724718272</v>
      </c>
      <c r="AD276" t="n">
        <v>111.9077802032358</v>
      </c>
      <c r="AE276" t="n">
        <v>119.5165032580889</v>
      </c>
      <c r="AF276" t="n">
        <v>127.3813578397603</v>
      </c>
      <c r="AG276" t="n">
        <v>135.5300860285567</v>
      </c>
      <c r="AH276" t="n">
        <v>143.805502419213</v>
      </c>
      <c r="AI276" t="n">
        <v>152.2083331348032</v>
      </c>
    </row>
    <row r="277">
      <c r="A277" t="inlineStr">
        <is>
          <t>Dominica_2022_January</t>
        </is>
      </c>
      <c r="B277" s="2" t="n"/>
      <c r="C277" s="3" t="inlineStr">
        <is>
          <t>SM.22.7, Sup.2</t>
        </is>
      </c>
      <c r="D277" s="4" t="inlineStr">
        <is>
          <t>Dominica</t>
        </is>
      </c>
      <c r="E277" s="4" t="inlineStr">
        <is>
          <t>DMA</t>
        </is>
      </c>
      <c r="F277" s="10" t="n">
        <v>44562</v>
      </c>
      <c r="G277" s="4" t="inlineStr">
        <is>
          <t>2018gn</t>
        </is>
      </c>
      <c r="H277" s="4" t="n">
        <v>2021</v>
      </c>
      <c r="I277" s="4" t="inlineStr">
        <is>
          <t>pv.new.dbt.mlt.oth2</t>
        </is>
      </c>
      <c r="J277" t="inlineStr">
        <is>
          <t>OTH_MULTI2</t>
        </is>
      </c>
      <c r="M277" t="n">
        <v>213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</row>
    <row r="278">
      <c r="A278" t="inlineStr">
        <is>
          <t>Dominica_2022_January</t>
        </is>
      </c>
      <c r="B278" s="2" t="n"/>
      <c r="C278" s="3" t="inlineStr">
        <is>
          <t>SM.22.7, Sup.2</t>
        </is>
      </c>
      <c r="D278" s="4" t="inlineStr">
        <is>
          <t>Dominica</t>
        </is>
      </c>
      <c r="E278" s="4" t="inlineStr">
        <is>
          <t>DMA</t>
        </is>
      </c>
      <c r="F278" s="10" t="n">
        <v>44562</v>
      </c>
      <c r="G278" s="4" t="inlineStr">
        <is>
          <t>2018gn</t>
        </is>
      </c>
      <c r="H278" s="4" t="n">
        <v>2021</v>
      </c>
      <c r="I278" s="4" t="inlineStr">
        <is>
          <t>pv.new.dbt.mlt.oth3</t>
        </is>
      </c>
      <c r="J278" t="inlineStr">
        <is>
          <t>OTH_MULTI3</t>
        </is>
      </c>
      <c r="M278" t="n">
        <v>239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</row>
    <row r="279">
      <c r="A279" t="inlineStr">
        <is>
          <t>Dominica_2022_January</t>
        </is>
      </c>
      <c r="B279" s="2" t="n"/>
      <c r="C279" s="3" t="inlineStr">
        <is>
          <t>SM.22.7, Sup.2</t>
        </is>
      </c>
      <c r="D279" s="4" t="inlineStr">
        <is>
          <t>Dominica</t>
        </is>
      </c>
      <c r="E279" s="4" t="inlineStr">
        <is>
          <t>DMA</t>
        </is>
      </c>
      <c r="F279" s="10" t="n">
        <v>44562</v>
      </c>
      <c r="G279" s="4" t="inlineStr">
        <is>
          <t>2018gn</t>
        </is>
      </c>
      <c r="H279" s="4" t="n">
        <v>2021</v>
      </c>
      <c r="I279" s="4" t="inlineStr">
        <is>
          <t>pv.new.dbt.blt</t>
        </is>
      </c>
      <c r="J279" t="inlineStr">
        <is>
          <t>Official Bilaterals</t>
        </is>
      </c>
      <c r="O279" t="n">
        <v>0.00520931953242423</v>
      </c>
      <c r="P279" t="n">
        <v>0.006461560829614845</v>
      </c>
      <c r="Q279" t="n">
        <v>0.006659540803455977</v>
      </c>
      <c r="R279" t="n">
        <v>0.006867419775989167</v>
      </c>
      <c r="S279" t="n">
        <v>0.04995330840081427</v>
      </c>
      <c r="T279" t="n">
        <v>0.06564281700246048</v>
      </c>
      <c r="U279" t="n">
        <v>0.06735488885195492</v>
      </c>
      <c r="V279" t="n">
        <v>0.1139900924257097</v>
      </c>
      <c r="W279" t="n">
        <v>0.1171696549202879</v>
      </c>
      <c r="X279" t="n">
        <v>0.1205119863901296</v>
      </c>
      <c r="Y279" t="n">
        <v>0.345467928492742</v>
      </c>
      <c r="Z279" t="n">
        <v>0.4404407679506249</v>
      </c>
      <c r="AA279" t="n">
        <v>0.4593056467218723</v>
      </c>
      <c r="AB279" t="n">
        <v>0.4673656968765144</v>
      </c>
      <c r="AC279" t="n">
        <v>0.6529116025881939</v>
      </c>
      <c r="AD279" t="n">
        <v>0.7317000645283203</v>
      </c>
      <c r="AE279" t="n">
        <v>0.7708787039469698</v>
      </c>
      <c r="AF279" t="n">
        <v>0.9930036108292803</v>
      </c>
      <c r="AG279" t="n">
        <v>0.9991867019288369</v>
      </c>
      <c r="AH279" t="n">
        <v>1.005937040031915</v>
      </c>
      <c r="AI279" t="n">
        <v>1.002638972541633</v>
      </c>
      <c r="BI279" t="inlineStr">
        <is>
          <t>PV_NEW_OB</t>
        </is>
      </c>
    </row>
    <row r="280">
      <c r="A280" t="inlineStr">
        <is>
          <t>Dominica_2022_January</t>
        </is>
      </c>
      <c r="B280" s="2" t="n"/>
      <c r="C280" s="3" t="inlineStr">
        <is>
          <t>SM.22.7, Sup.2</t>
        </is>
      </c>
      <c r="D280" s="4" t="inlineStr">
        <is>
          <t>Dominica</t>
        </is>
      </c>
      <c r="E280" s="4" t="inlineStr">
        <is>
          <t>DMA</t>
        </is>
      </c>
      <c r="F280" s="10" t="n">
        <v>44562</v>
      </c>
      <c r="G280" s="4" t="inlineStr">
        <is>
          <t>2018gn</t>
        </is>
      </c>
      <c r="H280" s="4" t="n">
        <v>2021</v>
      </c>
      <c r="I280" s="4" t="inlineStr">
        <is>
          <t>pv.new.dbt.pc</t>
        </is>
      </c>
      <c r="J280" t="inlineStr">
        <is>
          <t xml:space="preserve">   Paris Club</t>
        </is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</row>
    <row r="281">
      <c r="A281" t="inlineStr">
        <is>
          <t>Dominica_2022_January</t>
        </is>
      </c>
      <c r="B281" s="2" t="n"/>
      <c r="C281" s="3" t="inlineStr">
        <is>
          <t>SM.22.7, Sup.2</t>
        </is>
      </c>
      <c r="D281" s="4" t="inlineStr">
        <is>
          <t>Dominica</t>
        </is>
      </c>
      <c r="E281" s="4" t="inlineStr">
        <is>
          <t>DMA</t>
        </is>
      </c>
      <c r="F281" s="10" t="n">
        <v>44562</v>
      </c>
      <c r="G281" s="4" t="inlineStr">
        <is>
          <t>2018gn</t>
        </is>
      </c>
      <c r="H281" s="4" t="n">
        <v>2021</v>
      </c>
      <c r="I281" s="4" t="inlineStr">
        <is>
          <t>pv.new.dbt.pc1</t>
        </is>
      </c>
      <c r="J281" t="inlineStr">
        <is>
          <t>Export Credit Agencies</t>
        </is>
      </c>
      <c r="M281" t="n">
        <v>265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</row>
    <row r="282">
      <c r="A282" t="inlineStr">
        <is>
          <t>Dominica_2022_January</t>
        </is>
      </c>
      <c r="B282" s="2" t="n"/>
      <c r="C282" s="3" t="inlineStr">
        <is>
          <t>SM.22.7, Sup.2</t>
        </is>
      </c>
      <c r="D282" s="4" t="inlineStr">
        <is>
          <t>Dominica</t>
        </is>
      </c>
      <c r="E282" s="4" t="inlineStr">
        <is>
          <t>DMA</t>
        </is>
      </c>
      <c r="F282" s="10" t="n">
        <v>44562</v>
      </c>
      <c r="G282" s="4" t="inlineStr">
        <is>
          <t>2018gn</t>
        </is>
      </c>
      <c r="H282" s="4" t="n">
        <v>2021</v>
      </c>
      <c r="I282" s="4" t="inlineStr">
        <is>
          <t>pv.new.dbt.pc2</t>
        </is>
      </c>
      <c r="J282" t="inlineStr">
        <is>
          <t>PC2</t>
        </is>
      </c>
      <c r="M282" t="n">
        <v>291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</row>
    <row r="283">
      <c r="A283" t="inlineStr">
        <is>
          <t>Dominica_2022_January</t>
        </is>
      </c>
      <c r="B283" s="2" t="n"/>
      <c r="C283" s="3" t="inlineStr">
        <is>
          <t>SM.22.7, Sup.2</t>
        </is>
      </c>
      <c r="D283" s="4" t="inlineStr">
        <is>
          <t>Dominica</t>
        </is>
      </c>
      <c r="E283" s="4" t="inlineStr">
        <is>
          <t>DMA</t>
        </is>
      </c>
      <c r="F283" s="10" t="n">
        <v>44562</v>
      </c>
      <c r="G283" s="4" t="inlineStr">
        <is>
          <t>2018gn</t>
        </is>
      </c>
      <c r="H283" s="4" t="n">
        <v>2021</v>
      </c>
      <c r="I283" s="4" t="inlineStr">
        <is>
          <t>pv.new.dbt.pc3</t>
        </is>
      </c>
      <c r="J283" t="inlineStr">
        <is>
          <t>PC3</t>
        </is>
      </c>
      <c r="M283" t="n">
        <v>317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</row>
    <row r="284">
      <c r="A284" t="inlineStr">
        <is>
          <t>Dominica_2022_January</t>
        </is>
      </c>
      <c r="B284" s="2" t="n"/>
      <c r="C284" s="3" t="inlineStr">
        <is>
          <t>SM.22.7, Sup.2</t>
        </is>
      </c>
      <c r="D284" s="4" t="inlineStr">
        <is>
          <t>Dominica</t>
        </is>
      </c>
      <c r="E284" s="4" t="inlineStr">
        <is>
          <t>DMA</t>
        </is>
      </c>
      <c r="F284" s="10" t="n">
        <v>44562</v>
      </c>
      <c r="G284" s="4" t="inlineStr">
        <is>
          <t>2018gn</t>
        </is>
      </c>
      <c r="H284" s="4" t="n">
        <v>2021</v>
      </c>
      <c r="I284" s="4" t="inlineStr">
        <is>
          <t>pv.new.dbt.pc4</t>
        </is>
      </c>
      <c r="J284" t="inlineStr">
        <is>
          <t>PC4</t>
        </is>
      </c>
      <c r="M284" t="n">
        <v>343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</row>
    <row r="285">
      <c r="A285" t="inlineStr">
        <is>
          <t>Dominica_2022_January</t>
        </is>
      </c>
      <c r="B285" s="2" t="n"/>
      <c r="C285" s="3" t="inlineStr">
        <is>
          <t>SM.22.7, Sup.2</t>
        </is>
      </c>
      <c r="D285" s="4" t="inlineStr">
        <is>
          <t>Dominica</t>
        </is>
      </c>
      <c r="E285" s="4" t="inlineStr">
        <is>
          <t>DMA</t>
        </is>
      </c>
      <c r="F285" s="10" t="n">
        <v>44562</v>
      </c>
      <c r="G285" s="4" t="inlineStr">
        <is>
          <t>2018gn</t>
        </is>
      </c>
      <c r="H285" s="4" t="n">
        <v>2021</v>
      </c>
      <c r="I285" s="4" t="inlineStr">
        <is>
          <t>pv.new.dbt.pc5</t>
        </is>
      </c>
      <c r="J285" t="inlineStr">
        <is>
          <t>PC5</t>
        </is>
      </c>
      <c r="M285" t="n">
        <v>369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</row>
    <row r="286">
      <c r="A286" t="inlineStr">
        <is>
          <t>Dominica_2022_January</t>
        </is>
      </c>
      <c r="B286" s="2" t="n"/>
      <c r="C286" s="3" t="inlineStr">
        <is>
          <t>SM.22.7, Sup.2</t>
        </is>
      </c>
      <c r="D286" s="4" t="inlineStr">
        <is>
          <t>Dominica</t>
        </is>
      </c>
      <c r="E286" s="4" t="inlineStr">
        <is>
          <t>DMA</t>
        </is>
      </c>
      <c r="F286" s="10" t="n">
        <v>44562</v>
      </c>
      <c r="G286" s="4" t="inlineStr">
        <is>
          <t>2018gn</t>
        </is>
      </c>
      <c r="H286" s="4" t="n">
        <v>2021</v>
      </c>
      <c r="I286" s="4" t="inlineStr">
        <is>
          <t>pv.new.dbt.npc</t>
        </is>
      </c>
      <c r="J286" t="inlineStr">
        <is>
          <t xml:space="preserve">   Non-Paris Club</t>
        </is>
      </c>
      <c r="M286" t="n">
        <v>-2</v>
      </c>
      <c r="O286" t="n">
        <v>0.00520931953242423</v>
      </c>
      <c r="P286" t="n">
        <v>0.006461560829614845</v>
      </c>
      <c r="Q286" t="n">
        <v>0.006659540803455977</v>
      </c>
      <c r="R286" t="n">
        <v>0.006867419775989167</v>
      </c>
      <c r="S286" t="n">
        <v>0.04995330840081427</v>
      </c>
      <c r="T286" t="n">
        <v>0.06564281700246048</v>
      </c>
      <c r="U286" t="n">
        <v>0.06735488885195492</v>
      </c>
      <c r="V286" t="n">
        <v>0.1139900924257097</v>
      </c>
      <c r="W286" t="n">
        <v>0.1171696549202879</v>
      </c>
      <c r="X286" t="n">
        <v>0.1205119863901296</v>
      </c>
      <c r="Y286" t="n">
        <v>0.345467928492742</v>
      </c>
      <c r="Z286" t="n">
        <v>0.4404407679506249</v>
      </c>
      <c r="AA286" t="n">
        <v>0.4593056467218723</v>
      </c>
      <c r="AB286" t="n">
        <v>0.4673656968765144</v>
      </c>
      <c r="AC286" t="n">
        <v>0.6529116025881939</v>
      </c>
      <c r="AD286" t="n">
        <v>0.7317000645283203</v>
      </c>
      <c r="AE286" t="n">
        <v>0.7708787039469698</v>
      </c>
      <c r="AF286" t="n">
        <v>0.9930036108292803</v>
      </c>
      <c r="AG286" t="n">
        <v>0.9991867019288369</v>
      </c>
      <c r="AH286" t="n">
        <v>1.005937040031915</v>
      </c>
      <c r="AI286" t="n">
        <v>1.002638972541633</v>
      </c>
    </row>
    <row r="287">
      <c r="A287" t="inlineStr">
        <is>
          <t>Dominica_2022_January</t>
        </is>
      </c>
      <c r="B287" s="2" t="n"/>
      <c r="C287" s="3" t="inlineStr">
        <is>
          <t>SM.22.7, Sup.2</t>
        </is>
      </c>
      <c r="D287" s="4" t="inlineStr">
        <is>
          <t>Dominica</t>
        </is>
      </c>
      <c r="E287" s="4" t="inlineStr">
        <is>
          <t>DMA</t>
        </is>
      </c>
      <c r="F287" s="10" t="n">
        <v>44562</v>
      </c>
      <c r="G287" s="4" t="inlineStr">
        <is>
          <t>2018gn</t>
        </is>
      </c>
      <c r="H287" s="4" t="n">
        <v>2021</v>
      </c>
      <c r="I287" s="4" t="inlineStr">
        <is>
          <t>pv.new.dbt.npc.eximbk</t>
        </is>
      </c>
      <c r="J287" t="inlineStr">
        <is>
          <t>NPC2</t>
        </is>
      </c>
      <c r="M287" t="n">
        <v>395</v>
      </c>
      <c r="O287" t="n">
        <v>0.00520931953242423</v>
      </c>
      <c r="P287" t="n">
        <v>0.006461560829614845</v>
      </c>
      <c r="Q287" t="n">
        <v>0.006659540803455977</v>
      </c>
      <c r="R287" t="n">
        <v>0.006867419775989167</v>
      </c>
      <c r="S287" t="n">
        <v>0.04995330840081427</v>
      </c>
      <c r="T287" t="n">
        <v>0.06564281700246048</v>
      </c>
      <c r="U287" t="n">
        <v>0.06735488885195492</v>
      </c>
      <c r="V287" t="n">
        <v>0.1139900924257097</v>
      </c>
      <c r="W287" t="n">
        <v>0.1171696549202879</v>
      </c>
      <c r="X287" t="n">
        <v>0.1205119863901296</v>
      </c>
      <c r="Y287" t="n">
        <v>0.345467928492742</v>
      </c>
      <c r="Z287" t="n">
        <v>0.4404407679506249</v>
      </c>
      <c r="AA287" t="n">
        <v>0.4593056467218723</v>
      </c>
      <c r="AB287" t="n">
        <v>0.4673656968765144</v>
      </c>
      <c r="AC287" t="n">
        <v>0.6529116025881939</v>
      </c>
      <c r="AD287" t="n">
        <v>0.7317000645283203</v>
      </c>
      <c r="AE287" t="n">
        <v>0.7708787039469698</v>
      </c>
      <c r="AF287" t="n">
        <v>0.9930036108292803</v>
      </c>
      <c r="AG287" t="n">
        <v>0.9991867019288369</v>
      </c>
      <c r="AH287" t="n">
        <v>1.005937040031915</v>
      </c>
      <c r="AI287" t="n">
        <v>1.002638972541633</v>
      </c>
    </row>
    <row r="288">
      <c r="A288" t="inlineStr">
        <is>
          <t>Dominica_2022_January</t>
        </is>
      </c>
      <c r="B288" s="2" t="n"/>
      <c r="C288" s="3" t="inlineStr">
        <is>
          <t>SM.22.7, Sup.2</t>
        </is>
      </c>
      <c r="D288" s="4" t="inlineStr">
        <is>
          <t>Dominica</t>
        </is>
      </c>
      <c r="E288" s="4" t="inlineStr">
        <is>
          <t>DMA</t>
        </is>
      </c>
      <c r="F288" s="10" t="n">
        <v>44562</v>
      </c>
      <c r="G288" s="4" t="inlineStr">
        <is>
          <t>2018gn</t>
        </is>
      </c>
      <c r="H288" s="4" t="n">
        <v>2021</v>
      </c>
      <c r="I288" s="4" t="inlineStr">
        <is>
          <t>pv.new.dbt.npc2</t>
        </is>
      </c>
      <c r="J288" t="inlineStr">
        <is>
          <t>NPC2</t>
        </is>
      </c>
      <c r="M288" t="n">
        <v>421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</row>
    <row r="289">
      <c r="A289" t="inlineStr">
        <is>
          <t>Dominica_2022_January</t>
        </is>
      </c>
      <c r="B289" s="2" t="n"/>
      <c r="C289" s="3" t="inlineStr">
        <is>
          <t>SM.22.7, Sup.2</t>
        </is>
      </c>
      <c r="D289" s="4" t="inlineStr">
        <is>
          <t>Dominica</t>
        </is>
      </c>
      <c r="E289" s="4" t="inlineStr">
        <is>
          <t>DMA</t>
        </is>
      </c>
      <c r="F289" s="10" t="n">
        <v>44562</v>
      </c>
      <c r="G289" s="4" t="inlineStr">
        <is>
          <t>2018gn</t>
        </is>
      </c>
      <c r="H289" s="4" t="n">
        <v>2021</v>
      </c>
      <c r="I289" s="4" t="inlineStr">
        <is>
          <t>pv.new.dbt.npc3</t>
        </is>
      </c>
      <c r="J289" t="inlineStr">
        <is>
          <t>NPC3</t>
        </is>
      </c>
      <c r="M289" t="n">
        <v>447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</row>
    <row r="290">
      <c r="A290" t="inlineStr">
        <is>
          <t>Dominica_2022_January</t>
        </is>
      </c>
      <c r="B290" s="2" t="n"/>
      <c r="C290" s="3" t="inlineStr">
        <is>
          <t>SM.22.7, Sup.2</t>
        </is>
      </c>
      <c r="D290" s="4" t="inlineStr">
        <is>
          <t>Dominica</t>
        </is>
      </c>
      <c r="E290" s="4" t="inlineStr">
        <is>
          <t>DMA</t>
        </is>
      </c>
      <c r="F290" s="10" t="n">
        <v>44562</v>
      </c>
      <c r="G290" s="4" t="inlineStr">
        <is>
          <t>2018gn</t>
        </is>
      </c>
      <c r="H290" s="4" t="n">
        <v>2021</v>
      </c>
      <c r="I290" s="4" t="inlineStr">
        <is>
          <t>pv.new.dbt.npc4</t>
        </is>
      </c>
      <c r="J290" t="inlineStr">
        <is>
          <t>NPC4</t>
        </is>
      </c>
      <c r="M290" t="n">
        <v>473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</row>
    <row r="291">
      <c r="A291" t="inlineStr">
        <is>
          <t>Dominica_2022_January</t>
        </is>
      </c>
      <c r="B291" s="2" t="n"/>
      <c r="C291" s="3" t="inlineStr">
        <is>
          <t>SM.22.7, Sup.2</t>
        </is>
      </c>
      <c r="D291" s="4" t="inlineStr">
        <is>
          <t>Dominica</t>
        </is>
      </c>
      <c r="E291" s="4" t="inlineStr">
        <is>
          <t>DMA</t>
        </is>
      </c>
      <c r="F291" s="10" t="n">
        <v>44562</v>
      </c>
      <c r="G291" s="4" t="inlineStr">
        <is>
          <t>2018gn</t>
        </is>
      </c>
      <c r="H291" s="4" t="n">
        <v>2021</v>
      </c>
      <c r="I291" s="4" t="inlineStr">
        <is>
          <t>pv.new.dbt.npc5</t>
        </is>
      </c>
      <c r="J291" t="inlineStr">
        <is>
          <t>NPC5</t>
        </is>
      </c>
      <c r="M291" t="n">
        <v>499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</row>
    <row r="292">
      <c r="A292" t="inlineStr">
        <is>
          <t>Dominica_2022_January</t>
        </is>
      </c>
      <c r="B292" s="2" t="n"/>
      <c r="C292" s="3" t="inlineStr">
        <is>
          <t>SM.22.7, Sup.2</t>
        </is>
      </c>
      <c r="D292" s="4" t="inlineStr">
        <is>
          <t>Dominica</t>
        </is>
      </c>
      <c r="E292" s="4" t="inlineStr">
        <is>
          <t>DMA</t>
        </is>
      </c>
      <c r="F292" s="10" t="n">
        <v>44562</v>
      </c>
      <c r="G292" s="4" t="inlineStr">
        <is>
          <t>2018gn</t>
        </is>
      </c>
      <c r="H292" s="4" t="n">
        <v>2021</v>
      </c>
      <c r="I292" s="4" t="inlineStr">
        <is>
          <t>pv.new.dbt.prvt</t>
        </is>
      </c>
      <c r="J292" t="inlineStr">
        <is>
          <t>Commercial</t>
        </is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BI292" t="inlineStr">
        <is>
          <t>PV_NEW_COM</t>
        </is>
      </c>
    </row>
    <row r="293">
      <c r="A293" t="inlineStr">
        <is>
          <t>Dominica_2022_January</t>
        </is>
      </c>
      <c r="B293" s="2" t="n"/>
      <c r="C293" s="3" t="inlineStr">
        <is>
          <t>SM.22.7, Sup.2</t>
        </is>
      </c>
      <c r="D293" s="4" t="inlineStr">
        <is>
          <t>Dominica</t>
        </is>
      </c>
      <c r="E293" s="4" t="inlineStr">
        <is>
          <t>DMA</t>
        </is>
      </c>
      <c r="F293" s="10" t="n">
        <v>44562</v>
      </c>
      <c r="G293" s="4" t="inlineStr">
        <is>
          <t>2018gn</t>
        </is>
      </c>
      <c r="H293" s="4" t="n">
        <v>2021</v>
      </c>
      <c r="I293" s="4" t="inlineStr">
        <is>
          <t>pv.new.dbt.prvt.bnd</t>
        </is>
      </c>
      <c r="J293" t="inlineStr">
        <is>
          <t>Eurobond</t>
        </is>
      </c>
      <c r="M293" t="n">
        <v>525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</row>
    <row r="294">
      <c r="A294" t="inlineStr">
        <is>
          <t>Dominica_2022_January</t>
        </is>
      </c>
      <c r="B294" s="2" t="n"/>
      <c r="C294" s="3" t="inlineStr">
        <is>
          <t>SM.22.7, Sup.2</t>
        </is>
      </c>
      <c r="D294" s="4" t="inlineStr">
        <is>
          <t>Dominica</t>
        </is>
      </c>
      <c r="E294" s="4" t="inlineStr">
        <is>
          <t>DMA</t>
        </is>
      </c>
      <c r="F294" s="10" t="n">
        <v>44562</v>
      </c>
      <c r="G294" s="4" t="inlineStr">
        <is>
          <t>2018gn</t>
        </is>
      </c>
      <c r="H294" s="4" t="n">
        <v>2021</v>
      </c>
      <c r="I294" s="4" t="inlineStr">
        <is>
          <t>pv.new.dbt.prvt.cmbk</t>
        </is>
      </c>
      <c r="J294" t="inlineStr">
        <is>
          <t>Commecial Bank</t>
        </is>
      </c>
      <c r="M294" t="n">
        <v>551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</row>
    <row r="295">
      <c r="A295" t="inlineStr">
        <is>
          <t>Dominica_2022_January</t>
        </is>
      </c>
      <c r="B295" s="2" t="n"/>
      <c r="C295" s="3" t="inlineStr">
        <is>
          <t>SM.22.7, Sup.2</t>
        </is>
      </c>
      <c r="D295" s="4" t="inlineStr">
        <is>
          <t>Dominica</t>
        </is>
      </c>
      <c r="E295" s="4" t="inlineStr">
        <is>
          <t>DMA</t>
        </is>
      </c>
      <c r="F295" s="10" t="n">
        <v>44562</v>
      </c>
      <c r="G295" s="4" t="inlineStr">
        <is>
          <t>2018gn</t>
        </is>
      </c>
      <c r="H295" s="4" t="n">
        <v>2021</v>
      </c>
      <c r="I295" s="4" t="inlineStr">
        <is>
          <t>pv.new.dbt.prvt.com3</t>
        </is>
      </c>
      <c r="J295" t="inlineStr">
        <is>
          <t>COM3</t>
        </is>
      </c>
      <c r="M295" t="n">
        <v>577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</row>
    <row r="296">
      <c r="A296" t="inlineStr">
        <is>
          <t>Dominica_2022_January</t>
        </is>
      </c>
      <c r="B296" s="2" t="n"/>
      <c r="C296" s="3" t="inlineStr">
        <is>
          <t>SM.22.7, Sup.2</t>
        </is>
      </c>
      <c r="D296" s="4" t="inlineStr">
        <is>
          <t>Dominica</t>
        </is>
      </c>
      <c r="E296" s="4" t="inlineStr">
        <is>
          <t>DMA</t>
        </is>
      </c>
      <c r="F296" s="10" t="n">
        <v>44562</v>
      </c>
      <c r="G296" s="4" t="inlineStr">
        <is>
          <t>2018gn</t>
        </is>
      </c>
      <c r="H296" s="4" t="n">
        <v>2021</v>
      </c>
      <c r="I296" s="4" t="inlineStr">
        <is>
          <t>pv.new.dbt.prvt.com4</t>
        </is>
      </c>
      <c r="J296" t="inlineStr">
        <is>
          <t>COM4</t>
        </is>
      </c>
      <c r="M296" t="n">
        <v>603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</row>
    <row r="297">
      <c r="A297" t="inlineStr">
        <is>
          <t>Dominica_2022_January</t>
        </is>
      </c>
      <c r="B297" s="2" t="n"/>
      <c r="C297" s="3" t="inlineStr">
        <is>
          <t>SM.22.7, Sup.2</t>
        </is>
      </c>
      <c r="D297" s="4" t="inlineStr">
        <is>
          <t>Dominica</t>
        </is>
      </c>
      <c r="E297" s="4" t="inlineStr">
        <is>
          <t>DMA</t>
        </is>
      </c>
      <c r="F297" s="10" t="n">
        <v>44562</v>
      </c>
      <c r="G297" s="4" t="inlineStr">
        <is>
          <t>2018gn</t>
        </is>
      </c>
      <c r="H297" s="4" t="n">
        <v>2021</v>
      </c>
      <c r="I297" s="4" t="inlineStr">
        <is>
          <t>pv.new.dbt.prvt.com5</t>
        </is>
      </c>
      <c r="J297" t="inlineStr">
        <is>
          <t>COM5</t>
        </is>
      </c>
      <c r="M297" t="n">
        <v>629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</row>
    <row r="298">
      <c r="A298" t="inlineStr">
        <is>
          <t>Dominica_2022_January</t>
        </is>
      </c>
      <c r="B298" s="2" t="n"/>
      <c r="C298" s="3" t="inlineStr">
        <is>
          <t>SM.22.7, Sup.2</t>
        </is>
      </c>
      <c r="D298" s="4" t="inlineStr">
        <is>
          <t>Dominica</t>
        </is>
      </c>
      <c r="E298" s="4" t="inlineStr">
        <is>
          <t>DMA</t>
        </is>
      </c>
      <c r="F298" s="10" t="n">
        <v>44562</v>
      </c>
      <c r="G298" s="4" t="inlineStr">
        <is>
          <t>2018gn</t>
        </is>
      </c>
      <c r="H298" s="4" t="n">
        <v>2021</v>
      </c>
      <c r="I298" s="4" t="inlineStr">
        <is>
          <t>pv.new.dbt.lcl.iss.nres</t>
        </is>
      </c>
      <c r="J298" t="inlineStr">
        <is>
          <t>Locally-issued debt held by non-residents</t>
        </is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</row>
    <row r="299">
      <c r="A299" t="inlineStr">
        <is>
          <t>Dominica_2022_January</t>
        </is>
      </c>
      <c r="B299" s="2" t="n"/>
      <c r="C299" s="3" t="inlineStr">
        <is>
          <t>SM.22.7, Sup.2</t>
        </is>
      </c>
      <c r="D299" s="4" t="inlineStr">
        <is>
          <t>Dominica</t>
        </is>
      </c>
      <c r="E299" s="4" t="inlineStr">
        <is>
          <t>DMA</t>
        </is>
      </c>
      <c r="F299" s="10" t="n">
        <v>44562</v>
      </c>
      <c r="G299" s="4" t="inlineStr">
        <is>
          <t>2018gn</t>
        </is>
      </c>
      <c r="H299" s="4" t="n">
        <v>2021</v>
      </c>
      <c r="I299" s="4" t="inlineStr">
        <is>
          <t>pn.new.dbt.lcl.nres.lc</t>
        </is>
      </c>
      <c r="J299" t="inlineStr">
        <is>
          <t>Denominated in local currency (LC)</t>
        </is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</row>
    <row r="300">
      <c r="A300" t="inlineStr">
        <is>
          <t>Dominica_2022_January</t>
        </is>
      </c>
      <c r="B300" s="2" t="n"/>
      <c r="C300" s="3" t="inlineStr">
        <is>
          <t>SM.22.7, Sup.2</t>
        </is>
      </c>
      <c r="D300" s="4" t="inlineStr">
        <is>
          <t>Dominica</t>
        </is>
      </c>
      <c r="E300" s="4" t="inlineStr">
        <is>
          <t>DMA</t>
        </is>
      </c>
      <c r="F300" s="10" t="n">
        <v>44562</v>
      </c>
      <c r="G300" s="4" t="inlineStr">
        <is>
          <t>2018gn</t>
        </is>
      </c>
      <c r="H300" s="4" t="n">
        <v>2021</v>
      </c>
      <c r="I300" s="4" t="inlineStr">
        <is>
          <t>pn.new.dbt.lcl.nres.bnd.1to3.lc</t>
        </is>
      </c>
      <c r="J300" t="inlineStr">
        <is>
          <t>Bonds (1 to 3 years)-LC</t>
        </is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</row>
    <row r="301">
      <c r="A301" t="inlineStr">
        <is>
          <t>Dominica_2022_January</t>
        </is>
      </c>
      <c r="B301" s="2" t="n"/>
      <c r="C301" s="3" t="inlineStr">
        <is>
          <t>SM.22.7, Sup.2</t>
        </is>
      </c>
      <c r="D301" s="4" t="inlineStr">
        <is>
          <t>Dominica</t>
        </is>
      </c>
      <c r="E301" s="4" t="inlineStr">
        <is>
          <t>DMA</t>
        </is>
      </c>
      <c r="F301" s="10" t="n">
        <v>44562</v>
      </c>
      <c r="G301" s="4" t="inlineStr">
        <is>
          <t>2018gn</t>
        </is>
      </c>
      <c r="H301" s="4" t="n">
        <v>2021</v>
      </c>
      <c r="I301" s="4" t="inlineStr">
        <is>
          <t>pn.new.dbt.lcl.nres.bnd.4to7.lc</t>
        </is>
      </c>
      <c r="J301" t="inlineStr">
        <is>
          <t>Bonds (4 to 7 years)-LC</t>
        </is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</row>
    <row r="302">
      <c r="A302" t="inlineStr">
        <is>
          <t>Dominica_2022_January</t>
        </is>
      </c>
      <c r="B302" s="2" t="n"/>
      <c r="C302" s="3" t="inlineStr">
        <is>
          <t>SM.22.7, Sup.2</t>
        </is>
      </c>
      <c r="D302" s="4" t="inlineStr">
        <is>
          <t>Dominica</t>
        </is>
      </c>
      <c r="E302" s="4" t="inlineStr">
        <is>
          <t>DMA</t>
        </is>
      </c>
      <c r="F302" s="10" t="n">
        <v>44562</v>
      </c>
      <c r="G302" s="4" t="inlineStr">
        <is>
          <t>2018gn</t>
        </is>
      </c>
      <c r="H302" s="4" t="n">
        <v>2021</v>
      </c>
      <c r="I302" s="4" t="inlineStr">
        <is>
          <t>pn.new.dbt.lcl.nres.bnd.byd7.lc</t>
        </is>
      </c>
      <c r="J302" t="inlineStr">
        <is>
          <t>Bonds (beyond 7 years)-LC</t>
        </is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</row>
    <row r="303">
      <c r="A303" t="inlineStr">
        <is>
          <t>Dominica_2022_January</t>
        </is>
      </c>
      <c r="B303" s="2" t="n"/>
      <c r="C303" s="3" t="inlineStr">
        <is>
          <t>SM.22.7, Sup.2</t>
        </is>
      </c>
      <c r="D303" s="4" t="inlineStr">
        <is>
          <t>Dominica</t>
        </is>
      </c>
      <c r="E303" s="4" t="inlineStr">
        <is>
          <t>DMA</t>
        </is>
      </c>
      <c r="F303" s="10" t="n">
        <v>44562</v>
      </c>
      <c r="G303" s="4" t="inlineStr">
        <is>
          <t>2018gn</t>
        </is>
      </c>
      <c r="H303" s="4" t="n">
        <v>2021</v>
      </c>
      <c r="I303" s="4" t="inlineStr">
        <is>
          <t>pn.new.dbt.lcl.nres.fx</t>
        </is>
      </c>
      <c r="J303" t="inlineStr">
        <is>
          <t>Denominated in foreign currency (FX)</t>
        </is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</row>
    <row r="304">
      <c r="A304" t="inlineStr">
        <is>
          <t>Dominica_2022_January</t>
        </is>
      </c>
      <c r="B304" s="2" t="n"/>
      <c r="C304" s="3" t="inlineStr">
        <is>
          <t>SM.22.7, Sup.2</t>
        </is>
      </c>
      <c r="D304" s="4" t="inlineStr">
        <is>
          <t>Dominica</t>
        </is>
      </c>
      <c r="E304" s="4" t="inlineStr">
        <is>
          <t>DMA</t>
        </is>
      </c>
      <c r="F304" s="10" t="n">
        <v>44562</v>
      </c>
      <c r="G304" s="4" t="inlineStr">
        <is>
          <t>2018gn</t>
        </is>
      </c>
      <c r="H304" s="4" t="n">
        <v>2021</v>
      </c>
      <c r="I304" s="4" t="inlineStr">
        <is>
          <t>pn.new.dbt.lcl.nres.bnd.1to3.fx</t>
        </is>
      </c>
      <c r="J304" t="inlineStr">
        <is>
          <t>Bonds (1 to 3 years)-FX</t>
        </is>
      </c>
      <c r="M304" t="n">
        <v>655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</row>
    <row r="305">
      <c r="A305" t="inlineStr">
        <is>
          <t>Dominica_2022_January</t>
        </is>
      </c>
      <c r="B305" s="2" t="n"/>
      <c r="C305" s="3" t="inlineStr">
        <is>
          <t>SM.22.7, Sup.2</t>
        </is>
      </c>
      <c r="D305" s="4" t="inlineStr">
        <is>
          <t>Dominica</t>
        </is>
      </c>
      <c r="E305" s="4" t="inlineStr">
        <is>
          <t>DMA</t>
        </is>
      </c>
      <c r="F305" s="10" t="n">
        <v>44562</v>
      </c>
      <c r="G305" s="4" t="inlineStr">
        <is>
          <t>2018gn</t>
        </is>
      </c>
      <c r="H305" s="4" t="n">
        <v>2021</v>
      </c>
      <c r="I305" s="4" t="inlineStr">
        <is>
          <t>pn.new.dbt.lcl.nres.bnd.4to7.fx</t>
        </is>
      </c>
      <c r="J305" t="inlineStr">
        <is>
          <t>Bonds (4 to 7 years)-FX</t>
        </is>
      </c>
      <c r="M305" t="n">
        <v>681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</row>
    <row r="306">
      <c r="A306" t="inlineStr">
        <is>
          <t>Dominica_2022_January</t>
        </is>
      </c>
      <c r="B306" s="2" t="n"/>
      <c r="C306" s="3" t="inlineStr">
        <is>
          <t>SM.22.7, Sup.2</t>
        </is>
      </c>
      <c r="D306" s="4" t="inlineStr">
        <is>
          <t>Dominica</t>
        </is>
      </c>
      <c r="E306" s="4" t="inlineStr">
        <is>
          <t>DMA</t>
        </is>
      </c>
      <c r="F306" s="10" t="n">
        <v>44562</v>
      </c>
      <c r="G306" s="4" t="inlineStr">
        <is>
          <t>2018gn</t>
        </is>
      </c>
      <c r="H306" s="4" t="n">
        <v>2021</v>
      </c>
      <c r="I306" s="4" t="inlineStr">
        <is>
          <t>pn.new.dbt.lcl.nres.bnd.byd7.fx</t>
        </is>
      </c>
      <c r="J306" t="inlineStr">
        <is>
          <t>Bonds (beyond 7 years)-FX</t>
        </is>
      </c>
      <c r="M306" t="n">
        <v>707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</row>
    <row r="307">
      <c r="A307" t="inlineStr">
        <is>
          <t>Dominica_2022_January</t>
        </is>
      </c>
      <c r="B307" s="2" t="n"/>
      <c r="C307" s="3" t="inlineStr">
        <is>
          <t>SM.22.7, Sup.2</t>
        </is>
      </c>
      <c r="D307" s="4" t="inlineStr">
        <is>
          <t>Dominica</t>
        </is>
      </c>
      <c r="E307" s="4" t="inlineStr">
        <is>
          <t>DMA</t>
        </is>
      </c>
      <c r="F307" s="10" t="n">
        <v>44562</v>
      </c>
      <c r="G307" s="4" t="inlineStr">
        <is>
          <t>2018gn</t>
        </is>
      </c>
      <c r="H307" s="4" t="n">
        <v>2021</v>
      </c>
      <c r="I307" s="5" t="n"/>
      <c r="J307" t="inlineStr">
        <is>
          <t>Locally-issued debt held by residents</t>
        </is>
      </c>
    </row>
    <row r="308">
      <c r="A308" t="inlineStr">
        <is>
          <t>Dominica_2022_January</t>
        </is>
      </c>
      <c r="B308" s="2" t="n"/>
      <c r="C308" s="3" t="inlineStr">
        <is>
          <t>SM.22.7, Sup.2</t>
        </is>
      </c>
      <c r="D308" s="4" t="inlineStr">
        <is>
          <t>Dominica</t>
        </is>
      </c>
      <c r="E308" s="4" t="inlineStr">
        <is>
          <t>DMA</t>
        </is>
      </c>
      <c r="F308" s="10" t="n">
        <v>44562</v>
      </c>
      <c r="G308" s="4" t="inlineStr">
        <is>
          <t>2018gn</t>
        </is>
      </c>
      <c r="H308" s="4" t="n">
        <v>2021</v>
      </c>
      <c r="I308" s="4" t="inlineStr">
        <is>
          <t>pn.new.dbt.lcl.fx</t>
        </is>
      </c>
      <c r="J308" t="inlineStr">
        <is>
          <t>Denominated in foreign currency (FX)</t>
        </is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</row>
    <row r="309">
      <c r="A309" t="inlineStr">
        <is>
          <t>Dominica_2022_January</t>
        </is>
      </c>
      <c r="B309" s="2" t="n"/>
      <c r="C309" s="3" t="inlineStr">
        <is>
          <t>SM.22.7, Sup.2</t>
        </is>
      </c>
      <c r="D309" s="4" t="inlineStr">
        <is>
          <t>Dominica</t>
        </is>
      </c>
      <c r="E309" s="4" t="inlineStr">
        <is>
          <t>DMA</t>
        </is>
      </c>
      <c r="F309" s="10" t="n">
        <v>44562</v>
      </c>
      <c r="G309" s="4" t="inlineStr">
        <is>
          <t>2018gn</t>
        </is>
      </c>
      <c r="H309" s="4" t="n">
        <v>2021</v>
      </c>
      <c r="I309" s="4" t="inlineStr">
        <is>
          <t>pn.new.dbt.lcl.fx.bnd.1to3.fx</t>
        </is>
      </c>
      <c r="J309" t="inlineStr">
        <is>
          <t>Bonds (1 to 3 years)-FX</t>
        </is>
      </c>
      <c r="M309" t="n">
        <v>733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</row>
    <row r="310">
      <c r="A310" t="inlineStr">
        <is>
          <t>Dominica_2022_January</t>
        </is>
      </c>
      <c r="B310" s="2" t="n"/>
      <c r="C310" s="3" t="inlineStr">
        <is>
          <t>SM.22.7, Sup.2</t>
        </is>
      </c>
      <c r="D310" s="4" t="inlineStr">
        <is>
          <t>Dominica</t>
        </is>
      </c>
      <c r="E310" s="4" t="inlineStr">
        <is>
          <t>DMA</t>
        </is>
      </c>
      <c r="F310" s="10" t="n">
        <v>44562</v>
      </c>
      <c r="G310" s="4" t="inlineStr">
        <is>
          <t>2018gn</t>
        </is>
      </c>
      <c r="H310" s="4" t="n">
        <v>2021</v>
      </c>
      <c r="I310" s="4" t="inlineStr">
        <is>
          <t>pn.new.dbt.lcl.fx.bnd.4to7.fx</t>
        </is>
      </c>
      <c r="J310" t="inlineStr">
        <is>
          <t>Bonds (4 to 7 years)-FX</t>
        </is>
      </c>
      <c r="M310" t="n">
        <v>759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</row>
    <row r="311">
      <c r="A311" t="inlineStr">
        <is>
          <t>Dominica_2022_January</t>
        </is>
      </c>
      <c r="B311" s="2" t="n"/>
      <c r="C311" s="3" t="inlineStr">
        <is>
          <t>SM.22.7, Sup.2</t>
        </is>
      </c>
      <c r="D311" s="4" t="inlineStr">
        <is>
          <t>Dominica</t>
        </is>
      </c>
      <c r="E311" s="4" t="inlineStr">
        <is>
          <t>DMA</t>
        </is>
      </c>
      <c r="F311" s="10" t="n">
        <v>44562</v>
      </c>
      <c r="G311" s="4" t="inlineStr">
        <is>
          <t>2018gn</t>
        </is>
      </c>
      <c r="H311" s="4" t="n">
        <v>2021</v>
      </c>
      <c r="I311" s="4" t="inlineStr">
        <is>
          <t>pn.new.dbt.lcl.fx.bnd.byd7.fx</t>
        </is>
      </c>
      <c r="J311" t="inlineStr">
        <is>
          <t>Bonds (beyond 7 years)-FX</t>
        </is>
      </c>
      <c r="M311" t="n">
        <v>785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</row>
    <row r="312">
      <c r="A312" t="inlineStr">
        <is>
          <t>Dominica_2022_January</t>
        </is>
      </c>
      <c r="B312" s="2" t="n"/>
      <c r="C312" s="3" t="inlineStr">
        <is>
          <t>SM.22.7, Sup.2</t>
        </is>
      </c>
      <c r="D312" s="4" t="inlineStr">
        <is>
          <t>Dominica</t>
        </is>
      </c>
      <c r="E312" s="4" t="inlineStr">
        <is>
          <t>DMA</t>
        </is>
      </c>
      <c r="F312" s="10" t="n">
        <v>44562</v>
      </c>
      <c r="G312" s="4" t="inlineStr">
        <is>
          <t>2018gn</t>
        </is>
      </c>
      <c r="H312" s="4" t="n">
        <v>2021</v>
      </c>
      <c r="I312" s="5" t="n"/>
    </row>
    <row r="313">
      <c r="A313" t="inlineStr">
        <is>
          <t>Dominica_2022_January</t>
        </is>
      </c>
      <c r="B313" s="2" t="n"/>
      <c r="C313" s="3" t="inlineStr">
        <is>
          <t>SM.22.7, Sup.2</t>
        </is>
      </c>
      <c r="D313" s="4" t="inlineStr">
        <is>
          <t>Dominica</t>
        </is>
      </c>
      <c r="E313" s="4" t="inlineStr">
        <is>
          <t>DMA</t>
        </is>
      </c>
      <c r="F313" s="10" t="n">
        <v>44562</v>
      </c>
      <c r="G313" s="4" t="inlineStr">
        <is>
          <t>2018gn</t>
        </is>
      </c>
      <c r="H313" s="4" t="n">
        <v>2021</v>
      </c>
      <c r="I313" s="4" t="inlineStr">
        <is>
          <t>nom.val.dbt.mlg.trm</t>
        </is>
      </c>
      <c r="J313" t="inlineStr">
        <is>
          <t>Nominal value of new MLT debt</t>
        </is>
      </c>
      <c r="M313" t="n">
        <v>-4</v>
      </c>
      <c r="O313" t="n">
        <v>36.29251236004566</v>
      </c>
      <c r="P313" t="n">
        <v>114.6527181938976</v>
      </c>
      <c r="Q313" t="n">
        <v>175.8081966236138</v>
      </c>
      <c r="R313" t="n">
        <v>229.1693749080783</v>
      </c>
      <c r="S313" t="n">
        <v>279.8365157283882</v>
      </c>
      <c r="T313" t="n">
        <v>332.574002730767</v>
      </c>
      <c r="U313" t="n">
        <v>373.482638350664</v>
      </c>
      <c r="V313" t="n">
        <v>398.7385016646563</v>
      </c>
      <c r="W313" t="n">
        <v>412.0947667569859</v>
      </c>
      <c r="X313" t="n">
        <v>422.3757883414984</v>
      </c>
      <c r="Y313" t="n">
        <v>432.5660803980948</v>
      </c>
      <c r="Z313" t="n">
        <v>440.0112380754768</v>
      </c>
      <c r="AA313" t="n">
        <v>445.2271911972127</v>
      </c>
      <c r="AB313" t="n">
        <v>448.5601835349229</v>
      </c>
      <c r="AC313" t="n">
        <v>450.8391322475119</v>
      </c>
      <c r="AD313" t="n">
        <v>452.2680467479206</v>
      </c>
      <c r="AE313" t="n">
        <v>452.9899234084849</v>
      </c>
      <c r="AF313" t="n">
        <v>453.7624451690099</v>
      </c>
      <c r="AG313" t="n">
        <v>454.1665117680323</v>
      </c>
      <c r="AH313" t="n">
        <v>454.3837568679157</v>
      </c>
      <c r="AI313" t="n">
        <v>454.6986773203488</v>
      </c>
      <c r="BI313" t="inlineStr">
        <is>
          <t>NOM_NEW_MLT</t>
        </is>
      </c>
    </row>
    <row r="314">
      <c r="A314" t="inlineStr">
        <is>
          <t>Dominica_2022_January</t>
        </is>
      </c>
      <c r="B314" s="2" t="n"/>
      <c r="C314" s="3" t="inlineStr">
        <is>
          <t>SM.22.7, Sup.2</t>
        </is>
      </c>
      <c r="D314" s="4" t="inlineStr">
        <is>
          <t>Dominica</t>
        </is>
      </c>
      <c r="E314" s="4" t="inlineStr">
        <is>
          <t>DMA</t>
        </is>
      </c>
      <c r="F314" s="10" t="n">
        <v>44562</v>
      </c>
      <c r="G314" s="4" t="inlineStr">
        <is>
          <t>2018gn</t>
        </is>
      </c>
      <c r="H314" s="4" t="n">
        <v>2021</v>
      </c>
      <c r="I314" s="4" t="inlineStr">
        <is>
          <t>nom.val.dbt.mlt</t>
        </is>
      </c>
      <c r="J314" t="inlineStr">
        <is>
          <t>Multilaterals</t>
        </is>
      </c>
      <c r="O314" t="n">
        <v>22</v>
      </c>
      <c r="P314" t="n">
        <v>89.59999999999999</v>
      </c>
      <c r="Q314" t="n">
        <v>139.6</v>
      </c>
      <c r="R314" t="n">
        <v>182.1559761462496</v>
      </c>
      <c r="S314" t="n">
        <v>222.4938673461833</v>
      </c>
      <c r="T314" t="n">
        <v>264.5359268089585</v>
      </c>
      <c r="U314" t="n">
        <v>294.8633506822222</v>
      </c>
      <c r="V314" t="n">
        <v>309.5495727423076</v>
      </c>
      <c r="W314" t="n">
        <v>312.4744594686479</v>
      </c>
      <c r="X314" t="n">
        <v>312.3474764254652</v>
      </c>
      <c r="Y314" t="n">
        <v>311.7076056450808</v>
      </c>
      <c r="Z314" t="n">
        <v>308.6330526628882</v>
      </c>
      <c r="AA314" t="n">
        <v>303.5610734160244</v>
      </c>
      <c r="AB314" t="n">
        <v>296.6830198148449</v>
      </c>
      <c r="AC314" t="n">
        <v>288.4475591665757</v>
      </c>
      <c r="AD314" t="n">
        <v>279.2585726285773</v>
      </c>
      <c r="AE314" t="n">
        <v>269.075861789269</v>
      </c>
      <c r="AF314" t="n">
        <v>258.1851439449794</v>
      </c>
      <c r="AG314" t="n">
        <v>246.9283224616862</v>
      </c>
      <c r="AH314" t="n">
        <v>235.3340390237713</v>
      </c>
      <c r="AI314" t="n">
        <v>223.6910523402871</v>
      </c>
      <c r="BI314" t="inlineStr">
        <is>
          <t>NOM_NEW_ML</t>
        </is>
      </c>
    </row>
    <row r="315">
      <c r="A315" t="inlineStr">
        <is>
          <t>Dominica_2022_January</t>
        </is>
      </c>
      <c r="B315" s="2" t="n"/>
      <c r="C315" s="3" t="inlineStr">
        <is>
          <t>SM.22.7, Sup.2</t>
        </is>
      </c>
      <c r="D315" s="4" t="inlineStr">
        <is>
          <t>Dominica</t>
        </is>
      </c>
      <c r="E315" s="4" t="inlineStr">
        <is>
          <t>DMA</t>
        </is>
      </c>
      <c r="F315" s="10" t="n">
        <v>44562</v>
      </c>
      <c r="G315" s="4" t="inlineStr">
        <is>
          <t>2018gn</t>
        </is>
      </c>
      <c r="H315" s="4" t="n">
        <v>2021</v>
      </c>
      <c r="I315" s="4" t="inlineStr">
        <is>
          <t>nom.val.dbt.mlt.imf</t>
        </is>
      </c>
      <c r="J315" t="inlineStr">
        <is>
          <t>IMF</t>
        </is>
      </c>
      <c r="M315" t="n">
        <v>23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</row>
    <row r="316">
      <c r="A316" t="inlineStr">
        <is>
          <t>Dominica_2022_January</t>
        </is>
      </c>
      <c r="B316" s="2" t="n"/>
      <c r="C316" s="3" t="inlineStr">
        <is>
          <t>SM.22.7, Sup.2</t>
        </is>
      </c>
      <c r="D316" s="4" t="inlineStr">
        <is>
          <t>Dominica</t>
        </is>
      </c>
      <c r="E316" s="4" t="inlineStr">
        <is>
          <t>DMA</t>
        </is>
      </c>
      <c r="F316" s="10" t="n">
        <v>44562</v>
      </c>
      <c r="G316" s="4" t="inlineStr">
        <is>
          <t>2018gn</t>
        </is>
      </c>
      <c r="H316" s="4" t="n">
        <v>2021</v>
      </c>
      <c r="I316" s="4" t="inlineStr">
        <is>
          <t>nom.val.dbt.mlt.ida.reg</t>
        </is>
      </c>
      <c r="J316" t="inlineStr">
        <is>
          <t>IDA - small economy</t>
        </is>
      </c>
      <c r="M316" t="n">
        <v>57</v>
      </c>
      <c r="O316" t="n">
        <v>15</v>
      </c>
      <c r="P316" t="n">
        <v>62.6</v>
      </c>
      <c r="Q316" t="n">
        <v>97.59999999999999</v>
      </c>
      <c r="R316" t="n">
        <v>127.3891833023747</v>
      </c>
      <c r="S316" t="n">
        <v>155.6257071423283</v>
      </c>
      <c r="T316" t="n">
        <v>185.0551487662709</v>
      </c>
      <c r="U316" t="n">
        <v>206.5293454775555</v>
      </c>
      <c r="V316" t="n">
        <v>217.7547009196153</v>
      </c>
      <c r="W316" t="n">
        <v>221.2721216280535</v>
      </c>
      <c r="X316" t="n">
        <v>223.1000712473612</v>
      </c>
      <c r="Y316" t="n">
        <v>224.992547308227</v>
      </c>
      <c r="Z316" t="n">
        <v>225.4721874521863</v>
      </c>
      <c r="AA316" t="n">
        <v>224.399742161545</v>
      </c>
      <c r="AB316" t="n">
        <v>221.8814251545136</v>
      </c>
      <c r="AC316" t="n">
        <v>218.1677926921222</v>
      </c>
      <c r="AD316" t="n">
        <v>213.5317461128105</v>
      </c>
      <c r="AE316" t="n">
        <v>207.9341852472554</v>
      </c>
      <c r="AF316" t="n">
        <v>201.6409721132599</v>
      </c>
      <c r="AG316" t="n">
        <v>194.9944461981816</v>
      </c>
      <c r="AH316" t="n">
        <v>188.1255619371728</v>
      </c>
      <c r="AI316" t="n">
        <v>181.2136379039176</v>
      </c>
    </row>
    <row r="317">
      <c r="A317" t="inlineStr">
        <is>
          <t>Dominica_2022_January</t>
        </is>
      </c>
      <c r="B317" s="2" t="n"/>
      <c r="C317" s="3" t="inlineStr">
        <is>
          <t>SM.22.7, Sup.2</t>
        </is>
      </c>
      <c r="D317" s="4" t="inlineStr">
        <is>
          <t>Dominica</t>
        </is>
      </c>
      <c r="E317" s="4" t="inlineStr">
        <is>
          <t>DMA</t>
        </is>
      </c>
      <c r="F317" s="10" t="n">
        <v>44562</v>
      </c>
      <c r="G317" s="4" t="inlineStr">
        <is>
          <t>2018gn</t>
        </is>
      </c>
      <c r="H317" s="4" t="n">
        <v>2021</v>
      </c>
      <c r="I317" s="4" t="inlineStr">
        <is>
          <t>nom.val.dbt.mlt.ida.bld</t>
        </is>
      </c>
      <c r="J317" t="inlineStr">
        <is>
          <t>IDA - small economy</t>
        </is>
      </c>
      <c r="M317" t="n">
        <v>83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</row>
    <row r="318">
      <c r="A318" t="inlineStr">
        <is>
          <t>Dominica_2022_January</t>
        </is>
      </c>
      <c r="B318" s="2" t="n"/>
      <c r="C318" s="3" t="inlineStr">
        <is>
          <t>SM.22.7, Sup.2</t>
        </is>
      </c>
      <c r="D318" s="4" t="inlineStr">
        <is>
          <t>Dominica</t>
        </is>
      </c>
      <c r="E318" s="4" t="inlineStr">
        <is>
          <t>DMA</t>
        </is>
      </c>
      <c r="F318" s="10" t="n">
        <v>44562</v>
      </c>
      <c r="G318" s="4" t="inlineStr">
        <is>
          <t>2018gn</t>
        </is>
      </c>
      <c r="H318" s="4" t="n">
        <v>2021</v>
      </c>
      <c r="I318" s="4" t="inlineStr">
        <is>
          <t>nom.val.dbt.mlt.afdb</t>
        </is>
      </c>
      <c r="J318" t="inlineStr">
        <is>
          <t>CDB</t>
        </is>
      </c>
      <c r="M318" t="n">
        <v>108</v>
      </c>
      <c r="O318" t="n">
        <v>7</v>
      </c>
      <c r="P318" t="n">
        <v>27</v>
      </c>
      <c r="Q318" t="n">
        <v>42</v>
      </c>
      <c r="R318" t="n">
        <v>54.7667928438749</v>
      </c>
      <c r="S318" t="n">
        <v>66.868160203855</v>
      </c>
      <c r="T318" t="n">
        <v>79.4807780426876</v>
      </c>
      <c r="U318" t="n">
        <v>88.33400520466672</v>
      </c>
      <c r="V318" t="n">
        <v>91.79487182269236</v>
      </c>
      <c r="W318" t="n">
        <v>91.20233784059444</v>
      </c>
      <c r="X318" t="n">
        <v>89.247405178104</v>
      </c>
      <c r="Y318" t="n">
        <v>86.71505833685373</v>
      </c>
      <c r="Z318" t="n">
        <v>83.16086521070189</v>
      </c>
      <c r="AA318" t="n">
        <v>79.16133125447944</v>
      </c>
      <c r="AB318" t="n">
        <v>74.80159466033135</v>
      </c>
      <c r="AC318" t="n">
        <v>70.27976647445351</v>
      </c>
      <c r="AD318" t="n">
        <v>65.72682651576687</v>
      </c>
      <c r="AE318" t="n">
        <v>61.14167654201368</v>
      </c>
      <c r="AF318" t="n">
        <v>56.54417183171955</v>
      </c>
      <c r="AG318" t="n">
        <v>51.93387626350454</v>
      </c>
      <c r="AH318" t="n">
        <v>47.20847708659843</v>
      </c>
      <c r="AI318" t="n">
        <v>42.47741443636952</v>
      </c>
    </row>
    <row r="319">
      <c r="A319" t="inlineStr">
        <is>
          <t>Dominica_2022_January</t>
        </is>
      </c>
      <c r="B319" s="2" t="n"/>
      <c r="C319" s="3" t="inlineStr">
        <is>
          <t>SM.22.7, Sup.2</t>
        </is>
      </c>
      <c r="D319" s="4" t="inlineStr">
        <is>
          <t>Dominica</t>
        </is>
      </c>
      <c r="E319" s="4" t="inlineStr">
        <is>
          <t>DMA</t>
        </is>
      </c>
      <c r="F319" s="10" t="n">
        <v>44562</v>
      </c>
      <c r="G319" s="4" t="inlineStr">
        <is>
          <t>2018gn</t>
        </is>
      </c>
      <c r="H319" s="4" t="n">
        <v>2021</v>
      </c>
      <c r="I319" s="4" t="inlineStr">
        <is>
          <t>nom.val.dbt.mlt2</t>
        </is>
      </c>
      <c r="J319" t="inlineStr">
        <is>
          <t>MULTIRES</t>
        </is>
      </c>
      <c r="M319" t="n">
        <v>134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</row>
    <row r="320">
      <c r="A320" t="inlineStr">
        <is>
          <t>Dominica_2022_January</t>
        </is>
      </c>
      <c r="B320" s="2" t="n"/>
      <c r="C320" s="3" t="inlineStr">
        <is>
          <t>SM.22.7, Sup.2</t>
        </is>
      </c>
      <c r="D320" s="4" t="inlineStr">
        <is>
          <t>Dominica</t>
        </is>
      </c>
      <c r="E320" s="4" t="inlineStr">
        <is>
          <t>DMA</t>
        </is>
      </c>
      <c r="F320" s="10" t="n">
        <v>44562</v>
      </c>
      <c r="G320" s="4" t="inlineStr">
        <is>
          <t>2018gn</t>
        </is>
      </c>
      <c r="H320" s="4" t="n">
        <v>2021</v>
      </c>
      <c r="I320" s="4" t="inlineStr">
        <is>
          <t>nom.val.dbt.mlt3</t>
        </is>
      </c>
      <c r="J320" t="inlineStr">
        <is>
          <t>MULTI3</t>
        </is>
      </c>
      <c r="M320" t="n">
        <v>160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</row>
    <row r="321">
      <c r="A321" t="inlineStr">
        <is>
          <t>Dominica_2022_January</t>
        </is>
      </c>
      <c r="B321" s="2" t="n"/>
      <c r="C321" s="3" t="inlineStr">
        <is>
          <t>SM.22.7, Sup.2</t>
        </is>
      </c>
      <c r="D321" s="4" t="inlineStr">
        <is>
          <t>Dominica</t>
        </is>
      </c>
      <c r="E321" s="4" t="inlineStr">
        <is>
          <t>DMA</t>
        </is>
      </c>
      <c r="F321" s="10" t="n">
        <v>44562</v>
      </c>
      <c r="G321" s="4" t="inlineStr">
        <is>
          <t>2018gn</t>
        </is>
      </c>
      <c r="H321" s="4" t="n">
        <v>2021</v>
      </c>
      <c r="I321" s="4" t="inlineStr">
        <is>
          <t>nom.val.dbt.mlt.oth</t>
        </is>
      </c>
      <c r="J321" t="inlineStr">
        <is>
          <t>Other Multilaterals</t>
        </is>
      </c>
      <c r="O321" t="n">
        <v>14.2821756210486</v>
      </c>
      <c r="P321" t="n">
        <v>25.0402083871336</v>
      </c>
      <c r="Q321" t="n">
        <v>36.1956868168498</v>
      </c>
      <c r="R321" t="n">
        <v>47.0008889550647</v>
      </c>
      <c r="S321" t="n">
        <v>57.245077301661</v>
      </c>
      <c r="T321" t="n">
        <v>67.9123924732519</v>
      </c>
      <c r="U321" t="n">
        <v>78.49391745440025</v>
      </c>
      <c r="V321" t="n">
        <v>88.9748432150233</v>
      </c>
      <c r="W321" t="n">
        <v>99.40660066606601</v>
      </c>
      <c r="X321" t="n">
        <v>109.8149843788147</v>
      </c>
      <c r="Y321" t="n">
        <v>120.2035852907863</v>
      </c>
      <c r="Z321" t="n">
        <v>130.5523751022719</v>
      </c>
      <c r="AA321" t="n">
        <v>140.8264370687822</v>
      </c>
      <c r="AB321" t="n">
        <v>151.0439914327294</v>
      </c>
      <c r="AC321" t="n">
        <v>161.2136567253922</v>
      </c>
      <c r="AD321" t="n">
        <v>171.7102182133041</v>
      </c>
      <c r="AE321" t="n">
        <v>182.5642137815077</v>
      </c>
      <c r="AF321" t="n">
        <v>193.8115167652709</v>
      </c>
      <c r="AG321" t="n">
        <v>205.4982140924409</v>
      </c>
      <c r="AH321" t="n">
        <v>217.3355518750935</v>
      </c>
      <c r="AI321" t="n">
        <v>229.3299122708121</v>
      </c>
    </row>
    <row r="322">
      <c r="A322" t="inlineStr">
        <is>
          <t>Dominica_2022_January</t>
        </is>
      </c>
      <c r="B322" s="2" t="n"/>
      <c r="C322" s="3" t="inlineStr">
        <is>
          <t>SM.22.7, Sup.2</t>
        </is>
      </c>
      <c r="D322" s="4" t="inlineStr">
        <is>
          <t>Dominica</t>
        </is>
      </c>
      <c r="E322" s="4" t="inlineStr">
        <is>
          <t>DMA</t>
        </is>
      </c>
      <c r="F322" s="10" t="n">
        <v>44562</v>
      </c>
      <c r="G322" s="4" t="inlineStr">
        <is>
          <t>2018gn</t>
        </is>
      </c>
      <c r="H322" s="4" t="n">
        <v>2021</v>
      </c>
      <c r="I322" s="4" t="inlineStr">
        <is>
          <t>nom.val.dbt.mlt.oth1</t>
        </is>
      </c>
      <c r="J322" t="inlineStr">
        <is>
          <t>OTH_MULTI1</t>
        </is>
      </c>
      <c r="M322" t="n">
        <v>186</v>
      </c>
      <c r="O322" t="n">
        <v>14.2821756210486</v>
      </c>
      <c r="P322" t="n">
        <v>25.0402083871336</v>
      </c>
      <c r="Q322" t="n">
        <v>36.1956868168498</v>
      </c>
      <c r="R322" t="n">
        <v>47.0008889550647</v>
      </c>
      <c r="S322" t="n">
        <v>57.245077301661</v>
      </c>
      <c r="T322" t="n">
        <v>67.9123924732519</v>
      </c>
      <c r="U322" t="n">
        <v>78.49391745440025</v>
      </c>
      <c r="V322" t="n">
        <v>88.9748432150233</v>
      </c>
      <c r="W322" t="n">
        <v>99.40660066606601</v>
      </c>
      <c r="X322" t="n">
        <v>109.8149843788147</v>
      </c>
      <c r="Y322" t="n">
        <v>120.2035852907863</v>
      </c>
      <c r="Z322" t="n">
        <v>130.5523751022719</v>
      </c>
      <c r="AA322" t="n">
        <v>140.8264370687822</v>
      </c>
      <c r="AB322" t="n">
        <v>151.0439914327294</v>
      </c>
      <c r="AC322" t="n">
        <v>161.2136567253922</v>
      </c>
      <c r="AD322" t="n">
        <v>171.7102182133041</v>
      </c>
      <c r="AE322" t="n">
        <v>182.5642137815077</v>
      </c>
      <c r="AF322" t="n">
        <v>193.8115167652709</v>
      </c>
      <c r="AG322" t="n">
        <v>205.4982140924409</v>
      </c>
      <c r="AH322" t="n">
        <v>217.3355518750935</v>
      </c>
      <c r="AI322" t="n">
        <v>229.3299122708121</v>
      </c>
    </row>
    <row r="323">
      <c r="A323" t="inlineStr">
        <is>
          <t>Dominica_2022_January</t>
        </is>
      </c>
      <c r="B323" s="2" t="n"/>
      <c r="C323" s="3" t="inlineStr">
        <is>
          <t>SM.22.7, Sup.2</t>
        </is>
      </c>
      <c r="D323" s="4" t="inlineStr">
        <is>
          <t>Dominica</t>
        </is>
      </c>
      <c r="E323" s="4" t="inlineStr">
        <is>
          <t>DMA</t>
        </is>
      </c>
      <c r="F323" s="10" t="n">
        <v>44562</v>
      </c>
      <c r="G323" s="4" t="inlineStr">
        <is>
          <t>2018gn</t>
        </is>
      </c>
      <c r="H323" s="4" t="n">
        <v>2021</v>
      </c>
      <c r="I323" s="4" t="inlineStr">
        <is>
          <t>nom.val.dbt.mlt.oth2</t>
        </is>
      </c>
      <c r="J323" t="inlineStr">
        <is>
          <t>OTH_MULTI2</t>
        </is>
      </c>
      <c r="M323" t="n">
        <v>212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</row>
    <row r="324">
      <c r="A324" t="inlineStr">
        <is>
          <t>Dominica_2022_January</t>
        </is>
      </c>
      <c r="B324" s="2" t="n"/>
      <c r="C324" s="3" t="inlineStr">
        <is>
          <t>SM.22.7, Sup.2</t>
        </is>
      </c>
      <c r="D324" s="4" t="inlineStr">
        <is>
          <t>Dominica</t>
        </is>
      </c>
      <c r="E324" s="4" t="inlineStr">
        <is>
          <t>DMA</t>
        </is>
      </c>
      <c r="F324" s="10" t="n">
        <v>44562</v>
      </c>
      <c r="G324" s="4" t="inlineStr">
        <is>
          <t>2018gn</t>
        </is>
      </c>
      <c r="H324" s="4" t="n">
        <v>2021</v>
      </c>
      <c r="I324" s="4" t="inlineStr">
        <is>
          <t>nom.val.dbt.mlt.oth3</t>
        </is>
      </c>
      <c r="J324" t="inlineStr">
        <is>
          <t>OTH_MULTI3</t>
        </is>
      </c>
      <c r="M324" t="n">
        <v>238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</row>
    <row r="325">
      <c r="A325" t="inlineStr">
        <is>
          <t>Dominica_2022_January</t>
        </is>
      </c>
      <c r="B325" s="2" t="n"/>
      <c r="C325" s="3" t="inlineStr">
        <is>
          <t>SM.22.7, Sup.2</t>
        </is>
      </c>
      <c r="D325" s="4" t="inlineStr">
        <is>
          <t>Dominica</t>
        </is>
      </c>
      <c r="E325" s="4" t="inlineStr">
        <is>
          <t>DMA</t>
        </is>
      </c>
      <c r="F325" s="10" t="n">
        <v>44562</v>
      </c>
      <c r="G325" s="4" t="inlineStr">
        <is>
          <t>2018gn</t>
        </is>
      </c>
      <c r="H325" s="4" t="n">
        <v>2021</v>
      </c>
      <c r="I325" s="4" t="inlineStr">
        <is>
          <t>nom.val.dbt.blt</t>
        </is>
      </c>
      <c r="J325" t="inlineStr">
        <is>
          <t>Official Bilaterals</t>
        </is>
      </c>
      <c r="O325" t="n">
        <v>0.0103367389970622</v>
      </c>
      <c r="P325" t="n">
        <v>0.01250980676396101</v>
      </c>
      <c r="Q325" t="n">
        <v>0.01250980676396101</v>
      </c>
      <c r="R325" t="n">
        <v>0.01250980676396101</v>
      </c>
      <c r="S325" t="n">
        <v>0.09757108054398281</v>
      </c>
      <c r="T325" t="n">
        <v>0.1256834485566097</v>
      </c>
      <c r="U325" t="n">
        <v>0.1253702140415472</v>
      </c>
      <c r="V325" t="n">
        <v>0.2140857073253932</v>
      </c>
      <c r="W325" t="n">
        <v>0.2137066222719398</v>
      </c>
      <c r="X325" t="n">
        <v>0.2133275372184865</v>
      </c>
      <c r="Y325" t="n">
        <v>0.6548894622277407</v>
      </c>
      <c r="Z325" t="n">
        <v>0.8258103103167403</v>
      </c>
      <c r="AA325" t="n">
        <v>0.8396807124060353</v>
      </c>
      <c r="AB325" t="n">
        <v>0.8331722873486441</v>
      </c>
      <c r="AC325" t="n">
        <v>1.177916355544104</v>
      </c>
      <c r="AD325" t="n">
        <v>1.299255906039141</v>
      </c>
      <c r="AE325" t="n">
        <v>1.349847837708169</v>
      </c>
      <c r="AF325" t="n">
        <v>1.765784458759586</v>
      </c>
      <c r="AG325" t="n">
        <v>1.739975213905275</v>
      </c>
      <c r="AH325" t="n">
        <v>1.714165969050963</v>
      </c>
      <c r="AI325" t="n">
        <v>1.677712709249595</v>
      </c>
      <c r="BI325" t="inlineStr">
        <is>
          <t>NOM_NEW_OB</t>
        </is>
      </c>
    </row>
    <row r="326">
      <c r="A326" t="inlineStr">
        <is>
          <t>Dominica_2022_January</t>
        </is>
      </c>
      <c r="B326" s="2" t="n"/>
      <c r="C326" s="3" t="inlineStr">
        <is>
          <t>SM.22.7, Sup.2</t>
        </is>
      </c>
      <c r="D326" s="4" t="inlineStr">
        <is>
          <t>Dominica</t>
        </is>
      </c>
      <c r="E326" s="4" t="inlineStr">
        <is>
          <t>DMA</t>
        </is>
      </c>
      <c r="F326" s="10" t="n">
        <v>44562</v>
      </c>
      <c r="G326" s="4" t="inlineStr">
        <is>
          <t>2018gn</t>
        </is>
      </c>
      <c r="H326" s="4" t="n">
        <v>2021</v>
      </c>
      <c r="I326" s="4" t="inlineStr">
        <is>
          <t>nom.val.dbt.pc</t>
        </is>
      </c>
      <c r="J326" t="inlineStr">
        <is>
          <t xml:space="preserve">   Paris Club</t>
        </is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</row>
    <row r="327">
      <c r="A327" t="inlineStr">
        <is>
          <t>Dominica_2022_January</t>
        </is>
      </c>
      <c r="B327" s="2" t="n"/>
      <c r="C327" s="3" t="inlineStr">
        <is>
          <t>SM.22.7, Sup.2</t>
        </is>
      </c>
      <c r="D327" s="4" t="inlineStr">
        <is>
          <t>Dominica</t>
        </is>
      </c>
      <c r="E327" s="4" t="inlineStr">
        <is>
          <t>DMA</t>
        </is>
      </c>
      <c r="F327" s="10" t="n">
        <v>44562</v>
      </c>
      <c r="G327" s="4" t="inlineStr">
        <is>
          <t>2018gn</t>
        </is>
      </c>
      <c r="H327" s="4" t="n">
        <v>2021</v>
      </c>
      <c r="I327" s="4" t="inlineStr">
        <is>
          <t>nom.val.dbt.pc1</t>
        </is>
      </c>
      <c r="J327" t="inlineStr">
        <is>
          <t>Export Credit Agencies</t>
        </is>
      </c>
      <c r="M327" t="n">
        <v>264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</row>
    <row r="328">
      <c r="A328" t="inlineStr">
        <is>
          <t>Dominica_2022_January</t>
        </is>
      </c>
      <c r="B328" s="2" t="n"/>
      <c r="C328" s="3" t="inlineStr">
        <is>
          <t>SM.22.7, Sup.2</t>
        </is>
      </c>
      <c r="D328" s="4" t="inlineStr">
        <is>
          <t>Dominica</t>
        </is>
      </c>
      <c r="E328" s="4" t="inlineStr">
        <is>
          <t>DMA</t>
        </is>
      </c>
      <c r="F328" s="10" t="n">
        <v>44562</v>
      </c>
      <c r="G328" s="4" t="inlineStr">
        <is>
          <t>2018gn</t>
        </is>
      </c>
      <c r="H328" s="4" t="n">
        <v>2021</v>
      </c>
      <c r="I328" s="4" t="inlineStr">
        <is>
          <t>nom.val.dbt.pc2</t>
        </is>
      </c>
      <c r="J328" t="inlineStr">
        <is>
          <t>PC2</t>
        </is>
      </c>
      <c r="M328" t="n">
        <v>290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</row>
    <row r="329">
      <c r="A329" t="inlineStr">
        <is>
          <t>Dominica_2022_January</t>
        </is>
      </c>
      <c r="B329" s="2" t="n"/>
      <c r="C329" s="3" t="inlineStr">
        <is>
          <t>SM.22.7, Sup.2</t>
        </is>
      </c>
      <c r="D329" s="4" t="inlineStr">
        <is>
          <t>Dominica</t>
        </is>
      </c>
      <c r="E329" s="4" t="inlineStr">
        <is>
          <t>DMA</t>
        </is>
      </c>
      <c r="F329" s="10" t="n">
        <v>44562</v>
      </c>
      <c r="G329" s="4" t="inlineStr">
        <is>
          <t>2018gn</t>
        </is>
      </c>
      <c r="H329" s="4" t="n">
        <v>2021</v>
      </c>
      <c r="I329" s="4" t="inlineStr">
        <is>
          <t>nom.val.dbt.pc3</t>
        </is>
      </c>
      <c r="J329" t="inlineStr">
        <is>
          <t>PC3</t>
        </is>
      </c>
      <c r="M329" t="n">
        <v>316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</row>
    <row r="330">
      <c r="A330" t="inlineStr">
        <is>
          <t>Dominica_2022_January</t>
        </is>
      </c>
      <c r="B330" s="2" t="n"/>
      <c r="C330" s="3" t="inlineStr">
        <is>
          <t>SM.22.7, Sup.2</t>
        </is>
      </c>
      <c r="D330" s="4" t="inlineStr">
        <is>
          <t>Dominica</t>
        </is>
      </c>
      <c r="E330" s="4" t="inlineStr">
        <is>
          <t>DMA</t>
        </is>
      </c>
      <c r="F330" s="10" t="n">
        <v>44562</v>
      </c>
      <c r="G330" s="4" t="inlineStr">
        <is>
          <t>2018gn</t>
        </is>
      </c>
      <c r="H330" s="4" t="n">
        <v>2021</v>
      </c>
      <c r="I330" s="4" t="inlineStr">
        <is>
          <t>nom.val.dbt.pc4</t>
        </is>
      </c>
      <c r="J330" t="inlineStr">
        <is>
          <t>PC4</t>
        </is>
      </c>
      <c r="M330" t="n">
        <v>342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</row>
    <row r="331">
      <c r="A331" t="inlineStr">
        <is>
          <t>Dominica_2022_January</t>
        </is>
      </c>
      <c r="B331" s="2" t="n"/>
      <c r="C331" s="3" t="inlineStr">
        <is>
          <t>SM.22.7, Sup.2</t>
        </is>
      </c>
      <c r="D331" s="4" t="inlineStr">
        <is>
          <t>Dominica</t>
        </is>
      </c>
      <c r="E331" s="4" t="inlineStr">
        <is>
          <t>DMA</t>
        </is>
      </c>
      <c r="F331" s="10" t="n">
        <v>44562</v>
      </c>
      <c r="G331" s="4" t="inlineStr">
        <is>
          <t>2018gn</t>
        </is>
      </c>
      <c r="H331" s="4" t="n">
        <v>2021</v>
      </c>
      <c r="I331" s="4" t="inlineStr">
        <is>
          <t>nom.val.dbt.pc5</t>
        </is>
      </c>
      <c r="J331" t="inlineStr">
        <is>
          <t>PC5</t>
        </is>
      </c>
      <c r="M331" t="n">
        <v>368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</row>
    <row r="332">
      <c r="A332" t="inlineStr">
        <is>
          <t>Dominica_2022_January</t>
        </is>
      </c>
      <c r="B332" s="2" t="n"/>
      <c r="C332" s="3" t="inlineStr">
        <is>
          <t>SM.22.7, Sup.2</t>
        </is>
      </c>
      <c r="D332" s="4" t="inlineStr">
        <is>
          <t>Dominica</t>
        </is>
      </c>
      <c r="E332" s="4" t="inlineStr">
        <is>
          <t>DMA</t>
        </is>
      </c>
      <c r="F332" s="10" t="n">
        <v>44562</v>
      </c>
      <c r="G332" s="4" t="inlineStr">
        <is>
          <t>2018gn</t>
        </is>
      </c>
      <c r="H332" s="4" t="n">
        <v>2021</v>
      </c>
      <c r="I332" s="4" t="inlineStr">
        <is>
          <t>nom.val.dbt.npc</t>
        </is>
      </c>
      <c r="J332" t="inlineStr">
        <is>
          <t xml:space="preserve">   Non-Paris Club</t>
        </is>
      </c>
      <c r="O332" t="n">
        <v>0.0103367389970622</v>
      </c>
      <c r="P332" t="n">
        <v>0.01250980676396101</v>
      </c>
      <c r="Q332" t="n">
        <v>0.01250980676396101</v>
      </c>
      <c r="R332" t="n">
        <v>0.01250980676396101</v>
      </c>
      <c r="S332" t="n">
        <v>0.09757108054398281</v>
      </c>
      <c r="T332" t="n">
        <v>0.1256834485566097</v>
      </c>
      <c r="U332" t="n">
        <v>0.1253702140415472</v>
      </c>
      <c r="V332" t="n">
        <v>0.2140857073253932</v>
      </c>
      <c r="W332" t="n">
        <v>0.2137066222719398</v>
      </c>
      <c r="X332" t="n">
        <v>0.2133275372184865</v>
      </c>
      <c r="Y332" t="n">
        <v>0.6548894622277407</v>
      </c>
      <c r="Z332" t="n">
        <v>0.8258103103167403</v>
      </c>
      <c r="AA332" t="n">
        <v>0.8396807124060353</v>
      </c>
      <c r="AB332" t="n">
        <v>0.8331722873486441</v>
      </c>
      <c r="AC332" t="n">
        <v>1.177916355544104</v>
      </c>
      <c r="AD332" t="n">
        <v>1.299255906039141</v>
      </c>
      <c r="AE332" t="n">
        <v>1.349847837708169</v>
      </c>
      <c r="AF332" t="n">
        <v>1.765784458759586</v>
      </c>
      <c r="AG332" t="n">
        <v>1.739975213905275</v>
      </c>
      <c r="AH332" t="n">
        <v>1.714165969050963</v>
      </c>
      <c r="AI332" t="n">
        <v>1.677712709249595</v>
      </c>
    </row>
    <row r="333">
      <c r="A333" t="inlineStr">
        <is>
          <t>Dominica_2022_January</t>
        </is>
      </c>
      <c r="B333" s="2" t="n"/>
      <c r="C333" s="3" t="inlineStr">
        <is>
          <t>SM.22.7, Sup.2</t>
        </is>
      </c>
      <c r="D333" s="4" t="inlineStr">
        <is>
          <t>Dominica</t>
        </is>
      </c>
      <c r="E333" s="4" t="inlineStr">
        <is>
          <t>DMA</t>
        </is>
      </c>
      <c r="F333" s="10" t="n">
        <v>44562</v>
      </c>
      <c r="G333" s="4" t="inlineStr">
        <is>
          <t>2018gn</t>
        </is>
      </c>
      <c r="H333" s="4" t="n">
        <v>2021</v>
      </c>
      <c r="I333" s="4" t="inlineStr">
        <is>
          <t>nom.val.dbt.npc.eximbk</t>
        </is>
      </c>
      <c r="J333" t="inlineStr">
        <is>
          <t>NPC2</t>
        </is>
      </c>
      <c r="M333" t="n">
        <v>394</v>
      </c>
      <c r="O333" t="n">
        <v>0.0103367389970622</v>
      </c>
      <c r="P333" t="n">
        <v>0.01250980676396101</v>
      </c>
      <c r="Q333" t="n">
        <v>0.01250980676396101</v>
      </c>
      <c r="R333" t="n">
        <v>0.01250980676396101</v>
      </c>
      <c r="S333" t="n">
        <v>0.09757108054398281</v>
      </c>
      <c r="T333" t="n">
        <v>0.1256834485566097</v>
      </c>
      <c r="U333" t="n">
        <v>0.1253702140415472</v>
      </c>
      <c r="V333" t="n">
        <v>0.2140857073253932</v>
      </c>
      <c r="W333" t="n">
        <v>0.2137066222719398</v>
      </c>
      <c r="X333" t="n">
        <v>0.2133275372184865</v>
      </c>
      <c r="Y333" t="n">
        <v>0.6548894622277407</v>
      </c>
      <c r="Z333" t="n">
        <v>0.8258103103167403</v>
      </c>
      <c r="AA333" t="n">
        <v>0.8396807124060353</v>
      </c>
      <c r="AB333" t="n">
        <v>0.8331722873486441</v>
      </c>
      <c r="AC333" t="n">
        <v>1.177916355544104</v>
      </c>
      <c r="AD333" t="n">
        <v>1.299255906039141</v>
      </c>
      <c r="AE333" t="n">
        <v>1.349847837708169</v>
      </c>
      <c r="AF333" t="n">
        <v>1.765784458759586</v>
      </c>
      <c r="AG333" t="n">
        <v>1.739975213905275</v>
      </c>
      <c r="AH333" t="n">
        <v>1.714165969050963</v>
      </c>
      <c r="AI333" t="n">
        <v>1.677712709249595</v>
      </c>
    </row>
    <row r="334">
      <c r="A334" t="inlineStr">
        <is>
          <t>Dominica_2022_January</t>
        </is>
      </c>
      <c r="B334" s="2" t="n"/>
      <c r="C334" s="3" t="inlineStr">
        <is>
          <t>SM.22.7, Sup.2</t>
        </is>
      </c>
      <c r="D334" s="4" t="inlineStr">
        <is>
          <t>Dominica</t>
        </is>
      </c>
      <c r="E334" s="4" t="inlineStr">
        <is>
          <t>DMA</t>
        </is>
      </c>
      <c r="F334" s="10" t="n">
        <v>44562</v>
      </c>
      <c r="G334" s="4" t="inlineStr">
        <is>
          <t>2018gn</t>
        </is>
      </c>
      <c r="H334" s="4" t="n">
        <v>2021</v>
      </c>
      <c r="I334" s="4" t="inlineStr">
        <is>
          <t>nom.val.dbt.npc2</t>
        </is>
      </c>
      <c r="J334" t="inlineStr">
        <is>
          <t>NPC2</t>
        </is>
      </c>
      <c r="M334" t="n">
        <v>420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</row>
    <row r="335">
      <c r="A335" t="inlineStr">
        <is>
          <t>Dominica_2022_January</t>
        </is>
      </c>
      <c r="B335" s="2" t="n"/>
      <c r="C335" s="3" t="inlineStr">
        <is>
          <t>SM.22.7, Sup.2</t>
        </is>
      </c>
      <c r="D335" s="4" t="inlineStr">
        <is>
          <t>Dominica</t>
        </is>
      </c>
      <c r="E335" s="4" t="inlineStr">
        <is>
          <t>DMA</t>
        </is>
      </c>
      <c r="F335" s="10" t="n">
        <v>44562</v>
      </c>
      <c r="G335" s="4" t="inlineStr">
        <is>
          <t>2018gn</t>
        </is>
      </c>
      <c r="H335" s="4" t="n">
        <v>2021</v>
      </c>
      <c r="I335" s="4" t="inlineStr">
        <is>
          <t>nom.val.dbt.npc3</t>
        </is>
      </c>
      <c r="J335" t="inlineStr">
        <is>
          <t>NPC3</t>
        </is>
      </c>
      <c r="M335" t="n">
        <v>446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</row>
    <row r="336">
      <c r="A336" t="inlineStr">
        <is>
          <t>Dominica_2022_January</t>
        </is>
      </c>
      <c r="B336" s="2" t="n"/>
      <c r="C336" s="3" t="inlineStr">
        <is>
          <t>SM.22.7, Sup.2</t>
        </is>
      </c>
      <c r="D336" s="4" t="inlineStr">
        <is>
          <t>Dominica</t>
        </is>
      </c>
      <c r="E336" s="4" t="inlineStr">
        <is>
          <t>DMA</t>
        </is>
      </c>
      <c r="F336" s="10" t="n">
        <v>44562</v>
      </c>
      <c r="G336" s="4" t="inlineStr">
        <is>
          <t>2018gn</t>
        </is>
      </c>
      <c r="H336" s="4" t="n">
        <v>2021</v>
      </c>
      <c r="I336" s="4" t="inlineStr">
        <is>
          <t>nom.val.dbt.npc4</t>
        </is>
      </c>
      <c r="J336" t="inlineStr">
        <is>
          <t>NPC4</t>
        </is>
      </c>
      <c r="M336" t="n">
        <v>472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</row>
    <row r="337">
      <c r="A337" t="inlineStr">
        <is>
          <t>Dominica_2022_January</t>
        </is>
      </c>
      <c r="B337" s="2" t="n"/>
      <c r="C337" s="3" t="inlineStr">
        <is>
          <t>SM.22.7, Sup.2</t>
        </is>
      </c>
      <c r="D337" s="4" t="inlineStr">
        <is>
          <t>Dominica</t>
        </is>
      </c>
      <c r="E337" s="4" t="inlineStr">
        <is>
          <t>DMA</t>
        </is>
      </c>
      <c r="F337" s="10" t="n">
        <v>44562</v>
      </c>
      <c r="G337" s="4" t="inlineStr">
        <is>
          <t>2018gn</t>
        </is>
      </c>
      <c r="H337" s="4" t="n">
        <v>2021</v>
      </c>
      <c r="I337" s="4" t="inlineStr">
        <is>
          <t>nom.val.dbt.npc5</t>
        </is>
      </c>
      <c r="J337" t="inlineStr">
        <is>
          <t>NPC5</t>
        </is>
      </c>
      <c r="M337" t="n">
        <v>498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</row>
    <row r="338">
      <c r="A338" t="inlineStr">
        <is>
          <t>Dominica_2022_January</t>
        </is>
      </c>
      <c r="B338" s="2" t="n"/>
      <c r="C338" s="3" t="inlineStr">
        <is>
          <t>SM.22.7, Sup.2</t>
        </is>
      </c>
      <c r="D338" s="4" t="inlineStr">
        <is>
          <t>Dominica</t>
        </is>
      </c>
      <c r="E338" s="4" t="inlineStr">
        <is>
          <t>DMA</t>
        </is>
      </c>
      <c r="F338" s="10" t="n">
        <v>44562</v>
      </c>
      <c r="G338" s="4" t="inlineStr">
        <is>
          <t>2018gn</t>
        </is>
      </c>
      <c r="H338" s="4" t="n">
        <v>2021</v>
      </c>
      <c r="I338" s="4" t="inlineStr">
        <is>
          <t>nom.val.dbt.prvt</t>
        </is>
      </c>
      <c r="J338" t="inlineStr">
        <is>
          <t>Commercial</t>
        </is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BI338" t="inlineStr">
        <is>
          <t>NOM_NEW_COM</t>
        </is>
      </c>
    </row>
    <row r="339">
      <c r="A339" t="inlineStr">
        <is>
          <t>Dominica_2022_January</t>
        </is>
      </c>
      <c r="B339" s="2" t="n"/>
      <c r="C339" s="3" t="inlineStr">
        <is>
          <t>SM.22.7, Sup.2</t>
        </is>
      </c>
      <c r="D339" s="4" t="inlineStr">
        <is>
          <t>Dominica</t>
        </is>
      </c>
      <c r="E339" s="4" t="inlineStr">
        <is>
          <t>DMA</t>
        </is>
      </c>
      <c r="F339" s="10" t="n">
        <v>44562</v>
      </c>
      <c r="G339" s="4" t="inlineStr">
        <is>
          <t>2018gn</t>
        </is>
      </c>
      <c r="H339" s="4" t="n">
        <v>2021</v>
      </c>
      <c r="I339" s="4" t="inlineStr">
        <is>
          <t>nom.val.dbt.prvt.bnd</t>
        </is>
      </c>
      <c r="J339" t="inlineStr">
        <is>
          <t>Eurobond</t>
        </is>
      </c>
      <c r="M339" t="n">
        <v>524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</row>
    <row r="340">
      <c r="A340" t="inlineStr">
        <is>
          <t>Dominica_2022_January</t>
        </is>
      </c>
      <c r="B340" s="2" t="n"/>
      <c r="C340" s="3" t="inlineStr">
        <is>
          <t>SM.22.7, Sup.2</t>
        </is>
      </c>
      <c r="D340" s="4" t="inlineStr">
        <is>
          <t>Dominica</t>
        </is>
      </c>
      <c r="E340" s="4" t="inlineStr">
        <is>
          <t>DMA</t>
        </is>
      </c>
      <c r="F340" s="10" t="n">
        <v>44562</v>
      </c>
      <c r="G340" s="4" t="inlineStr">
        <is>
          <t>2018gn</t>
        </is>
      </c>
      <c r="H340" s="4" t="n">
        <v>2021</v>
      </c>
      <c r="I340" s="4" t="inlineStr">
        <is>
          <t>nom.val.dbt.prvt.cmbk</t>
        </is>
      </c>
      <c r="J340" t="inlineStr">
        <is>
          <t>Commecial Bank</t>
        </is>
      </c>
      <c r="M340" t="n">
        <v>550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</row>
    <row r="341">
      <c r="A341" t="inlineStr">
        <is>
          <t>Dominica_2022_January</t>
        </is>
      </c>
      <c r="B341" s="2" t="n"/>
      <c r="C341" s="3" t="inlineStr">
        <is>
          <t>SM.22.7, Sup.2</t>
        </is>
      </c>
      <c r="D341" s="4" t="inlineStr">
        <is>
          <t>Dominica</t>
        </is>
      </c>
      <c r="E341" s="4" t="inlineStr">
        <is>
          <t>DMA</t>
        </is>
      </c>
      <c r="F341" s="10" t="n">
        <v>44562</v>
      </c>
      <c r="G341" s="4" t="inlineStr">
        <is>
          <t>2018gn</t>
        </is>
      </c>
      <c r="H341" s="4" t="n">
        <v>2021</v>
      </c>
      <c r="I341" s="4" t="inlineStr">
        <is>
          <t>nom.val.dbt.prvt.com3</t>
        </is>
      </c>
      <c r="J341" t="inlineStr">
        <is>
          <t>COM3</t>
        </is>
      </c>
      <c r="M341" t="n">
        <v>576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</row>
    <row r="342">
      <c r="A342" t="inlineStr">
        <is>
          <t>Dominica_2022_January</t>
        </is>
      </c>
      <c r="B342" s="2" t="n"/>
      <c r="C342" s="3" t="inlineStr">
        <is>
          <t>SM.22.7, Sup.2</t>
        </is>
      </c>
      <c r="D342" s="4" t="inlineStr">
        <is>
          <t>Dominica</t>
        </is>
      </c>
      <c r="E342" s="4" t="inlineStr">
        <is>
          <t>DMA</t>
        </is>
      </c>
      <c r="F342" s="10" t="n">
        <v>44562</v>
      </c>
      <c r="G342" s="4" t="inlineStr">
        <is>
          <t>2018gn</t>
        </is>
      </c>
      <c r="H342" s="4" t="n">
        <v>2021</v>
      </c>
      <c r="I342" s="4" t="inlineStr">
        <is>
          <t>nom.val.dbt.prvt.com4</t>
        </is>
      </c>
      <c r="J342" t="inlineStr">
        <is>
          <t>COM4</t>
        </is>
      </c>
      <c r="M342" t="n">
        <v>602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</row>
    <row r="343">
      <c r="A343" t="inlineStr">
        <is>
          <t>Dominica_2022_January</t>
        </is>
      </c>
      <c r="B343" s="2" t="n"/>
      <c r="C343" s="3" t="inlineStr">
        <is>
          <t>SM.22.7, Sup.2</t>
        </is>
      </c>
      <c r="D343" s="4" t="inlineStr">
        <is>
          <t>Dominica</t>
        </is>
      </c>
      <c r="E343" s="4" t="inlineStr">
        <is>
          <t>DMA</t>
        </is>
      </c>
      <c r="F343" s="10" t="n">
        <v>44562</v>
      </c>
      <c r="G343" s="4" t="inlineStr">
        <is>
          <t>2018gn</t>
        </is>
      </c>
      <c r="H343" s="4" t="n">
        <v>2021</v>
      </c>
      <c r="I343" s="4" t="inlineStr">
        <is>
          <t>nom.val.dbt.prvt.com5</t>
        </is>
      </c>
      <c r="J343" t="inlineStr">
        <is>
          <t>COM5</t>
        </is>
      </c>
      <c r="M343" t="n">
        <v>628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</row>
    <row r="344">
      <c r="A344" t="inlineStr">
        <is>
          <t>Dominica_2022_January</t>
        </is>
      </c>
      <c r="B344" s="2" t="n"/>
      <c r="C344" s="3" t="inlineStr">
        <is>
          <t>SM.22.7, Sup.2</t>
        </is>
      </c>
      <c r="D344" s="4" t="inlineStr">
        <is>
          <t>Dominica</t>
        </is>
      </c>
      <c r="E344" s="4" t="inlineStr">
        <is>
          <t>DMA</t>
        </is>
      </c>
      <c r="F344" s="10" t="n">
        <v>44562</v>
      </c>
      <c r="G344" s="4" t="inlineStr">
        <is>
          <t>2018gn</t>
        </is>
      </c>
      <c r="H344" s="4" t="n">
        <v>2021</v>
      </c>
      <c r="I344" s="4" t="inlineStr">
        <is>
          <t>nom.val.dbt.lcl.iss.nres</t>
        </is>
      </c>
      <c r="J344" t="inlineStr">
        <is>
          <t>Locally-issued debt held by non-residents</t>
        </is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</row>
    <row r="345">
      <c r="A345" t="inlineStr">
        <is>
          <t>Dominica_2022_January</t>
        </is>
      </c>
      <c r="B345" s="2" t="n"/>
      <c r="C345" s="3" t="inlineStr">
        <is>
          <t>SM.22.7, Sup.2</t>
        </is>
      </c>
      <c r="D345" s="4" t="inlineStr">
        <is>
          <t>Dominica</t>
        </is>
      </c>
      <c r="E345" s="4" t="inlineStr">
        <is>
          <t>DMA</t>
        </is>
      </c>
      <c r="F345" s="10" t="n">
        <v>44562</v>
      </c>
      <c r="G345" s="4" t="inlineStr">
        <is>
          <t>2018gn</t>
        </is>
      </c>
      <c r="H345" s="4" t="n">
        <v>2021</v>
      </c>
      <c r="I345" s="4" t="inlineStr">
        <is>
          <t>pn.new.dbt.lcl.nres.lc</t>
        </is>
      </c>
      <c r="J345" t="inlineStr">
        <is>
          <t>Denominated in local currency (LC)</t>
        </is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</row>
    <row r="346">
      <c r="A346" t="inlineStr">
        <is>
          <t>Dominica_2022_January</t>
        </is>
      </c>
      <c r="B346" s="2" t="n"/>
      <c r="C346" s="3" t="inlineStr">
        <is>
          <t>SM.22.7, Sup.2</t>
        </is>
      </c>
      <c r="D346" s="4" t="inlineStr">
        <is>
          <t>Dominica</t>
        </is>
      </c>
      <c r="E346" s="4" t="inlineStr">
        <is>
          <t>DMA</t>
        </is>
      </c>
      <c r="F346" s="10" t="n">
        <v>44562</v>
      </c>
      <c r="G346" s="4" t="inlineStr">
        <is>
          <t>2018gn</t>
        </is>
      </c>
      <c r="H346" s="4" t="n">
        <v>2021</v>
      </c>
      <c r="I346" s="4" t="inlineStr">
        <is>
          <t>pn.new.dbt.lcl.nres.bnd.1to3.lc</t>
        </is>
      </c>
      <c r="J346" t="inlineStr">
        <is>
          <t>Bonds (1 to 3 years)-LC</t>
        </is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</row>
    <row r="347">
      <c r="A347" t="inlineStr">
        <is>
          <t>Dominica_2022_January</t>
        </is>
      </c>
      <c r="B347" s="2" t="n"/>
      <c r="C347" s="3" t="inlineStr">
        <is>
          <t>SM.22.7, Sup.2</t>
        </is>
      </c>
      <c r="D347" s="4" t="inlineStr">
        <is>
          <t>Dominica</t>
        </is>
      </c>
      <c r="E347" s="4" t="inlineStr">
        <is>
          <t>DMA</t>
        </is>
      </c>
      <c r="F347" s="10" t="n">
        <v>44562</v>
      </c>
      <c r="G347" s="4" t="inlineStr">
        <is>
          <t>2018gn</t>
        </is>
      </c>
      <c r="H347" s="4" t="n">
        <v>2021</v>
      </c>
      <c r="I347" s="4" t="inlineStr">
        <is>
          <t>pn.new.dbt.lcl.nres.bnd.4to7.lc</t>
        </is>
      </c>
      <c r="J347" t="inlineStr">
        <is>
          <t>Bonds (4 to 7 years)-LC</t>
        </is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</row>
    <row r="348">
      <c r="A348" t="inlineStr">
        <is>
          <t>Dominica_2022_January</t>
        </is>
      </c>
      <c r="B348" s="2" t="n"/>
      <c r="C348" s="3" t="inlineStr">
        <is>
          <t>SM.22.7, Sup.2</t>
        </is>
      </c>
      <c r="D348" s="4" t="inlineStr">
        <is>
          <t>Dominica</t>
        </is>
      </c>
      <c r="E348" s="4" t="inlineStr">
        <is>
          <t>DMA</t>
        </is>
      </c>
      <c r="F348" s="10" t="n">
        <v>44562</v>
      </c>
      <c r="G348" s="4" t="inlineStr">
        <is>
          <t>2018gn</t>
        </is>
      </c>
      <c r="H348" s="4" t="n">
        <v>2021</v>
      </c>
      <c r="I348" s="4" t="inlineStr">
        <is>
          <t>pn.new.dbt.lcl.nres.bnd.byd7.lc</t>
        </is>
      </c>
      <c r="J348" t="inlineStr">
        <is>
          <t>Bonds (beyond 7 years)-LC</t>
        </is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</row>
    <row r="349">
      <c r="A349" t="inlineStr">
        <is>
          <t>Dominica_2022_January</t>
        </is>
      </c>
      <c r="B349" s="2" t="n"/>
      <c r="C349" s="3" t="inlineStr">
        <is>
          <t>SM.22.7, Sup.2</t>
        </is>
      </c>
      <c r="D349" s="4" t="inlineStr">
        <is>
          <t>Dominica</t>
        </is>
      </c>
      <c r="E349" s="4" t="inlineStr">
        <is>
          <t>DMA</t>
        </is>
      </c>
      <c r="F349" s="10" t="n">
        <v>44562</v>
      </c>
      <c r="G349" s="4" t="inlineStr">
        <is>
          <t>2018gn</t>
        </is>
      </c>
      <c r="H349" s="4" t="n">
        <v>2021</v>
      </c>
      <c r="I349" s="4" t="inlineStr">
        <is>
          <t>pn.new.dbt.lcl.nres.fx</t>
        </is>
      </c>
      <c r="J349" t="inlineStr">
        <is>
          <t>Denominated in foreign currency (FX)</t>
        </is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</row>
    <row r="350">
      <c r="A350" t="inlineStr">
        <is>
          <t>Dominica_2022_January</t>
        </is>
      </c>
      <c r="B350" s="2" t="n"/>
      <c r="C350" s="3" t="inlineStr">
        <is>
          <t>SM.22.7, Sup.2</t>
        </is>
      </c>
      <c r="D350" s="4" t="inlineStr">
        <is>
          <t>Dominica</t>
        </is>
      </c>
      <c r="E350" s="4" t="inlineStr">
        <is>
          <t>DMA</t>
        </is>
      </c>
      <c r="F350" s="10" t="n">
        <v>44562</v>
      </c>
      <c r="G350" s="4" t="inlineStr">
        <is>
          <t>2018gn</t>
        </is>
      </c>
      <c r="H350" s="4" t="n">
        <v>2021</v>
      </c>
      <c r="I350" s="4" t="inlineStr">
        <is>
          <t>pn.new.dbt.lcl.nres.bnd.1to3.fx</t>
        </is>
      </c>
      <c r="J350" t="inlineStr">
        <is>
          <t>Bonds (1 to 3 years)-FX</t>
        </is>
      </c>
      <c r="M350" t="n">
        <v>654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</row>
    <row r="351">
      <c r="A351" t="inlineStr">
        <is>
          <t>Dominica_2022_January</t>
        </is>
      </c>
      <c r="B351" s="2" t="n"/>
      <c r="C351" s="3" t="inlineStr">
        <is>
          <t>SM.22.7, Sup.2</t>
        </is>
      </c>
      <c r="D351" s="4" t="inlineStr">
        <is>
          <t>Dominica</t>
        </is>
      </c>
      <c r="E351" s="4" t="inlineStr">
        <is>
          <t>DMA</t>
        </is>
      </c>
      <c r="F351" s="10" t="n">
        <v>44562</v>
      </c>
      <c r="G351" s="4" t="inlineStr">
        <is>
          <t>2018gn</t>
        </is>
      </c>
      <c r="H351" s="4" t="n">
        <v>2021</v>
      </c>
      <c r="I351" s="4" t="inlineStr">
        <is>
          <t>pn.new.dbt.lcl.nres.bnd.4to7.fx</t>
        </is>
      </c>
      <c r="J351" t="inlineStr">
        <is>
          <t>Bonds (4 to 7 years)-FX</t>
        </is>
      </c>
      <c r="M351" t="n">
        <v>680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</row>
    <row r="352">
      <c r="A352" t="inlineStr">
        <is>
          <t>Dominica_2022_January</t>
        </is>
      </c>
      <c r="B352" s="2" t="n"/>
      <c r="C352" s="3" t="inlineStr">
        <is>
          <t>SM.22.7, Sup.2</t>
        </is>
      </c>
      <c r="D352" s="4" t="inlineStr">
        <is>
          <t>Dominica</t>
        </is>
      </c>
      <c r="E352" s="4" t="inlineStr">
        <is>
          <t>DMA</t>
        </is>
      </c>
      <c r="F352" s="10" t="n">
        <v>44562</v>
      </c>
      <c r="G352" s="4" t="inlineStr">
        <is>
          <t>2018gn</t>
        </is>
      </c>
      <c r="H352" s="4" t="n">
        <v>2021</v>
      </c>
      <c r="I352" s="4" t="inlineStr">
        <is>
          <t>pn.new.dbt.lcl.nres.bnd.byd7.fx</t>
        </is>
      </c>
      <c r="J352" t="inlineStr">
        <is>
          <t>Bonds (beyond 7 years)-FX</t>
        </is>
      </c>
      <c r="M352" t="n">
        <v>706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</row>
    <row r="353">
      <c r="A353" t="inlineStr">
        <is>
          <t>Dominica_2022_January</t>
        </is>
      </c>
      <c r="B353" s="2" t="n"/>
      <c r="C353" s="3" t="inlineStr">
        <is>
          <t>SM.22.7, Sup.2</t>
        </is>
      </c>
      <c r="D353" s="4" t="inlineStr">
        <is>
          <t>Dominica</t>
        </is>
      </c>
      <c r="E353" s="4" t="inlineStr">
        <is>
          <t>DMA</t>
        </is>
      </c>
      <c r="F353" s="10" t="n">
        <v>44562</v>
      </c>
      <c r="G353" s="4" t="inlineStr">
        <is>
          <t>2018gn</t>
        </is>
      </c>
      <c r="H353" s="4" t="n">
        <v>2021</v>
      </c>
      <c r="I353" s="5" t="n"/>
      <c r="J353" t="inlineStr">
        <is>
          <t>Locally-issued debt held by residents</t>
        </is>
      </c>
    </row>
    <row r="354">
      <c r="A354" t="inlineStr">
        <is>
          <t>Dominica_2022_January</t>
        </is>
      </c>
      <c r="B354" s="2" t="n"/>
      <c r="C354" s="3" t="inlineStr">
        <is>
          <t>SM.22.7, Sup.2</t>
        </is>
      </c>
      <c r="D354" s="4" t="inlineStr">
        <is>
          <t>Dominica</t>
        </is>
      </c>
      <c r="E354" s="4" t="inlineStr">
        <is>
          <t>DMA</t>
        </is>
      </c>
      <c r="F354" s="10" t="n">
        <v>44562</v>
      </c>
      <c r="G354" s="4" t="inlineStr">
        <is>
          <t>2018gn</t>
        </is>
      </c>
      <c r="H354" s="4" t="n">
        <v>2021</v>
      </c>
      <c r="I354" s="4" t="inlineStr">
        <is>
          <t>pn.new.dbt.lcl.fx</t>
        </is>
      </c>
      <c r="J354" t="inlineStr">
        <is>
          <t>Denominated in foreign currency (FX)</t>
        </is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</row>
    <row r="355">
      <c r="A355" t="inlineStr">
        <is>
          <t>Dominica_2022_January</t>
        </is>
      </c>
      <c r="B355" s="2" t="n"/>
      <c r="C355" s="3" t="inlineStr">
        <is>
          <t>SM.22.7, Sup.2</t>
        </is>
      </c>
      <c r="D355" s="4" t="inlineStr">
        <is>
          <t>Dominica</t>
        </is>
      </c>
      <c r="E355" s="4" t="inlineStr">
        <is>
          <t>DMA</t>
        </is>
      </c>
      <c r="F355" s="10" t="n">
        <v>44562</v>
      </c>
      <c r="G355" s="4" t="inlineStr">
        <is>
          <t>2018gn</t>
        </is>
      </c>
      <c r="H355" s="4" t="n">
        <v>2021</v>
      </c>
      <c r="I355" s="4" t="inlineStr">
        <is>
          <t>pn.new.dbt.lcl.fx.bnd.1to3.fx</t>
        </is>
      </c>
      <c r="J355" t="inlineStr">
        <is>
          <t>Bonds (1 to 3 years)-FX</t>
        </is>
      </c>
      <c r="M355" t="n">
        <v>732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</row>
    <row r="356">
      <c r="A356" t="inlineStr">
        <is>
          <t>Dominica_2022_January</t>
        </is>
      </c>
      <c r="B356" s="2" t="n"/>
      <c r="C356" s="3" t="inlineStr">
        <is>
          <t>SM.22.7, Sup.2</t>
        </is>
      </c>
      <c r="D356" s="4" t="inlineStr">
        <is>
          <t>Dominica</t>
        </is>
      </c>
      <c r="E356" s="4" t="inlineStr">
        <is>
          <t>DMA</t>
        </is>
      </c>
      <c r="F356" s="10" t="n">
        <v>44562</v>
      </c>
      <c r="G356" s="4" t="inlineStr">
        <is>
          <t>2018gn</t>
        </is>
      </c>
      <c r="H356" s="4" t="n">
        <v>2021</v>
      </c>
      <c r="I356" s="4" t="inlineStr">
        <is>
          <t>pn.new.dbt.lcl.fx.bnd.4to7.fx</t>
        </is>
      </c>
      <c r="J356" t="inlineStr">
        <is>
          <t>Bonds (4 to 7 years)-FX</t>
        </is>
      </c>
      <c r="M356" t="n">
        <v>758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</row>
    <row r="357">
      <c r="A357" t="inlineStr">
        <is>
          <t>Dominica_2022_January</t>
        </is>
      </c>
      <c r="B357" s="2" t="n"/>
      <c r="C357" s="3" t="inlineStr">
        <is>
          <t>SM.22.7, Sup.2</t>
        </is>
      </c>
      <c r="D357" s="4" t="inlineStr">
        <is>
          <t>Dominica</t>
        </is>
      </c>
      <c r="E357" s="4" t="inlineStr">
        <is>
          <t>DMA</t>
        </is>
      </c>
      <c r="F357" s="10" t="n">
        <v>44562</v>
      </c>
      <c r="G357" s="4" t="inlineStr">
        <is>
          <t>2018gn</t>
        </is>
      </c>
      <c r="H357" s="4" t="n">
        <v>2021</v>
      </c>
      <c r="I357" s="4" t="inlineStr">
        <is>
          <t>pn.new.dbt.lcl.fx.bnd.byd7.fx</t>
        </is>
      </c>
      <c r="J357" t="inlineStr">
        <is>
          <t>Bonds (beyond 7 years)-FX</t>
        </is>
      </c>
      <c r="M357" t="n">
        <v>784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</row>
    <row r="358">
      <c r="A358" t="inlineStr">
        <is>
          <t>Dominica_2022_January</t>
        </is>
      </c>
      <c r="B358" s="2" t="n"/>
      <c r="C358" s="3" t="inlineStr">
        <is>
          <t>SM.22.7, Sup.2</t>
        </is>
      </c>
      <c r="D358" s="4" t="inlineStr">
        <is>
          <t>Dominica</t>
        </is>
      </c>
      <c r="E358" s="4" t="inlineStr">
        <is>
          <t>DMA</t>
        </is>
      </c>
      <c r="F358" s="10" t="n">
        <v>44562</v>
      </c>
      <c r="G358" s="4" t="inlineStr">
        <is>
          <t>2018gn</t>
        </is>
      </c>
      <c r="H358" s="4" t="n">
        <v>2021</v>
      </c>
      <c r="I358" s="5" t="n"/>
    </row>
    <row r="359">
      <c r="A359" t="inlineStr">
        <is>
          <t>Dominica_2022_January</t>
        </is>
      </c>
      <c r="B359" s="2" t="n"/>
      <c r="C359" s="3" t="inlineStr">
        <is>
          <t>SM.22.7, Sup.2</t>
        </is>
      </c>
      <c r="D359" s="4" t="inlineStr">
        <is>
          <t>Dominica</t>
        </is>
      </c>
      <c r="E359" s="4" t="inlineStr">
        <is>
          <t>DMA</t>
        </is>
      </c>
      <c r="F359" s="10" t="n">
        <v>44562</v>
      </c>
      <c r="G359" s="4" t="inlineStr">
        <is>
          <t>2018gn</t>
        </is>
      </c>
      <c r="H359" s="4" t="n">
        <v>2021</v>
      </c>
      <c r="I359" s="4" t="inlineStr">
        <is>
          <t>sht.trm.dbt</t>
        </is>
      </c>
      <c r="J359" t="inlineStr">
        <is>
          <t>Nominal value (=PV) of ST debt (excluding locally-issued debt)</t>
        </is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BI359" t="inlineStr">
        <is>
          <t>NOM_NEW_ST</t>
        </is>
      </c>
    </row>
    <row r="360">
      <c r="A360" t="inlineStr">
        <is>
          <t>Dominica_2022_January</t>
        </is>
      </c>
      <c r="B360" s="2" t="n"/>
      <c r="C360" s="3" t="inlineStr">
        <is>
          <t>SM.22.7, Sup.2</t>
        </is>
      </c>
      <c r="D360" s="4" t="inlineStr">
        <is>
          <t>Dominica</t>
        </is>
      </c>
      <c r="E360" s="4" t="inlineStr">
        <is>
          <t>DMA</t>
        </is>
      </c>
      <c r="F360" s="10" t="n">
        <v>44562</v>
      </c>
      <c r="G360" s="4" t="inlineStr">
        <is>
          <t>2018gn</t>
        </is>
      </c>
      <c r="H360" s="4" t="n">
        <v>2021</v>
      </c>
      <c r="I360" s="4" t="inlineStr">
        <is>
          <t>sht.trm.dbt.int</t>
        </is>
      </c>
      <c r="J360" t="inlineStr">
        <is>
          <t>Interest</t>
        </is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BI360" t="inlineStr">
        <is>
          <t>NOM_NEW_ST_I</t>
        </is>
      </c>
    </row>
    <row r="361">
      <c r="A361" t="inlineStr">
        <is>
          <t>Dominica_2022_January</t>
        </is>
      </c>
      <c r="B361" s="2" t="n"/>
      <c r="C361" s="3" t="inlineStr">
        <is>
          <t>SM.22.7, Sup.2</t>
        </is>
      </c>
      <c r="D361" s="4" t="inlineStr">
        <is>
          <t>Dominica</t>
        </is>
      </c>
      <c r="E361" s="4" t="inlineStr">
        <is>
          <t>DMA</t>
        </is>
      </c>
      <c r="F361" s="10" t="n">
        <v>44562</v>
      </c>
      <c r="G361" s="4" t="inlineStr">
        <is>
          <t>2018gn</t>
        </is>
      </c>
      <c r="H361" s="4" t="n">
        <v>2021</v>
      </c>
      <c r="I361" s="5" t="n"/>
      <c r="N361" t="inlineStr">
        <is>
          <t>Note: interest associated with 2019 ST debt should be included in aggregate data.</t>
        </is>
      </c>
    </row>
    <row r="362">
      <c r="A362" t="inlineStr">
        <is>
          <t>Dominica_2022_January</t>
        </is>
      </c>
      <c r="B362" s="2" t="n"/>
      <c r="C362" s="3" t="inlineStr">
        <is>
          <t>SM.22.7, Sup.2</t>
        </is>
      </c>
      <c r="D362" s="4" t="inlineStr">
        <is>
          <t>Dominica</t>
        </is>
      </c>
      <c r="E362" s="4" t="inlineStr">
        <is>
          <t>DMA</t>
        </is>
      </c>
      <c r="F362" s="10" t="n">
        <v>44562</v>
      </c>
      <c r="G362" s="4" t="inlineStr">
        <is>
          <t>2018gn</t>
        </is>
      </c>
      <c r="H362" s="4" t="n">
        <v>2021</v>
      </c>
      <c r="I362" s="4" t="inlineStr">
        <is>
          <t>sht.trm.dbt.lcl.iss</t>
        </is>
      </c>
      <c r="J362" t="inlineStr">
        <is>
          <t>Nominal value (=PV) of ST debt (locally-issued debt)</t>
        </is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</row>
    <row r="363">
      <c r="A363" t="inlineStr">
        <is>
          <t>Dominica_2022_January</t>
        </is>
      </c>
      <c r="B363" s="2" t="n"/>
      <c r="C363" s="3" t="inlineStr">
        <is>
          <t>SM.22.7, Sup.2</t>
        </is>
      </c>
      <c r="D363" s="4" t="inlineStr">
        <is>
          <t>Dominica</t>
        </is>
      </c>
      <c r="E363" s="4" t="inlineStr">
        <is>
          <t>DMA</t>
        </is>
      </c>
      <c r="F363" s="10" t="n">
        <v>44562</v>
      </c>
      <c r="G363" s="4" t="inlineStr">
        <is>
          <t>2018gn</t>
        </is>
      </c>
      <c r="H363" s="4" t="n">
        <v>2021</v>
      </c>
      <c r="I363" s="4" t="inlineStr">
        <is>
          <t>sht.trm.dbt.lcl.amt</t>
        </is>
      </c>
      <c r="J363" t="inlineStr">
        <is>
          <t>Principal</t>
        </is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</row>
    <row r="364">
      <c r="A364" t="inlineStr">
        <is>
          <t>Dominica_2022_January</t>
        </is>
      </c>
      <c r="B364" s="2" t="n"/>
      <c r="C364" s="3" t="inlineStr">
        <is>
          <t>SM.22.7, Sup.2</t>
        </is>
      </c>
      <c r="D364" s="4" t="inlineStr">
        <is>
          <t>Dominica</t>
        </is>
      </c>
      <c r="E364" s="4" t="inlineStr">
        <is>
          <t>DMA</t>
        </is>
      </c>
      <c r="F364" s="10" t="n">
        <v>44562</v>
      </c>
      <c r="G364" s="4" t="inlineStr">
        <is>
          <t>2018gn</t>
        </is>
      </c>
      <c r="H364" s="4" t="n">
        <v>2021</v>
      </c>
      <c r="I364" s="4" t="inlineStr">
        <is>
          <t>sht.trm.dbt.lcl.int</t>
        </is>
      </c>
      <c r="J364" t="inlineStr">
        <is>
          <t>Interest</t>
        </is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</row>
    <row r="365">
      <c r="A365" t="inlineStr">
        <is>
          <t>Dominica_2022_January</t>
        </is>
      </c>
      <c r="B365" s="2" t="n"/>
      <c r="C365" s="3" t="inlineStr">
        <is>
          <t>SM.22.7, Sup.2</t>
        </is>
      </c>
      <c r="D365" s="4" t="inlineStr">
        <is>
          <t>Dominica</t>
        </is>
      </c>
      <c r="E365" s="4" t="inlineStr">
        <is>
          <t>DMA</t>
        </is>
      </c>
      <c r="F365" s="10" t="n">
        <v>44562</v>
      </c>
      <c r="G365" s="4" t="inlineStr">
        <is>
          <t>2018gn</t>
        </is>
      </c>
      <c r="H365" s="4" t="n">
        <v>2021</v>
      </c>
      <c r="I365" s="5" t="n"/>
      <c r="N365" t="inlineStr">
        <is>
          <t>Note: Debt service associated with 2019 and 2020 ST debt  is captured in aggregate data on existing debt.</t>
        </is>
      </c>
    </row>
    <row r="366">
      <c r="A366" t="inlineStr">
        <is>
          <t>Dominica_2022_January</t>
        </is>
      </c>
      <c r="B366" s="2" t="n"/>
      <c r="C366" s="3" t="inlineStr">
        <is>
          <t>SM.22.7, Sup.2</t>
        </is>
      </c>
      <c r="D366" s="4" t="inlineStr">
        <is>
          <t>Dominica</t>
        </is>
      </c>
      <c r="E366" s="4" t="inlineStr">
        <is>
          <t>DMA</t>
        </is>
      </c>
      <c r="F366" s="10" t="n">
        <v>44562</v>
      </c>
      <c r="G366" s="4" t="inlineStr">
        <is>
          <t>2018gn</t>
        </is>
      </c>
      <c r="H366" s="4" t="n">
        <v>2021</v>
      </c>
      <c r="I366" s="4" t="inlineStr">
        <is>
          <t>sht.trm.dbt.tot</t>
        </is>
      </c>
      <c r="J366" t="inlineStr">
        <is>
          <t>Total ST external debt</t>
        </is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</row>
    <row r="367">
      <c r="A367" t="inlineStr">
        <is>
          <t>Dominica_2022_January</t>
        </is>
      </c>
      <c r="B367" s="2" t="n"/>
      <c r="C367" s="3" t="inlineStr">
        <is>
          <t>SM.22.7, Sup.2</t>
        </is>
      </c>
      <c r="D367" s="4" t="inlineStr">
        <is>
          <t>Dominica</t>
        </is>
      </c>
      <c r="E367" s="4" t="inlineStr">
        <is>
          <t>DMA</t>
        </is>
      </c>
      <c r="F367" s="10" t="n">
        <v>44562</v>
      </c>
      <c r="G367" s="4" t="inlineStr">
        <is>
          <t>2018gn</t>
        </is>
      </c>
      <c r="H367" s="4" t="n">
        <v>2021</v>
      </c>
      <c r="I367" s="4" t="inlineStr">
        <is>
          <t>sht.trm.dbt.tot.amt</t>
        </is>
      </c>
      <c r="J367" t="inlineStr">
        <is>
          <t>Principal</t>
        </is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</row>
    <row r="368">
      <c r="A368" t="inlineStr">
        <is>
          <t>Dominica_2022_January</t>
        </is>
      </c>
      <c r="B368" s="2" t="n"/>
      <c r="C368" s="3" t="inlineStr">
        <is>
          <t>SM.22.7, Sup.2</t>
        </is>
      </c>
      <c r="D368" s="4" t="inlineStr">
        <is>
          <t>Dominica</t>
        </is>
      </c>
      <c r="E368" s="4" t="inlineStr">
        <is>
          <t>DMA</t>
        </is>
      </c>
      <c r="F368" s="10" t="n">
        <v>44562</v>
      </c>
      <c r="G368" s="4" t="inlineStr">
        <is>
          <t>2018gn</t>
        </is>
      </c>
      <c r="H368" s="4" t="n">
        <v>2021</v>
      </c>
      <c r="I368" s="4" t="inlineStr">
        <is>
          <t>sht.trm.dbt.tot.int</t>
        </is>
      </c>
      <c r="J368" t="inlineStr">
        <is>
          <t>Interest</t>
        </is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</row>
    <row r="369">
      <c r="A369" t="inlineStr">
        <is>
          <t>Dominica_2022_January</t>
        </is>
      </c>
      <c r="B369" s="2" t="n"/>
      <c r="C369" s="3" t="inlineStr">
        <is>
          <t>SM.22.7, Sup.2</t>
        </is>
      </c>
      <c r="D369" s="4" t="inlineStr">
        <is>
          <t>Dominica</t>
        </is>
      </c>
      <c r="E369" s="4" t="inlineStr">
        <is>
          <t>DMA</t>
        </is>
      </c>
      <c r="F369" s="10" t="n">
        <v>44562</v>
      </c>
      <c r="G369" s="4" t="inlineStr">
        <is>
          <t>2018gn</t>
        </is>
      </c>
      <c r="H369" s="4" t="n">
        <v>2021</v>
      </c>
      <c r="I369" s="5" t="n"/>
    </row>
    <row r="370">
      <c r="A370" t="inlineStr">
        <is>
          <t>Dominica_2022_January</t>
        </is>
      </c>
      <c r="B370" s="2" t="n"/>
      <c r="C370" s="3" t="inlineStr">
        <is>
          <t>SM.22.7, Sup.2</t>
        </is>
      </c>
      <c r="D370" s="4" t="inlineStr">
        <is>
          <t>Dominica</t>
        </is>
      </c>
      <c r="E370" s="4" t="inlineStr">
        <is>
          <t>DMA</t>
        </is>
      </c>
      <c r="F370" s="10" t="n">
        <v>44562</v>
      </c>
      <c r="G370" s="4" t="inlineStr">
        <is>
          <t>2018gn</t>
        </is>
      </c>
      <c r="H370" s="4" t="n">
        <v>2021</v>
      </c>
      <c r="I370" s="4" t="inlineStr">
        <is>
          <t>pv.net.use.sdr</t>
        </is>
      </c>
      <c r="J370" t="inlineStr">
        <is>
          <t>PV of net use of SDRs</t>
        </is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BI370" t="inlineStr">
        <is>
          <t>PV_SDR</t>
        </is>
      </c>
    </row>
    <row r="371">
      <c r="A371" t="inlineStr">
        <is>
          <t>Dominica_2022_January</t>
        </is>
      </c>
      <c r="B371" s="2" t="n"/>
      <c r="C371" s="3" t="inlineStr">
        <is>
          <t>SM.22.7, Sup.2</t>
        </is>
      </c>
      <c r="D371" s="4" t="inlineStr">
        <is>
          <t>Dominica</t>
        </is>
      </c>
      <c r="E371" s="4" t="inlineStr">
        <is>
          <t>DMA</t>
        </is>
      </c>
      <c r="F371" s="10" t="n">
        <v>44562</v>
      </c>
      <c r="G371" s="4" t="inlineStr">
        <is>
          <t>2018gn</t>
        </is>
      </c>
      <c r="H371" s="4" t="n">
        <v>2021</v>
      </c>
      <c r="I371" s="4" t="inlineStr">
        <is>
          <t>tot.pv.dbt</t>
        </is>
      </c>
      <c r="J371" t="inlineStr">
        <is>
          <t>Total PV of debt</t>
        </is>
      </c>
      <c r="N371" t="n">
        <v>271.3354988793758</v>
      </c>
      <c r="O371" t="n">
        <v>278.3505931516502</v>
      </c>
      <c r="P371" t="n">
        <v>293.8270493457027</v>
      </c>
      <c r="Q371" t="n">
        <v>301.8497390591319</v>
      </c>
      <c r="R371" t="n">
        <v>307.1798741932362</v>
      </c>
      <c r="S371" t="n">
        <v>315.0260753137392</v>
      </c>
      <c r="T371" t="n">
        <v>326.4886760159853</v>
      </c>
      <c r="U371" t="n">
        <v>335.4194084891503</v>
      </c>
      <c r="V371" t="n">
        <v>338.1795694742005</v>
      </c>
      <c r="W371" t="n">
        <v>336.3117511265816</v>
      </c>
      <c r="X371" t="n">
        <v>333.4987317807638</v>
      </c>
      <c r="Y371" t="n">
        <v>332.3659473864898</v>
      </c>
      <c r="Z371" t="n">
        <v>331.1280523416192</v>
      </c>
      <c r="AA371" t="n">
        <v>323.3821214052327</v>
      </c>
      <c r="AB371" t="n">
        <v>314.4166369881259</v>
      </c>
      <c r="AC371" t="n">
        <v>311.111192588595</v>
      </c>
      <c r="AD371" t="n">
        <v>305.8634994094299</v>
      </c>
      <c r="AE371" t="n">
        <v>302.5335323424582</v>
      </c>
      <c r="AF371" t="n">
        <v>298.8492148119431</v>
      </c>
      <c r="AG371" t="n">
        <v>296.7157938288074</v>
      </c>
      <c r="AH371" t="n">
        <v>294.3865926560195</v>
      </c>
      <c r="AI371" t="n">
        <v>289.9824294134648</v>
      </c>
      <c r="BI371" t="inlineStr">
        <is>
          <t>PV_D_TOT</t>
        </is>
      </c>
    </row>
    <row r="372">
      <c r="A372" t="inlineStr">
        <is>
          <t>Dominica_2022_January</t>
        </is>
      </c>
      <c r="B372" s="2" t="n"/>
      <c r="C372" s="3" t="inlineStr">
        <is>
          <t>SM.22.7, Sup.2</t>
        </is>
      </c>
      <c r="D372" s="4" t="inlineStr">
        <is>
          <t>Dominica</t>
        </is>
      </c>
      <c r="E372" s="4" t="inlineStr">
        <is>
          <t>DMA</t>
        </is>
      </c>
      <c r="F372" s="10" t="n">
        <v>44562</v>
      </c>
      <c r="G372" s="4" t="inlineStr">
        <is>
          <t>2018gn</t>
        </is>
      </c>
      <c r="H372" s="4" t="n">
        <v>2021</v>
      </c>
      <c r="I372" s="5" t="n"/>
    </row>
    <row r="373">
      <c r="A373" t="inlineStr">
        <is>
          <t>Dominica_2022_January</t>
        </is>
      </c>
      <c r="B373" s="2" t="n"/>
      <c r="C373" s="3" t="inlineStr">
        <is>
          <t>SM.22.7, Sup.2</t>
        </is>
      </c>
      <c r="D373" s="4" t="inlineStr">
        <is>
          <t>Dominica</t>
        </is>
      </c>
      <c r="E373" s="4" t="inlineStr">
        <is>
          <t>DMA</t>
        </is>
      </c>
      <c r="F373" s="10" t="n">
        <v>44562</v>
      </c>
      <c r="G373" s="4" t="inlineStr">
        <is>
          <t>2018gn</t>
        </is>
      </c>
      <c r="H373" s="4" t="n">
        <v>2021</v>
      </c>
      <c r="I373" s="4" t="inlineStr">
        <is>
          <t>nom.ppg.dbt.delta</t>
        </is>
      </c>
      <c r="J373" t="inlineStr">
        <is>
          <t>Nominal PPG debt check</t>
        </is>
      </c>
      <c r="N373" t="n">
        <v>0</v>
      </c>
      <c r="O373" t="n">
        <v>5.684341886080801e-14</v>
      </c>
      <c r="P373" t="n">
        <v>0</v>
      </c>
      <c r="Q373" t="n">
        <v>0</v>
      </c>
      <c r="R373" t="n">
        <v>0</v>
      </c>
      <c r="S373" t="n">
        <v>2.842170943040401e-14</v>
      </c>
      <c r="T373" t="n">
        <v>0</v>
      </c>
      <c r="U373" t="n">
        <v>2.842170943040401e-14</v>
      </c>
      <c r="V373" t="n">
        <v>-2.842170943040401e-14</v>
      </c>
      <c r="W373" t="n">
        <v>5.684341886080801e-14</v>
      </c>
      <c r="X373" t="n">
        <v>-5.684341886080801e-14</v>
      </c>
      <c r="Y373" t="n">
        <v>-5.684341886080801e-14</v>
      </c>
      <c r="Z373" t="n">
        <v>-5.684341886080801e-14</v>
      </c>
      <c r="AA373" t="n">
        <v>-5.684341886080801e-14</v>
      </c>
      <c r="AB373" t="n">
        <v>0</v>
      </c>
      <c r="AC373" t="n">
        <v>-2.842170943040401e-14</v>
      </c>
      <c r="AD373" t="n">
        <v>-5.684341886080801e-14</v>
      </c>
      <c r="AE373" t="n">
        <v>-1.4210854715202e-14</v>
      </c>
      <c r="AF373" t="n">
        <v>5.684341886080801e-14</v>
      </c>
      <c r="AG373" t="n">
        <v>-5.684341886080801e-14</v>
      </c>
      <c r="AH373" t="n">
        <v>-4.263256414560601e-14</v>
      </c>
      <c r="AI373" t="n">
        <v>-4.263256414560601e-14</v>
      </c>
    </row>
    <row r="374">
      <c r="A374" t="inlineStr">
        <is>
          <t>Dominica_2022_January</t>
        </is>
      </c>
      <c r="B374" s="2" t="n"/>
      <c r="C374" s="3" t="inlineStr">
        <is>
          <t>SM.22.7, Sup.2</t>
        </is>
      </c>
      <c r="D374" s="4" t="inlineStr">
        <is>
          <t>Dominica</t>
        </is>
      </c>
      <c r="E374" s="4" t="inlineStr">
        <is>
          <t>DMA</t>
        </is>
      </c>
      <c r="F374" s="10" t="n">
        <v>44562</v>
      </c>
      <c r="G374" s="4" t="inlineStr">
        <is>
          <t>2018gn</t>
        </is>
      </c>
      <c r="H374" s="4" t="n">
        <v>2021</v>
      </c>
      <c r="I374" s="4" t="inlineStr">
        <is>
          <t>tot.pub.tds</t>
        </is>
      </c>
      <c r="J374" t="inlineStr">
        <is>
          <t>Total public debt service</t>
        </is>
      </c>
      <c r="N374" t="n">
        <v>23.43446151028682</v>
      </c>
      <c r="O374" t="n">
        <v>24.44857049471105</v>
      </c>
      <c r="P374" t="n">
        <v>34.78438807592076</v>
      </c>
      <c r="Q374" t="n">
        <v>35.36037369301911</v>
      </c>
      <c r="R374" t="n">
        <v>34.90765667164627</v>
      </c>
      <c r="S374" t="n">
        <v>31.39155298942041</v>
      </c>
      <c r="T374" t="n">
        <v>29.14041911515431</v>
      </c>
      <c r="U374" t="n">
        <v>27.38161032322898</v>
      </c>
      <c r="V374" t="n">
        <v>27.63210715348762</v>
      </c>
      <c r="W374" t="n">
        <v>27.61372712373993</v>
      </c>
      <c r="X374" t="n">
        <v>27.60479219792647</v>
      </c>
      <c r="Y374" t="n">
        <v>26.26524994390492</v>
      </c>
      <c r="Z374" t="n">
        <v>25.80454181746188</v>
      </c>
      <c r="AA374" t="n">
        <v>32.39929971792585</v>
      </c>
      <c r="AB374" t="n">
        <v>33.26590628111301</v>
      </c>
      <c r="AC374" t="n">
        <v>27.44087923049749</v>
      </c>
      <c r="AD374" t="n">
        <v>29.57026680913664</v>
      </c>
      <c r="AE374" t="n">
        <v>27.85224704157642</v>
      </c>
      <c r="AF374" t="n">
        <v>28.74670099608505</v>
      </c>
      <c r="AG374" t="n">
        <v>27.34323106039348</v>
      </c>
      <c r="AH374" t="n">
        <v>27.72233868987927</v>
      </c>
      <c r="AI374" t="n">
        <v>30.09390718627855</v>
      </c>
      <c r="BI374" t="inlineStr">
        <is>
          <t>DS_TOT</t>
        </is>
      </c>
    </row>
    <row r="375">
      <c r="A375" t="inlineStr">
        <is>
          <t>Dominica_2022_January</t>
        </is>
      </c>
      <c r="B375" s="2" t="n"/>
      <c r="C375" s="3" t="inlineStr">
        <is>
          <t>SM.22.7, Sup.2</t>
        </is>
      </c>
      <c r="D375" s="4" t="inlineStr">
        <is>
          <t>Dominica</t>
        </is>
      </c>
      <c r="E375" s="4" t="inlineStr">
        <is>
          <t>DMA</t>
        </is>
      </c>
      <c r="F375" s="10" t="n">
        <v>44562</v>
      </c>
      <c r="G375" s="4" t="inlineStr">
        <is>
          <t>2018gn</t>
        </is>
      </c>
      <c r="H375" s="4" t="n">
        <v>2021</v>
      </c>
      <c r="I375" s="4" t="inlineStr">
        <is>
          <t>tot.pub.amt</t>
        </is>
      </c>
      <c r="J375" t="inlineStr">
        <is>
          <t xml:space="preserve">    of which: principal</t>
        </is>
      </c>
      <c r="N375" t="n">
        <v>15.90536222222222</v>
      </c>
      <c r="O375" t="n">
        <v>17.89457247629811</v>
      </c>
      <c r="P375" t="n">
        <v>28.45380132692422</v>
      </c>
      <c r="Q375" t="n">
        <v>28.43047993648263</v>
      </c>
      <c r="R375" t="n">
        <v>27.80277092205833</v>
      </c>
      <c r="S375" t="n">
        <v>24.60878870925355</v>
      </c>
      <c r="T375" t="n">
        <v>22.82195708334333</v>
      </c>
      <c r="U375" t="n">
        <v>21.19555065191686</v>
      </c>
      <c r="V375" t="n">
        <v>20.73035802813283</v>
      </c>
      <c r="W375" t="n">
        <v>20.34417364848508</v>
      </c>
      <c r="X375" t="n">
        <v>20.63367961469449</v>
      </c>
      <c r="Y375" t="n">
        <v>19.84504238531606</v>
      </c>
      <c r="Z375" t="n">
        <v>18.43686701321143</v>
      </c>
      <c r="AA375" t="n">
        <v>20.40843350076048</v>
      </c>
      <c r="AB375" t="n">
        <v>21.44329592412855</v>
      </c>
      <c r="AC375" t="n">
        <v>22.12725470395896</v>
      </c>
      <c r="AD375" t="n">
        <v>22.76988750134626</v>
      </c>
      <c r="AE375" t="n">
        <v>23.65836862399097</v>
      </c>
      <c r="AF375" t="n">
        <v>23.39503007364609</v>
      </c>
      <c r="AG375" t="n">
        <v>21.60647455625649</v>
      </c>
      <c r="AH375" t="n">
        <v>22.18731147520968</v>
      </c>
      <c r="AI375" t="n">
        <v>22.78743432279753</v>
      </c>
      <c r="BI375" t="inlineStr">
        <is>
          <t>DS_TOT_P</t>
        </is>
      </c>
    </row>
    <row r="376">
      <c r="A376" t="inlineStr">
        <is>
          <t>Dominica_2022_January</t>
        </is>
      </c>
      <c r="B376" s="2" t="n"/>
      <c r="C376" s="3" t="inlineStr">
        <is>
          <t>SM.22.7, Sup.2</t>
        </is>
      </c>
      <c r="D376" s="4" t="inlineStr">
        <is>
          <t>Dominica</t>
        </is>
      </c>
      <c r="E376" s="4" t="inlineStr">
        <is>
          <t>DMA</t>
        </is>
      </c>
      <c r="F376" s="10" t="n">
        <v>44562</v>
      </c>
      <c r="G376" s="4" t="inlineStr">
        <is>
          <t>2018gn</t>
        </is>
      </c>
      <c r="H376" s="4" t="n">
        <v>2021</v>
      </c>
      <c r="I376" s="4" t="inlineStr">
        <is>
          <t>tot.pub.int</t>
        </is>
      </c>
      <c r="J376" t="inlineStr">
        <is>
          <t xml:space="preserve">    of which: interest</t>
        </is>
      </c>
      <c r="N376" t="n">
        <v>7.529099288064597</v>
      </c>
      <c r="O376" t="n">
        <v>6.55399801841294</v>
      </c>
      <c r="P376" t="n">
        <v>6.330586748996534</v>
      </c>
      <c r="Q376" t="n">
        <v>6.929893756536485</v>
      </c>
      <c r="R376" t="n">
        <v>7.104885749587933</v>
      </c>
      <c r="S376" t="n">
        <v>6.782764280166862</v>
      </c>
      <c r="T376" t="n">
        <v>6.318462031810975</v>
      </c>
      <c r="U376" t="n">
        <v>6.186059671312127</v>
      </c>
      <c r="V376" t="n">
        <v>6.901749125354787</v>
      </c>
      <c r="W376" t="n">
        <v>7.269553475254851</v>
      </c>
      <c r="X376" t="n">
        <v>6.971112583231977</v>
      </c>
      <c r="Y376" t="n">
        <v>6.420207558588862</v>
      </c>
      <c r="Z376" t="n">
        <v>7.367674804250449</v>
      </c>
      <c r="AA376" t="n">
        <v>11.99086621716537</v>
      </c>
      <c r="AB376" t="n">
        <v>11.82261035698446</v>
      </c>
      <c r="AC376" t="n">
        <v>5.313624526538527</v>
      </c>
      <c r="AD376" t="n">
        <v>6.800379307790376</v>
      </c>
      <c r="AE376" t="n">
        <v>4.193878417585453</v>
      </c>
      <c r="AF376" t="n">
        <v>5.351670922438965</v>
      </c>
      <c r="AG376" t="n">
        <v>5.736756504136991</v>
      </c>
      <c r="AH376" t="n">
        <v>5.535027214669594</v>
      </c>
      <c r="AI376" t="n">
        <v>7.306472863481021</v>
      </c>
      <c r="BI376" t="inlineStr">
        <is>
          <t>DS_TOT_I</t>
        </is>
      </c>
    </row>
    <row r="377">
      <c r="A377" t="inlineStr">
        <is>
          <t>Dominica_2022_January</t>
        </is>
      </c>
      <c r="B377" s="2" t="n"/>
      <c r="C377" s="3" t="inlineStr">
        <is>
          <t>SM.22.7, Sup.2</t>
        </is>
      </c>
      <c r="D377" s="4" t="inlineStr">
        <is>
          <t>Dominica</t>
        </is>
      </c>
      <c r="E377" s="4" t="inlineStr">
        <is>
          <t>DMA</t>
        </is>
      </c>
      <c r="F377" s="10" t="n">
        <v>44562</v>
      </c>
      <c r="G377" s="4" t="inlineStr">
        <is>
          <t>2018gn</t>
        </is>
      </c>
      <c r="H377" s="4" t="n">
        <v>2021</v>
      </c>
      <c r="I377" s="5" t="n"/>
    </row>
    <row r="378">
      <c r="A378" t="inlineStr">
        <is>
          <t>Dominica_2022_January</t>
        </is>
      </c>
      <c r="B378" s="2" t="n"/>
      <c r="C378" s="3" t="inlineStr">
        <is>
          <t>SM.22.7, Sup.2</t>
        </is>
      </c>
      <c r="D378" s="4" t="inlineStr">
        <is>
          <t>Dominica</t>
        </is>
      </c>
      <c r="E378" s="4" t="inlineStr">
        <is>
          <t>DMA</t>
        </is>
      </c>
      <c r="F378" s="10" t="n">
        <v>44562</v>
      </c>
      <c r="G378" s="4" t="inlineStr">
        <is>
          <t>2018gn</t>
        </is>
      </c>
      <c r="H378" s="4" t="n">
        <v>2021</v>
      </c>
      <c r="I378" s="4" t="inlineStr">
        <is>
          <t>ext.dbt.out</t>
        </is>
      </c>
      <c r="J378" t="inlineStr">
        <is>
          <t>External debt outstanding</t>
        </is>
      </c>
      <c r="N378" t="n">
        <v>375.034355363731</v>
      </c>
      <c r="O378" t="n">
        <v>393.4322952474786</v>
      </c>
      <c r="P378" t="n">
        <v>443.3386997544062</v>
      </c>
      <c r="Q378" t="n">
        <v>476.0636982476398</v>
      </c>
      <c r="R378" t="n">
        <v>501.6221056100459</v>
      </c>
      <c r="S378" t="n">
        <v>527.6804577211024</v>
      </c>
      <c r="T378" t="n">
        <v>557.5959876401378</v>
      </c>
      <c r="U378" t="n">
        <v>578.2306728674749</v>
      </c>
      <c r="V378" t="n">
        <v>585.1081655738732</v>
      </c>
      <c r="W378" t="n">
        <v>581.6684635754452</v>
      </c>
      <c r="X378" t="n">
        <v>575.9345598307129</v>
      </c>
      <c r="Y378" t="n">
        <v>571.9159773036629</v>
      </c>
      <c r="Z378" t="n">
        <v>568.1186111582481</v>
      </c>
      <c r="AA378" t="n">
        <v>562.6134144746434</v>
      </c>
      <c r="AB378" t="n">
        <v>556.0596057807645</v>
      </c>
      <c r="AC378" t="n">
        <v>549.3113241565235</v>
      </c>
      <c r="AD378" t="n">
        <v>542.5423001038698</v>
      </c>
      <c r="AE378" t="n">
        <v>535.7198979561466</v>
      </c>
      <c r="AF378" t="n">
        <v>530.4761845564251</v>
      </c>
      <c r="AG378" t="n">
        <v>527.5864858753669</v>
      </c>
      <c r="AH378" t="n">
        <v>524.6157050392923</v>
      </c>
      <c r="AI378" t="n">
        <v>521.796137141716</v>
      </c>
    </row>
    <row r="379">
      <c r="A379" t="inlineStr">
        <is>
          <t>Dominica_2022_January</t>
        </is>
      </c>
      <c r="B379" s="2" t="n"/>
      <c r="C379" s="3" t="inlineStr">
        <is>
          <t>SM.22.7, Sup.2</t>
        </is>
      </c>
      <c r="D379" s="4" t="inlineStr">
        <is>
          <t>Dominica</t>
        </is>
      </c>
      <c r="E379" s="4" t="inlineStr">
        <is>
          <t>DMA</t>
        </is>
      </c>
      <c r="F379" s="10" t="n">
        <v>44562</v>
      </c>
      <c r="G379" s="4" t="inlineStr">
        <is>
          <t>2018gn</t>
        </is>
      </c>
      <c r="H379" s="4" t="n">
        <v>2021</v>
      </c>
      <c r="I379" s="4" t="inlineStr">
        <is>
          <t>ext.dbt.out.fx</t>
        </is>
      </c>
      <c r="J379" t="inlineStr">
        <is>
          <t>FX-denominated debt outstanding</t>
        </is>
      </c>
      <c r="N379" t="n">
        <v>375.034355363731</v>
      </c>
      <c r="O379" t="n">
        <v>393.4322952474786</v>
      </c>
      <c r="P379" t="n">
        <v>443.3386997544062</v>
      </c>
      <c r="Q379" t="n">
        <v>476.0636982476398</v>
      </c>
      <c r="R379" t="n">
        <v>501.6221056100459</v>
      </c>
      <c r="S379" t="n">
        <v>527.6804577211024</v>
      </c>
      <c r="T379" t="n">
        <v>557.5959876401378</v>
      </c>
      <c r="U379" t="n">
        <v>578.2306728674751</v>
      </c>
      <c r="V379" t="n">
        <v>585.1081655738732</v>
      </c>
      <c r="W379" t="n">
        <v>581.6684635754451</v>
      </c>
      <c r="X379" t="n">
        <v>575.9345598307129</v>
      </c>
      <c r="Y379" t="n">
        <v>571.9159773036629</v>
      </c>
      <c r="Z379" t="n">
        <v>568.1186111582482</v>
      </c>
      <c r="AA379" t="n">
        <v>562.6134144746434</v>
      </c>
      <c r="AB379" t="n">
        <v>556.0596057807644</v>
      </c>
      <c r="AC379" t="n">
        <v>549.3113241565235</v>
      </c>
      <c r="AD379" t="n">
        <v>542.5423001038698</v>
      </c>
      <c r="AE379" t="n">
        <v>535.7198979561465</v>
      </c>
      <c r="AF379" t="n">
        <v>530.4761845564251</v>
      </c>
      <c r="AG379" t="n">
        <v>527.586485875367</v>
      </c>
      <c r="AH379" t="n">
        <v>524.6157050392924</v>
      </c>
      <c r="AI379" t="n">
        <v>521.796137141716</v>
      </c>
    </row>
    <row r="380">
      <c r="A380" t="inlineStr">
        <is>
          <t>Dominica_2022_January</t>
        </is>
      </c>
      <c r="B380" s="2" t="n"/>
      <c r="C380" s="3" t="inlineStr">
        <is>
          <t>SM.22.7, Sup.2</t>
        </is>
      </c>
      <c r="D380" s="4" t="inlineStr">
        <is>
          <t>Dominica</t>
        </is>
      </c>
      <c r="E380" s="4" t="inlineStr">
        <is>
          <t>DMA</t>
        </is>
      </c>
      <c r="F380" s="10" t="n">
        <v>44562</v>
      </c>
      <c r="G380" s="4" t="inlineStr">
        <is>
          <t>2018gn</t>
        </is>
      </c>
      <c r="H380" s="4" t="n">
        <v>2021</v>
      </c>
      <c r="I380" s="5" t="n"/>
    </row>
    <row r="381">
      <c r="A381" t="inlineStr">
        <is>
          <t>Dominica_2022_January</t>
        </is>
      </c>
      <c r="B381" s="2" t="n"/>
      <c r="C381" s="3" t="inlineStr">
        <is>
          <t>SM.22.7, Sup.2</t>
        </is>
      </c>
      <c r="D381" s="4" t="inlineStr">
        <is>
          <t>Dominica</t>
        </is>
      </c>
      <c r="E381" s="4" t="inlineStr">
        <is>
          <t>DMA</t>
        </is>
      </c>
      <c r="F381" s="10" t="n">
        <v>44562</v>
      </c>
      <c r="G381" s="4" t="inlineStr">
        <is>
          <t>2018gn</t>
        </is>
      </c>
      <c r="H381" s="4" t="n">
        <v>2021</v>
      </c>
      <c r="I381" s="5" t="n"/>
      <c r="J381" t="inlineStr">
        <is>
          <t>Memorandum item</t>
        </is>
      </c>
    </row>
    <row r="382">
      <c r="A382" t="inlineStr">
        <is>
          <t>Dominica_2022_January</t>
        </is>
      </c>
      <c r="B382" s="2" t="n"/>
      <c r="C382" s="3" t="inlineStr">
        <is>
          <t>SM.22.7, Sup.2</t>
        </is>
      </c>
      <c r="D382" s="4" t="inlineStr">
        <is>
          <t>Dominica</t>
        </is>
      </c>
      <c r="E382" s="4" t="inlineStr">
        <is>
          <t>DMA</t>
        </is>
      </c>
      <c r="F382" s="10" t="n">
        <v>44562</v>
      </c>
      <c r="G382" s="4" t="inlineStr">
        <is>
          <t>2018gn</t>
        </is>
      </c>
      <c r="H382" s="4" t="n">
        <v>2021</v>
      </c>
      <c r="I382" s="4" t="inlineStr">
        <is>
          <t>xcg.rat.eop</t>
        </is>
      </c>
      <c r="J382" t="inlineStr">
        <is>
          <t>Exchange rate (eop)</t>
        </is>
      </c>
      <c r="N382" t="n">
        <v>2.7</v>
      </c>
      <c r="O382" t="n">
        <v>2.7</v>
      </c>
      <c r="P382" t="n">
        <v>2.7</v>
      </c>
      <c r="Q382" t="n">
        <v>2.7</v>
      </c>
      <c r="R382" t="n">
        <v>2.7</v>
      </c>
      <c r="S382" t="n">
        <v>2.7</v>
      </c>
      <c r="T382" t="n">
        <v>2.7</v>
      </c>
      <c r="U382" t="n">
        <v>2.7</v>
      </c>
      <c r="V382" t="n">
        <v>2.7</v>
      </c>
      <c r="W382" t="n">
        <v>2.7</v>
      </c>
      <c r="X382" t="n">
        <v>2.7</v>
      </c>
      <c r="Y382" t="n">
        <v>2.7</v>
      </c>
      <c r="Z382" t="n">
        <v>2.7</v>
      </c>
      <c r="AA382" t="n">
        <v>2.7</v>
      </c>
      <c r="AB382" t="n">
        <v>2.7</v>
      </c>
      <c r="AC382" t="n">
        <v>2.7</v>
      </c>
      <c r="AD382" t="n">
        <v>2.7</v>
      </c>
      <c r="AE382" t="n">
        <v>2.7</v>
      </c>
      <c r="AF382" t="n">
        <v>2.7</v>
      </c>
      <c r="AG382" t="n">
        <v>2.7</v>
      </c>
      <c r="AH382" t="n">
        <v>2.7</v>
      </c>
      <c r="AI382" t="n">
        <v>2.7</v>
      </c>
    </row>
    <row r="383">
      <c r="A383" t="inlineStr">
        <is>
          <t>Dominica_2022_January</t>
        </is>
      </c>
      <c r="B383" s="2" t="n"/>
      <c r="C383" s="3" t="inlineStr">
        <is>
          <t>SM.22.7, Sup.2</t>
        </is>
      </c>
      <c r="D383" s="4" t="inlineStr">
        <is>
          <t>Dominica</t>
        </is>
      </c>
      <c r="E383" s="4" t="inlineStr">
        <is>
          <t>DMA</t>
        </is>
      </c>
      <c r="F383" s="10" t="n">
        <v>44562</v>
      </c>
      <c r="G383" s="4" t="inlineStr">
        <is>
          <t>2018gn</t>
        </is>
      </c>
      <c r="H383" s="4" t="n">
        <v>2021</v>
      </c>
      <c r="I383" s="4" t="inlineStr">
        <is>
          <t>xcg.rat.pa</t>
        </is>
      </c>
      <c r="J383" t="inlineStr">
        <is>
          <t>Exchange rate (pa)</t>
        </is>
      </c>
      <c r="N383" t="n">
        <v>2.7</v>
      </c>
      <c r="O383" t="n">
        <v>2.7</v>
      </c>
      <c r="P383" t="n">
        <v>2.7</v>
      </c>
      <c r="Q383" t="n">
        <v>2.7</v>
      </c>
      <c r="R383" t="n">
        <v>2.7</v>
      </c>
      <c r="S383" t="n">
        <v>2.7</v>
      </c>
      <c r="T383" t="n">
        <v>2.7</v>
      </c>
      <c r="U383" t="n">
        <v>2.7</v>
      </c>
      <c r="V383" t="n">
        <v>2.7</v>
      </c>
      <c r="W383" t="n">
        <v>2.7</v>
      </c>
      <c r="X383" t="n">
        <v>2.7</v>
      </c>
      <c r="Y383" t="n">
        <v>2.7</v>
      </c>
      <c r="Z383" t="n">
        <v>2.7</v>
      </c>
      <c r="AA383" t="n">
        <v>2.7</v>
      </c>
      <c r="AB383" t="n">
        <v>2.7</v>
      </c>
      <c r="AC383" t="n">
        <v>2.7</v>
      </c>
      <c r="AD383" t="n">
        <v>2.7</v>
      </c>
      <c r="AE383" t="n">
        <v>2.7</v>
      </c>
      <c r="AF383" t="n">
        <v>2.7</v>
      </c>
      <c r="AG383" t="n">
        <v>2.7</v>
      </c>
      <c r="AH383" t="n">
        <v>2.7</v>
      </c>
      <c r="AI383" t="n">
        <v>2.7</v>
      </c>
    </row>
    <row r="384">
      <c r="A384" t="inlineStr">
        <is>
          <t>Dominica_2022_January</t>
        </is>
      </c>
      <c r="B384" s="2" t="n"/>
      <c r="C384" s="3" t="inlineStr">
        <is>
          <t>SM.22.7, Sup.2</t>
        </is>
      </c>
      <c r="D384" s="4" t="inlineStr">
        <is>
          <t>Dominica</t>
        </is>
      </c>
      <c r="E384" s="4" t="inlineStr">
        <is>
          <t>DMA</t>
        </is>
      </c>
      <c r="F384" s="10" t="n">
        <v>44562</v>
      </c>
      <c r="G384" s="4" t="inlineStr">
        <is>
          <t>2018gn</t>
        </is>
      </c>
      <c r="H384" s="4" t="n">
        <v>2021</v>
      </c>
      <c r="I384" s="5" t="n"/>
    </row>
    <row r="385">
      <c r="A385" t="inlineStr">
        <is>
          <t>Dominica_2022_January</t>
        </is>
      </c>
      <c r="B385" s="2" t="n"/>
      <c r="C385" s="3" t="inlineStr">
        <is>
          <t>SM.22.7, Sup.2</t>
        </is>
      </c>
      <c r="D385" s="4" t="inlineStr">
        <is>
          <t>Dominica</t>
        </is>
      </c>
      <c r="E385" s="4" t="inlineStr">
        <is>
          <t>DMA</t>
        </is>
      </c>
      <c r="F385" s="10" t="n">
        <v>44562</v>
      </c>
      <c r="G385" s="4" t="inlineStr">
        <is>
          <t>2018gn</t>
        </is>
      </c>
      <c r="H385" s="4" t="n">
        <v>2021</v>
      </c>
      <c r="I385" s="5" t="n"/>
      <c r="J385" t="inlineStr">
        <is>
          <t>Calculation of grant implicit in new borrowing and average discount rates</t>
        </is>
      </c>
    </row>
    <row r="386">
      <c r="A386" t="inlineStr">
        <is>
          <t>Dominica_2022_January</t>
        </is>
      </c>
      <c r="B386" s="2" t="n"/>
      <c r="C386" s="3" t="inlineStr">
        <is>
          <t>SM.22.7, Sup.2</t>
        </is>
      </c>
      <c r="D386" s="4" t="inlineStr">
        <is>
          <t>Dominica</t>
        </is>
      </c>
      <c r="E386" s="4" t="inlineStr">
        <is>
          <t>DMA</t>
        </is>
      </c>
      <c r="F386" s="10" t="n">
        <v>44562</v>
      </c>
      <c r="G386" s="4" t="inlineStr">
        <is>
          <t>2018gn</t>
        </is>
      </c>
      <c r="H386" s="4" t="n">
        <v>2021</v>
      </c>
      <c r="I386" s="5" t="n"/>
    </row>
    <row r="387">
      <c r="A387" t="inlineStr">
        <is>
          <t>Dominica_2022_January</t>
        </is>
      </c>
      <c r="B387" s="2" t="n"/>
      <c r="C387" s="3" t="inlineStr">
        <is>
          <t>SM.22.7, Sup.2</t>
        </is>
      </c>
      <c r="D387" s="4" t="inlineStr">
        <is>
          <t>Dominica</t>
        </is>
      </c>
      <c r="E387" s="4" t="inlineStr">
        <is>
          <t>DMA</t>
        </is>
      </c>
      <c r="F387" s="10" t="n">
        <v>44562</v>
      </c>
      <c r="G387" s="4" t="inlineStr">
        <is>
          <t>2018gn</t>
        </is>
      </c>
      <c r="H387" s="4" t="n">
        <v>2021</v>
      </c>
      <c r="I387" s="4" t="inlineStr">
        <is>
          <t>pv.new.dis.ppg</t>
        </is>
      </c>
      <c r="J387" t="inlineStr">
        <is>
          <t>PV of new disbursements PPG</t>
        </is>
      </c>
      <c r="O387" t="n">
        <v>17.89688982301665</v>
      </c>
      <c r="P387" t="n">
        <v>36.34331461239061</v>
      </c>
      <c r="Q387" t="n">
        <v>28.69171093916321</v>
      </c>
      <c r="R387" t="n">
        <v>25.14530485279399</v>
      </c>
      <c r="S387" t="n">
        <v>23.87876040026166</v>
      </c>
      <c r="T387" t="n">
        <v>24.85171605171337</v>
      </c>
      <c r="U387" t="n">
        <v>19.98790899559473</v>
      </c>
      <c r="V387" t="n">
        <v>13.62129771408028</v>
      </c>
      <c r="W387" t="n">
        <v>8.836930302411</v>
      </c>
      <c r="X387" t="n">
        <v>7.976185295779532</v>
      </c>
      <c r="Y387" t="n">
        <v>8.457528960592676</v>
      </c>
      <c r="Z387" t="n">
        <v>7.948349403266783</v>
      </c>
      <c r="AA387" t="n">
        <v>8.096966164458411</v>
      </c>
      <c r="AB387" t="n">
        <v>8.131315793744594</v>
      </c>
      <c r="AC387" t="n">
        <v>8.414602981560268</v>
      </c>
      <c r="AD387" t="n">
        <v>8.767014000541856</v>
      </c>
      <c r="AE387" t="n">
        <v>9.229105004133132</v>
      </c>
      <c r="AF387" t="n">
        <v>9.935706848446898</v>
      </c>
      <c r="AG387" t="n">
        <v>10.26734933666071</v>
      </c>
      <c r="AH387" t="n">
        <v>10.55734782565098</v>
      </c>
      <c r="AI387" t="n">
        <v>10.97041431092281</v>
      </c>
      <c r="BI387" t="inlineStr">
        <is>
          <t>PV_NEW_DIS_GE</t>
        </is>
      </c>
    </row>
    <row r="388">
      <c r="A388" t="inlineStr">
        <is>
          <t>Dominica_2022_January</t>
        </is>
      </c>
      <c r="B388" s="2" t="n"/>
      <c r="C388" s="3" t="inlineStr">
        <is>
          <t>SM.22.7, Sup.2</t>
        </is>
      </c>
      <c r="D388" s="4" t="inlineStr">
        <is>
          <t>Dominica</t>
        </is>
      </c>
      <c r="E388" s="4" t="inlineStr">
        <is>
          <t>DMA</t>
        </is>
      </c>
      <c r="F388" s="10" t="n">
        <v>44562</v>
      </c>
      <c r="G388" s="4" t="inlineStr">
        <is>
          <t>2018gn</t>
        </is>
      </c>
      <c r="H388" s="4" t="n">
        <v>2021</v>
      </c>
      <c r="I388" s="4" t="inlineStr">
        <is>
          <t>new.dis.grt.lmt</t>
        </is>
      </c>
      <c r="J388" t="inlineStr">
        <is>
          <t>Grant element of new disbursement (percent)</t>
        </is>
      </c>
      <c r="O388" t="n">
        <v>50.68710139031518</v>
      </c>
      <c r="P388" t="n">
        <v>53.62018996038654</v>
      </c>
      <c r="Q388" t="n">
        <v>53.08398907852946</v>
      </c>
      <c r="R388" t="n">
        <v>52.87715590021977</v>
      </c>
      <c r="S388" t="n">
        <v>52.87130867528681</v>
      </c>
      <c r="T388" t="n">
        <v>52.87656377977883</v>
      </c>
      <c r="U388" t="n">
        <v>52.21659984588356</v>
      </c>
      <c r="V388" t="n">
        <v>50.66150623219961</v>
      </c>
      <c r="W388" t="n">
        <v>47.72430345445773</v>
      </c>
      <c r="X388" t="n">
        <v>46.46774981455022</v>
      </c>
      <c r="Y388" t="n">
        <v>46.56082891351454</v>
      </c>
      <c r="Z388" t="n">
        <v>45.70614479929986</v>
      </c>
      <c r="AA388" t="n">
        <v>45.66974769442279</v>
      </c>
      <c r="AB388" t="n">
        <v>45.3888796302875</v>
      </c>
      <c r="AC388" t="n">
        <v>45.28501390864929</v>
      </c>
      <c r="AD388" t="n">
        <v>45.20911931625682</v>
      </c>
      <c r="AE388" t="n">
        <v>45.18220847527417</v>
      </c>
      <c r="AF388" t="n">
        <v>45.26178443726823</v>
      </c>
      <c r="AG388" t="n">
        <v>45.14360055854491</v>
      </c>
      <c r="AH388" t="n">
        <v>45.06111418389652</v>
      </c>
      <c r="AI388" t="n">
        <v>45.05965696432074</v>
      </c>
      <c r="BI388" t="inlineStr">
        <is>
          <t>NEW_DIS_GE_PCT</t>
        </is>
      </c>
    </row>
    <row r="389">
      <c r="A389" t="inlineStr">
        <is>
          <t>Dominica_2022_January</t>
        </is>
      </c>
      <c r="B389" s="2" t="n"/>
      <c r="C389" s="3" t="inlineStr">
        <is>
          <t>SM.22.7, Sup.2</t>
        </is>
      </c>
      <c r="D389" s="4" t="inlineStr">
        <is>
          <t>Dominica</t>
        </is>
      </c>
      <c r="E389" s="4" t="inlineStr">
        <is>
          <t>DMA</t>
        </is>
      </c>
      <c r="F389" s="10" t="n">
        <v>44562</v>
      </c>
      <c r="G389" s="4" t="inlineStr">
        <is>
          <t>2018gn</t>
        </is>
      </c>
      <c r="H389" s="4" t="n">
        <v>2021</v>
      </c>
      <c r="I389" s="4" t="inlineStr">
        <is>
          <t>new.dis.grt.ipct</t>
        </is>
      </c>
      <c r="J389" t="inlineStr">
        <is>
          <t>Grant implicit in new disbursements (US billion)</t>
        </is>
      </c>
      <c r="O389" t="n">
        <v>18.39562253702901</v>
      </c>
      <c r="P389" t="n">
        <v>42.01689122146129</v>
      </c>
      <c r="Q389" t="n">
        <v>32.46376749055298</v>
      </c>
      <c r="R389" t="n">
        <v>28.21587343167051</v>
      </c>
      <c r="S389" t="n">
        <v>26.78838042004836</v>
      </c>
      <c r="T389" t="n">
        <v>27.88577095066536</v>
      </c>
      <c r="U389" t="n">
        <v>21.84232688365928</v>
      </c>
      <c r="V389" t="n">
        <v>13.98655302045085</v>
      </c>
      <c r="W389" t="n">
        <v>8.067541347645964</v>
      </c>
      <c r="X389" t="n">
        <v>6.923590574182836</v>
      </c>
      <c r="Y389" t="n">
        <v>7.368930897673257</v>
      </c>
      <c r="Z389" t="n">
        <v>6.691151464529923</v>
      </c>
      <c r="AA389" t="n">
        <v>6.806270652697371</v>
      </c>
      <c r="AB389" t="n">
        <v>6.75817143650503</v>
      </c>
      <c r="AC389" t="n">
        <v>6.964370098157722</v>
      </c>
      <c r="AD389" t="n">
        <v>7.233849448150779</v>
      </c>
      <c r="AE389" t="n">
        <v>7.606861472134523</v>
      </c>
      <c r="AF389" t="n">
        <v>8.215609825477657</v>
      </c>
      <c r="AG389" t="n">
        <v>8.449426538537644</v>
      </c>
      <c r="AH389" t="n">
        <v>8.659182813484131</v>
      </c>
      <c r="AI389" t="n">
        <v>8.997452114298493</v>
      </c>
      <c r="BI389" t="inlineStr">
        <is>
          <t>NEW_DIS_GE_USD</t>
        </is>
      </c>
    </row>
    <row r="390">
      <c r="A390" t="inlineStr">
        <is>
          <t>Dominica_2022_January</t>
        </is>
      </c>
      <c r="B390" s="2" t="n"/>
      <c r="C390" s="3" t="inlineStr">
        <is>
          <t>SM.22.7, Sup.2</t>
        </is>
      </c>
      <c r="D390" s="4" t="inlineStr">
        <is>
          <t>Dominica</t>
        </is>
      </c>
      <c r="E390" s="4" t="inlineStr">
        <is>
          <t>DMA</t>
        </is>
      </c>
      <c r="F390" s="10" t="n">
        <v>44562</v>
      </c>
      <c r="G390" s="4" t="inlineStr">
        <is>
          <t>2018gn</t>
        </is>
      </c>
      <c r="H390" s="4" t="n">
        <v>2021</v>
      </c>
      <c r="I390" s="4" t="inlineStr">
        <is>
          <t>avg.disc.rat</t>
        </is>
      </c>
      <c r="J390" t="inlineStr">
        <is>
          <t>Average discount rate</t>
        </is>
      </c>
      <c r="O390" t="n">
        <v>5</v>
      </c>
      <c r="P390" t="n">
        <v>5.000000000000001</v>
      </c>
      <c r="Q390" t="n">
        <v>5</v>
      </c>
      <c r="R390" t="n">
        <v>5.000000000000001</v>
      </c>
      <c r="S390" t="n">
        <v>5.000000000000001</v>
      </c>
      <c r="T390" t="n">
        <v>5</v>
      </c>
      <c r="U390" t="n">
        <v>5.000000000000001</v>
      </c>
      <c r="V390" t="n">
        <v>5</v>
      </c>
      <c r="W390" t="n">
        <v>5</v>
      </c>
      <c r="X390" t="n">
        <v>5</v>
      </c>
      <c r="Y390" t="n">
        <v>5.000000000000002</v>
      </c>
      <c r="Z390" t="n">
        <v>5</v>
      </c>
      <c r="AA390" t="n">
        <v>5</v>
      </c>
      <c r="AB390" t="n">
        <v>5</v>
      </c>
      <c r="AC390" t="n">
        <v>5</v>
      </c>
      <c r="AD390" t="n">
        <v>5</v>
      </c>
      <c r="AE390" t="n">
        <v>5</v>
      </c>
      <c r="AF390" t="n">
        <v>5</v>
      </c>
      <c r="AG390" t="n">
        <v>5</v>
      </c>
      <c r="AH390" t="n">
        <v>5</v>
      </c>
      <c r="AI390" t="n">
        <v>5</v>
      </c>
      <c r="BI390" t="inlineStr">
        <is>
          <t>DIS_RATE_AVG</t>
        </is>
      </c>
    </row>
    <row r="391">
      <c r="A391" t="inlineStr">
        <is>
          <t>Dominica_2022_January</t>
        </is>
      </c>
      <c r="B391" s="2" t="n"/>
      <c r="C391" s="3" t="inlineStr">
        <is>
          <t>SM.22.7, Sup.2</t>
        </is>
      </c>
      <c r="D391" s="4" t="inlineStr">
        <is>
          <t>Dominica</t>
        </is>
      </c>
      <c r="E391" s="4" t="inlineStr">
        <is>
          <t>DMA</t>
        </is>
      </c>
      <c r="F391" s="10" t="n">
        <v>44562</v>
      </c>
      <c r="G391" s="4" t="inlineStr">
        <is>
          <t>2018gn</t>
        </is>
      </c>
      <c r="H391" s="4" t="n">
        <v>2021</v>
      </c>
      <c r="I391" s="5" t="n"/>
    </row>
    <row r="392">
      <c r="A392" t="inlineStr">
        <is>
          <t>Dominica_2022_January</t>
        </is>
      </c>
      <c r="B392" s="2" t="n"/>
      <c r="C392" s="3" t="inlineStr">
        <is>
          <t>SM.22.7, Sup.2</t>
        </is>
      </c>
      <c r="D392" s="4" t="inlineStr">
        <is>
          <t>Dominica</t>
        </is>
      </c>
      <c r="E392" s="4" t="inlineStr">
        <is>
          <t>DMA</t>
        </is>
      </c>
      <c r="F392" s="10" t="n">
        <v>44562</v>
      </c>
      <c r="G392" s="4" t="inlineStr">
        <is>
          <t>2018gn</t>
        </is>
      </c>
      <c r="H392" s="4" t="n">
        <v>2021</v>
      </c>
      <c r="I392" s="5" t="n"/>
    </row>
    <row r="393">
      <c r="A393" t="inlineStr">
        <is>
          <t>Dominica_2022_January</t>
        </is>
      </c>
      <c r="B393" s="2" t="n"/>
      <c r="C393" s="3" t="inlineStr">
        <is>
          <t>SM.22.7, Sup.2</t>
        </is>
      </c>
      <c r="D393" s="4" t="inlineStr">
        <is>
          <t>Dominica</t>
        </is>
      </c>
      <c r="E393" s="4" t="inlineStr">
        <is>
          <t>DMA</t>
        </is>
      </c>
      <c r="F393" s="10" t="n">
        <v>44562</v>
      </c>
      <c r="G393" s="4" t="inlineStr">
        <is>
          <t>2018gn</t>
        </is>
      </c>
      <c r="H393" s="4" t="n">
        <v>2021</v>
      </c>
      <c r="I393" s="5" t="n"/>
      <c r="J393" t="inlineStr">
        <is>
          <t xml:space="preserve">1/ After rescheduling if a rescheduling has been agreed or is imminent. For HIPCs that have reached their decision or completion points, </t>
        </is>
      </c>
    </row>
    <row r="394">
      <c r="A394" t="inlineStr">
        <is>
          <t>Dominica_2022_January</t>
        </is>
      </c>
      <c r="B394" s="2" t="n"/>
      <c r="C394" s="3" t="inlineStr">
        <is>
          <t>SM.22.7, Sup.2</t>
        </is>
      </c>
      <c r="D394" s="4" t="inlineStr">
        <is>
          <t>Dominica</t>
        </is>
      </c>
      <c r="E394" s="4" t="inlineStr">
        <is>
          <t>DMA</t>
        </is>
      </c>
      <c r="F394" s="10" t="n">
        <v>44562</v>
      </c>
      <c r="G394" s="4" t="inlineStr">
        <is>
          <t>2018gn</t>
        </is>
      </c>
      <c r="H394" s="4" t="n">
        <v>2021</v>
      </c>
      <c r="I394" s="5" t="n"/>
      <c r="J394" t="inlineStr">
        <is>
          <t>enter debt service due after HIPC assistance (including additional bilateral assistance for completion point cases).</t>
        </is>
      </c>
    </row>
    <row r="395">
      <c r="A395" t="inlineStr">
        <is>
          <t>Dominica_2022_January</t>
        </is>
      </c>
      <c r="B395" s="2" t="n"/>
      <c r="C395" s="3" t="inlineStr">
        <is>
          <t>SM.22.7, Sup.2</t>
        </is>
      </c>
      <c r="D395" s="4" t="inlineStr">
        <is>
          <t>Dominica</t>
        </is>
      </c>
      <c r="E395" s="4" t="inlineStr">
        <is>
          <t>DMA</t>
        </is>
      </c>
      <c r="F395" s="10" t="n">
        <v>44562</v>
      </c>
      <c r="G395" s="4" t="inlineStr">
        <is>
          <t>2018gn</t>
        </is>
      </c>
      <c r="H395" s="4" t="n">
        <v>2021</v>
      </c>
      <c r="I395" s="5" t="n"/>
    </row>
    <row r="396">
      <c r="A396" t="inlineStr">
        <is>
          <t>Dominica_2022_January</t>
        </is>
      </c>
      <c r="B396" s="2" t="n"/>
      <c r="C396" s="3" t="inlineStr">
        <is>
          <t>SM.22.7, Sup.2</t>
        </is>
      </c>
      <c r="D396" s="4" t="inlineStr">
        <is>
          <t>Dominica</t>
        </is>
      </c>
      <c r="E396" s="4" t="inlineStr">
        <is>
          <t>DMA</t>
        </is>
      </c>
      <c r="F396" s="10" t="n">
        <v>44562</v>
      </c>
      <c r="G396" s="4" t="inlineStr">
        <is>
          <t>2018gn</t>
        </is>
      </c>
      <c r="H396" s="4" t="n">
        <v>2021</v>
      </c>
      <c r="I396" s="5" t="n"/>
    </row>
    <row r="397">
      <c r="A397" t="inlineStr">
        <is>
          <t>Dominica_2022_January</t>
        </is>
      </c>
      <c r="B397" s="2" t="n"/>
      <c r="C397" s="3" t="inlineStr">
        <is>
          <t>SM.22.7, Sup.2</t>
        </is>
      </c>
      <c r="D397" s="4" t="inlineStr">
        <is>
          <t>Dominica</t>
        </is>
      </c>
      <c r="E397" s="4" t="inlineStr">
        <is>
          <t>DMA</t>
        </is>
      </c>
      <c r="F397" s="10" t="n">
        <v>44562</v>
      </c>
      <c r="G397" s="4" t="inlineStr">
        <is>
          <t>2018gn</t>
        </is>
      </c>
      <c r="H397" s="4" t="n">
        <v>2021</v>
      </c>
      <c r="I397" s="4" t="inlineStr">
        <is>
          <t>css.loan</t>
        </is>
      </c>
      <c r="J397" t="inlineStr">
        <is>
          <t>Concessional loans</t>
        </is>
      </c>
      <c r="K397" t="inlineStr">
        <is>
          <t>Minimum Concessionality Requirement</t>
        </is>
      </c>
      <c r="M397" t="n">
        <v>0.35</v>
      </c>
      <c r="O397" t="n">
        <v>22.01033673899706</v>
      </c>
      <c r="P397" t="n">
        <v>67.6021730677669</v>
      </c>
      <c r="Q397" t="n">
        <v>50</v>
      </c>
      <c r="R397" t="n">
        <v>42.5559761462496</v>
      </c>
      <c r="S397" t="n">
        <v>40.42295247371372</v>
      </c>
      <c r="T397" t="n">
        <v>42.07017183078783</v>
      </c>
      <c r="U397" t="n">
        <v>30.67742387326371</v>
      </c>
      <c r="V397" t="n">
        <v>16.12531663842273</v>
      </c>
      <c r="W397" t="n">
        <v>5.02488672634026</v>
      </c>
      <c r="X397" t="n">
        <v>2.61135659901107</v>
      </c>
      <c r="Y397" t="n">
        <v>3.148055854227934</v>
      </c>
      <c r="Z397" t="n">
        <v>1.574215357381005</v>
      </c>
      <c r="AA397" t="n">
        <v>1.466566671475781</v>
      </c>
      <c r="AB397" t="n">
        <v>1.050023323288424</v>
      </c>
      <c r="AC397" t="n">
        <v>1.11221484709249</v>
      </c>
      <c r="AD397" t="n">
        <v>0.915672249979935</v>
      </c>
      <c r="AE397" t="n">
        <v>0.8862050371018563</v>
      </c>
      <c r="AF397" t="n">
        <v>1.285636398782452</v>
      </c>
      <c r="AG397" t="n">
        <v>0.8742344508222529</v>
      </c>
      <c r="AH397" t="n">
        <v>0.66977020299791</v>
      </c>
      <c r="AI397" t="n">
        <v>0.693413046713202</v>
      </c>
    </row>
    <row r="398">
      <c r="A398" t="inlineStr">
        <is>
          <t>Dominica_2022_January</t>
        </is>
      </c>
      <c r="B398" s="2" t="n"/>
      <c r="C398" s="3" t="inlineStr">
        <is>
          <t>SM.22.7, Sup.2</t>
        </is>
      </c>
      <c r="D398" s="4" t="inlineStr">
        <is>
          <t>Dominica</t>
        </is>
      </c>
      <c r="E398" s="4" t="inlineStr">
        <is>
          <t>DMA</t>
        </is>
      </c>
      <c r="F398" s="10" t="n">
        <v>44562</v>
      </c>
      <c r="G398" s="4" t="inlineStr">
        <is>
          <t>2018gn</t>
        </is>
      </c>
      <c r="H398" s="4" t="n">
        <v>2021</v>
      </c>
      <c r="I398" s="4" t="inlineStr">
        <is>
          <t>css.loan.mlt</t>
        </is>
      </c>
      <c r="J398" t="inlineStr">
        <is>
          <t>Multilaterals</t>
        </is>
      </c>
    </row>
    <row r="399">
      <c r="A399" t="inlineStr">
        <is>
          <t>Dominica_2022_January</t>
        </is>
      </c>
      <c r="B399" s="2" t="n"/>
      <c r="C399" s="3" t="inlineStr">
        <is>
          <t>SM.22.7, Sup.2</t>
        </is>
      </c>
      <c r="D399" s="4" t="inlineStr">
        <is>
          <t>Dominica</t>
        </is>
      </c>
      <c r="E399" s="4" t="inlineStr">
        <is>
          <t>DMA</t>
        </is>
      </c>
      <c r="F399" s="10" t="n">
        <v>44562</v>
      </c>
      <c r="G399" s="4" t="inlineStr">
        <is>
          <t>2018gn</t>
        </is>
      </c>
      <c r="H399" s="4" t="n">
        <v>2021</v>
      </c>
      <c r="I399" s="4" t="inlineStr">
        <is>
          <t>css.loan.mlt.imf</t>
        </is>
      </c>
      <c r="J399" t="inlineStr">
        <is>
          <t>IMF</t>
        </is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</row>
    <row r="400">
      <c r="A400" t="inlineStr">
        <is>
          <t>Dominica_2022_January</t>
        </is>
      </c>
      <c r="B400" s="2" t="n"/>
      <c r="C400" s="3" t="inlineStr">
        <is>
          <t>SM.22.7, Sup.2</t>
        </is>
      </c>
      <c r="D400" s="4" t="inlineStr">
        <is>
          <t>Dominica</t>
        </is>
      </c>
      <c r="E400" s="4" t="inlineStr">
        <is>
          <t>DMA</t>
        </is>
      </c>
      <c r="F400" s="10" t="n">
        <v>44562</v>
      </c>
      <c r="G400" s="4" t="inlineStr">
        <is>
          <t>2018gn</t>
        </is>
      </c>
      <c r="H400" s="4" t="n">
        <v>2021</v>
      </c>
      <c r="I400" s="4" t="inlineStr">
        <is>
          <t>css.loan.mlt.ida.reg</t>
        </is>
      </c>
      <c r="J400" t="inlineStr">
        <is>
          <t>IDA - small economy</t>
        </is>
      </c>
      <c r="O400" t="n">
        <v>15</v>
      </c>
      <c r="P400" t="n">
        <v>47.6</v>
      </c>
      <c r="Q400" t="n">
        <v>35</v>
      </c>
      <c r="R400" t="n">
        <v>29.7891833023747</v>
      </c>
      <c r="S400" t="n">
        <v>28.2365238399536</v>
      </c>
      <c r="T400" t="n">
        <v>29.4294416239426</v>
      </c>
      <c r="U400" t="n">
        <v>21.4741967112846</v>
      </c>
      <c r="V400" t="n">
        <v>11.2253554420598</v>
      </c>
      <c r="W400" t="n">
        <v>3.51742070843818</v>
      </c>
      <c r="X400" t="n">
        <v>1.82794961930775</v>
      </c>
      <c r="Y400" t="n">
        <v>1.89247606086578</v>
      </c>
      <c r="Z400" t="n">
        <v>0.979640143959263</v>
      </c>
      <c r="AA400" t="n">
        <v>1.0142213760254</v>
      </c>
      <c r="AB400" t="n">
        <v>0.7350163263018969</v>
      </c>
      <c r="AC400" t="n">
        <v>0.5326736476877471</v>
      </c>
      <c r="AD400" t="n">
        <v>0.551476992099255</v>
      </c>
      <c r="AE400" t="n">
        <v>0.5709440933205699</v>
      </c>
      <c r="AF400" t="n">
        <v>0.591098381923029</v>
      </c>
      <c r="AG400" t="n">
        <v>0.611964115575577</v>
      </c>
      <c r="AH400" t="n">
        <v>0.506853126593013</v>
      </c>
      <c r="AI400" t="n">
        <v>0.524745008323504</v>
      </c>
    </row>
    <row r="401">
      <c r="A401" t="inlineStr">
        <is>
          <t>Dominica_2022_January</t>
        </is>
      </c>
      <c r="B401" s="2" t="n"/>
      <c r="C401" s="3" t="inlineStr">
        <is>
          <t>SM.22.7, Sup.2</t>
        </is>
      </c>
      <c r="D401" s="4" t="inlineStr">
        <is>
          <t>Dominica</t>
        </is>
      </c>
      <c r="E401" s="4" t="inlineStr">
        <is>
          <t>DMA</t>
        </is>
      </c>
      <c r="F401" s="10" t="n">
        <v>44562</v>
      </c>
      <c r="G401" s="4" t="inlineStr">
        <is>
          <t>2018gn</t>
        </is>
      </c>
      <c r="H401" s="4" t="n">
        <v>2021</v>
      </c>
      <c r="I401" s="4" t="inlineStr">
        <is>
          <t>css.loan.mlt.ida.bld</t>
        </is>
      </c>
      <c r="J401" t="inlineStr">
        <is>
          <t>IDA - small economy</t>
        </is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</row>
    <row r="402">
      <c r="A402" t="inlineStr">
        <is>
          <t>Dominica_2022_January</t>
        </is>
      </c>
      <c r="B402" s="2" t="n"/>
      <c r="C402" s="3" t="inlineStr">
        <is>
          <t>SM.22.7, Sup.2</t>
        </is>
      </c>
      <c r="D402" s="4" t="inlineStr">
        <is>
          <t>Dominica</t>
        </is>
      </c>
      <c r="E402" s="4" t="inlineStr">
        <is>
          <t>DMA</t>
        </is>
      </c>
      <c r="F402" s="10" t="n">
        <v>44562</v>
      </c>
      <c r="G402" s="4" t="inlineStr">
        <is>
          <t>2018gn</t>
        </is>
      </c>
      <c r="H402" s="4" t="n">
        <v>2021</v>
      </c>
      <c r="I402" s="4" t="inlineStr">
        <is>
          <t>css.loan.mlt.afdb</t>
        </is>
      </c>
      <c r="J402" t="inlineStr">
        <is>
          <t>CDB</t>
        </is>
      </c>
      <c r="O402" t="n">
        <v>7</v>
      </c>
      <c r="P402" t="n">
        <v>20</v>
      </c>
      <c r="Q402" t="n">
        <v>15</v>
      </c>
      <c r="R402" t="n">
        <v>12.7667928438749</v>
      </c>
      <c r="S402" t="n">
        <v>12.1013673599801</v>
      </c>
      <c r="T402" t="n">
        <v>12.6126178388326</v>
      </c>
      <c r="U402" t="n">
        <v>9.203227161979109</v>
      </c>
      <c r="V402" t="n">
        <v>4.81086661802563</v>
      </c>
      <c r="W402" t="n">
        <v>1.50746601790208</v>
      </c>
      <c r="X402" t="n">
        <v>0.78340697970332</v>
      </c>
      <c r="Y402" t="n">
        <v>0.811061168942476</v>
      </c>
      <c r="Z402" t="n">
        <v>0.419845775982542</v>
      </c>
      <c r="AA402" t="n">
        <v>0.434666304010886</v>
      </c>
      <c r="AB402" t="n">
        <v>0.315006996986527</v>
      </c>
      <c r="AC402" t="n">
        <v>0.228288706151892</v>
      </c>
      <c r="AD402" t="n">
        <v>0.236347282328252</v>
      </c>
      <c r="AE402" t="n">
        <v>0.244690325708816</v>
      </c>
      <c r="AF402" t="n">
        <v>0.253327877967012</v>
      </c>
      <c r="AG402" t="n">
        <v>0.262270335246676</v>
      </c>
      <c r="AH402" t="n">
        <v>0.162917076404897</v>
      </c>
      <c r="AI402" t="n">
        <v>0.168668038389698</v>
      </c>
    </row>
    <row r="403">
      <c r="A403" t="inlineStr">
        <is>
          <t>Dominica_2022_January</t>
        </is>
      </c>
      <c r="B403" s="2" t="n"/>
      <c r="C403" s="3" t="inlineStr">
        <is>
          <t>SM.22.7, Sup.2</t>
        </is>
      </c>
      <c r="D403" s="4" t="inlineStr">
        <is>
          <t>Dominica</t>
        </is>
      </c>
      <c r="E403" s="4" t="inlineStr">
        <is>
          <t>DMA</t>
        </is>
      </c>
      <c r="F403" s="10" t="n">
        <v>44562</v>
      </c>
      <c r="G403" s="4" t="inlineStr">
        <is>
          <t>2018gn</t>
        </is>
      </c>
      <c r="H403" s="4" t="n">
        <v>2021</v>
      </c>
      <c r="I403" s="4" t="inlineStr">
        <is>
          <t>css.loan.mlt2</t>
        </is>
      </c>
      <c r="J403" t="inlineStr">
        <is>
          <t>MULTIRES</t>
        </is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</row>
    <row r="404">
      <c r="A404" t="inlineStr">
        <is>
          <t>Dominica_2022_January</t>
        </is>
      </c>
      <c r="B404" s="2" t="n"/>
      <c r="C404" s="3" t="inlineStr">
        <is>
          <t>SM.22.7, Sup.2</t>
        </is>
      </c>
      <c r="D404" s="4" t="inlineStr">
        <is>
          <t>Dominica</t>
        </is>
      </c>
      <c r="E404" s="4" t="inlineStr">
        <is>
          <t>DMA</t>
        </is>
      </c>
      <c r="F404" s="10" t="n">
        <v>44562</v>
      </c>
      <c r="G404" s="4" t="inlineStr">
        <is>
          <t>2018gn</t>
        </is>
      </c>
      <c r="H404" s="4" t="n">
        <v>2021</v>
      </c>
      <c r="I404" s="4" t="inlineStr">
        <is>
          <t>css.loan.mlt3</t>
        </is>
      </c>
      <c r="J404" t="inlineStr">
        <is>
          <t>MULTI3</t>
        </is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</row>
    <row r="405">
      <c r="A405" t="inlineStr">
        <is>
          <t>Dominica_2022_January</t>
        </is>
      </c>
      <c r="B405" s="2" t="n"/>
      <c r="C405" s="3" t="inlineStr">
        <is>
          <t>SM.22.7, Sup.2</t>
        </is>
      </c>
      <c r="D405" s="4" t="inlineStr">
        <is>
          <t>Dominica</t>
        </is>
      </c>
      <c r="E405" s="4" t="inlineStr">
        <is>
          <t>DMA</t>
        </is>
      </c>
      <c r="F405" s="10" t="n">
        <v>44562</v>
      </c>
      <c r="G405" s="4" t="inlineStr">
        <is>
          <t>2018gn</t>
        </is>
      </c>
      <c r="H405" s="4" t="n">
        <v>2021</v>
      </c>
      <c r="I405" s="4" t="inlineStr">
        <is>
          <t>css.loan.blt</t>
        </is>
      </c>
      <c r="J405" t="inlineStr">
        <is>
          <t>Official Bilaterals</t>
        </is>
      </c>
    </row>
    <row r="406">
      <c r="A406" t="inlineStr">
        <is>
          <t>Dominica_2022_January</t>
        </is>
      </c>
      <c r="B406" s="2" t="n"/>
      <c r="C406" s="3" t="inlineStr">
        <is>
          <t>SM.22.7, Sup.2</t>
        </is>
      </c>
      <c r="D406" s="4" t="inlineStr">
        <is>
          <t>Dominica</t>
        </is>
      </c>
      <c r="E406" s="4" t="inlineStr">
        <is>
          <t>DMA</t>
        </is>
      </c>
      <c r="F406" s="10" t="n">
        <v>44562</v>
      </c>
      <c r="G406" s="4" t="inlineStr">
        <is>
          <t>2018gn</t>
        </is>
      </c>
      <c r="H406" s="4" t="n">
        <v>2021</v>
      </c>
      <c r="I406" s="4" t="inlineStr">
        <is>
          <t>css.loan.pc</t>
        </is>
      </c>
      <c r="J406" t="inlineStr">
        <is>
          <t xml:space="preserve">   Paris Club</t>
        </is>
      </c>
    </row>
    <row r="407">
      <c r="A407" t="inlineStr">
        <is>
          <t>Dominica_2022_January</t>
        </is>
      </c>
      <c r="B407" s="2" t="n"/>
      <c r="C407" s="3" t="inlineStr">
        <is>
          <t>SM.22.7, Sup.2</t>
        </is>
      </c>
      <c r="D407" s="4" t="inlineStr">
        <is>
          <t>Dominica</t>
        </is>
      </c>
      <c r="E407" s="4" t="inlineStr">
        <is>
          <t>DMA</t>
        </is>
      </c>
      <c r="F407" s="10" t="n">
        <v>44562</v>
      </c>
      <c r="G407" s="4" t="inlineStr">
        <is>
          <t>2018gn</t>
        </is>
      </c>
      <c r="H407" s="4" t="n">
        <v>2021</v>
      </c>
      <c r="I407" s="4" t="inlineStr">
        <is>
          <t>css.loan.pc1</t>
        </is>
      </c>
      <c r="J407" t="inlineStr">
        <is>
          <t>Export Credit Agencies</t>
        </is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</row>
    <row r="408">
      <c r="A408" t="inlineStr">
        <is>
          <t>Dominica_2022_January</t>
        </is>
      </c>
      <c r="B408" s="2" t="n"/>
      <c r="C408" s="3" t="inlineStr">
        <is>
          <t>SM.22.7, Sup.2</t>
        </is>
      </c>
      <c r="D408" s="4" t="inlineStr">
        <is>
          <t>Dominica</t>
        </is>
      </c>
      <c r="E408" s="4" t="inlineStr">
        <is>
          <t>DMA</t>
        </is>
      </c>
      <c r="F408" s="10" t="n">
        <v>44562</v>
      </c>
      <c r="G408" s="4" t="inlineStr">
        <is>
          <t>2018gn</t>
        </is>
      </c>
      <c r="H408" s="4" t="n">
        <v>2021</v>
      </c>
      <c r="I408" s="4" t="inlineStr">
        <is>
          <t>css.loan.pc2</t>
        </is>
      </c>
      <c r="J408" t="inlineStr">
        <is>
          <t>PC2</t>
        </is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</row>
    <row r="409">
      <c r="A409" t="inlineStr">
        <is>
          <t>Dominica_2022_January</t>
        </is>
      </c>
      <c r="B409" s="2" t="n"/>
      <c r="C409" s="3" t="inlineStr">
        <is>
          <t>SM.22.7, Sup.2</t>
        </is>
      </c>
      <c r="D409" s="4" t="inlineStr">
        <is>
          <t>Dominica</t>
        </is>
      </c>
      <c r="E409" s="4" t="inlineStr">
        <is>
          <t>DMA</t>
        </is>
      </c>
      <c r="F409" s="10" t="n">
        <v>44562</v>
      </c>
      <c r="G409" s="4" t="inlineStr">
        <is>
          <t>2018gn</t>
        </is>
      </c>
      <c r="H409" s="4" t="n">
        <v>2021</v>
      </c>
      <c r="I409" s="4" t="inlineStr">
        <is>
          <t>css.loan.pc3</t>
        </is>
      </c>
      <c r="J409" t="inlineStr">
        <is>
          <t>PC3</t>
        </is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</row>
    <row r="410">
      <c r="A410" t="inlineStr">
        <is>
          <t>Dominica_2022_January</t>
        </is>
      </c>
      <c r="B410" s="2" t="n"/>
      <c r="C410" s="3" t="inlineStr">
        <is>
          <t>SM.22.7, Sup.2</t>
        </is>
      </c>
      <c r="D410" s="4" t="inlineStr">
        <is>
          <t>Dominica</t>
        </is>
      </c>
      <c r="E410" s="4" t="inlineStr">
        <is>
          <t>DMA</t>
        </is>
      </c>
      <c r="F410" s="10" t="n">
        <v>44562</v>
      </c>
      <c r="G410" s="4" t="inlineStr">
        <is>
          <t>2018gn</t>
        </is>
      </c>
      <c r="H410" s="4" t="n">
        <v>2021</v>
      </c>
      <c r="I410" s="4" t="inlineStr">
        <is>
          <t>css.loan.pc4</t>
        </is>
      </c>
      <c r="J410" t="inlineStr">
        <is>
          <t>PC4</t>
        </is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</row>
    <row r="411">
      <c r="A411" t="inlineStr">
        <is>
          <t>Dominica_2022_January</t>
        </is>
      </c>
      <c r="B411" s="2" t="n"/>
      <c r="C411" s="3" t="inlineStr">
        <is>
          <t>SM.22.7, Sup.2</t>
        </is>
      </c>
      <c r="D411" s="4" t="inlineStr">
        <is>
          <t>Dominica</t>
        </is>
      </c>
      <c r="E411" s="4" t="inlineStr">
        <is>
          <t>DMA</t>
        </is>
      </c>
      <c r="F411" s="10" t="n">
        <v>44562</v>
      </c>
      <c r="G411" s="4" t="inlineStr">
        <is>
          <t>2018gn</t>
        </is>
      </c>
      <c r="H411" s="4" t="n">
        <v>2021</v>
      </c>
      <c r="I411" s="4" t="inlineStr">
        <is>
          <t>css.loan.pc5</t>
        </is>
      </c>
      <c r="J411" t="inlineStr">
        <is>
          <t>PC5</t>
        </is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</row>
    <row r="412">
      <c r="A412" t="inlineStr">
        <is>
          <t>Dominica_2022_January</t>
        </is>
      </c>
      <c r="B412" s="2" t="n"/>
      <c r="C412" s="3" t="inlineStr">
        <is>
          <t>SM.22.7, Sup.2</t>
        </is>
      </c>
      <c r="D412" s="4" t="inlineStr">
        <is>
          <t>Dominica</t>
        </is>
      </c>
      <c r="E412" s="4" t="inlineStr">
        <is>
          <t>DMA</t>
        </is>
      </c>
      <c r="F412" s="10" t="n">
        <v>44562</v>
      </c>
      <c r="G412" s="4" t="inlineStr">
        <is>
          <t>2018gn</t>
        </is>
      </c>
      <c r="H412" s="4" t="n">
        <v>2021</v>
      </c>
      <c r="I412" s="4" t="inlineStr">
        <is>
          <t>css.loan.npc</t>
        </is>
      </c>
      <c r="J412" t="inlineStr">
        <is>
          <t xml:space="preserve">   Non-Paris Club</t>
        </is>
      </c>
    </row>
    <row r="413">
      <c r="A413" t="inlineStr">
        <is>
          <t>Dominica_2022_January</t>
        </is>
      </c>
      <c r="B413" s="2" t="n"/>
      <c r="C413" s="3" t="inlineStr">
        <is>
          <t>SM.22.7, Sup.2</t>
        </is>
      </c>
      <c r="D413" s="4" t="inlineStr">
        <is>
          <t>Dominica</t>
        </is>
      </c>
      <c r="E413" s="4" t="inlineStr">
        <is>
          <t>DMA</t>
        </is>
      </c>
      <c r="F413" s="10" t="n">
        <v>44562</v>
      </c>
      <c r="G413" s="4" t="inlineStr">
        <is>
          <t>2018gn</t>
        </is>
      </c>
      <c r="H413" s="4" t="n">
        <v>2021</v>
      </c>
      <c r="I413" s="4" t="inlineStr">
        <is>
          <t>css.loan.npc.eximbk</t>
        </is>
      </c>
      <c r="J413" t="inlineStr">
        <is>
          <t>NPC2</t>
        </is>
      </c>
      <c r="O413" t="n">
        <v>0.0103367389970622</v>
      </c>
      <c r="P413" t="n">
        <v>0.00217306776689881</v>
      </c>
      <c r="Q413" t="n">
        <v>0</v>
      </c>
      <c r="R413" t="n">
        <v>0</v>
      </c>
      <c r="S413" t="n">
        <v>0.0850612737800218</v>
      </c>
      <c r="T413" t="n">
        <v>0.0281123680126269</v>
      </c>
      <c r="U413" t="n">
        <v>0</v>
      </c>
      <c r="V413" t="n">
        <v>0.08909457833729929</v>
      </c>
      <c r="W413" t="n">
        <v>0</v>
      </c>
      <c r="X413" t="n">
        <v>0</v>
      </c>
      <c r="Y413" t="n">
        <v>0.444518624419678</v>
      </c>
      <c r="Z413" t="n">
        <v>0.1747294374392</v>
      </c>
      <c r="AA413" t="n">
        <v>0.0176789914394953</v>
      </c>
      <c r="AB413" t="n">
        <v>0</v>
      </c>
      <c r="AC413" t="n">
        <v>0.351252493252851</v>
      </c>
      <c r="AD413" t="n">
        <v>0.127847975552428</v>
      </c>
      <c r="AE413" t="n">
        <v>0.0705706180724703</v>
      </c>
      <c r="AF413" t="n">
        <v>0.441210138892411</v>
      </c>
      <c r="AG413" t="n">
        <v>0</v>
      </c>
      <c r="AH413" t="n">
        <v>0</v>
      </c>
      <c r="AI413" t="n">
        <v>0</v>
      </c>
    </row>
    <row r="414">
      <c r="A414" t="inlineStr">
        <is>
          <t>Dominica_2022_January</t>
        </is>
      </c>
      <c r="B414" s="2" t="n"/>
      <c r="C414" s="3" t="inlineStr">
        <is>
          <t>SM.22.7, Sup.2</t>
        </is>
      </c>
      <c r="D414" s="4" t="inlineStr">
        <is>
          <t>Dominica</t>
        </is>
      </c>
      <c r="E414" s="4" t="inlineStr">
        <is>
          <t>DMA</t>
        </is>
      </c>
      <c r="F414" s="10" t="n">
        <v>44562</v>
      </c>
      <c r="G414" s="4" t="inlineStr">
        <is>
          <t>2018gn</t>
        </is>
      </c>
      <c r="H414" s="4" t="n">
        <v>2021</v>
      </c>
      <c r="I414" s="4" t="inlineStr">
        <is>
          <t>css.loan.npc2</t>
        </is>
      </c>
      <c r="J414" t="inlineStr">
        <is>
          <t>NPC2</t>
        </is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</row>
    <row r="415">
      <c r="A415" t="inlineStr">
        <is>
          <t>Dominica_2022_January</t>
        </is>
      </c>
      <c r="B415" s="2" t="n"/>
      <c r="C415" s="3" t="inlineStr">
        <is>
          <t>SM.22.7, Sup.2</t>
        </is>
      </c>
      <c r="D415" s="4" t="inlineStr">
        <is>
          <t>Dominica</t>
        </is>
      </c>
      <c r="E415" s="4" t="inlineStr">
        <is>
          <t>DMA</t>
        </is>
      </c>
      <c r="F415" s="10" t="n">
        <v>44562</v>
      </c>
      <c r="G415" s="4" t="inlineStr">
        <is>
          <t>2018gn</t>
        </is>
      </c>
      <c r="H415" s="4" t="n">
        <v>2021</v>
      </c>
      <c r="I415" s="4" t="inlineStr">
        <is>
          <t>css.loan.npc3</t>
        </is>
      </c>
      <c r="J415" t="inlineStr">
        <is>
          <t>NPC3</t>
        </is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</row>
    <row r="416">
      <c r="A416" t="inlineStr">
        <is>
          <t>Dominica_2022_January</t>
        </is>
      </c>
      <c r="B416" s="2" t="n"/>
      <c r="C416" s="3" t="inlineStr">
        <is>
          <t>SM.22.7, Sup.2</t>
        </is>
      </c>
      <c r="D416" s="4" t="inlineStr">
        <is>
          <t>Dominica</t>
        </is>
      </c>
      <c r="E416" s="4" t="inlineStr">
        <is>
          <t>DMA</t>
        </is>
      </c>
      <c r="F416" s="10" t="n">
        <v>44562</v>
      </c>
      <c r="G416" s="4" t="inlineStr">
        <is>
          <t>2018gn</t>
        </is>
      </c>
      <c r="H416" s="4" t="n">
        <v>2021</v>
      </c>
      <c r="I416" s="4" t="inlineStr">
        <is>
          <t>css.loan.npc4</t>
        </is>
      </c>
      <c r="J416" t="inlineStr">
        <is>
          <t>NPC4</t>
        </is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</row>
    <row r="417">
      <c r="A417" t="inlineStr">
        <is>
          <t>Dominica_2022_January</t>
        </is>
      </c>
      <c r="B417" s="2" t="n"/>
      <c r="C417" s="3" t="inlineStr">
        <is>
          <t>SM.22.7, Sup.2</t>
        </is>
      </c>
      <c r="D417" s="4" t="inlineStr">
        <is>
          <t>Dominica</t>
        </is>
      </c>
      <c r="E417" s="4" t="inlineStr">
        <is>
          <t>DMA</t>
        </is>
      </c>
      <c r="F417" s="10" t="n">
        <v>44562</v>
      </c>
      <c r="G417" s="4" t="inlineStr">
        <is>
          <t>2018gn</t>
        </is>
      </c>
      <c r="H417" s="4" t="n">
        <v>2021</v>
      </c>
      <c r="I417" s="4" t="inlineStr">
        <is>
          <t>css.loan.npc5</t>
        </is>
      </c>
      <c r="J417" t="inlineStr">
        <is>
          <t>NPC5</t>
        </is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</row>
    <row r="418">
      <c r="A418" t="inlineStr">
        <is>
          <t>Dominica_2022_January</t>
        </is>
      </c>
      <c r="B418" s="2" t="n"/>
      <c r="C418" s="3" t="inlineStr">
        <is>
          <t>SM.22.7, Sup.2</t>
        </is>
      </c>
      <c r="D418" s="4" t="inlineStr">
        <is>
          <t>Dominica</t>
        </is>
      </c>
      <c r="E418" s="4" t="inlineStr">
        <is>
          <t>DMA</t>
        </is>
      </c>
      <c r="F418" s="10" t="n">
        <v>44562</v>
      </c>
      <c r="G418" s="4" t="inlineStr">
        <is>
          <t>2018gn</t>
        </is>
      </c>
      <c r="H418" s="4" t="n">
        <v>2021</v>
      </c>
      <c r="I418" s="4" t="inlineStr">
        <is>
          <t>css.loan.prvt</t>
        </is>
      </c>
      <c r="J418" t="inlineStr">
        <is>
          <t>Commercial</t>
        </is>
      </c>
    </row>
    <row r="419">
      <c r="A419" t="inlineStr">
        <is>
          <t>Dominica_2022_January</t>
        </is>
      </c>
      <c r="B419" s="2" t="n"/>
      <c r="C419" s="3" t="inlineStr">
        <is>
          <t>SM.22.7, Sup.2</t>
        </is>
      </c>
      <c r="D419" s="4" t="inlineStr">
        <is>
          <t>Dominica</t>
        </is>
      </c>
      <c r="E419" s="4" t="inlineStr">
        <is>
          <t>DMA</t>
        </is>
      </c>
      <c r="F419" s="10" t="n">
        <v>44562</v>
      </c>
      <c r="G419" s="4" t="inlineStr">
        <is>
          <t>2018gn</t>
        </is>
      </c>
      <c r="H419" s="4" t="n">
        <v>2021</v>
      </c>
      <c r="I419" s="4" t="inlineStr">
        <is>
          <t>css.loan.prvt.bnd</t>
        </is>
      </c>
      <c r="J419" t="inlineStr">
        <is>
          <t>Eurobond</t>
        </is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</row>
    <row r="420">
      <c r="A420" t="inlineStr">
        <is>
          <t>Dominica_2022_January</t>
        </is>
      </c>
      <c r="B420" s="2" t="n"/>
      <c r="C420" s="3" t="inlineStr">
        <is>
          <t>SM.22.7, Sup.2</t>
        </is>
      </c>
      <c r="D420" s="4" t="inlineStr">
        <is>
          <t>Dominica</t>
        </is>
      </c>
      <c r="E420" s="4" t="inlineStr">
        <is>
          <t>DMA</t>
        </is>
      </c>
      <c r="F420" s="10" t="n">
        <v>44562</v>
      </c>
      <c r="G420" s="4" t="inlineStr">
        <is>
          <t>2018gn</t>
        </is>
      </c>
      <c r="H420" s="4" t="n">
        <v>2021</v>
      </c>
      <c r="I420" s="4" t="inlineStr">
        <is>
          <t>css.loan.prvt.cmbk</t>
        </is>
      </c>
      <c r="J420" t="inlineStr">
        <is>
          <t>Commecial Bank</t>
        </is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</row>
    <row r="421">
      <c r="A421" t="inlineStr">
        <is>
          <t>Dominica_2022_January</t>
        </is>
      </c>
      <c r="B421" s="2" t="n"/>
      <c r="C421" s="3" t="inlineStr">
        <is>
          <t>SM.22.7, Sup.2</t>
        </is>
      </c>
      <c r="D421" s="4" t="inlineStr">
        <is>
          <t>Dominica</t>
        </is>
      </c>
      <c r="E421" s="4" t="inlineStr">
        <is>
          <t>DMA</t>
        </is>
      </c>
      <c r="F421" s="10" t="n">
        <v>44562</v>
      </c>
      <c r="G421" s="4" t="inlineStr">
        <is>
          <t>2018gn</t>
        </is>
      </c>
      <c r="H421" s="4" t="n">
        <v>2021</v>
      </c>
      <c r="I421" s="4" t="inlineStr">
        <is>
          <t>css.loan.prvt.com3</t>
        </is>
      </c>
      <c r="J421" t="inlineStr">
        <is>
          <t>COM3</t>
        </is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</row>
    <row r="422">
      <c r="A422" t="inlineStr">
        <is>
          <t>Dominica_2022_January</t>
        </is>
      </c>
      <c r="B422" s="2" t="n"/>
      <c r="C422" s="3" t="inlineStr">
        <is>
          <t>SM.22.7, Sup.2</t>
        </is>
      </c>
      <c r="D422" s="4" t="inlineStr">
        <is>
          <t>Dominica</t>
        </is>
      </c>
      <c r="E422" s="4" t="inlineStr">
        <is>
          <t>DMA</t>
        </is>
      </c>
      <c r="F422" s="10" t="n">
        <v>44562</v>
      </c>
      <c r="G422" s="4" t="inlineStr">
        <is>
          <t>2018gn</t>
        </is>
      </c>
      <c r="H422" s="4" t="n">
        <v>2021</v>
      </c>
      <c r="I422" s="4" t="inlineStr">
        <is>
          <t>css.loan.prvt.com4</t>
        </is>
      </c>
      <c r="J422" t="inlineStr">
        <is>
          <t>COM4</t>
        </is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</row>
    <row r="423">
      <c r="A423" t="inlineStr">
        <is>
          <t>Dominica_2022_January</t>
        </is>
      </c>
      <c r="B423" s="2" t="n"/>
      <c r="C423" s="3" t="inlineStr">
        <is>
          <t>SM.22.7, Sup.2</t>
        </is>
      </c>
      <c r="D423" s="4" t="inlineStr">
        <is>
          <t>Dominica</t>
        </is>
      </c>
      <c r="E423" s="4" t="inlineStr">
        <is>
          <t>DMA</t>
        </is>
      </c>
      <c r="F423" s="10" t="n">
        <v>44562</v>
      </c>
      <c r="G423" s="4" t="inlineStr">
        <is>
          <t>2018gn</t>
        </is>
      </c>
      <c r="H423" s="4" t="n">
        <v>2021</v>
      </c>
      <c r="I423" s="4" t="inlineStr">
        <is>
          <t>css.loan.prvt.com5</t>
        </is>
      </c>
      <c r="J423" t="inlineStr">
        <is>
          <t>COM5</t>
        </is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</row>
    <row r="424">
      <c r="A424" t="inlineStr">
        <is>
          <t>Dominica_2022_January</t>
        </is>
      </c>
      <c r="C424" t="inlineStr">
        <is>
          <t>SM.22.7, Sup.2</t>
        </is>
      </c>
      <c r="D424" t="inlineStr">
        <is>
          <t>Dominica</t>
        </is>
      </c>
      <c r="E424" t="inlineStr">
        <is>
          <t>DMA</t>
        </is>
      </c>
      <c r="F424" s="11" t="n">
        <v>44562</v>
      </c>
      <c r="G424" t="inlineStr">
        <is>
          <t>2018gn</t>
        </is>
      </c>
      <c r="H424" t="n">
        <v>2021</v>
      </c>
      <c r="I424" s="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W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t="inlineStr">
        <is>
          <t>link.staff.report</t>
        </is>
      </c>
      <c r="C1" t="inlineStr">
        <is>
          <t>dsa.vintage</t>
        </is>
      </c>
      <c r="D1" t="inlineStr">
        <is>
          <t>country.name</t>
        </is>
      </c>
      <c r="E1" t="inlineStr">
        <is>
          <t>country.code</t>
        </is>
      </c>
      <c r="F1" t="inlineStr">
        <is>
          <t>issue.date</t>
        </is>
      </c>
      <c r="G1" t="inlineStr">
        <is>
          <t>methodo.gn</t>
        </is>
      </c>
      <c r="H1" t="inlineStr">
        <is>
          <t>first.year.proj</t>
        </is>
      </c>
      <c r="I1" t="inlineStr">
        <is>
          <t>indicator</t>
        </is>
      </c>
      <c r="K1" t="inlineStr">
        <is>
          <t>Units</t>
        </is>
      </c>
      <c r="L1" t="inlineStr">
        <is>
          <t>Scale</t>
        </is>
      </c>
      <c r="M1" t="inlineStr">
        <is>
          <t>Descriptor</t>
        </is>
      </c>
      <c r="P1" t="n">
        <v>2008</v>
      </c>
      <c r="Q1" t="n">
        <v>2009</v>
      </c>
      <c r="R1" t="n">
        <v>2010</v>
      </c>
      <c r="S1" t="n">
        <v>2011</v>
      </c>
      <c r="T1" t="n">
        <v>2012</v>
      </c>
      <c r="U1" t="n">
        <v>2013</v>
      </c>
      <c r="V1" t="n">
        <v>2014</v>
      </c>
      <c r="W1" t="n">
        <v>2015</v>
      </c>
      <c r="X1" t="n">
        <v>2016</v>
      </c>
      <c r="Y1" t="n">
        <v>2017</v>
      </c>
      <c r="Z1" t="n">
        <v>2018</v>
      </c>
      <c r="AA1" t="n">
        <v>2019</v>
      </c>
      <c r="AB1" t="n">
        <v>2020</v>
      </c>
      <c r="AC1" t="n">
        <v>2021</v>
      </c>
      <c r="AD1" t="n">
        <v>2022</v>
      </c>
      <c r="AE1" t="n">
        <v>2023</v>
      </c>
      <c r="AF1" t="n">
        <v>2024</v>
      </c>
      <c r="AG1" t="n">
        <v>2025</v>
      </c>
      <c r="AH1" t="n">
        <v>2026</v>
      </c>
      <c r="AI1" t="n">
        <v>2027</v>
      </c>
      <c r="AJ1" t="n">
        <v>2028</v>
      </c>
      <c r="AK1" t="n">
        <v>2029</v>
      </c>
      <c r="AL1" t="n">
        <v>2030</v>
      </c>
      <c r="AM1" t="n">
        <v>2031</v>
      </c>
      <c r="AN1" t="n">
        <v>2032</v>
      </c>
      <c r="AO1" t="n">
        <v>2033</v>
      </c>
      <c r="AP1" t="n">
        <v>2034</v>
      </c>
      <c r="AQ1" t="n">
        <v>2035</v>
      </c>
      <c r="AR1" t="n">
        <v>2036</v>
      </c>
      <c r="AS1" t="n">
        <v>2037</v>
      </c>
      <c r="AT1" t="n">
        <v>2038</v>
      </c>
      <c r="AU1" t="n">
        <v>2039</v>
      </c>
      <c r="AV1" t="n">
        <v>2040</v>
      </c>
      <c r="AW1" t="n">
        <v>2041</v>
      </c>
    </row>
    <row r="2">
      <c r="A2" t="inlineStr">
        <is>
          <t>Dominica_2022_January</t>
        </is>
      </c>
      <c r="C2" t="inlineStr">
        <is>
          <t>SM.22.7, Sup.2</t>
        </is>
      </c>
      <c r="D2" t="inlineStr">
        <is>
          <t>Dominica</t>
        </is>
      </c>
      <c r="E2" t="inlineStr">
        <is>
          <t>DMA</t>
        </is>
      </c>
      <c r="F2" s="11" t="n">
        <v>44562</v>
      </c>
      <c r="G2" t="inlineStr">
        <is>
          <t>2018gn</t>
        </is>
      </c>
      <c r="H2" t="n">
        <v>2021</v>
      </c>
      <c r="I2" t="inlineStr">
        <is>
          <t>dod.ext.dbt.all</t>
        </is>
      </c>
      <c r="K2" t="inlineStr">
        <is>
          <t>US Dollars</t>
        </is>
      </c>
      <c r="L2" t="inlineStr">
        <is>
          <t>Million</t>
        </is>
      </c>
      <c r="M2" t="inlineStr">
        <is>
          <t>Total External Debt (public external + private external)</t>
        </is>
      </c>
      <c r="P2" t="n">
        <v>304.5638518518513</v>
      </c>
      <c r="Q2" t="n">
        <v>317.401</v>
      </c>
      <c r="R2" t="n">
        <v>338.8516986185189</v>
      </c>
      <c r="S2" t="n">
        <v>364.870335018519</v>
      </c>
      <c r="T2" t="n">
        <v>375.280216407407</v>
      </c>
      <c r="U2" t="n">
        <v>427.856430676957</v>
      </c>
      <c r="V2" t="n">
        <v>445.032379991724</v>
      </c>
      <c r="W2" t="n">
        <v>475.933652414373</v>
      </c>
      <c r="X2" t="n">
        <v>489.29051112443</v>
      </c>
      <c r="Y2" t="n">
        <v>480.164571317346</v>
      </c>
      <c r="Z2" t="n">
        <v>579.9851878851921</v>
      </c>
      <c r="AA2" t="n">
        <v>556.3424219059621</v>
      </c>
      <c r="AB2" t="n">
        <v>589.824824259449</v>
      </c>
      <c r="AC2" t="n">
        <v>612.3828466949155</v>
      </c>
      <c r="AD2" t="n">
        <v>661.4385802502572</v>
      </c>
      <c r="AE2" t="n">
        <v>693.0486414212207</v>
      </c>
      <c r="AF2" t="n">
        <v>719.273818722136</v>
      </c>
      <c r="AG2" t="n">
        <v>737.6453571138404</v>
      </c>
      <c r="AH2" t="n">
        <v>759.3895340305518</v>
      </c>
      <c r="AI2" t="n">
        <v>748.2275771513089</v>
      </c>
      <c r="AJ2" t="n">
        <v>816.8998615533362</v>
      </c>
      <c r="AK2" t="n">
        <v>808.7022777362682</v>
      </c>
      <c r="AL2" t="n">
        <v>794.7717716734729</v>
      </c>
      <c r="AM2" t="n">
        <v>761.3485228665529</v>
      </c>
      <c r="AN2" t="n">
        <v>711.5356922041551</v>
      </c>
      <c r="AO2" t="n">
        <v>659.0352928748212</v>
      </c>
      <c r="AP2" t="n">
        <v>652.4814841809423</v>
      </c>
      <c r="AQ2" t="n">
        <v>645.7332025567013</v>
      </c>
      <c r="AR2" t="n">
        <v>638.9641785040476</v>
      </c>
      <c r="AS2" t="n">
        <v>632.1417763563244</v>
      </c>
      <c r="AT2" t="n">
        <v>626.8980629566029</v>
      </c>
      <c r="AU2" t="n">
        <v>624.0083642755446</v>
      </c>
      <c r="AV2" t="n">
        <v>621.03758343947</v>
      </c>
      <c r="AW2" t="n">
        <v>618.2180155418938</v>
      </c>
    </row>
    <row r="3">
      <c r="A3" t="inlineStr">
        <is>
          <t>Dominica_2022_January</t>
        </is>
      </c>
      <c r="C3" t="inlineStr">
        <is>
          <t>SM.22.7, Sup.2</t>
        </is>
      </c>
      <c r="D3" t="inlineStr">
        <is>
          <t>Dominica</t>
        </is>
      </c>
      <c r="E3" t="inlineStr">
        <is>
          <t>DMA</t>
        </is>
      </c>
      <c r="F3" s="11" t="n">
        <v>44562</v>
      </c>
      <c r="G3" t="inlineStr">
        <is>
          <t>2018gn</t>
        </is>
      </c>
      <c r="H3" t="n">
        <v>2021</v>
      </c>
      <c r="I3" t="inlineStr">
        <is>
          <t>dod.ext.mlt</t>
        </is>
      </c>
      <c r="K3" t="inlineStr">
        <is>
          <t>US Dollars</t>
        </is>
      </c>
      <c r="L3" t="inlineStr">
        <is>
          <t>Million</t>
        </is>
      </c>
      <c r="M3" t="inlineStr">
        <is>
          <t>Total MLT debt outstanding at year-end 1/</t>
        </is>
      </c>
      <c r="P3" t="n">
        <v>304.5638518518513</v>
      </c>
      <c r="Q3" t="n">
        <v>317.401</v>
      </c>
      <c r="R3" t="n">
        <v>338.8516986185189</v>
      </c>
      <c r="S3" t="n">
        <v>364.870335018519</v>
      </c>
      <c r="T3" t="n">
        <v>375.280216407407</v>
      </c>
      <c r="U3" t="n">
        <v>427.856430676957</v>
      </c>
      <c r="V3" t="n">
        <v>445.032379991724</v>
      </c>
      <c r="W3" t="n">
        <v>475.933652414373</v>
      </c>
      <c r="X3" t="n">
        <v>489.29051112443</v>
      </c>
      <c r="Y3" t="n">
        <v>480.164571317346</v>
      </c>
      <c r="Z3" t="n">
        <v>579.9851878851921</v>
      </c>
      <c r="AA3" t="n">
        <v>556.3424219059621</v>
      </c>
      <c r="AB3" t="n">
        <v>589.824824259449</v>
      </c>
      <c r="AC3" t="n">
        <v>612.3828466949155</v>
      </c>
      <c r="AD3" t="n">
        <v>661.4385802502572</v>
      </c>
      <c r="AE3" t="n">
        <v>693.0486414212207</v>
      </c>
      <c r="AF3" t="n">
        <v>719.273818722136</v>
      </c>
      <c r="AG3" t="n">
        <v>737.6453571138404</v>
      </c>
      <c r="AH3" t="n">
        <v>759.3895340305518</v>
      </c>
      <c r="AI3" t="n">
        <v>748.2275771513089</v>
      </c>
      <c r="AJ3" t="n">
        <v>816.8998615533362</v>
      </c>
      <c r="AK3" t="n">
        <v>808.7022777362682</v>
      </c>
      <c r="AL3" t="n">
        <v>794.7717716734729</v>
      </c>
      <c r="AM3" t="n">
        <v>761.3485228665529</v>
      </c>
      <c r="AN3" t="n">
        <v>711.5356922041551</v>
      </c>
      <c r="AO3" t="n">
        <v>659.0352928748212</v>
      </c>
      <c r="AP3" t="n">
        <v>652.4814841809423</v>
      </c>
      <c r="AQ3" t="n">
        <v>645.7332025567013</v>
      </c>
      <c r="AR3" t="n">
        <v>638.9641785040476</v>
      </c>
      <c r="AS3" t="n">
        <v>632.1417763563244</v>
      </c>
      <c r="AT3" t="n">
        <v>626.8980629566029</v>
      </c>
      <c r="AU3" t="n">
        <v>624.0083642755446</v>
      </c>
      <c r="AV3" t="n">
        <v>621.03758343947</v>
      </c>
      <c r="AW3" t="n">
        <v>618.2180155418938</v>
      </c>
    </row>
    <row r="4">
      <c r="A4" t="inlineStr">
        <is>
          <t>Dominica_2022_January</t>
        </is>
      </c>
      <c r="C4" t="inlineStr">
        <is>
          <t>SM.22.7, Sup.2</t>
        </is>
      </c>
      <c r="D4" t="inlineStr">
        <is>
          <t>Dominica</t>
        </is>
      </c>
      <c r="E4" t="inlineStr">
        <is>
          <t>DMA</t>
        </is>
      </c>
      <c r="F4" s="11" t="n">
        <v>44562</v>
      </c>
      <c r="G4" t="inlineStr">
        <is>
          <t>2018gn</t>
        </is>
      </c>
      <c r="H4" t="n">
        <v>2021</v>
      </c>
      <c r="I4" t="inlineStr">
        <is>
          <t>dod.ext.ppg</t>
        </is>
      </c>
      <c r="K4" t="inlineStr">
        <is>
          <t>US Dollars</t>
        </is>
      </c>
      <c r="L4" t="inlineStr">
        <is>
          <t>Million</t>
        </is>
      </c>
      <c r="M4" t="inlineStr">
        <is>
          <t>Public and publicly guaranteed external debt</t>
        </is>
      </c>
      <c r="P4" t="n">
        <v>214.040518518518</v>
      </c>
      <c r="Q4" t="n">
        <v>215.132851851852</v>
      </c>
      <c r="R4" t="n">
        <v>243.755772692593</v>
      </c>
      <c r="S4" t="n">
        <v>244.621129092593</v>
      </c>
      <c r="T4" t="n">
        <v>262.513586037037</v>
      </c>
      <c r="U4" t="n">
        <v>320.77976401029</v>
      </c>
      <c r="V4" t="n">
        <v>325.252379991724</v>
      </c>
      <c r="W4" t="n">
        <v>325.219948710669</v>
      </c>
      <c r="X4" t="n">
        <v>315.593844457763</v>
      </c>
      <c r="Y4" t="n">
        <v>306.454200946976</v>
      </c>
      <c r="Z4" t="n">
        <v>309.40440758275</v>
      </c>
      <c r="AA4" t="n">
        <v>317.411119216809</v>
      </c>
      <c r="AB4" t="n">
        <v>375.034355363731</v>
      </c>
      <c r="AC4" t="n">
        <v>393.4322952474786</v>
      </c>
      <c r="AD4" t="n">
        <v>443.3386997544062</v>
      </c>
      <c r="AE4" t="n">
        <v>476.0636982476398</v>
      </c>
      <c r="AF4" t="n">
        <v>501.6221056100459</v>
      </c>
      <c r="AG4" t="n">
        <v>527.6804577211024</v>
      </c>
      <c r="AH4" t="n">
        <v>557.5959876401378</v>
      </c>
      <c r="AI4" t="n">
        <v>578.2306728674749</v>
      </c>
      <c r="AJ4" t="n">
        <v>585.1081655738732</v>
      </c>
      <c r="AK4" t="n">
        <v>581.6684635754452</v>
      </c>
      <c r="AL4" t="n">
        <v>575.9345598307129</v>
      </c>
      <c r="AM4" t="n">
        <v>571.9159773036629</v>
      </c>
      <c r="AN4" t="n">
        <v>568.1186111582481</v>
      </c>
      <c r="AO4" t="n">
        <v>562.6134144746434</v>
      </c>
      <c r="AP4" t="n">
        <v>556.0596057807645</v>
      </c>
      <c r="AQ4" t="n">
        <v>549.3113241565235</v>
      </c>
      <c r="AR4" t="n">
        <v>542.5423001038698</v>
      </c>
      <c r="AS4" t="n">
        <v>535.7198979561466</v>
      </c>
      <c r="AT4" t="n">
        <v>530.4761845564251</v>
      </c>
      <c r="AU4" t="n">
        <v>527.5864858753669</v>
      </c>
      <c r="AV4" t="n">
        <v>524.6157050392923</v>
      </c>
      <c r="AW4" t="n">
        <v>521.796137141716</v>
      </c>
    </row>
    <row r="5">
      <c r="A5" t="inlineStr">
        <is>
          <t>Dominica_2022_January</t>
        </is>
      </c>
      <c r="C5" t="inlineStr">
        <is>
          <t>SM.22.7, Sup.2</t>
        </is>
      </c>
      <c r="D5" t="inlineStr">
        <is>
          <t>Dominica</t>
        </is>
      </c>
      <c r="E5" t="inlineStr">
        <is>
          <t>DMA</t>
        </is>
      </c>
      <c r="F5" s="11" t="n">
        <v>44562</v>
      </c>
      <c r="G5" t="inlineStr">
        <is>
          <t>2018gn</t>
        </is>
      </c>
      <c r="H5" t="n">
        <v>2021</v>
      </c>
      <c r="I5" t="inlineStr">
        <is>
          <t>dod.ext.ppg,mlg.trm</t>
        </is>
      </c>
      <c r="K5" t="inlineStr">
        <is>
          <t>US Dollars</t>
        </is>
      </c>
      <c r="L5" t="inlineStr">
        <is>
          <t>Million</t>
        </is>
      </c>
      <c r="M5" t="inlineStr">
        <is>
          <t>Medium and Long Term (MLT) external</t>
        </is>
      </c>
      <c r="P5" t="n">
        <v>214.040518518518</v>
      </c>
      <c r="Q5" t="n">
        <v>215.132851851852</v>
      </c>
      <c r="R5" t="n">
        <v>243.755772692593</v>
      </c>
      <c r="S5" t="n">
        <v>244.621129092593</v>
      </c>
      <c r="T5" t="n">
        <v>262.513586037037</v>
      </c>
      <c r="U5" t="n">
        <v>320.77976401029</v>
      </c>
      <c r="V5" t="n">
        <v>325.252379991724</v>
      </c>
      <c r="W5" t="n">
        <v>325.219948710669</v>
      </c>
      <c r="X5" t="n">
        <v>315.593844457763</v>
      </c>
      <c r="Y5" t="n">
        <v>306.454200946976</v>
      </c>
      <c r="Z5" t="n">
        <v>309.40440758275</v>
      </c>
      <c r="AA5" t="n">
        <v>317.411119216809</v>
      </c>
      <c r="AB5" t="n">
        <v>375.034355363731</v>
      </c>
      <c r="AC5" t="n">
        <v>393.4322952474786</v>
      </c>
      <c r="AD5" t="n">
        <v>443.3386997544062</v>
      </c>
      <c r="AE5" t="n">
        <v>476.0636982476398</v>
      </c>
      <c r="AF5" t="n">
        <v>501.6221056100459</v>
      </c>
      <c r="AG5" t="n">
        <v>527.6804577211024</v>
      </c>
      <c r="AH5" t="n">
        <v>557.5959876401378</v>
      </c>
      <c r="AI5" t="n">
        <v>578.2306728674749</v>
      </c>
      <c r="AJ5" t="n">
        <v>585.1081655738732</v>
      </c>
      <c r="AK5" t="n">
        <v>581.6684635754452</v>
      </c>
      <c r="AL5" t="n">
        <v>575.9345598307129</v>
      </c>
      <c r="AM5" t="n">
        <v>571.9159773036629</v>
      </c>
      <c r="AN5" t="n">
        <v>568.1186111582481</v>
      </c>
      <c r="AO5" t="n">
        <v>562.6134144746434</v>
      </c>
      <c r="AP5" t="n">
        <v>556.0596057807645</v>
      </c>
      <c r="AQ5" t="n">
        <v>549.3113241565235</v>
      </c>
      <c r="AR5" t="n">
        <v>542.5423001038698</v>
      </c>
      <c r="AS5" t="n">
        <v>535.7198979561466</v>
      </c>
      <c r="AT5" t="n">
        <v>530.4761845564251</v>
      </c>
      <c r="AU5" t="n">
        <v>527.5864858753669</v>
      </c>
      <c r="AV5" t="n">
        <v>524.6157050392923</v>
      </c>
      <c r="AW5" t="n">
        <v>521.796137141716</v>
      </c>
    </row>
    <row r="6">
      <c r="A6" t="inlineStr">
        <is>
          <t>Dominica_2022_January</t>
        </is>
      </c>
      <c r="C6" t="inlineStr">
        <is>
          <t>SM.22.7, Sup.2</t>
        </is>
      </c>
      <c r="D6" t="inlineStr">
        <is>
          <t>Dominica</t>
        </is>
      </c>
      <c r="E6" t="inlineStr">
        <is>
          <t>DMA</t>
        </is>
      </c>
      <c r="F6" s="11" t="n">
        <v>44562</v>
      </c>
      <c r="G6" t="inlineStr">
        <is>
          <t>2018gn</t>
        </is>
      </c>
      <c r="H6" t="n">
        <v>2021</v>
      </c>
      <c r="I6" t="inlineStr">
        <is>
          <t>dod.ext.ppg,sht.trm</t>
        </is>
      </c>
      <c r="K6" t="inlineStr">
        <is>
          <t>US Dollars</t>
        </is>
      </c>
      <c r="L6" t="inlineStr">
        <is>
          <t>Million</t>
        </is>
      </c>
      <c r="M6" t="inlineStr">
        <is>
          <t>Short Term</t>
        </is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</row>
    <row r="7">
      <c r="A7" t="inlineStr">
        <is>
          <t>Dominica_2022_January</t>
        </is>
      </c>
      <c r="C7" t="inlineStr">
        <is>
          <t>SM.22.7, Sup.2</t>
        </is>
      </c>
      <c r="D7" t="inlineStr">
        <is>
          <t>Dominica</t>
        </is>
      </c>
      <c r="E7" t="inlineStr">
        <is>
          <t>DMA</t>
        </is>
      </c>
      <c r="F7" s="11" t="n">
        <v>44562</v>
      </c>
      <c r="G7" t="inlineStr">
        <is>
          <t>2018gn</t>
        </is>
      </c>
      <c r="H7" t="n">
        <v>2021</v>
      </c>
      <c r="I7" t="inlineStr">
        <is>
          <t>dod.ext.png</t>
        </is>
      </c>
      <c r="K7" t="inlineStr">
        <is>
          <t>US Dollars</t>
        </is>
      </c>
      <c r="L7" t="inlineStr">
        <is>
          <t>Million</t>
        </is>
      </c>
      <c r="M7" t="inlineStr">
        <is>
          <t>Private sector external debt</t>
        </is>
      </c>
      <c r="P7" t="n">
        <v>90.5233333333333</v>
      </c>
      <c r="Q7" t="n">
        <v>102.268148148148</v>
      </c>
      <c r="R7" t="n">
        <v>95.0959259259259</v>
      </c>
      <c r="S7" t="n">
        <v>120.249205925926</v>
      </c>
      <c r="T7" t="n">
        <v>112.76663037037</v>
      </c>
      <c r="U7" t="n">
        <v>107.076666666667</v>
      </c>
      <c r="V7" t="n">
        <v>119.78</v>
      </c>
      <c r="W7" t="n">
        <v>150.713703703704</v>
      </c>
      <c r="X7" t="n">
        <v>173.696666666667</v>
      </c>
      <c r="Y7" t="n">
        <v>173.71037037037</v>
      </c>
      <c r="Z7" t="n">
        <v>270.580780302442</v>
      </c>
      <c r="AA7" t="n">
        <v>238.931302689153</v>
      </c>
      <c r="AB7" t="n">
        <v>214.790468895718</v>
      </c>
      <c r="AC7" t="n">
        <v>218.950551447437</v>
      </c>
      <c r="AD7" t="n">
        <v>218.099880495851</v>
      </c>
      <c r="AE7" t="n">
        <v>216.984943173581</v>
      </c>
      <c r="AF7" t="n">
        <v>217.65171311209</v>
      </c>
      <c r="AG7" t="n">
        <v>209.964899392738</v>
      </c>
      <c r="AH7" t="n">
        <v>201.793546390414</v>
      </c>
      <c r="AI7" t="n">
        <v>169.996904283834</v>
      </c>
      <c r="AJ7" t="n">
        <v>231.791695979463</v>
      </c>
      <c r="AK7" t="n">
        <v>227.033814160823</v>
      </c>
      <c r="AL7" t="n">
        <v>218.83721184276</v>
      </c>
      <c r="AM7" t="n">
        <v>189.43254556289</v>
      </c>
      <c r="AN7" t="n">
        <v>143.417081045907</v>
      </c>
      <c r="AO7" t="n">
        <v>96.4218784001778</v>
      </c>
      <c r="AP7" t="n">
        <v>96.4218784001778</v>
      </c>
      <c r="AQ7" t="n">
        <v>96.4218784001778</v>
      </c>
      <c r="AR7" t="n">
        <v>96.4218784001778</v>
      </c>
      <c r="AS7" t="n">
        <v>96.4218784001778</v>
      </c>
      <c r="AT7" t="n">
        <v>96.4218784001778</v>
      </c>
      <c r="AU7" t="n">
        <v>96.4218784001778</v>
      </c>
      <c r="AV7" t="n">
        <v>96.4218784001778</v>
      </c>
      <c r="AW7" t="n">
        <v>96.4218784001778</v>
      </c>
    </row>
    <row r="8">
      <c r="A8" t="inlineStr">
        <is>
          <t>Dominica_2022_January</t>
        </is>
      </c>
      <c r="C8" t="inlineStr">
        <is>
          <t>SM.22.7, Sup.2</t>
        </is>
      </c>
      <c r="D8" t="inlineStr">
        <is>
          <t>Dominica</t>
        </is>
      </c>
      <c r="E8" t="inlineStr">
        <is>
          <t>DMA</t>
        </is>
      </c>
      <c r="F8" s="11" t="n">
        <v>44562</v>
      </c>
      <c r="G8" t="inlineStr">
        <is>
          <t>2018gn</t>
        </is>
      </c>
      <c r="H8" t="n">
        <v>2021</v>
      </c>
      <c r="I8" t="inlineStr">
        <is>
          <t>dod.ext.png.mlg.trm</t>
        </is>
      </c>
      <c r="K8" t="inlineStr">
        <is>
          <t>US Dollars</t>
        </is>
      </c>
      <c r="L8" t="inlineStr">
        <is>
          <t>Million</t>
        </is>
      </c>
      <c r="M8" t="inlineStr">
        <is>
          <t>Medium and Long Term (MLT) external</t>
        </is>
      </c>
      <c r="P8" t="n">
        <v>90.5233333333333</v>
      </c>
      <c r="Q8" t="n">
        <v>102.268148148148</v>
      </c>
      <c r="R8" t="n">
        <v>95.0959259259259</v>
      </c>
      <c r="S8" t="n">
        <v>120.249205925926</v>
      </c>
      <c r="T8" t="n">
        <v>112.76663037037</v>
      </c>
      <c r="U8" t="n">
        <v>107.076666666667</v>
      </c>
      <c r="V8" t="n">
        <v>119.78</v>
      </c>
      <c r="W8" t="n">
        <v>150.713703703704</v>
      </c>
      <c r="X8" t="n">
        <v>173.696666666667</v>
      </c>
      <c r="Y8" t="n">
        <v>173.71037037037</v>
      </c>
      <c r="Z8" t="n">
        <v>270.580780302442</v>
      </c>
      <c r="AA8" t="n">
        <v>238.931302689153</v>
      </c>
      <c r="AB8" t="n">
        <v>214.790468895718</v>
      </c>
      <c r="AC8" t="n">
        <v>218.950551447437</v>
      </c>
      <c r="AD8" t="n">
        <v>218.099880495851</v>
      </c>
      <c r="AE8" t="n">
        <v>216.984943173581</v>
      </c>
      <c r="AF8" t="n">
        <v>217.65171311209</v>
      </c>
      <c r="AG8" t="n">
        <v>209.964899392738</v>
      </c>
      <c r="AH8" t="n">
        <v>201.793546390414</v>
      </c>
      <c r="AI8" t="n">
        <v>169.996904283834</v>
      </c>
      <c r="AJ8" t="n">
        <v>231.791695979463</v>
      </c>
      <c r="AK8" t="n">
        <v>227.033814160823</v>
      </c>
      <c r="AL8" t="n">
        <v>218.83721184276</v>
      </c>
      <c r="AM8" t="n">
        <v>189.43254556289</v>
      </c>
      <c r="AN8" t="n">
        <v>143.417081045907</v>
      </c>
      <c r="AO8" t="n">
        <v>96.4218784001778</v>
      </c>
      <c r="AP8" t="n">
        <v>96.4218784001778</v>
      </c>
      <c r="AQ8" t="n">
        <v>96.4218784001778</v>
      </c>
      <c r="AR8" t="n">
        <v>96.4218784001778</v>
      </c>
      <c r="AS8" t="n">
        <v>96.4218784001778</v>
      </c>
      <c r="AT8" t="n">
        <v>96.4218784001778</v>
      </c>
      <c r="AU8" t="n">
        <v>96.4218784001778</v>
      </c>
      <c r="AV8" t="n">
        <v>96.4218784001778</v>
      </c>
      <c r="AW8" t="n">
        <v>96.4218784001778</v>
      </c>
    </row>
    <row r="9">
      <c r="A9" t="inlineStr">
        <is>
          <t>Dominica_2022_January</t>
        </is>
      </c>
      <c r="C9" t="inlineStr">
        <is>
          <t>SM.22.7, Sup.2</t>
        </is>
      </c>
      <c r="D9" t="inlineStr">
        <is>
          <t>Dominica</t>
        </is>
      </c>
      <c r="E9" t="inlineStr">
        <is>
          <t>DMA</t>
        </is>
      </c>
      <c r="F9" s="11" t="n">
        <v>44562</v>
      </c>
      <c r="G9" t="inlineStr">
        <is>
          <t>2018gn</t>
        </is>
      </c>
      <c r="H9" t="n">
        <v>2021</v>
      </c>
      <c r="I9" t="inlineStr">
        <is>
          <t>dod.ext.png.sht.trm</t>
        </is>
      </c>
      <c r="K9" t="inlineStr">
        <is>
          <t>US Dollars</t>
        </is>
      </c>
      <c r="L9" t="inlineStr">
        <is>
          <t>Million</t>
        </is>
      </c>
      <c r="M9" t="inlineStr">
        <is>
          <t>Short Term</t>
        </is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</row>
    <row r="10">
      <c r="A10" t="inlineStr">
        <is>
          <t>Dominica_2022_January</t>
        </is>
      </c>
      <c r="C10" t="inlineStr">
        <is>
          <t>SM.22.7, Sup.2</t>
        </is>
      </c>
      <c r="D10" t="inlineStr">
        <is>
          <t>Dominica</t>
        </is>
      </c>
      <c r="E10" t="inlineStr">
        <is>
          <t>DMA</t>
        </is>
      </c>
      <c r="F10" s="11" t="n">
        <v>44562</v>
      </c>
      <c r="G10" t="inlineStr">
        <is>
          <t>2018gn</t>
        </is>
      </c>
      <c r="H10" t="n">
        <v>2021</v>
      </c>
      <c r="I10" t="inlineStr">
        <is>
          <t>dod.pub.dbt.all</t>
        </is>
      </c>
      <c r="K10" t="inlineStr">
        <is>
          <t>National Currency</t>
        </is>
      </c>
      <c r="L10" t="inlineStr">
        <is>
          <t>Million</t>
        </is>
      </c>
      <c r="M10" t="inlineStr">
        <is>
          <t>Total public domestic debt</t>
        </is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155.088757622346</v>
      </c>
      <c r="W10" t="n">
        <v>160.44320025765</v>
      </c>
      <c r="X10" t="n">
        <v>282.196260531236</v>
      </c>
      <c r="Y10" t="n">
        <v>393.285590255769</v>
      </c>
      <c r="Z10" t="n">
        <v>512.883111177657</v>
      </c>
      <c r="AA10" t="n">
        <v>618.3269256</v>
      </c>
      <c r="AB10" t="n">
        <v>597.37134106</v>
      </c>
      <c r="AC10" t="n">
        <v>608.4411540559302</v>
      </c>
      <c r="AD10" t="n">
        <v>605.5626766202198</v>
      </c>
      <c r="AE10" t="n">
        <v>591.0723961261889</v>
      </c>
      <c r="AF10" t="n">
        <v>577.6770249416911</v>
      </c>
      <c r="AG10" t="n">
        <v>557.6750659229402</v>
      </c>
      <c r="AH10" t="n">
        <v>530.8387766875754</v>
      </c>
      <c r="AI10" t="n">
        <v>500.9019682309591</v>
      </c>
      <c r="AJ10" t="n">
        <v>470.862599147854</v>
      </c>
      <c r="AK10" t="n">
        <v>447.5081975401907</v>
      </c>
      <c r="AL10" t="n">
        <v>423.107591110161</v>
      </c>
      <c r="AM10" t="n">
        <v>398.5604149021086</v>
      </c>
      <c r="AN10" t="n">
        <v>370.5307212776101</v>
      </c>
      <c r="AO10" t="n">
        <v>363.9985490301166</v>
      </c>
      <c r="AP10" t="n">
        <v>360.5774258690388</v>
      </c>
      <c r="AQ10" t="n">
        <v>346.9553283515003</v>
      </c>
      <c r="AR10" t="n">
        <v>343.7073236397558</v>
      </c>
      <c r="AS10" t="n">
        <v>345.9820881397091</v>
      </c>
      <c r="AT10" t="n">
        <v>355.3010790482752</v>
      </c>
      <c r="AU10" t="n">
        <v>371.5795167864016</v>
      </c>
      <c r="AV10" t="n">
        <v>391.9768661802561</v>
      </c>
      <c r="AW10" t="n">
        <v>419.9509721466205</v>
      </c>
    </row>
    <row r="11">
      <c r="A11" t="inlineStr">
        <is>
          <t>Dominica_2022_January</t>
        </is>
      </c>
      <c r="C11" t="inlineStr">
        <is>
          <t>SM.22.7, Sup.2</t>
        </is>
      </c>
      <c r="D11" t="inlineStr">
        <is>
          <t>Dominica</t>
        </is>
      </c>
      <c r="E11" t="inlineStr">
        <is>
          <t>DMA</t>
        </is>
      </c>
      <c r="F11" s="11" t="n">
        <v>44562</v>
      </c>
      <c r="G11" t="inlineStr">
        <is>
          <t>2018gn</t>
        </is>
      </c>
      <c r="H11" t="n">
        <v>2021</v>
      </c>
      <c r="I11" t="inlineStr">
        <is>
          <t>dod.pub.dbt.mlg.trm</t>
        </is>
      </c>
      <c r="K11" t="inlineStr">
        <is>
          <t>National Currency</t>
        </is>
      </c>
      <c r="L11" t="inlineStr">
        <is>
          <t>Million</t>
        </is>
      </c>
      <c r="M11" t="inlineStr">
        <is>
          <t xml:space="preserve">Medium and Long Term (MLT) </t>
        </is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155.088757622346</v>
      </c>
      <c r="W11" t="n">
        <v>160.44320025765</v>
      </c>
      <c r="X11" t="n">
        <v>282.196260531236</v>
      </c>
      <c r="Y11" t="n">
        <v>393.285590255769</v>
      </c>
      <c r="Z11" t="n">
        <v>512.883111177657</v>
      </c>
      <c r="AA11" t="n">
        <v>618.3269256</v>
      </c>
      <c r="AB11" t="n">
        <v>597.37134106</v>
      </c>
      <c r="AC11" t="n">
        <v>608.4411540559302</v>
      </c>
      <c r="AD11" t="n">
        <v>605.5626766202198</v>
      </c>
      <c r="AE11" t="n">
        <v>591.0723961261889</v>
      </c>
      <c r="AF11" t="n">
        <v>577.6770249416911</v>
      </c>
      <c r="AG11" t="n">
        <v>557.6750659229402</v>
      </c>
      <c r="AH11" t="n">
        <v>530.8387766875754</v>
      </c>
      <c r="AI11" t="n">
        <v>500.9019682309591</v>
      </c>
      <c r="AJ11" t="n">
        <v>470.862599147854</v>
      </c>
      <c r="AK11" t="n">
        <v>447.5081975401907</v>
      </c>
      <c r="AL11" t="n">
        <v>423.107591110161</v>
      </c>
      <c r="AM11" t="n">
        <v>398.5604149021086</v>
      </c>
      <c r="AN11" t="n">
        <v>370.5307212776101</v>
      </c>
      <c r="AO11" t="n">
        <v>363.9985490301166</v>
      </c>
      <c r="AP11" t="n">
        <v>360.5774258690388</v>
      </c>
      <c r="AQ11" t="n">
        <v>346.9553283515003</v>
      </c>
      <c r="AR11" t="n">
        <v>343.7073236397558</v>
      </c>
      <c r="AS11" t="n">
        <v>345.9820881397091</v>
      </c>
      <c r="AT11" t="n">
        <v>355.3010790482752</v>
      </c>
      <c r="AU11" t="n">
        <v>371.5795167864016</v>
      </c>
      <c r="AV11" t="n">
        <v>391.9768661802561</v>
      </c>
      <c r="AW11" t="n">
        <v>419.9509721466205</v>
      </c>
    </row>
    <row r="12">
      <c r="A12" t="inlineStr">
        <is>
          <t>Dominica_2022_January</t>
        </is>
      </c>
      <c r="C12" t="inlineStr">
        <is>
          <t>SM.22.7, Sup.2</t>
        </is>
      </c>
      <c r="D12" t="inlineStr">
        <is>
          <t>Dominica</t>
        </is>
      </c>
      <c r="E12" t="inlineStr">
        <is>
          <t>DMA</t>
        </is>
      </c>
      <c r="F12" s="11" t="n">
        <v>44562</v>
      </c>
      <c r="G12" t="inlineStr">
        <is>
          <t>2018gn</t>
        </is>
      </c>
      <c r="H12" t="n">
        <v>2021</v>
      </c>
      <c r="I12" t="inlineStr">
        <is>
          <t>dod.pub.dbt.sht.trm</t>
        </is>
      </c>
      <c r="K12" t="inlineStr">
        <is>
          <t>National Currency</t>
        </is>
      </c>
      <c r="L12" t="inlineStr">
        <is>
          <t>Million</t>
        </is>
      </c>
      <c r="M12" t="inlineStr">
        <is>
          <t>Short Term</t>
        </is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</row>
    <row r="13">
      <c r="A13" t="inlineStr">
        <is>
          <t>Dominica_2022_January</t>
        </is>
      </c>
      <c r="C13" t="inlineStr">
        <is>
          <t>SM.22.7, Sup.2</t>
        </is>
      </c>
      <c r="D13" t="inlineStr">
        <is>
          <t>Dominica</t>
        </is>
      </c>
      <c r="E13" t="inlineStr">
        <is>
          <t>DMA</t>
        </is>
      </c>
      <c r="F13" s="11" t="n">
        <v>44562</v>
      </c>
      <c r="G13" t="inlineStr">
        <is>
          <t>2018gn</t>
        </is>
      </c>
      <c r="H13" t="n">
        <v>2021</v>
      </c>
      <c r="I13" t="inlineStr">
        <is>
          <t>int.all</t>
        </is>
      </c>
      <c r="K13" t="inlineStr">
        <is>
          <t>US Dollars</t>
        </is>
      </c>
      <c r="L13" t="inlineStr">
        <is>
          <t>Million</t>
        </is>
      </c>
      <c r="M13" t="inlineStr">
        <is>
          <t>Total debt interest due</t>
        </is>
      </c>
    </row>
    <row r="14">
      <c r="A14" t="inlineStr">
        <is>
          <t>Dominica_2022_January</t>
        </is>
      </c>
      <c r="C14" t="inlineStr">
        <is>
          <t>SM.22.7, Sup.2</t>
        </is>
      </c>
      <c r="D14" t="inlineStr">
        <is>
          <t>Dominica</t>
        </is>
      </c>
      <c r="E14" t="inlineStr">
        <is>
          <t>DMA</t>
        </is>
      </c>
      <c r="F14" s="11" t="n">
        <v>44562</v>
      </c>
      <c r="G14" t="inlineStr">
        <is>
          <t>2018gn</t>
        </is>
      </c>
      <c r="H14" t="n">
        <v>2021</v>
      </c>
      <c r="I14" t="inlineStr">
        <is>
          <t>int.ext.all</t>
        </is>
      </c>
      <c r="K14" t="inlineStr">
        <is>
          <t>US Dollars</t>
        </is>
      </c>
      <c r="L14" t="inlineStr">
        <is>
          <t>Million</t>
        </is>
      </c>
      <c r="M14" t="inlineStr">
        <is>
          <t>Total external debt interest due (include interest from new debt)</t>
        </is>
      </c>
      <c r="P14" t="n">
        <v>7.03549074074074</v>
      </c>
      <c r="Q14" t="n">
        <v>9.08603703703703</v>
      </c>
      <c r="R14" t="n">
        <v>6.68894603703704</v>
      </c>
      <c r="S14" t="n">
        <v>7.150133703703711</v>
      </c>
      <c r="T14" t="n">
        <v>17.65390188888886</v>
      </c>
      <c r="U14" t="n">
        <v>8.581830592592599</v>
      </c>
      <c r="V14" t="n">
        <v>9.350976888888891</v>
      </c>
      <c r="W14" t="n">
        <v>8.50852170370371</v>
      </c>
      <c r="X14" t="n">
        <v>9.6940032962963</v>
      </c>
      <c r="Y14" t="n">
        <v>9.097555229629631</v>
      </c>
      <c r="Z14" t="n">
        <v>8.64596967037037</v>
      </c>
      <c r="AA14" t="n">
        <v>8.534517692592599</v>
      </c>
      <c r="AB14" t="n">
        <v>7.575239888888889</v>
      </c>
      <c r="AC14" t="n">
        <v>9.366553573968501</v>
      </c>
      <c r="AD14" t="n">
        <v>9.143142304552095</v>
      </c>
      <c r="AE14" t="n">
        <v>9.742449312092045</v>
      </c>
      <c r="AF14" t="n">
        <v>9.917441305143493</v>
      </c>
      <c r="AG14" t="n">
        <v>9.595319835722421</v>
      </c>
      <c r="AH14" t="n">
        <v>9.131017587366536</v>
      </c>
      <c r="AI14" t="n">
        <v>8.998615226867686</v>
      </c>
      <c r="AJ14" t="n">
        <v>9.714304680910347</v>
      </c>
      <c r="AK14" t="n">
        <v>10.08210903081041</v>
      </c>
      <c r="AL14" t="n">
        <v>9.783668138787537</v>
      </c>
      <c r="AM14" t="n">
        <v>9.232763114144422</v>
      </c>
      <c r="AN14" t="n">
        <v>10.18023035980601</v>
      </c>
      <c r="AO14" t="n">
        <v>14.80342177272093</v>
      </c>
      <c r="AP14" t="n">
        <v>14.63516591254002</v>
      </c>
      <c r="AQ14" t="n">
        <v>8.126180082094088</v>
      </c>
      <c r="AR14" t="n">
        <v>9.612934863345936</v>
      </c>
      <c r="AS14" t="n">
        <v>7.006433973141013</v>
      </c>
      <c r="AT14" t="n">
        <v>8.164226477994525</v>
      </c>
      <c r="AU14" t="n">
        <v>8.549312059692552</v>
      </c>
      <c r="AV14" t="n">
        <v>8.347582770225154</v>
      </c>
      <c r="AW14" t="n">
        <v>11.11902841903658</v>
      </c>
    </row>
    <row r="15">
      <c r="A15" t="inlineStr">
        <is>
          <t>Dominica_2022_January</t>
        </is>
      </c>
      <c r="C15" t="inlineStr">
        <is>
          <t>SM.22.7, Sup.2</t>
        </is>
      </c>
      <c r="D15" t="inlineStr">
        <is>
          <t>Dominica</t>
        </is>
      </c>
      <c r="E15" t="inlineStr">
        <is>
          <t>DMA</t>
        </is>
      </c>
      <c r="F15" s="11" t="n">
        <v>44562</v>
      </c>
      <c r="G15" t="inlineStr">
        <is>
          <t>2018gn</t>
        </is>
      </c>
      <c r="H15" t="n">
        <v>2021</v>
      </c>
      <c r="I15" t="inlineStr">
        <is>
          <t>int.ext.ppg</t>
        </is>
      </c>
      <c r="K15" t="inlineStr">
        <is>
          <t>US Dollars</t>
        </is>
      </c>
      <c r="L15" t="inlineStr">
        <is>
          <t>Million</t>
        </is>
      </c>
      <c r="M15" t="inlineStr">
        <is>
          <t>Public and publicly guaranteed</t>
        </is>
      </c>
      <c r="P15" t="n">
        <v>4.77240740740741</v>
      </c>
      <c r="Q15" t="n">
        <v>6.52933333333333</v>
      </c>
      <c r="R15" t="n">
        <v>4.31154788888889</v>
      </c>
      <c r="S15" t="n">
        <v>4.33757814814815</v>
      </c>
      <c r="T15" t="n">
        <v>14.8413463333333</v>
      </c>
      <c r="U15" t="n">
        <v>5.76927503703704</v>
      </c>
      <c r="V15" t="n">
        <v>6.53842133333333</v>
      </c>
      <c r="W15" t="n">
        <v>5.69596614814815</v>
      </c>
      <c r="X15" t="n">
        <v>6.88144774074074</v>
      </c>
      <c r="Y15" t="n">
        <v>6.28499967407407</v>
      </c>
      <c r="Z15" t="n">
        <v>5.83341411481481</v>
      </c>
      <c r="AA15" t="n">
        <v>5.72196213703704</v>
      </c>
      <c r="AB15" t="n">
        <v>4.76268433333333</v>
      </c>
      <c r="AC15" t="n">
        <v>6.55399801841294</v>
      </c>
      <c r="AD15" t="n">
        <v>6.330586748996534</v>
      </c>
      <c r="AE15" t="n">
        <v>6.929893756536485</v>
      </c>
      <c r="AF15" t="n">
        <v>7.104885749587933</v>
      </c>
      <c r="AG15" t="n">
        <v>6.782764280166862</v>
      </c>
      <c r="AH15" t="n">
        <v>6.318462031810975</v>
      </c>
      <c r="AI15" t="n">
        <v>6.186059671312127</v>
      </c>
      <c r="AJ15" t="n">
        <v>6.901749125354787</v>
      </c>
      <c r="AK15" t="n">
        <v>7.269553475254851</v>
      </c>
      <c r="AL15" t="n">
        <v>6.971112583231977</v>
      </c>
      <c r="AM15" t="n">
        <v>6.420207558588862</v>
      </c>
      <c r="AN15" t="n">
        <v>7.367674804250449</v>
      </c>
      <c r="AO15" t="n">
        <v>11.99086621716537</v>
      </c>
      <c r="AP15" t="n">
        <v>11.82261035698446</v>
      </c>
      <c r="AQ15" t="n">
        <v>5.313624526538527</v>
      </c>
      <c r="AR15" t="n">
        <v>6.800379307790376</v>
      </c>
      <c r="AS15" t="n">
        <v>4.193878417585453</v>
      </c>
      <c r="AT15" t="n">
        <v>5.351670922438965</v>
      </c>
      <c r="AU15" t="n">
        <v>5.736756504136991</v>
      </c>
      <c r="AV15" t="n">
        <v>5.535027214669594</v>
      </c>
      <c r="AW15" t="n">
        <v>7.306472863481021</v>
      </c>
    </row>
    <row r="16">
      <c r="A16" t="inlineStr">
        <is>
          <t>Dominica_2022_January</t>
        </is>
      </c>
      <c r="C16" t="inlineStr">
        <is>
          <t>SM.22.7, Sup.2</t>
        </is>
      </c>
      <c r="D16" t="inlineStr">
        <is>
          <t>Dominica</t>
        </is>
      </c>
      <c r="E16" t="inlineStr">
        <is>
          <t>DMA</t>
        </is>
      </c>
      <c r="F16" s="11" t="n">
        <v>44562</v>
      </c>
      <c r="G16" t="inlineStr">
        <is>
          <t>2018gn</t>
        </is>
      </c>
      <c r="H16" t="n">
        <v>2021</v>
      </c>
      <c r="I16" t="inlineStr">
        <is>
          <t>int.ext.png</t>
        </is>
      </c>
      <c r="K16" t="inlineStr">
        <is>
          <t>US Dollars</t>
        </is>
      </c>
      <c r="L16" t="inlineStr">
        <is>
          <t>Million</t>
        </is>
      </c>
      <c r="M16" t="inlineStr">
        <is>
          <t xml:space="preserve">Private </t>
        </is>
      </c>
      <c r="P16" t="n">
        <v>2.26308333333333</v>
      </c>
      <c r="Q16" t="n">
        <v>2.5567037037037</v>
      </c>
      <c r="R16" t="n">
        <v>2.37739814814815</v>
      </c>
      <c r="S16" t="n">
        <v>2.81255555555556</v>
      </c>
      <c r="T16" t="n">
        <v>2.81255555555556</v>
      </c>
      <c r="U16" t="n">
        <v>2.81255555555556</v>
      </c>
      <c r="V16" t="n">
        <v>2.81255555555556</v>
      </c>
      <c r="W16" t="n">
        <v>2.81255555555556</v>
      </c>
      <c r="X16" t="n">
        <v>2.81255555555556</v>
      </c>
      <c r="Y16" t="n">
        <v>2.81255555555556</v>
      </c>
      <c r="Z16" t="n">
        <v>2.81255555555556</v>
      </c>
      <c r="AA16" t="n">
        <v>2.81255555555556</v>
      </c>
      <c r="AB16" t="n">
        <v>2.81255555555556</v>
      </c>
      <c r="AC16" t="n">
        <v>2.81255555555556</v>
      </c>
      <c r="AD16" t="n">
        <v>2.81255555555556</v>
      </c>
      <c r="AE16" t="n">
        <v>2.81255555555556</v>
      </c>
      <c r="AF16" t="n">
        <v>2.81255555555556</v>
      </c>
      <c r="AG16" t="n">
        <v>2.81255555555556</v>
      </c>
      <c r="AH16" t="n">
        <v>2.81255555555556</v>
      </c>
      <c r="AI16" t="n">
        <v>2.81255555555556</v>
      </c>
      <c r="AJ16" t="n">
        <v>2.81255555555556</v>
      </c>
      <c r="AK16" t="n">
        <v>2.81255555555556</v>
      </c>
      <c r="AL16" t="n">
        <v>2.81255555555556</v>
      </c>
      <c r="AM16" t="n">
        <v>2.81255555555556</v>
      </c>
      <c r="AN16" t="n">
        <v>2.81255555555556</v>
      </c>
      <c r="AO16" t="n">
        <v>2.81255555555556</v>
      </c>
      <c r="AP16" t="n">
        <v>2.81255555555556</v>
      </c>
      <c r="AQ16" t="n">
        <v>2.81255555555556</v>
      </c>
      <c r="AR16" t="n">
        <v>2.81255555555556</v>
      </c>
      <c r="AS16" t="n">
        <v>2.81255555555556</v>
      </c>
      <c r="AT16" t="n">
        <v>2.81255555555556</v>
      </c>
      <c r="AU16" t="n">
        <v>2.81255555555556</v>
      </c>
      <c r="AV16" t="n">
        <v>2.81255555555556</v>
      </c>
      <c r="AW16" t="n">
        <v>3.81255555555556</v>
      </c>
    </row>
    <row r="17">
      <c r="A17" t="inlineStr">
        <is>
          <t>Dominica_2022_January</t>
        </is>
      </c>
      <c r="C17" t="inlineStr">
        <is>
          <t>SM.22.7, Sup.2</t>
        </is>
      </c>
      <c r="D17" t="inlineStr">
        <is>
          <t>Dominica</t>
        </is>
      </c>
      <c r="E17" t="inlineStr">
        <is>
          <t>DMA</t>
        </is>
      </c>
      <c r="F17" s="11" t="n">
        <v>44562</v>
      </c>
      <c r="G17" t="inlineStr">
        <is>
          <t>2018gn</t>
        </is>
      </c>
      <c r="H17" t="n">
        <v>2021</v>
      </c>
      <c r="I17" t="inlineStr">
        <is>
          <t>int.dom.all</t>
        </is>
      </c>
      <c r="K17" t="inlineStr">
        <is>
          <t>US Dollars</t>
        </is>
      </c>
      <c r="L17" t="inlineStr">
        <is>
          <t>Million</t>
        </is>
      </c>
      <c r="M17" t="inlineStr">
        <is>
          <t>Total public domestic debt interest due</t>
        </is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2.003136259259259</v>
      </c>
      <c r="W17" t="n">
        <v>0.9051378148148148</v>
      </c>
      <c r="X17" t="n">
        <v>1.818312148148148</v>
      </c>
      <c r="Y17" t="n">
        <v>1.981576481481482</v>
      </c>
      <c r="Z17" t="n">
        <v>1.837305444444444</v>
      </c>
      <c r="AA17" t="n">
        <v>1.860728222222222</v>
      </c>
      <c r="AB17" t="n">
        <v>1.257862962962963</v>
      </c>
      <c r="AC17" t="n">
        <v>8.599254186848704</v>
      </c>
      <c r="AD17" t="n">
        <v>8.580176221407337</v>
      </c>
      <c r="AE17" t="n">
        <v>9.659671352960661</v>
      </c>
      <c r="AF17" t="n">
        <v>10.96027997716457</v>
      </c>
      <c r="AG17" t="n">
        <v>10.743470954028</v>
      </c>
      <c r="AH17" t="n">
        <v>10.31332369850601</v>
      </c>
      <c r="AI17" t="n">
        <v>9.778639882378998</v>
      </c>
      <c r="AJ17" t="n">
        <v>9.282650864183392</v>
      </c>
      <c r="AK17" t="n">
        <v>8.906674671099051</v>
      </c>
      <c r="AL17" t="n">
        <v>8.674002987278392</v>
      </c>
      <c r="AM17" t="n">
        <v>8.419767193566114</v>
      </c>
      <c r="AN17" t="n">
        <v>8.18032436466523</v>
      </c>
      <c r="AO17" t="n">
        <v>7.759470465293663</v>
      </c>
      <c r="AP17" t="n">
        <v>7.712653437617556</v>
      </c>
      <c r="AQ17" t="n">
        <v>7.698509745266831</v>
      </c>
      <c r="AR17" t="n">
        <v>7.570845412954772</v>
      </c>
      <c r="AS17" t="n">
        <v>7.621209061551341</v>
      </c>
      <c r="AT17" t="n">
        <v>7.84034180365869</v>
      </c>
      <c r="AU17" t="n">
        <v>8.136522910094248</v>
      </c>
      <c r="AV17" t="n">
        <v>8.515867099684247</v>
      </c>
      <c r="AW17" t="n">
        <v>8.935282052878593</v>
      </c>
    </row>
    <row r="18">
      <c r="A18" t="inlineStr">
        <is>
          <t>Dominica_2022_January</t>
        </is>
      </c>
      <c r="C18" t="inlineStr">
        <is>
          <t>SM.22.7, Sup.2</t>
        </is>
      </c>
      <c r="D18" t="inlineStr">
        <is>
          <t>Dominica</t>
        </is>
      </c>
      <c r="E18" t="inlineStr">
        <is>
          <t>DMA</t>
        </is>
      </c>
      <c r="F18" s="11" t="n">
        <v>44562</v>
      </c>
      <c r="G18" t="inlineStr">
        <is>
          <t>2018gn</t>
        </is>
      </c>
      <c r="H18" t="n">
        <v>2021</v>
      </c>
      <c r="I18" t="inlineStr">
        <is>
          <t>amt.all</t>
        </is>
      </c>
      <c r="K18" t="inlineStr">
        <is>
          <t>US Dollars</t>
        </is>
      </c>
      <c r="L18" t="inlineStr">
        <is>
          <t>Million</t>
        </is>
      </c>
      <c r="M18" t="inlineStr">
        <is>
          <t>Total debt amortization due</t>
        </is>
      </c>
    </row>
    <row r="19">
      <c r="A19" t="inlineStr">
        <is>
          <t>Dominica_2022_January</t>
        </is>
      </c>
      <c r="C19" t="inlineStr">
        <is>
          <t>SM.22.7, Sup.2</t>
        </is>
      </c>
      <c r="D19" t="inlineStr">
        <is>
          <t>Dominica</t>
        </is>
      </c>
      <c r="E19" t="inlineStr">
        <is>
          <t>DMA</t>
        </is>
      </c>
      <c r="F19" s="11" t="n">
        <v>44562</v>
      </c>
      <c r="G19" t="inlineStr">
        <is>
          <t>2018gn</t>
        </is>
      </c>
      <c r="H19" t="n">
        <v>2021</v>
      </c>
      <c r="I19" t="inlineStr">
        <is>
          <t>amt.ext.all</t>
        </is>
      </c>
      <c r="K19" t="inlineStr">
        <is>
          <t>US Dollars</t>
        </is>
      </c>
      <c r="L19" t="inlineStr">
        <is>
          <t>Million</t>
        </is>
      </c>
      <c r="M19" t="inlineStr">
        <is>
          <t>Total external amortization due (include amortization from new debt)</t>
        </is>
      </c>
      <c r="P19" t="n">
        <v>10.0148518518519</v>
      </c>
      <c r="Q19" t="n">
        <v>12.117</v>
      </c>
      <c r="R19" t="n">
        <v>10.4749040740741</v>
      </c>
      <c r="S19" t="n">
        <v>13.9658275718519</v>
      </c>
      <c r="T19" t="n">
        <v>18.5604636518442</v>
      </c>
      <c r="U19" t="n">
        <v>15.4973486064475</v>
      </c>
      <c r="V19" t="n">
        <v>17.4205127669757</v>
      </c>
      <c r="W19" t="n">
        <v>21.321572452072</v>
      </c>
      <c r="X19" t="n">
        <v>22.2665005988216</v>
      </c>
      <c r="Y19" t="n">
        <v>26.1262206221873</v>
      </c>
      <c r="Z19" t="n">
        <v>23.7081363967286</v>
      </c>
      <c r="AA19" t="n">
        <v>31.3364011632469</v>
      </c>
      <c r="AB19" t="n">
        <v>19.506457343404</v>
      </c>
      <c r="AC19" t="n">
        <v>17.89457247629811</v>
      </c>
      <c r="AD19" t="n">
        <v>28.45380132692422</v>
      </c>
      <c r="AE19" t="n">
        <v>28.43047993648263</v>
      </c>
      <c r="AF19" t="n">
        <v>27.80277092205833</v>
      </c>
      <c r="AG19" t="n">
        <v>24.60878870925355</v>
      </c>
      <c r="AH19" t="n">
        <v>22.82195708334333</v>
      </c>
      <c r="AI19" t="n">
        <v>21.19555065191686</v>
      </c>
      <c r="AJ19" t="n">
        <v>20.73035802813283</v>
      </c>
      <c r="AK19" t="n">
        <v>20.34417364848508</v>
      </c>
      <c r="AL19" t="n">
        <v>20.63367961469449</v>
      </c>
      <c r="AM19" t="n">
        <v>19.84504238531606</v>
      </c>
      <c r="AN19" t="n">
        <v>18.43686701321143</v>
      </c>
      <c r="AO19" t="n">
        <v>20.40843350076048</v>
      </c>
      <c r="AP19" t="n">
        <v>21.44329592412855</v>
      </c>
      <c r="AQ19" t="n">
        <v>22.12725470395896</v>
      </c>
      <c r="AR19" t="n">
        <v>22.76988750134626</v>
      </c>
      <c r="AS19" t="n">
        <v>23.65836862399097</v>
      </c>
      <c r="AT19" t="n">
        <v>23.39503007364609</v>
      </c>
      <c r="AU19" t="n">
        <v>21.60647455625649</v>
      </c>
      <c r="AV19" t="n">
        <v>22.18731147520968</v>
      </c>
      <c r="AW19" t="n">
        <v>22.78743432279753</v>
      </c>
    </row>
    <row r="20">
      <c r="A20" t="inlineStr">
        <is>
          <t>Dominica_2022_January</t>
        </is>
      </c>
      <c r="C20" t="inlineStr">
        <is>
          <t>SM.22.7, Sup.2</t>
        </is>
      </c>
      <c r="D20" t="inlineStr">
        <is>
          <t>Dominica</t>
        </is>
      </c>
      <c r="E20" t="inlineStr">
        <is>
          <t>DMA</t>
        </is>
      </c>
      <c r="F20" s="11" t="n">
        <v>44562</v>
      </c>
      <c r="G20" t="inlineStr">
        <is>
          <t>2018gn</t>
        </is>
      </c>
      <c r="H20" t="n">
        <v>2021</v>
      </c>
      <c r="I20" t="inlineStr">
        <is>
          <t>amt.ext.ppg</t>
        </is>
      </c>
      <c r="K20" t="inlineStr">
        <is>
          <t>US Dollars</t>
        </is>
      </c>
      <c r="L20" t="inlineStr">
        <is>
          <t>Million</t>
        </is>
      </c>
      <c r="M20" t="inlineStr">
        <is>
          <t>Public and publicly guaranteed</t>
        </is>
      </c>
      <c r="P20" t="n">
        <v>10.0148518518519</v>
      </c>
      <c r="Q20" t="n">
        <v>12.117</v>
      </c>
      <c r="R20" t="n">
        <v>10.4749040740741</v>
      </c>
      <c r="S20" t="n">
        <v>13.9658275718519</v>
      </c>
      <c r="T20" t="n">
        <v>18.5604636518442</v>
      </c>
      <c r="U20" t="n">
        <v>15.4973486064475</v>
      </c>
      <c r="V20" t="n">
        <v>17.4205127669757</v>
      </c>
      <c r="W20" t="n">
        <v>21.321572452072</v>
      </c>
      <c r="X20" t="n">
        <v>22.2665005988216</v>
      </c>
      <c r="Y20" t="n">
        <v>26.1262206221873</v>
      </c>
      <c r="Z20" t="n">
        <v>23.7081363967286</v>
      </c>
      <c r="AA20" t="n">
        <v>31.3364011632469</v>
      </c>
      <c r="AB20" t="n">
        <v>19.506457343404</v>
      </c>
      <c r="AC20" t="n">
        <v>17.89457247629811</v>
      </c>
      <c r="AD20" t="n">
        <v>28.45380132692422</v>
      </c>
      <c r="AE20" t="n">
        <v>28.43047993648263</v>
      </c>
      <c r="AF20" t="n">
        <v>27.80277092205833</v>
      </c>
      <c r="AG20" t="n">
        <v>24.60878870925355</v>
      </c>
      <c r="AH20" t="n">
        <v>22.82195708334333</v>
      </c>
      <c r="AI20" t="n">
        <v>21.19555065191686</v>
      </c>
      <c r="AJ20" t="n">
        <v>20.73035802813283</v>
      </c>
      <c r="AK20" t="n">
        <v>20.34417364848508</v>
      </c>
      <c r="AL20" t="n">
        <v>20.63367961469449</v>
      </c>
      <c r="AM20" t="n">
        <v>19.84504238531606</v>
      </c>
      <c r="AN20" t="n">
        <v>18.43686701321143</v>
      </c>
      <c r="AO20" t="n">
        <v>20.40843350076048</v>
      </c>
      <c r="AP20" t="n">
        <v>21.44329592412855</v>
      </c>
      <c r="AQ20" t="n">
        <v>22.12725470395896</v>
      </c>
      <c r="AR20" t="n">
        <v>22.76988750134626</v>
      </c>
      <c r="AS20" t="n">
        <v>23.65836862399097</v>
      </c>
      <c r="AT20" t="n">
        <v>23.39503007364609</v>
      </c>
      <c r="AU20" t="n">
        <v>21.60647455625649</v>
      </c>
      <c r="AV20" t="n">
        <v>22.18731147520968</v>
      </c>
      <c r="AW20" t="n">
        <v>22.78743432279753</v>
      </c>
    </row>
    <row r="21">
      <c r="A21" t="inlineStr">
        <is>
          <t>Dominica_2022_January</t>
        </is>
      </c>
      <c r="C21" t="inlineStr">
        <is>
          <t>SM.22.7, Sup.2</t>
        </is>
      </c>
      <c r="D21" t="inlineStr">
        <is>
          <t>Dominica</t>
        </is>
      </c>
      <c r="E21" t="inlineStr">
        <is>
          <t>DMA</t>
        </is>
      </c>
      <c r="F21" s="11" t="n">
        <v>44562</v>
      </c>
      <c r="G21" t="inlineStr">
        <is>
          <t>2018gn</t>
        </is>
      </c>
      <c r="H21" t="n">
        <v>2021</v>
      </c>
      <c r="I21" t="inlineStr">
        <is>
          <t>amt.ext.png</t>
        </is>
      </c>
      <c r="K21" t="inlineStr">
        <is>
          <t>US Dollars</t>
        </is>
      </c>
      <c r="L21" t="inlineStr">
        <is>
          <t>Million</t>
        </is>
      </c>
      <c r="M21" t="inlineStr">
        <is>
          <t xml:space="preserve">MLT private external debt </t>
        </is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Dominica_2022_January</t>
        </is>
      </c>
      <c r="C22" t="inlineStr">
        <is>
          <t>SM.22.7, Sup.2</t>
        </is>
      </c>
      <c r="D22" t="inlineStr">
        <is>
          <t>Dominica</t>
        </is>
      </c>
      <c r="E22" t="inlineStr">
        <is>
          <t>DMA</t>
        </is>
      </c>
      <c r="F22" s="11" t="n">
        <v>44562</v>
      </c>
      <c r="G22" t="inlineStr">
        <is>
          <t>2018gn</t>
        </is>
      </c>
      <c r="H22" t="n">
        <v>2021</v>
      </c>
      <c r="I22" t="inlineStr">
        <is>
          <t>amt.dom.all</t>
        </is>
      </c>
      <c r="K22" t="inlineStr">
        <is>
          <t>US Dollars</t>
        </is>
      </c>
      <c r="L22" t="inlineStr">
        <is>
          <t>Million</t>
        </is>
      </c>
      <c r="M22" t="inlineStr">
        <is>
          <t>Total MLT public domestic debt amortization debt</t>
        </is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5.128867407407407</v>
      </c>
      <c r="W22" t="n">
        <v>3.267087259259259</v>
      </c>
      <c r="X22" t="n">
        <v>1.939266111111111</v>
      </c>
      <c r="Y22" t="n">
        <v>1.432947592592593</v>
      </c>
      <c r="Z22" t="n">
        <v>8.670284777777777</v>
      </c>
      <c r="AA22" t="n">
        <v>-51.97261414814815</v>
      </c>
      <c r="AB22" t="n">
        <v>3.163924111111111</v>
      </c>
      <c r="AC22" t="n">
        <v>1.378627111111111</v>
      </c>
      <c r="AD22" t="n">
        <v>13.28767942192075</v>
      </c>
      <c r="AE22" t="n">
        <v>26.95173594858117</v>
      </c>
      <c r="AF22" t="n">
        <v>14.12810611733256</v>
      </c>
      <c r="AG22" t="n">
        <v>16.3410821170489</v>
      </c>
      <c r="AH22" t="n">
        <v>18.45932814496791</v>
      </c>
      <c r="AI22" t="n">
        <v>19.28991588787049</v>
      </c>
      <c r="AJ22" t="n">
        <v>18.49712199653226</v>
      </c>
      <c r="AK22" t="n">
        <v>15.65957082420843</v>
      </c>
      <c r="AL22" t="n">
        <v>15.11697311501546</v>
      </c>
      <c r="AM22" t="n">
        <v>14.48139480366586</v>
      </c>
      <c r="AN22" t="n">
        <v>13.85851697321793</v>
      </c>
      <c r="AO22" t="n">
        <v>12.44018154037038</v>
      </c>
      <c r="AP22" t="n">
        <v>12.11899565453396</v>
      </c>
      <c r="AQ22" t="n">
        <v>11.95208699984956</v>
      </c>
      <c r="AR22" t="n">
        <v>11.31336004704457</v>
      </c>
      <c r="AS22" t="n">
        <v>11.44380852801794</v>
      </c>
      <c r="AT22" t="n">
        <v>12.96662655694537</v>
      </c>
      <c r="AU22" t="n">
        <v>15.08778032891608</v>
      </c>
      <c r="AV22" t="n">
        <v>17.44854060296343</v>
      </c>
      <c r="AW22" t="n">
        <v>19.60387069479825</v>
      </c>
    </row>
    <row r="23">
      <c r="A23" t="inlineStr">
        <is>
          <t>Dominica_2022_January</t>
        </is>
      </c>
      <c r="C23" t="inlineStr">
        <is>
          <t>SM.22.7, Sup.2</t>
        </is>
      </c>
      <c r="D23" t="inlineStr">
        <is>
          <t>Dominica</t>
        </is>
      </c>
      <c r="E23" t="inlineStr">
        <is>
          <t>DMA</t>
        </is>
      </c>
      <c r="F23" s="11" t="n">
        <v>44562</v>
      </c>
      <c r="G23" t="inlineStr">
        <is>
          <t>2018gn</t>
        </is>
      </c>
      <c r="H23" t="n">
        <v>2021</v>
      </c>
    </row>
    <row r="24">
      <c r="A24" t="inlineStr">
        <is>
          <t>Dominica_2022_January</t>
        </is>
      </c>
      <c r="C24" t="inlineStr">
        <is>
          <t>SM.22.7, Sup.2</t>
        </is>
      </c>
      <c r="D24" t="inlineStr">
        <is>
          <t>Dominica</t>
        </is>
      </c>
      <c r="E24" t="inlineStr">
        <is>
          <t>DMA</t>
        </is>
      </c>
      <c r="F24" s="11" t="n">
        <v>44562</v>
      </c>
      <c r="G24" t="inlineStr">
        <is>
          <t>2018gn</t>
        </is>
      </c>
      <c r="H24" t="n">
        <v>2021</v>
      </c>
      <c r="I24" t="inlineStr">
        <is>
          <t>cab</t>
        </is>
      </c>
      <c r="K24" t="inlineStr">
        <is>
          <t>US Dollars</t>
        </is>
      </c>
      <c r="L24" t="inlineStr">
        <is>
          <t>Million</t>
        </is>
      </c>
      <c r="M24" t="inlineStr">
        <is>
          <t>Current account balance</t>
        </is>
      </c>
      <c r="P24" t="n">
        <v>-129.885324814815</v>
      </c>
      <c r="Q24" t="n">
        <v>-111.079073703704</v>
      </c>
      <c r="R24" t="n">
        <v>-78.6036796296296</v>
      </c>
      <c r="S24" t="n">
        <v>-38.3675637037037</v>
      </c>
      <c r="T24" t="n">
        <v>-84.23725</v>
      </c>
      <c r="U24" t="n">
        <v>-49.4000222222222</v>
      </c>
      <c r="V24" t="n">
        <v>-28.1762</v>
      </c>
      <c r="W24" t="n">
        <v>-25.1649</v>
      </c>
      <c r="X24" t="n">
        <v>-44.1933</v>
      </c>
      <c r="Y24" t="n">
        <v>-46.2403</v>
      </c>
      <c r="Z24" t="n">
        <v>-239.1464</v>
      </c>
      <c r="AA24" t="n">
        <v>-233.1986</v>
      </c>
      <c r="AB24" t="n">
        <v>-162.9808</v>
      </c>
      <c r="AC24" t="n">
        <v>-182.2043</v>
      </c>
      <c r="AD24" t="n">
        <v>-183.8745</v>
      </c>
      <c r="AE24" t="n">
        <v>-165.1746</v>
      </c>
      <c r="AF24" t="n">
        <v>-134.4734</v>
      </c>
      <c r="AG24" t="n">
        <v>-133.2677</v>
      </c>
      <c r="AH24" t="n">
        <v>-119.8084</v>
      </c>
      <c r="AI24" t="n">
        <v>-118.243</v>
      </c>
      <c r="AJ24" t="n">
        <v>-131.6049</v>
      </c>
      <c r="AK24" t="n">
        <v>-129.7985</v>
      </c>
      <c r="AL24" t="n">
        <v>-123.7021</v>
      </c>
      <c r="AM24" t="n">
        <v>-99.9558</v>
      </c>
      <c r="AN24" t="n">
        <v>-82.617</v>
      </c>
      <c r="AO24" t="n">
        <v>-72.3348</v>
      </c>
      <c r="AP24" t="n">
        <v>-68.98820000000001</v>
      </c>
      <c r="AQ24" t="n">
        <v>-68.4525</v>
      </c>
      <c r="AR24" t="n">
        <v>-67.9151</v>
      </c>
      <c r="AS24" t="n">
        <v>-67.3663</v>
      </c>
      <c r="AT24" t="n">
        <v>-66.79600000000001</v>
      </c>
      <c r="AU24" t="n">
        <v>-67.7657</v>
      </c>
      <c r="AV24" t="n">
        <v>-74.124</v>
      </c>
      <c r="AW24" t="n">
        <v>-75.6878</v>
      </c>
    </row>
    <row r="25">
      <c r="A25" t="inlineStr">
        <is>
          <t>Dominica_2022_January</t>
        </is>
      </c>
      <c r="C25" t="inlineStr">
        <is>
          <t>SM.22.7, Sup.2</t>
        </is>
      </c>
      <c r="D25" t="inlineStr">
        <is>
          <t>Dominica</t>
        </is>
      </c>
      <c r="E25" t="inlineStr">
        <is>
          <t>DMA</t>
        </is>
      </c>
      <c r="F25" s="11" t="n">
        <v>44562</v>
      </c>
      <c r="G25" t="inlineStr">
        <is>
          <t>2018gn</t>
        </is>
      </c>
      <c r="H25" t="n">
        <v>2021</v>
      </c>
      <c r="I25" t="inlineStr">
        <is>
          <t>tb.x.gs</t>
        </is>
      </c>
      <c r="K25" t="inlineStr">
        <is>
          <t>US Dollars</t>
        </is>
      </c>
      <c r="L25" t="inlineStr">
        <is>
          <t>Million</t>
        </is>
      </c>
      <c r="M25" t="inlineStr">
        <is>
          <t>Exports of goods and services</t>
        </is>
      </c>
      <c r="P25" t="n">
        <v>156.733717037037</v>
      </c>
      <c r="Q25" t="n">
        <v>147.949173703704</v>
      </c>
      <c r="R25" t="n">
        <v>175.645608518519</v>
      </c>
      <c r="S25" t="n">
        <v>188.272808518519</v>
      </c>
      <c r="T25" t="n">
        <v>158.361769259259</v>
      </c>
      <c r="U25" t="n">
        <v>193.466980740741</v>
      </c>
      <c r="V25" t="n">
        <v>280.156433639978</v>
      </c>
      <c r="W25" t="n">
        <v>268.226050689952</v>
      </c>
      <c r="X25" t="n">
        <v>269.649442948984</v>
      </c>
      <c r="Y25" t="n">
        <v>217.536249507622</v>
      </c>
      <c r="Z25" t="n">
        <v>156.504897240001</v>
      </c>
      <c r="AA25" t="n">
        <v>215.259701910808</v>
      </c>
      <c r="AB25" t="n">
        <v>109.862533311502</v>
      </c>
      <c r="AC25" t="n">
        <v>116.069116768737</v>
      </c>
      <c r="AD25" t="n">
        <v>175.748309673643</v>
      </c>
      <c r="AE25" t="n">
        <v>211.324131694405</v>
      </c>
      <c r="AF25" t="n">
        <v>264.30738542231</v>
      </c>
      <c r="AG25" t="n">
        <v>286.50008971913</v>
      </c>
      <c r="AH25" t="n">
        <v>303.909313119356</v>
      </c>
      <c r="AI25" t="n">
        <v>311.881429937526</v>
      </c>
      <c r="AJ25" t="n">
        <v>320.755303658165</v>
      </c>
      <c r="AK25" t="n">
        <v>329.910605119362</v>
      </c>
      <c r="AL25" t="n">
        <v>339.171959879559</v>
      </c>
      <c r="AM25" t="n">
        <v>347.749445639196</v>
      </c>
      <c r="AN25" t="n">
        <v>356.562526588125</v>
      </c>
      <c r="AO25" t="n">
        <v>365.618175435367</v>
      </c>
      <c r="AP25" t="n">
        <v>374.923584150549</v>
      </c>
      <c r="AQ25" t="n">
        <v>384.486171166283</v>
      </c>
      <c r="AR25" t="n">
        <v>394.313588824036</v>
      </c>
      <c r="AS25" t="n">
        <v>404.413731071878</v>
      </c>
      <c r="AT25" t="n">
        <v>414.794741422774</v>
      </c>
      <c r="AU25" t="n">
        <v>425.465021182397</v>
      </c>
      <c r="AV25" t="n">
        <v>430.713278635269</v>
      </c>
      <c r="AW25" t="n">
        <v>436.066501237197</v>
      </c>
    </row>
    <row r="26">
      <c r="A26" t="inlineStr">
        <is>
          <t>Dominica_2022_January</t>
        </is>
      </c>
      <c r="C26" t="inlineStr">
        <is>
          <t>SM.22.7, Sup.2</t>
        </is>
      </c>
      <c r="D26" t="inlineStr">
        <is>
          <t>Dominica</t>
        </is>
      </c>
      <c r="E26" t="inlineStr">
        <is>
          <t>DMA</t>
        </is>
      </c>
      <c r="F26" s="11" t="n">
        <v>44562</v>
      </c>
      <c r="G26" t="inlineStr">
        <is>
          <t>2018gn</t>
        </is>
      </c>
      <c r="H26" t="n">
        <v>2021</v>
      </c>
      <c r="I26" t="inlineStr">
        <is>
          <t>tb.m.gs</t>
        </is>
      </c>
      <c r="K26" t="inlineStr">
        <is>
          <t>US Dollars</t>
        </is>
      </c>
      <c r="L26" t="inlineStr">
        <is>
          <t>Million</t>
        </is>
      </c>
      <c r="M26" t="inlineStr">
        <is>
          <t>Imports of goods and services (use positive values)</t>
        </is>
      </c>
      <c r="P26" t="n">
        <v>287.322125925926</v>
      </c>
      <c r="Q26" t="n">
        <v>264.465896666667</v>
      </c>
      <c r="R26" t="n">
        <v>264.518701111111</v>
      </c>
      <c r="S26" t="n">
        <v>232.585214074074</v>
      </c>
      <c r="T26" t="n">
        <v>249.877325925926</v>
      </c>
      <c r="U26" t="n">
        <v>243.662774814815</v>
      </c>
      <c r="V26" t="n">
        <v>338.473756263165</v>
      </c>
      <c r="W26" t="n">
        <v>326.494116659552</v>
      </c>
      <c r="X26" t="n">
        <v>329.423042735008</v>
      </c>
      <c r="Y26" t="n">
        <v>319.925536225808</v>
      </c>
      <c r="Z26" t="n">
        <v>419.718829232616</v>
      </c>
      <c r="AA26" t="n">
        <v>480.521770923382</v>
      </c>
      <c r="AB26" t="n">
        <v>313.152609198149</v>
      </c>
      <c r="AC26" t="n">
        <v>307.082140752552</v>
      </c>
      <c r="AD26" t="n">
        <v>359.895534456909</v>
      </c>
      <c r="AE26" t="n">
        <v>396.024755552059</v>
      </c>
      <c r="AF26" t="n">
        <v>420.876261222446</v>
      </c>
      <c r="AG26" t="n">
        <v>438.551856418647</v>
      </c>
      <c r="AH26" t="n">
        <v>443.493232098664</v>
      </c>
      <c r="AI26" t="n">
        <v>450.945442368159</v>
      </c>
      <c r="AJ26" t="n">
        <v>473.854332158723</v>
      </c>
      <c r="AK26" t="n">
        <v>482.349715541317</v>
      </c>
      <c r="AL26" t="n">
        <v>486.642686812849</v>
      </c>
      <c r="AM26" t="n">
        <v>472.326763031971</v>
      </c>
      <c r="AN26" t="n">
        <v>464.654890527576</v>
      </c>
      <c r="AO26" t="n">
        <v>464.310459518784</v>
      </c>
      <c r="AP26" t="n">
        <v>471.198202339787</v>
      </c>
      <c r="AQ26" t="n">
        <v>481.192670351718</v>
      </c>
      <c r="AR26" t="n">
        <v>491.482024867175</v>
      </c>
      <c r="AS26" t="n">
        <v>502.076270900871</v>
      </c>
      <c r="AT26" t="n">
        <v>512.985756675592</v>
      </c>
      <c r="AU26" t="n">
        <v>525.32867942486</v>
      </c>
      <c r="AV26" t="n">
        <v>531.956926768396</v>
      </c>
      <c r="AW26" t="n">
        <v>538.700618136556</v>
      </c>
    </row>
    <row r="27">
      <c r="A27" t="inlineStr">
        <is>
          <t>Dominica_2022_January</t>
        </is>
      </c>
      <c r="C27" t="inlineStr">
        <is>
          <t>SM.22.7, Sup.2</t>
        </is>
      </c>
      <c r="D27" t="inlineStr">
        <is>
          <t>Dominica</t>
        </is>
      </c>
      <c r="E27" t="inlineStr">
        <is>
          <t>DMA</t>
        </is>
      </c>
      <c r="F27" s="11" t="n">
        <v>44562</v>
      </c>
      <c r="G27" t="inlineStr">
        <is>
          <t>2018gn</t>
        </is>
      </c>
      <c r="H27" t="n">
        <v>2021</v>
      </c>
      <c r="I27" t="inlineStr">
        <is>
          <t>net.crt.trsfr.all</t>
        </is>
      </c>
      <c r="K27" t="inlineStr">
        <is>
          <t>US Dollars</t>
        </is>
      </c>
      <c r="L27" t="inlineStr">
        <is>
          <t>Million</t>
        </is>
      </c>
      <c r="M27" t="inlineStr">
        <is>
          <t>Current transfers, net total</t>
        </is>
      </c>
      <c r="P27" t="n">
        <v>19.0391592592593</v>
      </c>
      <c r="Q27" t="n">
        <v>19.091697037037</v>
      </c>
      <c r="R27" t="n">
        <v>19.7106051851852</v>
      </c>
      <c r="S27" t="n">
        <v>16.4926296296296</v>
      </c>
      <c r="T27" t="n">
        <v>16.8094333333333</v>
      </c>
      <c r="U27" t="n">
        <v>20.3030940740741</v>
      </c>
      <c r="V27" t="n">
        <v>46.785045465178</v>
      </c>
      <c r="W27" t="n">
        <v>51.9963914916454</v>
      </c>
      <c r="X27" t="n">
        <v>36.7094019226952</v>
      </c>
      <c r="Y27" t="n">
        <v>54.3331757745301</v>
      </c>
      <c r="Z27" t="n">
        <v>24.6570832967474</v>
      </c>
      <c r="AA27" t="n">
        <v>25.1331172617663</v>
      </c>
      <c r="AB27" t="n">
        <v>32.6925925925926</v>
      </c>
      <c r="AC27" t="n">
        <v>23.2323552447294</v>
      </c>
      <c r="AD27" t="n">
        <v>25.3524439558307</v>
      </c>
      <c r="AE27" t="n">
        <v>27.6298786226361</v>
      </c>
      <c r="AF27" t="n">
        <v>29.562422596465</v>
      </c>
      <c r="AG27" t="n">
        <v>31.5000933210722</v>
      </c>
      <c r="AH27" t="n">
        <v>33.0002046703329</v>
      </c>
      <c r="AI27" t="n">
        <v>34.590294326412</v>
      </c>
      <c r="AJ27" t="n">
        <v>36.3719561923729</v>
      </c>
      <c r="AK27" t="n">
        <v>38.231897655175</v>
      </c>
      <c r="AL27" t="n">
        <v>40.0974264992095</v>
      </c>
      <c r="AM27" t="n">
        <v>41.6437128689997</v>
      </c>
      <c r="AN27" t="n">
        <v>43.2472000919307</v>
      </c>
      <c r="AO27" t="n">
        <v>44.9099596970044</v>
      </c>
      <c r="AP27" t="n">
        <v>46.6341373849737</v>
      </c>
      <c r="AQ27" t="n">
        <v>48.4219556675416</v>
      </c>
      <c r="AR27" t="n">
        <v>50.2757166001418</v>
      </c>
      <c r="AS27" t="n">
        <v>52.1978046116134</v>
      </c>
      <c r="AT27" t="n">
        <v>54.1906894341997</v>
      </c>
      <c r="AU27" t="n">
        <v>56.2569291374193</v>
      </c>
      <c r="AV27" t="n">
        <v>56.0525179824962</v>
      </c>
      <c r="AW27" t="n">
        <v>55.8440186044747</v>
      </c>
    </row>
    <row r="28">
      <c r="A28" t="inlineStr">
        <is>
          <t>Dominica_2022_January</t>
        </is>
      </c>
      <c r="C28" t="inlineStr">
        <is>
          <t>SM.22.7, Sup.2</t>
        </is>
      </c>
      <c r="D28" t="inlineStr">
        <is>
          <t>Dominica</t>
        </is>
      </c>
      <c r="E28" t="inlineStr">
        <is>
          <t>DMA</t>
        </is>
      </c>
      <c r="F28" s="11" t="n">
        <v>44562</v>
      </c>
      <c r="G28" t="inlineStr">
        <is>
          <t>2018gn</t>
        </is>
      </c>
      <c r="H28" t="n">
        <v>2021</v>
      </c>
      <c r="I28" t="inlineStr">
        <is>
          <t>net.crt.trsfr.off</t>
        </is>
      </c>
      <c r="K28" t="inlineStr">
        <is>
          <t>US Dollars</t>
        </is>
      </c>
      <c r="L28" t="inlineStr">
        <is>
          <t>Million</t>
        </is>
      </c>
      <c r="M28" t="inlineStr">
        <is>
          <t>Current transfers, official</t>
        </is>
      </c>
      <c r="P28" t="n">
        <v>-0.0583888888888887</v>
      </c>
      <c r="Q28" t="n">
        <v>0.301585925925926</v>
      </c>
      <c r="R28" t="n">
        <v>0.646654814814815</v>
      </c>
      <c r="S28" t="n">
        <v>-2.05263814814815</v>
      </c>
      <c r="T28" t="n">
        <v>0.411555555555556</v>
      </c>
      <c r="U28" t="n">
        <v>5.41194222222222</v>
      </c>
      <c r="V28" t="n">
        <v>12.4968708181635</v>
      </c>
      <c r="W28" t="n">
        <v>16.469419727037</v>
      </c>
      <c r="X28" t="n">
        <v>10.27441482</v>
      </c>
      <c r="Y28" t="n">
        <v>27.521032737037</v>
      </c>
      <c r="Z28" t="n">
        <v>2.20322378240741</v>
      </c>
      <c r="AA28" t="n">
        <v>5.28140930005056</v>
      </c>
      <c r="AB28" t="n">
        <v>6.02848439000269</v>
      </c>
      <c r="AC28" t="n">
        <v>-6.39471592082341</v>
      </c>
      <c r="AD28" t="n">
        <v>-6.86721980231474</v>
      </c>
      <c r="AE28" t="n">
        <v>-7.18237772810192</v>
      </c>
      <c r="AF28" t="n">
        <v>-7.47205597649531</v>
      </c>
      <c r="AG28" t="n">
        <v>-7.75660747411023</v>
      </c>
      <c r="AH28" t="n">
        <v>-8.04275452443194</v>
      </c>
      <c r="AI28" t="n">
        <v>-8.0588400334808</v>
      </c>
      <c r="AJ28" t="n">
        <v>-8.220016834150419</v>
      </c>
      <c r="AK28" t="n">
        <v>-8.38441717083343</v>
      </c>
      <c r="AL28" t="n">
        <v>-8.552105514250091</v>
      </c>
      <c r="AM28" t="n">
        <v>-8.723147624535089</v>
      </c>
      <c r="AN28" t="n">
        <v>-8.8976105770258</v>
      </c>
      <c r="AO28" t="n">
        <v>-9.075562788566311</v>
      </c>
      <c r="AP28" t="n">
        <v>-9.25707404433764</v>
      </c>
      <c r="AQ28" t="n">
        <v>-9.442215525224389</v>
      </c>
      <c r="AR28" t="n">
        <v>-9.63105983572888</v>
      </c>
      <c r="AS28" t="n">
        <v>-9.82368103244346</v>
      </c>
      <c r="AT28" t="n">
        <v>-10.0201546530923</v>
      </c>
      <c r="AU28" t="n">
        <v>-10.2205577461542</v>
      </c>
      <c r="AV28" t="n">
        <v>-10.4249689010773</v>
      </c>
      <c r="AW28" t="n">
        <v>-10.6334682790988</v>
      </c>
    </row>
    <row r="29">
      <c r="A29" t="inlineStr">
        <is>
          <t>Dominica_2022_January</t>
        </is>
      </c>
      <c r="C29" t="inlineStr">
        <is>
          <t>SM.22.7, Sup.2</t>
        </is>
      </c>
      <c r="D29" t="inlineStr">
        <is>
          <t>Dominica</t>
        </is>
      </c>
      <c r="E29" t="inlineStr">
        <is>
          <t>DMA</t>
        </is>
      </c>
      <c r="F29" s="11" t="n">
        <v>44562</v>
      </c>
      <c r="G29" t="inlineStr">
        <is>
          <t>2018gn</t>
        </is>
      </c>
      <c r="H29" t="n">
        <v>2021</v>
      </c>
    </row>
    <row r="30">
      <c r="A30" t="inlineStr">
        <is>
          <t>Dominica_2022_January</t>
        </is>
      </c>
      <c r="C30" t="inlineStr">
        <is>
          <t>SM.22.7, Sup.2</t>
        </is>
      </c>
      <c r="D30" t="inlineStr">
        <is>
          <t>Dominica</t>
        </is>
      </c>
      <c r="E30" t="inlineStr">
        <is>
          <t>DMA</t>
        </is>
      </c>
      <c r="F30" s="11" t="n">
        <v>44562</v>
      </c>
      <c r="G30" t="inlineStr">
        <is>
          <t>2018gn</t>
        </is>
      </c>
      <c r="H30" t="n">
        <v>2021</v>
      </c>
      <c r="I30" t="inlineStr">
        <is>
          <t>net.fdi.exc.dbt.liab</t>
        </is>
      </c>
      <c r="K30" t="inlineStr">
        <is>
          <t>US Dollars</t>
        </is>
      </c>
      <c r="L30" t="inlineStr">
        <is>
          <t>Million</t>
        </is>
      </c>
      <c r="M30" t="inlineStr">
        <is>
          <t>Net foreign direct investment, excluding debt-creating liabilities</t>
        </is>
      </c>
      <c r="P30" t="n">
        <v>56.548262962963</v>
      </c>
      <c r="Q30" t="n">
        <v>57.2355003703704</v>
      </c>
      <c r="R30" t="n">
        <v>42.8602237037037</v>
      </c>
      <c r="S30" t="n">
        <v>34.563342962963</v>
      </c>
      <c r="T30" t="n">
        <v>58.5227703703704</v>
      </c>
      <c r="U30" t="n">
        <v>23.3483366666667</v>
      </c>
      <c r="V30" t="n">
        <v>14.0999498402072</v>
      </c>
      <c r="W30" t="n">
        <v>18.6645932496296</v>
      </c>
      <c r="X30" t="n">
        <v>41.382233847963</v>
      </c>
      <c r="Y30" t="n">
        <v>22.7345750641394</v>
      </c>
      <c r="Z30" t="n">
        <v>76.5091822510061</v>
      </c>
      <c r="AA30" t="n">
        <v>37.8604801851852</v>
      </c>
      <c r="AB30" t="n">
        <v>24.4571001851852</v>
      </c>
      <c r="AC30" t="n">
        <v>38.7980859259259</v>
      </c>
      <c r="AD30" t="n">
        <v>42.3636343703704</v>
      </c>
      <c r="AE30" t="n">
        <v>44.4185311111111</v>
      </c>
      <c r="AF30" t="n">
        <v>35.2468906666667</v>
      </c>
      <c r="AG30" t="n">
        <v>35.8511375555556</v>
      </c>
      <c r="AH30" t="n">
        <v>37.0379687037037</v>
      </c>
      <c r="AI30" t="n">
        <v>38.4874262478769</v>
      </c>
      <c r="AJ30" t="n">
        <v>40.240690112164</v>
      </c>
      <c r="AK30" t="n">
        <v>42.0674960453073</v>
      </c>
      <c r="AL30" t="n">
        <v>43.9023204949317</v>
      </c>
      <c r="AM30" t="n">
        <v>45.4520692594137</v>
      </c>
      <c r="AN30" t="n">
        <v>47.0565233972013</v>
      </c>
      <c r="AO30" t="n">
        <v>48.7176138842348</v>
      </c>
      <c r="AP30" t="n">
        <v>50.4373424035074</v>
      </c>
      <c r="AQ30" t="n">
        <v>51.294777224367</v>
      </c>
      <c r="AR30" t="n">
        <v>52.1667884371813</v>
      </c>
      <c r="AS30" t="n">
        <v>53.0536238406133</v>
      </c>
      <c r="AT30" t="n">
        <v>53.9555354459038</v>
      </c>
      <c r="AU30" t="n">
        <v>54.8727795484841</v>
      </c>
      <c r="AV30" t="n">
        <v>55.8056168008083</v>
      </c>
      <c r="AW30" t="n">
        <v>56.7543122864221</v>
      </c>
    </row>
    <row r="31">
      <c r="A31" t="inlineStr">
        <is>
          <t>Dominica_2022_January</t>
        </is>
      </c>
      <c r="C31" t="inlineStr">
        <is>
          <t>SM.22.7, Sup.2</t>
        </is>
      </c>
      <c r="D31" t="inlineStr">
        <is>
          <t>Dominica</t>
        </is>
      </c>
      <c r="E31" t="inlineStr">
        <is>
          <t>DMA</t>
        </is>
      </c>
      <c r="F31" s="11" t="n">
        <v>44562</v>
      </c>
      <c r="G31" t="inlineStr">
        <is>
          <t>2018gn</t>
        </is>
      </c>
      <c r="H31" t="n">
        <v>2021</v>
      </c>
      <c r="I31" t="inlineStr">
        <is>
          <t>exc.fin</t>
        </is>
      </c>
      <c r="K31" t="inlineStr">
        <is>
          <t>US Dollars</t>
        </is>
      </c>
      <c r="L31" t="inlineStr">
        <is>
          <t>Million</t>
        </is>
      </c>
      <c r="M31" t="inlineStr">
        <is>
          <t>Exceptional financing</t>
        </is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7e-06</v>
      </c>
      <c r="AW31" t="n">
        <v>8e-06</v>
      </c>
    </row>
    <row r="32">
      <c r="A32" t="inlineStr">
        <is>
          <t>Dominica_2022_January</t>
        </is>
      </c>
      <c r="C32" t="inlineStr">
        <is>
          <t>SM.22.7, Sup.2</t>
        </is>
      </c>
      <c r="D32" t="inlineStr">
        <is>
          <t>Dominica</t>
        </is>
      </c>
      <c r="E32" t="inlineStr">
        <is>
          <t>DMA</t>
        </is>
      </c>
      <c r="F32" s="11" t="n">
        <v>44562</v>
      </c>
      <c r="G32" t="inlineStr">
        <is>
          <t>2018gn</t>
        </is>
      </c>
      <c r="H32" t="n">
        <v>2021</v>
      </c>
      <c r="I32" t="inlineStr">
        <is>
          <t>grss.res</t>
        </is>
      </c>
      <c r="K32" t="inlineStr">
        <is>
          <t>US Dollars</t>
        </is>
      </c>
      <c r="L32" t="inlineStr">
        <is>
          <t>Million</t>
        </is>
      </c>
      <c r="M32" t="inlineStr">
        <is>
          <t>Gross Reserves (Flow, negative = increase)</t>
        </is>
      </c>
      <c r="P32" t="n">
        <v>-2.10980423199969</v>
      </c>
      <c r="Q32" t="n">
        <v>1.3591853727442</v>
      </c>
      <c r="R32" t="n">
        <v>0.849051379785887</v>
      </c>
      <c r="S32" t="n">
        <v>5.29566451327796</v>
      </c>
      <c r="T32" t="n">
        <v>16.5995931845609</v>
      </c>
      <c r="U32" t="n">
        <v>-9.193493747036021</v>
      </c>
      <c r="V32" t="n">
        <v>16.1361041585705</v>
      </c>
      <c r="W32" t="n">
        <v>18.9666282802428</v>
      </c>
      <c r="X32" t="n">
        <v>97.0330009158762</v>
      </c>
      <c r="Y32" t="n">
        <v>-8.767371815881271</v>
      </c>
      <c r="Z32" t="n">
        <v>-19.4179074048863</v>
      </c>
      <c r="AA32" t="n">
        <v>-21.4934154949303</v>
      </c>
      <c r="AB32" t="n">
        <v>25.0402987719266</v>
      </c>
      <c r="AC32" t="n">
        <v>-25.5270943032438</v>
      </c>
      <c r="AD32" t="n">
        <v>4.60448515080614</v>
      </c>
      <c r="AE32" t="n">
        <v>4.51287856641056</v>
      </c>
      <c r="AF32" t="n">
        <v>4.76684561226643</v>
      </c>
      <c r="AG32" t="n">
        <v>6.51713064704284</v>
      </c>
      <c r="AH32" t="n">
        <v>6.81177639525406</v>
      </c>
      <c r="AI32" t="n">
        <v>20.0035433342619</v>
      </c>
      <c r="AJ32" t="n">
        <v>20.4036142009472</v>
      </c>
      <c r="AK32" t="n">
        <v>20.8116864849661</v>
      </c>
      <c r="AL32" t="n">
        <v>21.2279202146655</v>
      </c>
      <c r="AM32" t="n">
        <v>21.6524786189588</v>
      </c>
      <c r="AN32" t="n">
        <v>22.0855281913379</v>
      </c>
      <c r="AO32" t="n">
        <v>22.5272387551647</v>
      </c>
      <c r="AP32" t="n">
        <v>22.977783530268</v>
      </c>
      <c r="AQ32" t="n">
        <v>23.4373392008733</v>
      </c>
      <c r="AR32" t="n">
        <v>23.9060859848908</v>
      </c>
      <c r="AS32" t="n">
        <v>24.3842077045886</v>
      </c>
      <c r="AT32" t="n">
        <v>24.8718918586804</v>
      </c>
      <c r="AU32" t="n">
        <v>25.369329695854</v>
      </c>
      <c r="AV32" t="n">
        <v>25.8767162897711</v>
      </c>
      <c r="AW32" t="n">
        <v>26.3942506155665</v>
      </c>
    </row>
    <row r="33">
      <c r="A33" t="inlineStr">
        <is>
          <t>Dominica_2022_January</t>
        </is>
      </c>
      <c r="C33" t="inlineStr">
        <is>
          <t>SM.22.7, Sup.2</t>
        </is>
      </c>
      <c r="D33" t="inlineStr">
        <is>
          <t>Dominica</t>
        </is>
      </c>
      <c r="E33" t="inlineStr">
        <is>
          <t>DMA</t>
        </is>
      </c>
      <c r="F33" s="11" t="n">
        <v>44562</v>
      </c>
      <c r="G33" t="inlineStr">
        <is>
          <t>2018gn</t>
        </is>
      </c>
      <c r="H33" t="n">
        <v>2021</v>
      </c>
      <c r="I33" t="inlineStr">
        <is>
          <t>fuel.cmdt.xprt.shr</t>
        </is>
      </c>
      <c r="M33" t="inlineStr">
        <is>
          <t>Share of commodity exports (fuel) (% of exports of G&amp;S)</t>
        </is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</row>
    <row r="34">
      <c r="A34" t="inlineStr">
        <is>
          <t>Dominica_2022_January</t>
        </is>
      </c>
      <c r="C34" t="inlineStr">
        <is>
          <t>SM.22.7, Sup.2</t>
        </is>
      </c>
      <c r="D34" t="inlineStr">
        <is>
          <t>Dominica</t>
        </is>
      </c>
      <c r="E34" t="inlineStr">
        <is>
          <t>DMA</t>
        </is>
      </c>
      <c r="F34" s="11" t="n">
        <v>44562</v>
      </c>
      <c r="G34" t="inlineStr">
        <is>
          <t>2018gn</t>
        </is>
      </c>
      <c r="H34" t="n">
        <v>2021</v>
      </c>
      <c r="I34" t="inlineStr">
        <is>
          <t>non.fuel.cmdt.xprt.shr</t>
        </is>
      </c>
      <c r="M34" t="inlineStr">
        <is>
          <t>Share of commodity exports (non-fuel) (% of exports of G&amp;S)</t>
        </is>
      </c>
      <c r="P34" t="n">
        <v>0.2800069590074922</v>
      </c>
      <c r="Q34" t="n">
        <v>0.2488472386271365</v>
      </c>
      <c r="R34" t="n">
        <v>0.2210545804349136</v>
      </c>
      <c r="S34" t="n">
        <v>0.1778693370175951</v>
      </c>
      <c r="T34" t="n">
        <v>0.2316947489409609</v>
      </c>
      <c r="U34" t="n">
        <v>0.1982664271193613</v>
      </c>
      <c r="V34" t="n">
        <v>0.1374745079077704</v>
      </c>
      <c r="W34" t="n">
        <v>0.1300266859182243</v>
      </c>
      <c r="X34" t="n">
        <v>0.09428873588371416</v>
      </c>
      <c r="Y34" t="n">
        <v>0.05979522816779251</v>
      </c>
      <c r="Z34" t="n">
        <v>0.07393203088432779</v>
      </c>
      <c r="AA34" t="n">
        <v>0.04085882341225405</v>
      </c>
      <c r="AB34" t="n">
        <v>0.109843422529228</v>
      </c>
      <c r="AC34" t="n">
        <v>0.1216496817945705</v>
      </c>
      <c r="AD34" t="n">
        <v>0.08803046147579829</v>
      </c>
      <c r="AE34" t="n">
        <v>0.07833783631906674</v>
      </c>
      <c r="AF34" t="n">
        <v>0.0666935845034021</v>
      </c>
      <c r="AG34" t="n">
        <v>0.06521407480374605</v>
      </c>
      <c r="AH34" t="n">
        <v>0.06412395659923828</v>
      </c>
      <c r="AI34" t="n">
        <v>0.06480295411428408</v>
      </c>
      <c r="AJ34" t="n">
        <v>0.06573655016866611</v>
      </c>
      <c r="AK34" t="n">
        <v>0.06667425059204092</v>
      </c>
      <c r="AL34" t="n">
        <v>0.06755196566920132</v>
      </c>
      <c r="AM34" t="n">
        <v>0.06810862108974938</v>
      </c>
      <c r="AN34" t="n">
        <v>0.0686696526751593</v>
      </c>
      <c r="AO34" t="n">
        <v>0.06923497356818702</v>
      </c>
      <c r="AP34" t="n">
        <v>0.06980449651629571</v>
      </c>
      <c r="AQ34" t="n">
        <v>0.07037813387442071</v>
      </c>
      <c r="AR34" t="n">
        <v>0.0709557976087478</v>
      </c>
      <c r="AS34" t="n">
        <v>0.07153739930149215</v>
      </c>
      <c r="AT34" t="n">
        <v>0.07212285015667456</v>
      </c>
      <c r="AU34" t="n">
        <v>0.07271206100688014</v>
      </c>
      <c r="AV34" t="n">
        <v>0.07182606181664808</v>
      </c>
      <c r="AW34" t="n">
        <v>0.07094431351350289</v>
      </c>
    </row>
    <row r="35">
      <c r="A35" t="inlineStr">
        <is>
          <t>Dominica_2022_January</t>
        </is>
      </c>
      <c r="C35" t="inlineStr">
        <is>
          <t>SM.22.7, Sup.2</t>
        </is>
      </c>
      <c r="D35" t="inlineStr">
        <is>
          <t>Dominica</t>
        </is>
      </c>
      <c r="E35" t="inlineStr">
        <is>
          <t>DMA</t>
        </is>
      </c>
      <c r="F35" s="11" t="n">
        <v>44562</v>
      </c>
      <c r="G35" t="inlineStr">
        <is>
          <t>2018gn</t>
        </is>
      </c>
      <c r="H35" t="n">
        <v>2021</v>
      </c>
      <c r="I35" t="inlineStr">
        <is>
          <t>fuel.cmdt.impt.shr</t>
        </is>
      </c>
      <c r="M35" t="inlineStr">
        <is>
          <t>Share of commodity imports (fuel) (% of imports of G&amp;S)</t>
        </is>
      </c>
      <c r="P35" t="n">
        <v>0.1510665471432284</v>
      </c>
      <c r="Q35" t="n">
        <v>0.1226901319675999</v>
      </c>
      <c r="R35" t="n">
        <v>0.1215386776833269</v>
      </c>
      <c r="S35" t="n">
        <v>0.1784532997876406</v>
      </c>
      <c r="T35" t="n">
        <v>0.1651534870192155</v>
      </c>
      <c r="U35" t="n">
        <v>0.1656228627527613</v>
      </c>
      <c r="V35" t="n">
        <v>0.1243356073566262</v>
      </c>
      <c r="W35" t="n">
        <v>0.08996285060360727</v>
      </c>
      <c r="X35" t="n">
        <v>0.08515912452384786</v>
      </c>
      <c r="Y35" t="n">
        <v>0.09153121300099445</v>
      </c>
      <c r="Z35" t="n">
        <v>0.09030554620801176</v>
      </c>
      <c r="AA35" t="n">
        <v>0.07093433624176114</v>
      </c>
      <c r="AB35" t="n">
        <v>0.07393383223254923</v>
      </c>
      <c r="AC35" t="n">
        <v>0.1274450502463184</v>
      </c>
      <c r="AD35" t="n">
        <v>0.1296642927689809</v>
      </c>
      <c r="AE35" t="n">
        <v>0.1323480719514389</v>
      </c>
      <c r="AF35" t="n">
        <v>0.1193237795329307</v>
      </c>
      <c r="AG35" t="n">
        <v>0.11098246063816</v>
      </c>
      <c r="AH35" t="n">
        <v>0.1146330235670258</v>
      </c>
      <c r="AI35" t="n">
        <v>0.1185212604125626</v>
      </c>
      <c r="AJ35" t="n">
        <v>0.1194786877883224</v>
      </c>
      <c r="AK35" t="n">
        <v>0.1242646156315282</v>
      </c>
      <c r="AL35" t="n">
        <v>0.1300639282552077</v>
      </c>
      <c r="AM35" t="n">
        <v>0.1398007332216043</v>
      </c>
      <c r="AN35" t="n">
        <v>0.1482540123570352</v>
      </c>
      <c r="AO35" t="n">
        <v>0.1547795010721509</v>
      </c>
      <c r="AP35" t="n">
        <v>0.159112122883983</v>
      </c>
      <c r="AQ35" t="n">
        <v>0.1625447116739181</v>
      </c>
      <c r="AR35" t="n">
        <v>0.1660233352866888</v>
      </c>
      <c r="AS35" t="n">
        <v>0.1695477596981734</v>
      </c>
      <c r="AT35" t="n">
        <v>0.1731176633802738</v>
      </c>
      <c r="AU35" t="n">
        <v>0.1763601763576824</v>
      </c>
      <c r="AV35" t="n">
        <v>0.1776810274011109</v>
      </c>
      <c r="AW35" t="n">
        <v>0.179001199346517</v>
      </c>
    </row>
    <row r="36">
      <c r="A36" t="inlineStr">
        <is>
          <t>Dominica_2022_January</t>
        </is>
      </c>
      <c r="C36" t="inlineStr">
        <is>
          <t>SM.22.7, Sup.2</t>
        </is>
      </c>
      <c r="D36" t="inlineStr">
        <is>
          <t>Dominica</t>
        </is>
      </c>
      <c r="E36" t="inlineStr">
        <is>
          <t>DMA</t>
        </is>
      </c>
      <c r="F36" s="11" t="n">
        <v>44562</v>
      </c>
      <c r="G36" t="inlineStr">
        <is>
          <t>2018gn</t>
        </is>
      </c>
      <c r="H36" t="n">
        <v>2021</v>
      </c>
      <c r="I36" t="inlineStr">
        <is>
          <t>non.fuel.cmdt.impt.shr</t>
        </is>
      </c>
      <c r="M36" t="inlineStr">
        <is>
          <t>Share of commodity imports (non-fuel) (% of imports of G&amp;S)</t>
        </is>
      </c>
      <c r="P36" t="n">
        <v>0.6054955714049881</v>
      </c>
      <c r="Q36" t="n">
        <v>0.6268399513209806</v>
      </c>
      <c r="R36" t="n">
        <v>0.6229139126063296</v>
      </c>
      <c r="S36" t="n">
        <v>0.5383369548229534</v>
      </c>
      <c r="T36" t="n">
        <v>0.5684702031121109</v>
      </c>
      <c r="U36" t="n">
        <v>0.5675034310473523</v>
      </c>
      <c r="V36" t="n">
        <v>0.474365529662602</v>
      </c>
      <c r="W36" t="n">
        <v>0.5083840437891239</v>
      </c>
      <c r="X36" t="n">
        <v>0.4854941426370458</v>
      </c>
      <c r="Y36" t="n">
        <v>0.4531604251551397</v>
      </c>
      <c r="Z36" t="n">
        <v>0.5875724792315253</v>
      </c>
      <c r="AA36" t="n">
        <v>0.5934515021275351</v>
      </c>
      <c r="AB36" t="n">
        <v>0.6077126333863639</v>
      </c>
      <c r="AC36" t="n">
        <v>0.6554945333472024</v>
      </c>
      <c r="AD36" t="n">
        <v>0.6773463227278554</v>
      </c>
      <c r="AE36" t="n">
        <v>0.6836276766989334</v>
      </c>
      <c r="AF36" t="n">
        <v>0.6525724221442738</v>
      </c>
      <c r="AG36" t="n">
        <v>0.676543219040844</v>
      </c>
      <c r="AH36" t="n">
        <v>0.6185677313373229</v>
      </c>
      <c r="AI36" t="n">
        <v>0.6046599529453281</v>
      </c>
      <c r="AJ36" t="n">
        <v>0.6261276712430583</v>
      </c>
      <c r="AK36" t="n">
        <v>0.6093186971443587</v>
      </c>
      <c r="AL36" t="n">
        <v>0.5877900826618702</v>
      </c>
      <c r="AM36" t="n">
        <v>0.5466093264179525</v>
      </c>
      <c r="AN36" t="n">
        <v>0.5118012831359868</v>
      </c>
      <c r="AO36" t="n">
        <v>0.4861825331060479</v>
      </c>
      <c r="AP36" t="n">
        <v>0.4707893949840046</v>
      </c>
      <c r="AQ36" t="n">
        <v>0.469663884068417</v>
      </c>
      <c r="AR36" t="n">
        <v>0.4685764214662357</v>
      </c>
      <c r="AS36" t="n">
        <v>0.4675262854202475</v>
      </c>
      <c r="AT36" t="n">
        <v>0.4665127582177399</v>
      </c>
      <c r="AU36" t="n">
        <v>0.4670611008937297</v>
      </c>
      <c r="AV36" t="n">
        <v>0.4633771160009726</v>
      </c>
      <c r="AW36" t="n">
        <v>0.4597161066227353</v>
      </c>
    </row>
    <row r="37">
      <c r="A37" t="inlineStr">
        <is>
          <t>Dominica_2022_January</t>
        </is>
      </c>
      <c r="C37" t="inlineStr">
        <is>
          <t>SM.22.7, Sup.2</t>
        </is>
      </c>
      <c r="D37" t="inlineStr">
        <is>
          <t>Dominica</t>
        </is>
      </c>
      <c r="E37" t="inlineStr">
        <is>
          <t>DMA</t>
        </is>
      </c>
      <c r="F37" s="11" t="n">
        <v>44562</v>
      </c>
      <c r="G37" t="inlineStr">
        <is>
          <t>2018gn</t>
        </is>
      </c>
      <c r="H37" t="n">
        <v>2021</v>
      </c>
      <c r="I37" t="inlineStr">
        <is>
          <t>fuel.cmdt.impt.shr.2xprt</t>
        </is>
      </c>
      <c r="M37" t="inlineStr">
        <is>
          <t>Share of commodity imports (fuel) (% of exports of G&amp;S)</t>
        </is>
      </c>
      <c r="P37" t="n">
        <v>0.2769331468813742</v>
      </c>
      <c r="Q37" t="n">
        <v>0.2193142073773587</v>
      </c>
      <c r="R37" t="n">
        <v>0.1830347677161879</v>
      </c>
      <c r="S37" t="n">
        <v>0.2204545587859051</v>
      </c>
      <c r="T37" t="n">
        <v>0.2605939040510616</v>
      </c>
      <c r="U37" t="n">
        <v>0.2085943873036974</v>
      </c>
      <c r="V37" t="n">
        <v>0.150217289363916</v>
      </c>
      <c r="W37" t="n">
        <v>0.109505923695503</v>
      </c>
      <c r="X37" t="n">
        <v>0.1040364764358253</v>
      </c>
      <c r="Y37" t="n">
        <v>0.1346128402370741</v>
      </c>
      <c r="Z37" t="n">
        <v>0.2421837194622368</v>
      </c>
      <c r="AA37" t="n">
        <v>0.1583459076064729</v>
      </c>
      <c r="AB37" t="n">
        <v>0.2107412943591485</v>
      </c>
      <c r="AC37" t="n">
        <v>0.3371792596297005</v>
      </c>
      <c r="AD37" t="n">
        <v>0.2655251708123139</v>
      </c>
      <c r="AE37" t="n">
        <v>0.2480223740758074</v>
      </c>
      <c r="AF37" t="n">
        <v>0.1900081078873713</v>
      </c>
      <c r="AG37" t="n">
        <v>0.1698832422373396</v>
      </c>
      <c r="AH37" t="n">
        <v>0.1672833570158356</v>
      </c>
      <c r="AI37" t="n">
        <v>0.1713684018233496</v>
      </c>
      <c r="AJ37" t="n">
        <v>0.1765068049177834</v>
      </c>
      <c r="AK37" t="n">
        <v>0.1816825560367564</v>
      </c>
      <c r="AL37" t="n">
        <v>0.1866152482829772</v>
      </c>
      <c r="AM37" t="n">
        <v>0.1898827693907152</v>
      </c>
      <c r="AN37" t="n">
        <v>0.1931973966563381</v>
      </c>
      <c r="AO37" t="n">
        <v>0.1965595424278975</v>
      </c>
      <c r="AP37" t="n">
        <v>0.1999696723354028</v>
      </c>
      <c r="AQ37" t="n">
        <v>0.2034281847502288</v>
      </c>
      <c r="AR37" t="n">
        <v>0.2069355135471045</v>
      </c>
      <c r="AS37" t="n">
        <v>0.2104921282055236</v>
      </c>
      <c r="AT37" t="n">
        <v>0.2140984122374034</v>
      </c>
      <c r="AU37" t="n">
        <v>0.217754818696127</v>
      </c>
      <c r="AV37" t="n">
        <v>0.2194468059606427</v>
      </c>
      <c r="AW37" t="n">
        <v>0.2211315394820981</v>
      </c>
    </row>
    <row r="38">
      <c r="A38" t="inlineStr">
        <is>
          <t>Dominica_2022_January</t>
        </is>
      </c>
      <c r="C38" t="inlineStr">
        <is>
          <t>SM.22.7, Sup.2</t>
        </is>
      </c>
      <c r="D38" t="inlineStr">
        <is>
          <t>Dominica</t>
        </is>
      </c>
      <c r="E38" t="inlineStr">
        <is>
          <t>DMA</t>
        </is>
      </c>
      <c r="F38" s="11" t="n">
        <v>44562</v>
      </c>
      <c r="G38" t="inlineStr">
        <is>
          <t>2018gn</t>
        </is>
      </c>
      <c r="H38" t="n">
        <v>2021</v>
      </c>
      <c r="I38" t="inlineStr">
        <is>
          <t>non.fuel.cmdt.impt.shr.2xprt</t>
        </is>
      </c>
      <c r="M38" t="inlineStr">
        <is>
          <t>Share of commodity imports (non-fuel) (% of exports of G&amp;S)</t>
        </is>
      </c>
      <c r="P38" t="n">
        <v>1.109986275471946</v>
      </c>
      <c r="Q38" t="n">
        <v>1.120505006162415</v>
      </c>
      <c r="R38" t="n">
        <v>0.9380956373258477</v>
      </c>
      <c r="S38" t="n">
        <v>0.6650414197712773</v>
      </c>
      <c r="T38" t="n">
        <v>0.8969829958749158</v>
      </c>
      <c r="U38" t="n">
        <v>0.7147445016016962</v>
      </c>
      <c r="V38" t="n">
        <v>0.5731093895669686</v>
      </c>
      <c r="W38" t="n">
        <v>0.6188228133463658</v>
      </c>
      <c r="X38" t="n">
        <v>0.5931143634061871</v>
      </c>
      <c r="Y38" t="n">
        <v>0.6664525675248139</v>
      </c>
      <c r="Z38" t="n">
        <v>1.57576687644589</v>
      </c>
      <c r="AA38" t="n">
        <v>1.324755001647368</v>
      </c>
      <c r="AB38" t="n">
        <v>1.732226547589486</v>
      </c>
      <c r="AC38" t="n">
        <v>1.734231035400377</v>
      </c>
      <c r="AD38" t="n">
        <v>1.387062653878385</v>
      </c>
      <c r="AE38" t="n">
        <v>1.281129047508988</v>
      </c>
      <c r="AF38" t="n">
        <v>1.039139488176309</v>
      </c>
      <c r="AG38" t="n">
        <v>1.035599273105563</v>
      </c>
      <c r="AH38" t="n">
        <v>0.9026725756672946</v>
      </c>
      <c r="AI38" t="n">
        <v>0.874270231535941</v>
      </c>
      <c r="AJ38" t="n">
        <v>0.9249833319020271</v>
      </c>
      <c r="AK38" t="n">
        <v>0.8908616324572297</v>
      </c>
      <c r="AL38" t="n">
        <v>0.8433590595463555</v>
      </c>
      <c r="AM38" t="n">
        <v>0.7424259535928859</v>
      </c>
      <c r="AN38" t="n">
        <v>0.666954465077949</v>
      </c>
      <c r="AO38" t="n">
        <v>0.6174190741137845</v>
      </c>
      <c r="AP38" t="n">
        <v>0.5916808810512756</v>
      </c>
      <c r="AQ38" t="n">
        <v>0.5877944006597342</v>
      </c>
      <c r="AR38" t="n">
        <v>0.5840450214106399</v>
      </c>
      <c r="AS38" t="n">
        <v>0.5804299802328274</v>
      </c>
      <c r="AT38" t="n">
        <v>0.5769465626595947</v>
      </c>
      <c r="AU38" t="n">
        <v>0.5766880451449337</v>
      </c>
      <c r="AV38" t="n">
        <v>0.5722987397642203</v>
      </c>
      <c r="AW38" t="n">
        <v>0.5679164762768382</v>
      </c>
    </row>
    <row r="39">
      <c r="A39" t="inlineStr">
        <is>
          <t>Dominica_2022_January</t>
        </is>
      </c>
      <c r="C39" t="inlineStr">
        <is>
          <t>SM.22.7, Sup.2</t>
        </is>
      </c>
      <c r="D39" t="inlineStr">
        <is>
          <t>Dominica</t>
        </is>
      </c>
      <c r="E39" t="inlineStr">
        <is>
          <t>DMA</t>
        </is>
      </c>
      <c r="F39" s="11" t="n">
        <v>44562</v>
      </c>
      <c r="G39" t="inlineStr">
        <is>
          <t>2018gn</t>
        </is>
      </c>
      <c r="H39" t="n">
        <v>2021</v>
      </c>
    </row>
    <row r="40">
      <c r="A40" t="inlineStr">
        <is>
          <t>Dominica_2022_January</t>
        </is>
      </c>
      <c r="C40" t="inlineStr">
        <is>
          <t>SM.22.7, Sup.2</t>
        </is>
      </c>
      <c r="D40" t="inlineStr">
        <is>
          <t>Dominica</t>
        </is>
      </c>
      <c r="E40" t="inlineStr">
        <is>
          <t>DMA</t>
        </is>
      </c>
      <c r="F40" s="11" t="n">
        <v>44562</v>
      </c>
      <c r="G40" t="inlineStr">
        <is>
          <t>2018gn</t>
        </is>
      </c>
      <c r="H40" t="n">
        <v>2021</v>
      </c>
      <c r="I40" t="inlineStr">
        <is>
          <t>prm.bal</t>
        </is>
      </c>
      <c r="K40" t="inlineStr">
        <is>
          <t>National Currency</t>
        </is>
      </c>
      <c r="L40" t="inlineStr">
        <is>
          <t>Million</t>
        </is>
      </c>
      <c r="M40" t="inlineStr">
        <is>
          <t>Public sector primary balance</t>
        </is>
      </c>
      <c r="P40" t="n">
        <v>214.9010782865806</v>
      </c>
      <c r="Q40" t="n">
        <v>24.76066871387593</v>
      </c>
      <c r="R40" t="n">
        <v>-54.05878426000004</v>
      </c>
      <c r="S40" t="n">
        <v>-44.894364673062</v>
      </c>
      <c r="T40" t="n">
        <v>-52.02620079718793</v>
      </c>
      <c r="U40" t="n">
        <v>113.199785422123</v>
      </c>
      <c r="V40" t="n">
        <v>68.43027197701906</v>
      </c>
      <c r="W40" t="n">
        <v>204.839965738188</v>
      </c>
      <c r="X40" t="n">
        <v>201.3211266951291</v>
      </c>
      <c r="Y40" t="n">
        <v>-18.75377297192199</v>
      </c>
      <c r="Z40" t="n">
        <v>-235.1822567181021</v>
      </c>
      <c r="AA40" t="n">
        <v>-84.30277678771699</v>
      </c>
      <c r="AB40" t="n">
        <v>-76.63371378680404</v>
      </c>
      <c r="AC40" t="n">
        <v>-123.4079111602719</v>
      </c>
      <c r="AD40" t="n">
        <v>-20.02885618716971</v>
      </c>
      <c r="AE40" t="n">
        <v>-22.02629918232674</v>
      </c>
      <c r="AF40" t="n">
        <v>-52.31919078429132</v>
      </c>
      <c r="AG40" t="n">
        <v>-47.90660290274263</v>
      </c>
      <c r="AH40" t="n">
        <v>-18.90750735358301</v>
      </c>
      <c r="AI40" t="n">
        <v>16.62851433220385</v>
      </c>
      <c r="AJ40" t="n">
        <v>54.82566209741276</v>
      </c>
      <c r="AK40" t="n">
        <v>92.32827625936739</v>
      </c>
      <c r="AL40" t="n">
        <v>130.4592780365251</v>
      </c>
      <c r="AM40" t="n">
        <v>148.848110280808</v>
      </c>
      <c r="AN40" t="n">
        <v>158.6825247873996</v>
      </c>
      <c r="AO40" t="n">
        <v>173.2285995251182</v>
      </c>
      <c r="AP40" t="n">
        <v>221.5055495730221</v>
      </c>
      <c r="AQ40" t="n">
        <v>226.365635008714</v>
      </c>
      <c r="AR40" t="n">
        <v>139.6571159112311</v>
      </c>
      <c r="AS40" t="n">
        <v>141.5923669920001</v>
      </c>
      <c r="AT40" t="n">
        <v>143.8103354976945</v>
      </c>
      <c r="AU40" t="n">
        <v>144.987997992725</v>
      </c>
      <c r="AV40" t="n">
        <v>151.4805855519173</v>
      </c>
      <c r="AW40" t="n">
        <v>153.3856364913486</v>
      </c>
    </row>
    <row r="41">
      <c r="A41" t="inlineStr">
        <is>
          <t>Dominica_2022_January</t>
        </is>
      </c>
      <c r="C41" t="inlineStr">
        <is>
          <t>SM.22.7, Sup.2</t>
        </is>
      </c>
      <c r="D41" t="inlineStr">
        <is>
          <t>Dominica</t>
        </is>
      </c>
      <c r="E41" t="inlineStr">
        <is>
          <t>DMA</t>
        </is>
      </c>
      <c r="F41" s="11" t="n">
        <v>44562</v>
      </c>
      <c r="G41" t="inlineStr">
        <is>
          <t>2018gn</t>
        </is>
      </c>
      <c r="H41" t="n">
        <v>2021</v>
      </c>
      <c r="I41" t="inlineStr">
        <is>
          <t>ovrl.bal.rev.all</t>
        </is>
      </c>
      <c r="K41" t="inlineStr">
        <is>
          <t>National Currency</t>
        </is>
      </c>
      <c r="L41" t="inlineStr">
        <is>
          <t>Million</t>
        </is>
      </c>
      <c r="M41" t="inlineStr">
        <is>
          <t>Public sector revenues (including grants)</t>
        </is>
      </c>
      <c r="P41" t="n">
        <v>560.089399711465</v>
      </c>
      <c r="Q41" t="n">
        <v>584.4759798300649</v>
      </c>
      <c r="R41" t="n">
        <v>598.4671832499999</v>
      </c>
      <c r="S41" t="n">
        <v>534.62272742</v>
      </c>
      <c r="T41" t="n">
        <v>530.372739976961</v>
      </c>
      <c r="U41" t="n">
        <v>547.512945243</v>
      </c>
      <c r="V41" t="n">
        <v>516.6642362359891</v>
      </c>
      <c r="W41" t="n">
        <v>789.042915193778</v>
      </c>
      <c r="X41" t="n">
        <v>1016.50285008026</v>
      </c>
      <c r="Y41" t="n">
        <v>864.107686268597</v>
      </c>
      <c r="Z41" t="n">
        <v>838.870201518848</v>
      </c>
      <c r="AA41" t="n">
        <v>736.758121521065</v>
      </c>
      <c r="AB41" t="n">
        <v>974.036451662296</v>
      </c>
      <c r="AC41" t="n">
        <v>963.64834505658</v>
      </c>
      <c r="AD41" t="n">
        <v>989.553762831453</v>
      </c>
      <c r="AE41" t="n">
        <v>1032.48238025638</v>
      </c>
      <c r="AF41" t="n">
        <v>1068.59165133269</v>
      </c>
      <c r="AG41" t="n">
        <v>1098.30771196292</v>
      </c>
      <c r="AH41" t="n">
        <v>1139.5813889319</v>
      </c>
      <c r="AI41" t="n">
        <v>1185.91978861962</v>
      </c>
      <c r="AJ41" t="n">
        <v>1237.5264070459</v>
      </c>
      <c r="AK41" t="n">
        <v>1286.17078795142</v>
      </c>
      <c r="AL41" t="n">
        <v>1318.79285138911</v>
      </c>
      <c r="AM41" t="n">
        <v>1351.75500718829</v>
      </c>
      <c r="AN41" t="n">
        <v>1390.4811906329</v>
      </c>
      <c r="AO41" t="n">
        <v>1433.82191314626</v>
      </c>
      <c r="AP41" t="n">
        <v>1480.90412499471</v>
      </c>
      <c r="AQ41" t="n">
        <v>1530.26219936388</v>
      </c>
      <c r="AR41" t="n">
        <v>1489.61359085919</v>
      </c>
      <c r="AS41" t="n">
        <v>1539.22806126682</v>
      </c>
      <c r="AT41" t="n">
        <v>1590.81043958244</v>
      </c>
      <c r="AU41" t="n">
        <v>1643.09737526494</v>
      </c>
      <c r="AV41" t="n">
        <v>1643.09737526494</v>
      </c>
      <c r="AW41" t="n">
        <v>1643.09737526494</v>
      </c>
    </row>
    <row r="42">
      <c r="A42" t="inlineStr">
        <is>
          <t>Dominica_2022_January</t>
        </is>
      </c>
      <c r="C42" t="inlineStr">
        <is>
          <t>SM.22.7, Sup.2</t>
        </is>
      </c>
      <c r="D42" t="inlineStr">
        <is>
          <t>Dominica</t>
        </is>
      </c>
      <c r="E42" t="inlineStr">
        <is>
          <t>DMA</t>
        </is>
      </c>
      <c r="F42" s="11" t="n">
        <v>44562</v>
      </c>
      <c r="G42" t="inlineStr">
        <is>
          <t>2018gn</t>
        </is>
      </c>
      <c r="H42" t="n">
        <v>2021</v>
      </c>
      <c r="I42" t="inlineStr">
        <is>
          <t>ovrl.bal.rev.grt</t>
        </is>
      </c>
      <c r="K42" t="inlineStr">
        <is>
          <t>National Currency</t>
        </is>
      </c>
      <c r="L42" t="inlineStr">
        <is>
          <t>Million</t>
        </is>
      </c>
      <c r="M42" t="inlineStr">
        <is>
          <t>Public sector grants</t>
        </is>
      </c>
      <c r="P42" t="n">
        <v>113.81943866</v>
      </c>
      <c r="Q42" t="n">
        <v>114.14025421</v>
      </c>
      <c r="R42" t="n">
        <v>126.85867312</v>
      </c>
      <c r="S42" t="n">
        <v>64.05162593</v>
      </c>
      <c r="T42" t="n">
        <v>35.855471576961</v>
      </c>
      <c r="U42" t="n">
        <v>43.949264</v>
      </c>
      <c r="V42" t="n">
        <v>28.7</v>
      </c>
      <c r="W42" t="n">
        <v>30.94431532</v>
      </c>
      <c r="X42" t="n">
        <v>15.05420126</v>
      </c>
      <c r="Y42" t="n">
        <v>65.505583</v>
      </c>
      <c r="Z42" t="n">
        <v>13.73409221</v>
      </c>
      <c r="AA42" t="n">
        <v>29.00446482</v>
      </c>
      <c r="AB42" t="n">
        <v>35.00313839</v>
      </c>
      <c r="AC42" t="n">
        <v>38.0089451596669</v>
      </c>
      <c r="AD42" t="n">
        <v>41.3500834533016</v>
      </c>
      <c r="AE42" t="n">
        <v>44.2632864379945</v>
      </c>
      <c r="AF42" t="n">
        <v>47.0916840452478</v>
      </c>
      <c r="AG42" t="n">
        <v>49.5968786802035</v>
      </c>
      <c r="AH42" t="n">
        <v>51.6922144567783</v>
      </c>
      <c r="AI42" t="n">
        <v>53.8842698445255</v>
      </c>
      <c r="AJ42" t="n">
        <v>56.3345944784801</v>
      </c>
      <c r="AK42" t="n">
        <v>58.840740869438</v>
      </c>
      <c r="AL42" t="n">
        <v>61.1572619755419</v>
      </c>
      <c r="AM42" t="n">
        <v>63.3161073009445</v>
      </c>
      <c r="AN42" t="n">
        <v>65.55115993685131</v>
      </c>
      <c r="AO42" t="n">
        <v>67.8651115321984</v>
      </c>
      <c r="AP42" t="n">
        <v>70.26074546529171</v>
      </c>
      <c r="AQ42" t="n">
        <v>72.7409451172325</v>
      </c>
      <c r="AR42" t="n">
        <v>75.3086956522838</v>
      </c>
      <c r="AS42" t="n">
        <v>77.9670876108088</v>
      </c>
      <c r="AT42" t="n">
        <v>80.71932062904069</v>
      </c>
      <c r="AU42" t="n">
        <v>83.5687072901592</v>
      </c>
      <c r="AV42" t="n">
        <v>86.5186771113103</v>
      </c>
      <c r="AW42" t="n">
        <v>89.57278067136799</v>
      </c>
    </row>
    <row r="43">
      <c r="A43" t="inlineStr">
        <is>
          <t>Dominica_2022_January</t>
        </is>
      </c>
      <c r="C43" t="inlineStr">
        <is>
          <t>SM.22.7, Sup.2</t>
        </is>
      </c>
      <c r="D43" t="inlineStr">
        <is>
          <t>Dominica</t>
        </is>
      </c>
      <c r="E43" t="inlineStr">
        <is>
          <t>DMA</t>
        </is>
      </c>
      <c r="F43" s="11" t="n">
        <v>44562</v>
      </c>
      <c r="G43" t="inlineStr">
        <is>
          <t>2018gn</t>
        </is>
      </c>
      <c r="H43" t="n">
        <v>2021</v>
      </c>
      <c r="I43" t="inlineStr">
        <is>
          <t>ovrl.bal.rev.prvtz</t>
        </is>
      </c>
      <c r="K43" t="inlineStr">
        <is>
          <t>National Currency</t>
        </is>
      </c>
      <c r="L43" t="inlineStr">
        <is>
          <t>Million</t>
        </is>
      </c>
      <c r="M43" t="inlineStr">
        <is>
          <t>Privatization receipts</t>
        </is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</row>
    <row r="44">
      <c r="A44" t="inlineStr">
        <is>
          <t>Dominica_2022_January</t>
        </is>
      </c>
      <c r="C44" t="inlineStr">
        <is>
          <t>SM.22.7, Sup.2</t>
        </is>
      </c>
      <c r="D44" t="inlineStr">
        <is>
          <t>Dominica</t>
        </is>
      </c>
      <c r="E44" t="inlineStr">
        <is>
          <t>DMA</t>
        </is>
      </c>
      <c r="F44" s="11" t="n">
        <v>44562</v>
      </c>
      <c r="G44" t="inlineStr">
        <is>
          <t>2018gn</t>
        </is>
      </c>
      <c r="H44" t="n">
        <v>2021</v>
      </c>
      <c r="I44" t="inlineStr">
        <is>
          <t>ovrl.bal.prm.exp</t>
        </is>
      </c>
      <c r="K44" t="inlineStr">
        <is>
          <t>National Currency</t>
        </is>
      </c>
      <c r="L44" t="inlineStr">
        <is>
          <t>Million</t>
        </is>
      </c>
      <c r="M44" t="inlineStr">
        <is>
          <t xml:space="preserve">Public sector PRIMARY expenditure </t>
        </is>
      </c>
      <c r="P44" t="n">
        <v>345.1883214248844</v>
      </c>
      <c r="Q44" t="n">
        <v>559.715311116189</v>
      </c>
      <c r="R44" t="n">
        <v>652.52596751</v>
      </c>
      <c r="S44" t="n">
        <v>579.517092093062</v>
      </c>
      <c r="T44" t="n">
        <v>582.398940774149</v>
      </c>
      <c r="U44" t="n">
        <v>434.313159820877</v>
      </c>
      <c r="V44" t="n">
        <v>448.23396425897</v>
      </c>
      <c r="W44" t="n">
        <v>584.20294945559</v>
      </c>
      <c r="X44" t="n">
        <v>815.1817233851309</v>
      </c>
      <c r="Y44" t="n">
        <v>882.861459240519</v>
      </c>
      <c r="Z44" t="n">
        <v>1074.05245823695</v>
      </c>
      <c r="AA44" t="n">
        <v>821.060898308782</v>
      </c>
      <c r="AB44" t="n">
        <v>1050.6701654491</v>
      </c>
      <c r="AC44" t="n">
        <v>1087.056256216852</v>
      </c>
      <c r="AD44" t="n">
        <v>1009.582619018623</v>
      </c>
      <c r="AE44" t="n">
        <v>1054.508679438707</v>
      </c>
      <c r="AF44" t="n">
        <v>1120.910842116981</v>
      </c>
      <c r="AG44" t="n">
        <v>1146.214314865663</v>
      </c>
      <c r="AH44" t="n">
        <v>1158.488896285483</v>
      </c>
      <c r="AI44" t="n">
        <v>1169.291274287416</v>
      </c>
      <c r="AJ44" t="n">
        <v>1182.700744948487</v>
      </c>
      <c r="AK44" t="n">
        <v>1193.842511692053</v>
      </c>
      <c r="AL44" t="n">
        <v>1188.333573352585</v>
      </c>
      <c r="AM44" t="n">
        <v>1202.906896907482</v>
      </c>
      <c r="AN44" t="n">
        <v>1231.7986658455</v>
      </c>
      <c r="AO44" t="n">
        <v>1260.593313621142</v>
      </c>
      <c r="AP44" t="n">
        <v>1259.398575421688</v>
      </c>
      <c r="AQ44" t="n">
        <v>1303.896564355166</v>
      </c>
      <c r="AR44" t="n">
        <v>1349.956474947959</v>
      </c>
      <c r="AS44" t="n">
        <v>1397.63569427482</v>
      </c>
      <c r="AT44" t="n">
        <v>1447.000104084746</v>
      </c>
      <c r="AU44" t="n">
        <v>1498.109377272215</v>
      </c>
      <c r="AV44" t="n">
        <v>1491.616789713023</v>
      </c>
      <c r="AW44" t="n">
        <v>1489.711738773591</v>
      </c>
    </row>
    <row r="45">
      <c r="A45" t="inlineStr">
        <is>
          <t>Dominica_2022_January</t>
        </is>
      </c>
      <c r="C45" t="inlineStr">
        <is>
          <t>SM.22.7, Sup.2</t>
        </is>
      </c>
      <c r="D45" t="inlineStr">
        <is>
          <t>Dominica</t>
        </is>
      </c>
      <c r="E45" t="inlineStr">
        <is>
          <t>DMA</t>
        </is>
      </c>
      <c r="F45" s="11" t="n">
        <v>44562</v>
      </c>
      <c r="G45" t="inlineStr">
        <is>
          <t>2018gn</t>
        </is>
      </c>
      <c r="H45" t="n">
        <v>2021</v>
      </c>
      <c r="I45" t="inlineStr">
        <is>
          <t>ovrl.bal.int.exp</t>
        </is>
      </c>
      <c r="K45" t="inlineStr">
        <is>
          <t>National Currency</t>
        </is>
      </c>
      <c r="L45" t="inlineStr">
        <is>
          <t>Million</t>
        </is>
      </c>
      <c r="M45" t="inlineStr">
        <is>
          <t xml:space="preserve">Public sector interest expenditure </t>
        </is>
      </c>
      <c r="P45" t="n">
        <v>12.88550000000001</v>
      </c>
      <c r="Q45" t="n">
        <v>17.62919999999999</v>
      </c>
      <c r="R45" t="n">
        <v>11.6411793</v>
      </c>
      <c r="S45" t="n">
        <v>11.71146100000001</v>
      </c>
      <c r="T45" t="n">
        <v>40.07163509999992</v>
      </c>
      <c r="U45" t="n">
        <v>15.57704260000001</v>
      </c>
      <c r="V45" t="n">
        <v>23.06220549999999</v>
      </c>
      <c r="W45" t="n">
        <v>17.82298070000001</v>
      </c>
      <c r="X45" t="n">
        <v>23.4893517</v>
      </c>
      <c r="Y45" t="n">
        <v>22.31975561999999</v>
      </c>
      <c r="Z45" t="n">
        <v>20.71094280999999</v>
      </c>
      <c r="AA45" t="n">
        <v>20.47326397000001</v>
      </c>
      <c r="AB45" t="n">
        <v>16.25547769999999</v>
      </c>
      <c r="AC45" t="n">
        <v>40.91378095420644</v>
      </c>
      <c r="AD45" t="n">
        <v>40.25906002009045</v>
      </c>
      <c r="AE45" t="n">
        <v>44.79182579564229</v>
      </c>
      <c r="AF45" t="n">
        <v>48.77594746223176</v>
      </c>
      <c r="AG45" t="n">
        <v>47.32083513232614</v>
      </c>
      <c r="AH45" t="n">
        <v>44.90582147185586</v>
      </c>
      <c r="AI45" t="n">
        <v>43.10468879496604</v>
      </c>
      <c r="AJ45" t="n">
        <v>43.69787997175308</v>
      </c>
      <c r="AK45" t="n">
        <v>43.67581599515553</v>
      </c>
      <c r="AL45" t="n">
        <v>42.241812040378</v>
      </c>
      <c r="AM45" t="n">
        <v>40.06793183081844</v>
      </c>
      <c r="AN45" t="n">
        <v>41.97959775607234</v>
      </c>
      <c r="AO45" t="n">
        <v>53.32590904263938</v>
      </c>
      <c r="AP45" t="n">
        <v>52.74521224542546</v>
      </c>
      <c r="AQ45" t="n">
        <v>35.13276253387447</v>
      </c>
      <c r="AR45" t="n">
        <v>38.8023067460119</v>
      </c>
      <c r="AS45" t="n">
        <v>31.90073619366935</v>
      </c>
      <c r="AT45" t="n">
        <v>35.61843436046367</v>
      </c>
      <c r="AU45" t="n">
        <v>37.45785441842435</v>
      </c>
      <c r="AV45" t="n">
        <v>37.93741464875537</v>
      </c>
      <c r="AW45" t="n">
        <v>43.85273827417096</v>
      </c>
    </row>
    <row r="46">
      <c r="A46" t="inlineStr">
        <is>
          <t>Dominica_2022_January</t>
        </is>
      </c>
      <c r="C46" t="inlineStr">
        <is>
          <t>SM.22.7, Sup.2</t>
        </is>
      </c>
      <c r="D46" t="inlineStr">
        <is>
          <t>Dominica</t>
        </is>
      </c>
      <c r="E46" t="inlineStr">
        <is>
          <t>DMA</t>
        </is>
      </c>
      <c r="F46" s="11" t="n">
        <v>44562</v>
      </c>
      <c r="G46" t="inlineStr">
        <is>
          <t>2018gn</t>
        </is>
      </c>
      <c r="H46" t="n">
        <v>2021</v>
      </c>
      <c r="I46" t="inlineStr">
        <is>
          <t>pub.sec.asset</t>
        </is>
      </c>
      <c r="K46" t="inlineStr">
        <is>
          <t>National Currency</t>
        </is>
      </c>
      <c r="L46" t="inlineStr">
        <is>
          <t>Million</t>
        </is>
      </c>
      <c r="M46" t="inlineStr">
        <is>
          <t>Public Sector Assets (e.g. Deposits)</t>
        </is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57.3645</v>
      </c>
      <c r="W46" t="n">
        <v>166.81725</v>
      </c>
      <c r="X46" t="n">
        <v>306.349589317</v>
      </c>
      <c r="Y46" t="n">
        <v>323.18192614</v>
      </c>
      <c r="Z46" t="n">
        <v>138.41</v>
      </c>
      <c r="AA46" t="n">
        <v>226.79636</v>
      </c>
      <c r="AB46" t="n">
        <v>252.585589</v>
      </c>
      <c r="AC46" t="n">
        <v>142.885589</v>
      </c>
      <c r="AD46" t="n">
        <v>205.885589</v>
      </c>
      <c r="AE46" t="n">
        <v>199.885589</v>
      </c>
      <c r="AF46" t="n">
        <v>142.885589</v>
      </c>
      <c r="AG46" t="n">
        <v>90.885589</v>
      </c>
      <c r="AH46" t="n">
        <v>73.885589</v>
      </c>
      <c r="AI46" t="n">
        <v>65.885589</v>
      </c>
      <c r="AJ46" t="n">
        <v>57.885589</v>
      </c>
      <c r="AK46" t="n">
        <v>65.885589</v>
      </c>
      <c r="AL46" t="n">
        <v>105.885589</v>
      </c>
      <c r="AM46" t="n">
        <v>170.885589</v>
      </c>
      <c r="AN46" t="n">
        <v>240.885589</v>
      </c>
      <c r="AO46" t="n">
        <v>329.885589</v>
      </c>
      <c r="AP46" t="n">
        <v>465.885589</v>
      </c>
      <c r="AQ46" t="n">
        <v>611.885589</v>
      </c>
      <c r="AR46" t="n">
        <v>674.885589</v>
      </c>
      <c r="AS46" t="n">
        <v>748.885589</v>
      </c>
      <c r="AT46" t="n">
        <v>826.885589</v>
      </c>
      <c r="AU46" t="n">
        <v>914.885589</v>
      </c>
      <c r="AV46" t="n">
        <v>1010.885589</v>
      </c>
      <c r="AW46" t="n">
        <v>1108.885589</v>
      </c>
    </row>
    <row r="47">
      <c r="A47" t="inlineStr">
        <is>
          <t>Dominica_2022_January</t>
        </is>
      </c>
      <c r="C47" t="inlineStr">
        <is>
          <t>SM.22.7, Sup.2</t>
        </is>
      </c>
      <c r="D47" t="inlineStr">
        <is>
          <t>Dominica</t>
        </is>
      </c>
      <c r="E47" t="inlineStr">
        <is>
          <t>DMA</t>
        </is>
      </c>
      <c r="F47" s="11" t="n">
        <v>44562</v>
      </c>
      <c r="G47" t="inlineStr">
        <is>
          <t>2018gn</t>
        </is>
      </c>
      <c r="H47" t="n">
        <v>2021</v>
      </c>
      <c r="I47" t="inlineStr">
        <is>
          <t>recog.conting.liab</t>
        </is>
      </c>
      <c r="K47" t="inlineStr">
        <is>
          <t>National Currency</t>
        </is>
      </c>
      <c r="L47" t="inlineStr">
        <is>
          <t>Million</t>
        </is>
      </c>
      <c r="M47" t="inlineStr">
        <is>
          <t>Recognition of contingent liabilities (e.g., bank recapitalization)</t>
        </is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</row>
    <row r="48">
      <c r="A48" t="inlineStr">
        <is>
          <t>Dominica_2022_January</t>
        </is>
      </c>
      <c r="C48" t="inlineStr">
        <is>
          <t>SM.22.7, Sup.2</t>
        </is>
      </c>
      <c r="D48" t="inlineStr">
        <is>
          <t>Dominica</t>
        </is>
      </c>
      <c r="E48" t="inlineStr">
        <is>
          <t>DMA</t>
        </is>
      </c>
      <c r="F48" s="11" t="n">
        <v>44562</v>
      </c>
      <c r="G48" t="inlineStr">
        <is>
          <t>2018gn</t>
        </is>
      </c>
      <c r="H48" t="n">
        <v>2021</v>
      </c>
      <c r="I48" t="inlineStr">
        <is>
          <t>oth.dbt.crtg.flw</t>
        </is>
      </c>
      <c r="K48" t="inlineStr">
        <is>
          <t>National Currency</t>
        </is>
      </c>
      <c r="L48" t="inlineStr">
        <is>
          <t>Million</t>
        </is>
      </c>
      <c r="M48" t="inlineStr">
        <is>
          <t>Other debt creating or reducing flow (please specify)</t>
        </is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</row>
    <row r="49">
      <c r="A49" t="inlineStr">
        <is>
          <t>Dominica_2022_January</t>
        </is>
      </c>
      <c r="C49" t="inlineStr">
        <is>
          <t>SM.22.7, Sup.2</t>
        </is>
      </c>
      <c r="D49" t="inlineStr">
        <is>
          <t>Dominica</t>
        </is>
      </c>
      <c r="E49" t="inlineStr">
        <is>
          <t>DMA</t>
        </is>
      </c>
      <c r="F49" s="11" t="n">
        <v>44562</v>
      </c>
      <c r="G49" t="inlineStr">
        <is>
          <t>2018gn</t>
        </is>
      </c>
      <c r="H49" t="n">
        <v>2021</v>
      </c>
      <c r="I49" t="inlineStr">
        <is>
          <t>dbt.rlf</t>
        </is>
      </c>
      <c r="K49" t="inlineStr">
        <is>
          <t>National Currency</t>
        </is>
      </c>
      <c r="L49" t="inlineStr">
        <is>
          <t>Million</t>
        </is>
      </c>
      <c r="M49" t="inlineStr">
        <is>
          <t>Debt relief</t>
        </is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</row>
    <row r="50">
      <c r="A50" t="inlineStr">
        <is>
          <t>Dominica_2022_January</t>
        </is>
      </c>
      <c r="C50" t="inlineStr">
        <is>
          <t>SM.22.7, Sup.2</t>
        </is>
      </c>
      <c r="D50" t="inlineStr">
        <is>
          <t>Dominica</t>
        </is>
      </c>
      <c r="E50" t="inlineStr">
        <is>
          <t>DMA</t>
        </is>
      </c>
      <c r="F50" s="11" t="n">
        <v>44562</v>
      </c>
      <c r="G50" t="inlineStr">
        <is>
          <t>2018gn</t>
        </is>
      </c>
      <c r="H50" t="n">
        <v>2021</v>
      </c>
      <c r="I50" t="inlineStr">
        <is>
          <t>css.loan</t>
        </is>
      </c>
      <c r="K50" t="inlineStr">
        <is>
          <t>US Dollars</t>
        </is>
      </c>
      <c r="L50" t="inlineStr">
        <is>
          <t>Million</t>
        </is>
      </c>
      <c r="M50" t="inlineStr">
        <is>
          <t>Concessional loans</t>
        </is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22.01033673899706</v>
      </c>
      <c r="AD50" t="n">
        <v>67.6021730677669</v>
      </c>
      <c r="AE50" t="n">
        <v>50</v>
      </c>
      <c r="AF50" t="n">
        <v>42.5559761462496</v>
      </c>
      <c r="AG50" t="n">
        <v>40.42295247371372</v>
      </c>
      <c r="AH50" t="n">
        <v>42.07017183078783</v>
      </c>
      <c r="AI50" t="n">
        <v>30.67742387326371</v>
      </c>
      <c r="AJ50" t="n">
        <v>16.12531663842273</v>
      </c>
      <c r="AK50" t="n">
        <v>5.02488672634026</v>
      </c>
      <c r="AL50" t="n">
        <v>2.61135659901107</v>
      </c>
      <c r="AM50" t="n">
        <v>3.148055854227934</v>
      </c>
      <c r="AN50" t="n">
        <v>1.574215357381005</v>
      </c>
      <c r="AO50" t="n">
        <v>1.466566671475781</v>
      </c>
      <c r="AP50" t="n">
        <v>1.050023323288424</v>
      </c>
      <c r="AQ50" t="n">
        <v>1.11221484709249</v>
      </c>
      <c r="AR50" t="n">
        <v>0.915672249979935</v>
      </c>
      <c r="AS50" t="n">
        <v>0.8862050371018563</v>
      </c>
      <c r="AT50" t="n">
        <v>1.285636398782452</v>
      </c>
      <c r="AU50" t="n">
        <v>0.8742344508222529</v>
      </c>
      <c r="AV50" t="n">
        <v>0.66977020299791</v>
      </c>
      <c r="AW50" t="n">
        <v>0.693413046713202</v>
      </c>
    </row>
    <row r="51">
      <c r="A51" t="inlineStr">
        <is>
          <t>Dominica_2022_January</t>
        </is>
      </c>
      <c r="C51" t="inlineStr">
        <is>
          <t>SM.22.7, Sup.2</t>
        </is>
      </c>
      <c r="D51" t="inlineStr">
        <is>
          <t>Dominica</t>
        </is>
      </c>
      <c r="E51" t="inlineStr">
        <is>
          <t>DMA</t>
        </is>
      </c>
      <c r="F51" s="11" t="n">
        <v>44562</v>
      </c>
      <c r="G51" t="inlineStr">
        <is>
          <t>2018gn</t>
        </is>
      </c>
      <c r="H51" t="n">
        <v>2021</v>
      </c>
    </row>
    <row r="52">
      <c r="A52" t="inlineStr">
        <is>
          <t>Dominica_2022_January</t>
        </is>
      </c>
      <c r="C52" t="inlineStr">
        <is>
          <t>SM.22.7, Sup.2</t>
        </is>
      </c>
      <c r="D52" t="inlineStr">
        <is>
          <t>Dominica</t>
        </is>
      </c>
      <c r="E52" t="inlineStr">
        <is>
          <t>DMA</t>
        </is>
      </c>
      <c r="F52" s="11" t="n">
        <v>44562</v>
      </c>
      <c r="G52" t="inlineStr">
        <is>
          <t>2018gn</t>
        </is>
      </c>
      <c r="H52" t="n">
        <v>2021</v>
      </c>
      <c r="I52" t="inlineStr">
        <is>
          <t>gdp.crt.usd</t>
        </is>
      </c>
      <c r="K52" t="inlineStr">
        <is>
          <t>US Dollars</t>
        </is>
      </c>
      <c r="L52" t="inlineStr">
        <is>
          <t>Million</t>
        </is>
      </c>
      <c r="M52" t="inlineStr">
        <is>
          <t>Gross domestic product, current prices, U.S. dollars</t>
        </is>
      </c>
      <c r="P52" t="n">
        <v>473.6322592592592</v>
      </c>
      <c r="Q52" t="n">
        <v>491.4501481481482</v>
      </c>
      <c r="R52" t="n">
        <v>497.4259259259259</v>
      </c>
      <c r="S52" t="n">
        <v>493.5111111111111</v>
      </c>
      <c r="T52" t="n">
        <v>492.1462962962963</v>
      </c>
      <c r="U52" t="n">
        <v>509.3629629629629</v>
      </c>
      <c r="V52" t="n">
        <v>530.5833333333334</v>
      </c>
      <c r="W52" t="n">
        <v>558.4833333333332</v>
      </c>
      <c r="X52" t="n">
        <v>557.9563703703703</v>
      </c>
      <c r="Y52" t="n">
        <v>552.0199259259259</v>
      </c>
      <c r="Z52" t="n">
        <v>590.0520370370369</v>
      </c>
      <c r="AA52" t="n">
        <v>579.9004444444444</v>
      </c>
      <c r="AB52" t="n">
        <v>562.5584444444444</v>
      </c>
      <c r="AC52" t="n">
        <v>610.8667407407407</v>
      </c>
      <c r="AD52" t="n">
        <v>664.5643703703703</v>
      </c>
      <c r="AE52" t="n">
        <v>711.3843703703703</v>
      </c>
      <c r="AF52" t="n">
        <v>756.8414074074074</v>
      </c>
      <c r="AG52" t="n">
        <v>797.104037037037</v>
      </c>
      <c r="AH52" t="n">
        <v>830.7795555555555</v>
      </c>
      <c r="AI52" t="n">
        <v>866.0095185185185</v>
      </c>
      <c r="AJ52" t="n">
        <v>905.3902962962962</v>
      </c>
      <c r="AK52" t="n">
        <v>945.6682222222222</v>
      </c>
      <c r="AL52" t="n">
        <v>982.8985555555556</v>
      </c>
      <c r="AM52" t="n">
        <v>1017.594777777778</v>
      </c>
      <c r="AN52" t="n">
        <v>1053.515777777778</v>
      </c>
      <c r="AO52" t="n">
        <v>1090.704814814815</v>
      </c>
      <c r="AP52" t="n">
        <v>1129.206622391141</v>
      </c>
      <c r="AQ52" t="n">
        <v>1169.067541219667</v>
      </c>
      <c r="AR52" t="n">
        <v>1210.335547837396</v>
      </c>
      <c r="AS52" t="n">
        <v>1253.060312349904</v>
      </c>
      <c r="AT52" t="n">
        <v>1297.293258214196</v>
      </c>
      <c r="AU52" t="n">
        <v>1343.087624131896</v>
      </c>
      <c r="AV52" t="n">
        <v>1390.498528127263</v>
      </c>
      <c r="AW52" t="n">
        <v>1439.583033887155</v>
      </c>
    </row>
    <row r="53">
      <c r="A53" t="inlineStr">
        <is>
          <t>Dominica_2022_January</t>
        </is>
      </c>
      <c r="C53" t="inlineStr">
        <is>
          <t>SM.22.7, Sup.2</t>
        </is>
      </c>
      <c r="D53" t="inlineStr">
        <is>
          <t>Dominica</t>
        </is>
      </c>
      <c r="E53" t="inlineStr">
        <is>
          <t>DMA</t>
        </is>
      </c>
      <c r="F53" s="11" t="n">
        <v>44562</v>
      </c>
      <c r="G53" t="inlineStr">
        <is>
          <t>2018gn</t>
        </is>
      </c>
      <c r="H53" t="n">
        <v>2021</v>
      </c>
      <c r="I53" t="inlineStr">
        <is>
          <t>gdp.cst.lcu</t>
        </is>
      </c>
      <c r="K53" t="inlineStr">
        <is>
          <t>National Currency</t>
        </is>
      </c>
      <c r="L53" t="inlineStr">
        <is>
          <t>Million</t>
        </is>
      </c>
      <c r="M53" t="inlineStr">
        <is>
          <t>Gross domestic product, constant prices</t>
        </is>
      </c>
      <c r="P53" t="n">
        <v>1193.3991</v>
      </c>
      <c r="Q53" t="n">
        <v>1190.3691</v>
      </c>
      <c r="R53" t="n">
        <v>1193.025</v>
      </c>
      <c r="S53" t="n">
        <v>1185.38</v>
      </c>
      <c r="T53" t="n">
        <v>1173.175</v>
      </c>
      <c r="U53" t="n">
        <v>1195.025</v>
      </c>
      <c r="V53" t="n">
        <v>1206.07</v>
      </c>
      <c r="W53" t="n">
        <v>1205.805</v>
      </c>
      <c r="X53" t="n">
        <v>1181.79</v>
      </c>
      <c r="Y53" t="n">
        <v>1161.585</v>
      </c>
      <c r="Z53" t="n">
        <v>1226.0797</v>
      </c>
      <c r="AA53" t="n">
        <v>1200.4876</v>
      </c>
      <c r="AB53" t="n">
        <v>1151.5164</v>
      </c>
      <c r="AC53" t="n">
        <v>1216.7563</v>
      </c>
      <c r="AD53" t="n">
        <v>1295.0362</v>
      </c>
      <c r="AE53" t="n">
        <v>1359.3046</v>
      </c>
      <c r="AF53" t="n">
        <v>1417.8417</v>
      </c>
      <c r="AG53" t="n">
        <v>1464.0977</v>
      </c>
      <c r="AH53" t="n">
        <v>1500.6295</v>
      </c>
      <c r="AI53" t="n">
        <v>1538.1137</v>
      </c>
      <c r="AJ53" t="n">
        <v>1576.5285</v>
      </c>
      <c r="AK53" t="n">
        <v>1614.3895</v>
      </c>
      <c r="AL53" t="n">
        <v>1645.1113</v>
      </c>
      <c r="AM53" t="n">
        <v>1669.7879</v>
      </c>
      <c r="AN53" t="n">
        <v>1694.8348</v>
      </c>
      <c r="AO53" t="n">
        <v>1720.2573</v>
      </c>
      <c r="AP53" t="n">
        <v>1746.0611</v>
      </c>
      <c r="AQ53" t="n">
        <v>1772.2521</v>
      </c>
      <c r="AR53" t="n">
        <v>1798.8359</v>
      </c>
      <c r="AS53" t="n">
        <v>1812.2267</v>
      </c>
      <c r="AT53" t="n">
        <v>1853.2057</v>
      </c>
      <c r="AU53" t="n">
        <v>1867.0012</v>
      </c>
      <c r="AV53" t="n">
        <v>1895.0062</v>
      </c>
      <c r="AW53" t="n">
        <v>1923.4313</v>
      </c>
    </row>
    <row r="54">
      <c r="A54" t="inlineStr">
        <is>
          <t>Dominica_2022_January</t>
        </is>
      </c>
      <c r="C54" t="inlineStr">
        <is>
          <t>SM.22.7, Sup.2</t>
        </is>
      </c>
      <c r="D54" t="inlineStr">
        <is>
          <t>Dominica</t>
        </is>
      </c>
      <c r="E54" t="inlineStr">
        <is>
          <t>DMA</t>
        </is>
      </c>
      <c r="F54" s="11" t="n">
        <v>44562</v>
      </c>
      <c r="G54" t="inlineStr">
        <is>
          <t>2018gn</t>
        </is>
      </c>
      <c r="H54" t="n">
        <v>2021</v>
      </c>
      <c r="I54" t="inlineStr">
        <is>
          <t>gdp.def</t>
        </is>
      </c>
      <c r="L54" t="inlineStr">
        <is>
          <t>None</t>
        </is>
      </c>
      <c r="M54" t="inlineStr">
        <is>
          <t>US Gross domestic product deflator</t>
        </is>
      </c>
      <c r="P54" t="n">
        <v>94.4184210484259</v>
      </c>
      <c r="Q54" t="n">
        <v>95.0235539854722</v>
      </c>
      <c r="R54" t="n">
        <v>96.1657294395808</v>
      </c>
      <c r="S54" t="n">
        <v>98.1638011455792</v>
      </c>
      <c r="T54" t="n">
        <v>99.9998461914701</v>
      </c>
      <c r="U54" t="n">
        <v>101.751156110395</v>
      </c>
      <c r="V54" t="n">
        <v>103.653727182661</v>
      </c>
      <c r="W54" t="n">
        <v>104.690689637327</v>
      </c>
      <c r="X54" t="n">
        <v>105.739721611059</v>
      </c>
      <c r="Y54" t="n">
        <v>107.746801205261</v>
      </c>
      <c r="Z54" t="n">
        <v>110.320689210396</v>
      </c>
      <c r="AA54" t="n">
        <v>112.294251858974</v>
      </c>
      <c r="AB54" t="n">
        <v>113.647489488542</v>
      </c>
      <c r="AC54" t="n">
        <v>117.742897794308</v>
      </c>
      <c r="AD54" t="n">
        <v>120.983626698647</v>
      </c>
      <c r="AE54" t="n">
        <v>123.86238119188</v>
      </c>
      <c r="AF54" t="n">
        <v>126.685565258537</v>
      </c>
      <c r="AG54" t="n">
        <v>129.437543554841</v>
      </c>
      <c r="AH54" t="n">
        <v>132.119749304824</v>
      </c>
      <c r="AI54" t="n">
        <v>134.7621442909205</v>
      </c>
      <c r="AJ54" t="n">
        <v>137.4573871767389</v>
      </c>
      <c r="AK54" t="n">
        <v>140.2065349202737</v>
      </c>
      <c r="AL54" t="n">
        <v>143.0106656186792</v>
      </c>
      <c r="AM54" t="n">
        <v>145.8708789310528</v>
      </c>
      <c r="AN54" t="n">
        <v>148.7882965096738</v>
      </c>
      <c r="AO54" t="n">
        <v>151.7640624398673</v>
      </c>
      <c r="AP54" t="n">
        <v>154.7993436886647</v>
      </c>
      <c r="AQ54" t="n">
        <v>157.895330562438</v>
      </c>
      <c r="AR54" t="n">
        <v>161.0532371736867</v>
      </c>
      <c r="AS54" t="n">
        <v>164.2743019171605</v>
      </c>
      <c r="AT54" t="n">
        <v>167.5597879555037</v>
      </c>
      <c r="AU54" t="n">
        <v>170.9109837146138</v>
      </c>
      <c r="AV54" t="n">
        <v>174.3292033889061</v>
      </c>
      <c r="AW54" t="n">
        <v>177.8157874566842</v>
      </c>
    </row>
    <row r="55">
      <c r="A55" t="inlineStr">
        <is>
          <t>Dominica_2022_January</t>
        </is>
      </c>
      <c r="C55" t="inlineStr">
        <is>
          <t>SM.22.7, Sup.2</t>
        </is>
      </c>
      <c r="D55" t="inlineStr">
        <is>
          <t>Dominica</t>
        </is>
      </c>
      <c r="E55" t="inlineStr">
        <is>
          <t>DMA</t>
        </is>
      </c>
      <c r="F55" s="11" t="n">
        <v>44562</v>
      </c>
      <c r="G55" t="inlineStr">
        <is>
          <t>2018gn</t>
        </is>
      </c>
      <c r="H55" t="n">
        <v>2021</v>
      </c>
      <c r="I55" t="inlineStr">
        <is>
          <t>exc.rat.eop.lcu2usd</t>
        </is>
      </c>
      <c r="K55" t="inlineStr">
        <is>
          <t>National Currency</t>
        </is>
      </c>
      <c r="L55" t="inlineStr">
        <is>
          <t>None</t>
        </is>
      </c>
      <c r="M55" t="inlineStr">
        <is>
          <t>Exchange rate, national currency per U.S. Dollar, end of period</t>
        </is>
      </c>
      <c r="P55" t="n">
        <v>2.7</v>
      </c>
      <c r="Q55" t="n">
        <v>2.7</v>
      </c>
      <c r="R55" t="n">
        <v>2.7</v>
      </c>
      <c r="S55" t="n">
        <v>2.7</v>
      </c>
      <c r="T55" t="n">
        <v>2.7</v>
      </c>
      <c r="U55" t="n">
        <v>2.7</v>
      </c>
      <c r="V55" t="n">
        <v>2.7</v>
      </c>
      <c r="W55" t="n">
        <v>2.7</v>
      </c>
      <c r="X55" t="n">
        <v>2.7</v>
      </c>
      <c r="Y55" t="n">
        <v>2.7</v>
      </c>
      <c r="Z55" t="n">
        <v>2.7</v>
      </c>
      <c r="AA55" t="n">
        <v>2.7</v>
      </c>
      <c r="AB55" t="n">
        <v>2.7</v>
      </c>
      <c r="AC55" t="n">
        <v>2.7</v>
      </c>
      <c r="AD55" t="n">
        <v>2.7</v>
      </c>
      <c r="AE55" t="n">
        <v>2.7</v>
      </c>
      <c r="AF55" t="n">
        <v>2.7</v>
      </c>
      <c r="AG55" t="n">
        <v>2.7</v>
      </c>
      <c r="AH55" t="n">
        <v>2.7</v>
      </c>
      <c r="AI55" t="n">
        <v>2.7</v>
      </c>
      <c r="AJ55" t="n">
        <v>2.7</v>
      </c>
      <c r="AK55" t="n">
        <v>2.7</v>
      </c>
      <c r="AL55" t="n">
        <v>2.7</v>
      </c>
      <c r="AM55" t="n">
        <v>2.7</v>
      </c>
      <c r="AN55" t="n">
        <v>2.7</v>
      </c>
      <c r="AO55" t="n">
        <v>2.7</v>
      </c>
      <c r="AP55" t="n">
        <v>2.7</v>
      </c>
      <c r="AQ55" t="n">
        <v>2.7</v>
      </c>
      <c r="AR55" t="n">
        <v>2.7</v>
      </c>
      <c r="AS55" t="n">
        <v>2.7</v>
      </c>
      <c r="AT55" t="n">
        <v>2.7</v>
      </c>
      <c r="AU55" t="n">
        <v>2.7</v>
      </c>
      <c r="AV55" t="n">
        <v>2.7</v>
      </c>
      <c r="AW55" t="n">
        <v>2.7</v>
      </c>
    </row>
    <row r="56">
      <c r="A56" t="inlineStr">
        <is>
          <t>Dominica_2022_January</t>
        </is>
      </c>
      <c r="C56" t="inlineStr">
        <is>
          <t>SM.22.7, Sup.2</t>
        </is>
      </c>
      <c r="D56" t="inlineStr">
        <is>
          <t>Dominica</t>
        </is>
      </c>
      <c r="E56" t="inlineStr">
        <is>
          <t>DMA</t>
        </is>
      </c>
      <c r="F56" s="11" t="n">
        <v>44562</v>
      </c>
      <c r="G56" t="inlineStr">
        <is>
          <t>2018gn</t>
        </is>
      </c>
      <c r="H56" t="n">
        <v>2021</v>
      </c>
      <c r="I56" t="inlineStr">
        <is>
          <t>exc.rat.avg.lcu2usd</t>
        </is>
      </c>
      <c r="K56" t="inlineStr">
        <is>
          <t>National Currency</t>
        </is>
      </c>
      <c r="L56" t="inlineStr">
        <is>
          <t>None</t>
        </is>
      </c>
      <c r="M56" t="inlineStr">
        <is>
          <t>Exchange rate, national currency per U.S. Dollar, average</t>
        </is>
      </c>
      <c r="P56" t="n">
        <v>2.7</v>
      </c>
      <c r="Q56" t="n">
        <v>2.7</v>
      </c>
      <c r="R56" t="n">
        <v>2.7</v>
      </c>
      <c r="S56" t="n">
        <v>2.7</v>
      </c>
      <c r="T56" t="n">
        <v>2.7</v>
      </c>
      <c r="U56" t="n">
        <v>2.7</v>
      </c>
      <c r="V56" t="n">
        <v>2.7</v>
      </c>
      <c r="W56" t="n">
        <v>2.7</v>
      </c>
      <c r="X56" t="n">
        <v>2.7</v>
      </c>
      <c r="Y56" t="n">
        <v>2.7</v>
      </c>
      <c r="Z56" t="n">
        <v>2.7</v>
      </c>
      <c r="AA56" t="n">
        <v>2.7</v>
      </c>
      <c r="AB56" t="n">
        <v>2.7</v>
      </c>
      <c r="AC56" t="n">
        <v>2.7</v>
      </c>
      <c r="AD56" t="n">
        <v>2.7</v>
      </c>
      <c r="AE56" t="n">
        <v>2.7</v>
      </c>
      <c r="AF56" t="n">
        <v>2.7</v>
      </c>
      <c r="AG56" t="n">
        <v>2.7</v>
      </c>
      <c r="AH56" t="n">
        <v>2.7</v>
      </c>
      <c r="AI56" t="n">
        <v>2.7</v>
      </c>
      <c r="AJ56" t="n">
        <v>2.7</v>
      </c>
      <c r="AK56" t="n">
        <v>2.7</v>
      </c>
      <c r="AL56" t="n">
        <v>2.7</v>
      </c>
      <c r="AM56" t="n">
        <v>2.7</v>
      </c>
      <c r="AN56" t="n">
        <v>2.7</v>
      </c>
      <c r="AO56" t="n">
        <v>2.7</v>
      </c>
      <c r="AP56" t="n">
        <v>2.7</v>
      </c>
      <c r="AQ56" t="n">
        <v>2.7</v>
      </c>
      <c r="AR56" t="n">
        <v>2.7</v>
      </c>
      <c r="AS56" t="n">
        <v>2.7</v>
      </c>
      <c r="AT56" t="n">
        <v>2.7</v>
      </c>
      <c r="AU56" t="n">
        <v>2.7</v>
      </c>
      <c r="AV56" t="n">
        <v>2.7</v>
      </c>
      <c r="AW56" t="n">
        <v>2.7</v>
      </c>
    </row>
    <row r="57">
      <c r="A57" t="inlineStr">
        <is>
          <t>Dominica_2022_January</t>
        </is>
      </c>
      <c r="C57" t="inlineStr">
        <is>
          <t>SM.22.7, Sup.2</t>
        </is>
      </c>
      <c r="D57" t="inlineStr">
        <is>
          <t>Dominica</t>
        </is>
      </c>
      <c r="E57" t="inlineStr">
        <is>
          <t>DMA</t>
        </is>
      </c>
      <c r="F57" s="11" t="n">
        <v>44562</v>
      </c>
      <c r="G57" t="inlineStr">
        <is>
          <t>2018gn</t>
        </is>
      </c>
      <c r="H57" t="n">
        <v>2021</v>
      </c>
      <c r="I57" t="inlineStr">
        <is>
          <t>pub.inv.cst.prc</t>
        </is>
      </c>
      <c r="K57" t="inlineStr">
        <is>
          <t>National Currency</t>
        </is>
      </c>
      <c r="L57" t="inlineStr">
        <is>
          <t>Million</t>
        </is>
      </c>
      <c r="M57" t="inlineStr">
        <is>
          <t>Public Investment, constant prices</t>
        </is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13.7322791580768</v>
      </c>
      <c r="W57" t="n">
        <v>55.25160512379281</v>
      </c>
      <c r="X57" t="n">
        <v>162.7733310959986</v>
      </c>
      <c r="Y57" t="n">
        <v>258.9656467119258</v>
      </c>
      <c r="Z57" t="n">
        <v>300.7697332358632</v>
      </c>
      <c r="AA57" t="n">
        <v>202.5577890113931</v>
      </c>
      <c r="AB57" t="n">
        <v>225.0090757024198</v>
      </c>
      <c r="AC57" t="n">
        <v>325.6701606397218</v>
      </c>
      <c r="AD57" t="n">
        <v>268.7240193636012</v>
      </c>
      <c r="AE57" t="n">
        <v>217.7208300081318</v>
      </c>
      <c r="AF57" t="n">
        <v>223.7724290032447</v>
      </c>
      <c r="AG57" t="n">
        <v>223.0859548053001</v>
      </c>
      <c r="AH57" t="n">
        <v>214.3023628416704</v>
      </c>
      <c r="AI57" t="n">
        <v>204.9184754825074</v>
      </c>
      <c r="AJ57" t="n">
        <v>193.934400695039</v>
      </c>
      <c r="AK57" t="n">
        <v>182.3697276833723</v>
      </c>
      <c r="AL57" t="n">
        <v>160.7547047799313</v>
      </c>
      <c r="AM57" t="n">
        <v>138.6037460103413</v>
      </c>
      <c r="AN57" t="n">
        <v>128.0412315200766</v>
      </c>
      <c r="AO57" t="n">
        <v>121.3579746378835</v>
      </c>
      <c r="AP57" t="n">
        <v>105.5690496920061</v>
      </c>
      <c r="AQ57" t="n">
        <v>94.10264959304494</v>
      </c>
      <c r="AR57" t="n">
        <v>95.52982227183064</v>
      </c>
      <c r="AS57" t="n">
        <v>96.3711177758678</v>
      </c>
      <c r="AT57" t="n">
        <v>98.7194030871154</v>
      </c>
      <c r="AU57" t="n">
        <v>99.35776233505196</v>
      </c>
      <c r="AV57" t="n">
        <v>100.6920853436158</v>
      </c>
      <c r="AW57" t="n">
        <v>102.2463477242619</v>
      </c>
    </row>
    <row r="58">
      <c r="A58" t="inlineStr">
        <is>
          <t>Dominica_2022_January</t>
        </is>
      </c>
      <c r="C58" t="inlineStr">
        <is>
          <t>SM.22.7, Sup.2</t>
        </is>
      </c>
      <c r="D58" t="inlineStr">
        <is>
          <t>Dominica</t>
        </is>
      </c>
      <c r="E58" t="inlineStr">
        <is>
          <t>DMA</t>
        </is>
      </c>
      <c r="F58" s="11" t="n">
        <v>44562</v>
      </c>
      <c r="G58" t="inlineStr">
        <is>
          <t>2018gn</t>
        </is>
      </c>
      <c r="H58" t="n">
        <v>2021</v>
      </c>
      <c r="I58" t="inlineStr">
        <is>
          <t>prv.inv.cst.prc</t>
        </is>
      </c>
      <c r="K58" t="inlineStr">
        <is>
          <t>National Currency</t>
        </is>
      </c>
      <c r="L58" t="inlineStr">
        <is>
          <t>Million</t>
        </is>
      </c>
      <c r="M58" t="inlineStr">
        <is>
          <t>Private Investment, constant price</t>
        </is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67.67557214013131</v>
      </c>
      <c r="W58" t="n">
        <v>96.46440000000001</v>
      </c>
      <c r="X58" t="n">
        <v>82.7253</v>
      </c>
      <c r="Y58" t="n">
        <v>69.6951</v>
      </c>
      <c r="Z58" t="n">
        <v>91.9559775</v>
      </c>
      <c r="AA58" t="n">
        <v>78.031694</v>
      </c>
      <c r="AB58" t="n">
        <v>34.545492</v>
      </c>
      <c r="AC58" t="n">
        <v>85.17294100000001</v>
      </c>
      <c r="AD58" t="n">
        <v>64.75181000000001</v>
      </c>
      <c r="AE58" t="n">
        <v>27.186092</v>
      </c>
      <c r="AF58" t="n">
        <v>35.4460425</v>
      </c>
      <c r="AG58" t="n">
        <v>36.6024425</v>
      </c>
      <c r="AH58" t="n">
        <v>37.5157375</v>
      </c>
      <c r="AI58" t="n">
        <v>38.4528425</v>
      </c>
      <c r="AJ58" t="n">
        <v>39.4132125</v>
      </c>
      <c r="AK58" t="n">
        <v>40.3597375</v>
      </c>
      <c r="AL58" t="n">
        <v>41.1277825</v>
      </c>
      <c r="AM58" t="n">
        <v>41.7446975</v>
      </c>
      <c r="AN58" t="n">
        <v>42.37087</v>
      </c>
      <c r="AO58" t="n">
        <v>43.0064325</v>
      </c>
      <c r="AP58" t="n">
        <v>43.6515275</v>
      </c>
      <c r="AQ58" t="n">
        <v>44.3063025</v>
      </c>
      <c r="AR58" t="n">
        <v>44.97089750000001</v>
      </c>
      <c r="AS58" t="n">
        <v>45.3056675</v>
      </c>
      <c r="AT58" t="n">
        <v>46.3301425</v>
      </c>
      <c r="AU58" t="n">
        <v>46.67503</v>
      </c>
      <c r="AV58" t="n">
        <v>38.5178875</v>
      </c>
      <c r="AW58" t="n">
        <v>38.5178875</v>
      </c>
    </row>
    <row r="59">
      <c r="A59" t="inlineStr">
        <is>
          <t>Dominica_2022_January</t>
        </is>
      </c>
      <c r="C59" t="inlineStr">
        <is>
          <t>SM.22.7, Sup.2</t>
        </is>
      </c>
      <c r="D59" t="inlineStr">
        <is>
          <t>Dominica</t>
        </is>
      </c>
      <c r="E59" t="inlineStr">
        <is>
          <t>DMA</t>
        </is>
      </c>
      <c r="F59" s="11" t="n">
        <v>44562</v>
      </c>
      <c r="G59" t="inlineStr">
        <is>
          <t>2018gn</t>
        </is>
      </c>
      <c r="H59" t="n">
        <v>2021</v>
      </c>
      <c r="I59" t="inlineStr">
        <is>
          <t>pub.inv.2gdp.vtg-1</t>
        </is>
      </c>
      <c r="K59" t="inlineStr">
        <is>
          <t>Percent of GDP</t>
        </is>
      </c>
      <c r="L59" t="inlineStr">
        <is>
          <t>Unit</t>
        </is>
      </c>
      <c r="M59" t="inlineStr">
        <is>
          <t>Public Investment in percent of GDP (real), previous DSA vintage</t>
        </is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1.13859719237497</v>
      </c>
      <c r="W59" t="n">
        <v>4.58213435205467</v>
      </c>
      <c r="X59" t="n">
        <v>13.773456459777</v>
      </c>
      <c r="Y59" t="n">
        <v>22.2941624342537</v>
      </c>
      <c r="Z59" t="n">
        <v>24.5310099527676</v>
      </c>
      <c r="AA59" t="n">
        <v>16.8729597049893</v>
      </c>
      <c r="AB59" t="n">
        <v>19.5402406515808</v>
      </c>
      <c r="AC59" t="n">
        <v>26.7654386206771</v>
      </c>
      <c r="AD59" t="n">
        <v>20.7503094788857</v>
      </c>
      <c r="AE59" t="n">
        <v>16.0170744664685</v>
      </c>
      <c r="AF59" t="n">
        <v>15.7826102168701</v>
      </c>
      <c r="AG59" t="n">
        <v>15.2370948199222</v>
      </c>
      <c r="AH59" t="n">
        <v>14.2808310007014</v>
      </c>
      <c r="AI59" t="n">
        <v>13.3227131051825</v>
      </c>
      <c r="AJ59" t="n">
        <v>12.3013571080408</v>
      </c>
      <c r="AK59" t="n">
        <v>11.2965134921512</v>
      </c>
      <c r="AL59" t="n">
        <v>9.771661332575571</v>
      </c>
      <c r="AM59" t="n">
        <v>8.300679745633641</v>
      </c>
      <c r="AN59" t="n">
        <v>7.55479127051655</v>
      </c>
      <c r="AO59" t="n">
        <v>7.0546408748205</v>
      </c>
      <c r="AP59" t="n">
        <v>6.04612574508453</v>
      </c>
      <c r="AQ59" t="n">
        <v>5.30977785796078</v>
      </c>
      <c r="AR59" t="n">
        <v>5.31064686177492</v>
      </c>
      <c r="AS59" t="n">
        <v>5.31782904290439</v>
      </c>
      <c r="AT59" t="n">
        <v>5.32695334830426</v>
      </c>
      <c r="AU59" t="n">
        <v>5.32178352831546</v>
      </c>
      <c r="AV59" t="n">
        <v>5.31354912419895</v>
      </c>
      <c r="AW59" t="n">
        <v>5.31583050168009</v>
      </c>
    </row>
    <row r="60">
      <c r="A60" t="inlineStr">
        <is>
          <t>Dominica_2022_January</t>
        </is>
      </c>
      <c r="C60" t="inlineStr">
        <is>
          <t>SM.22.7, Sup.2</t>
        </is>
      </c>
      <c r="D60" t="inlineStr">
        <is>
          <t>Dominica</t>
        </is>
      </c>
      <c r="E60" t="inlineStr">
        <is>
          <t>DMA</t>
        </is>
      </c>
      <c r="F60" s="11" t="n">
        <v>44562</v>
      </c>
      <c r="G60" t="inlineStr">
        <is>
          <t>2018gn</t>
        </is>
      </c>
      <c r="H60" t="n">
        <v>2021</v>
      </c>
      <c r="I60" t="inlineStr">
        <is>
          <t>prv.inv.2gdp.vtg-1</t>
        </is>
      </c>
      <c r="K60" t="inlineStr">
        <is>
          <t>Percent of GDP</t>
        </is>
      </c>
      <c r="L60" t="inlineStr">
        <is>
          <t>Unit</t>
        </is>
      </c>
      <c r="M60" t="inlineStr">
        <is>
          <t>Private Investment in percent of GDP (real), previous DSA vintage</t>
        </is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5.61124745165134</v>
      </c>
      <c r="W60" t="n">
        <v>8</v>
      </c>
      <c r="X60" t="n">
        <v>7</v>
      </c>
      <c r="Y60" t="n">
        <v>6</v>
      </c>
      <c r="Z60" t="n">
        <v>7.5</v>
      </c>
      <c r="AA60" t="n">
        <v>6.5</v>
      </c>
      <c r="AB60" t="n">
        <v>3</v>
      </c>
      <c r="AC60" t="n">
        <v>7</v>
      </c>
      <c r="AD60" t="n">
        <v>5</v>
      </c>
      <c r="AE60" t="n">
        <v>2</v>
      </c>
      <c r="AF60" t="n">
        <v>2.5</v>
      </c>
      <c r="AG60" t="n">
        <v>2.5</v>
      </c>
      <c r="AH60" t="n">
        <v>2.5</v>
      </c>
      <c r="AI60" t="n">
        <v>2.5</v>
      </c>
      <c r="AJ60" t="n">
        <v>2.5</v>
      </c>
      <c r="AK60" t="n">
        <v>2.5</v>
      </c>
      <c r="AL60" t="n">
        <v>2.5</v>
      </c>
      <c r="AM60" t="n">
        <v>2.5</v>
      </c>
      <c r="AN60" t="n">
        <v>2.5</v>
      </c>
      <c r="AO60" t="n">
        <v>2.5</v>
      </c>
      <c r="AP60" t="n">
        <v>2.5</v>
      </c>
      <c r="AQ60" t="n">
        <v>2.5</v>
      </c>
      <c r="AR60" t="n">
        <v>2.5</v>
      </c>
      <c r="AS60" t="n">
        <v>2.5</v>
      </c>
      <c r="AT60" t="n">
        <v>2.5</v>
      </c>
      <c r="AU60" t="n">
        <v>2.5</v>
      </c>
      <c r="AV60" t="n">
        <v>2.5</v>
      </c>
      <c r="AW60" t="n">
        <v>2.5</v>
      </c>
    </row>
    <row r="61">
      <c r="A61" t="inlineStr">
        <is>
          <t>Dominica_2022_January</t>
        </is>
      </c>
      <c r="C61" t="inlineStr">
        <is>
          <t>SM.22.7, Sup.2</t>
        </is>
      </c>
      <c r="D61" t="inlineStr">
        <is>
          <t>Dominica</t>
        </is>
      </c>
      <c r="E61" t="inlineStr">
        <is>
          <t>DMA</t>
        </is>
      </c>
      <c r="F61" s="11" t="n">
        <v>44562</v>
      </c>
      <c r="G61" t="inlineStr">
        <is>
          <t>2018gn</t>
        </is>
      </c>
      <c r="H61" t="n">
        <v>2021</v>
      </c>
    </row>
    <row r="62">
      <c r="A62" t="inlineStr">
        <is>
          <t>Dominica_2022_January</t>
        </is>
      </c>
      <c r="C62" t="inlineStr">
        <is>
          <t>SM.22.7, Sup.2</t>
        </is>
      </c>
      <c r="D62" t="inlineStr">
        <is>
          <t>Dominica</t>
        </is>
      </c>
      <c r="E62" t="inlineStr">
        <is>
          <t>DMA</t>
        </is>
      </c>
      <c r="F62" s="11" t="n">
        <v>44562</v>
      </c>
      <c r="G62" t="inlineStr">
        <is>
          <t>2018gn</t>
        </is>
      </c>
      <c r="H62" t="n">
        <v>2021</v>
      </c>
      <c r="K62" t="inlineStr">
        <is>
          <t>Units</t>
        </is>
      </c>
      <c r="L62" t="inlineStr">
        <is>
          <t>Scale</t>
        </is>
      </c>
      <c r="M62" t="inlineStr">
        <is>
          <t>Calculated variables</t>
        </is>
      </c>
      <c r="P62" t="n">
        <v>2008</v>
      </c>
      <c r="Q62" t="n">
        <v>2009</v>
      </c>
      <c r="R62" t="n">
        <v>2010</v>
      </c>
      <c r="S62" t="n">
        <v>2011</v>
      </c>
      <c r="T62" t="n">
        <v>2012</v>
      </c>
      <c r="U62" t="n">
        <v>2013</v>
      </c>
      <c r="V62" t="n">
        <v>2014</v>
      </c>
      <c r="W62" t="n">
        <v>2015</v>
      </c>
      <c r="X62" t="n">
        <v>2016</v>
      </c>
      <c r="Y62" t="n">
        <v>2017</v>
      </c>
      <c r="Z62" t="n">
        <v>2018</v>
      </c>
      <c r="AA62" t="n">
        <v>2019</v>
      </c>
      <c r="AB62" t="n">
        <v>2020</v>
      </c>
      <c r="AC62" t="n">
        <v>2021</v>
      </c>
      <c r="AD62" t="n">
        <v>2022</v>
      </c>
      <c r="AE62" t="n">
        <v>2023</v>
      </c>
      <c r="AF62" t="n">
        <v>2024</v>
      </c>
      <c r="AG62" t="n">
        <v>2025</v>
      </c>
      <c r="AH62" t="n">
        <v>2026</v>
      </c>
      <c r="AI62" t="n">
        <v>2027</v>
      </c>
      <c r="AJ62" t="n">
        <v>2028</v>
      </c>
      <c r="AK62" t="n">
        <v>2029</v>
      </c>
      <c r="AL62" t="n">
        <v>2030</v>
      </c>
      <c r="AM62" t="n">
        <v>2031</v>
      </c>
      <c r="AN62" t="n">
        <v>2032</v>
      </c>
      <c r="AO62" t="n">
        <v>2033</v>
      </c>
      <c r="AP62" t="n">
        <v>2034</v>
      </c>
      <c r="AQ62" t="n">
        <v>2035</v>
      </c>
      <c r="AR62" t="n">
        <v>2036</v>
      </c>
      <c r="AS62" t="n">
        <v>2037</v>
      </c>
      <c r="AT62" t="n">
        <v>2038</v>
      </c>
      <c r="AU62" t="n">
        <v>2039</v>
      </c>
      <c r="AV62" t="n">
        <v>2040</v>
      </c>
      <c r="AW62" t="n">
        <v>2041</v>
      </c>
    </row>
    <row r="63">
      <c r="A63" t="inlineStr">
        <is>
          <t>Dominica_2022_January</t>
        </is>
      </c>
      <c r="C63" t="inlineStr">
        <is>
          <t>SM.22.7, Sup.2</t>
        </is>
      </c>
      <c r="D63" t="inlineStr">
        <is>
          <t>Dominica</t>
        </is>
      </c>
      <c r="E63" t="inlineStr">
        <is>
          <t>DMA</t>
        </is>
      </c>
      <c r="F63" s="11" t="n">
        <v>44562</v>
      </c>
      <c r="G63" t="inlineStr">
        <is>
          <t>2018gn</t>
        </is>
      </c>
      <c r="H63" t="n">
        <v>2021</v>
      </c>
    </row>
    <row r="64">
      <c r="A64" t="inlineStr">
        <is>
          <t>Dominica_2022_January</t>
        </is>
      </c>
      <c r="C64" t="inlineStr">
        <is>
          <t>SM.22.7, Sup.2</t>
        </is>
      </c>
      <c r="D64" t="inlineStr">
        <is>
          <t>Dominica</t>
        </is>
      </c>
      <c r="E64" t="inlineStr">
        <is>
          <t>DMA</t>
        </is>
      </c>
      <c r="F64" s="11" t="n">
        <v>44562</v>
      </c>
      <c r="G64" t="inlineStr">
        <is>
          <t>2018gn</t>
        </is>
      </c>
      <c r="H64" t="n">
        <v>2021</v>
      </c>
      <c r="M64" t="inlineStr">
        <is>
          <t>External Sector</t>
        </is>
      </c>
    </row>
    <row r="65">
      <c r="A65" t="inlineStr">
        <is>
          <t>Dominica_2022_January</t>
        </is>
      </c>
      <c r="C65" t="inlineStr">
        <is>
          <t>SM.22.7, Sup.2</t>
        </is>
      </c>
      <c r="D65" t="inlineStr">
        <is>
          <t>Dominica</t>
        </is>
      </c>
      <c r="E65" t="inlineStr">
        <is>
          <t>DMA</t>
        </is>
      </c>
      <c r="F65" s="11" t="n">
        <v>44562</v>
      </c>
      <c r="G65" t="inlineStr">
        <is>
          <t>2018gn</t>
        </is>
      </c>
      <c r="H65" t="n">
        <v>2021</v>
      </c>
      <c r="I65" t="inlineStr">
        <is>
          <t>ext.paid.int.rat</t>
        </is>
      </c>
      <c r="M65" t="inlineStr">
        <is>
          <t>External interest rate (paid)</t>
        </is>
      </c>
      <c r="P65" t="n">
        <v>0</v>
      </c>
      <c r="Q65" t="n">
        <v>2.983294629940766</v>
      </c>
      <c r="R65" t="n">
        <v>2.107411771556183</v>
      </c>
      <c r="S65" t="n">
        <v>2.110107086036293</v>
      </c>
      <c r="T65" t="n">
        <v>4.838404275314088</v>
      </c>
      <c r="U65" t="n">
        <v>2.286779376420978</v>
      </c>
      <c r="V65" t="n">
        <v>2.185540807250161</v>
      </c>
      <c r="W65" t="n">
        <v>1.911888232461183</v>
      </c>
      <c r="X65" t="n">
        <v>2.036839220576104</v>
      </c>
      <c r="Y65" t="n">
        <v>1.859336125019612</v>
      </c>
      <c r="Z65" t="n">
        <v>1.80062632414755</v>
      </c>
      <c r="AA65" t="n">
        <v>1.47150614720216</v>
      </c>
      <c r="AB65" t="n">
        <v>1.361614644257583</v>
      </c>
      <c r="AC65" t="n">
        <v>1.58802294998835</v>
      </c>
      <c r="AD65" t="n">
        <v>1.493043502752966</v>
      </c>
      <c r="AE65" t="n">
        <v>1.472918212361601</v>
      </c>
      <c r="AF65" t="n">
        <v>1.430987770902486</v>
      </c>
      <c r="AG65" t="n">
        <v>1.334028792090541</v>
      </c>
      <c r="AH65" t="n">
        <v>1.237860104358706</v>
      </c>
      <c r="AI65" t="n">
        <v>1.18498014834448</v>
      </c>
      <c r="AJ65" t="n">
        <v>1.298308827094446</v>
      </c>
      <c r="AK65" t="n">
        <v>1.234191546028575</v>
      </c>
      <c r="AL65" t="n">
        <v>1.209798514006184</v>
      </c>
      <c r="AM65" t="n">
        <v>1.161687347639927</v>
      </c>
      <c r="AN65" t="n">
        <v>1.337131425891053</v>
      </c>
      <c r="AO65" t="n">
        <v>2.080488995128793</v>
      </c>
      <c r="AP65" t="n">
        <v>2.220695320989412</v>
      </c>
      <c r="AQ65" t="n">
        <v>1.245426924611486</v>
      </c>
      <c r="AR65" t="n">
        <v>1.488685238003049</v>
      </c>
      <c r="AS65" t="n">
        <v>1.096530010421645</v>
      </c>
      <c r="AT65" t="n">
        <v>1.291518261149146</v>
      </c>
      <c r="AU65" t="n">
        <v>1.363748361156506</v>
      </c>
      <c r="AV65" t="n">
        <v>1.337735717680075</v>
      </c>
      <c r="AW65" t="n">
        <v>1.790395414953225</v>
      </c>
    </row>
    <row r="66">
      <c r="A66" t="inlineStr">
        <is>
          <t>Dominica_2022_January</t>
        </is>
      </c>
      <c r="C66" t="inlineStr">
        <is>
          <t>SM.22.7, Sup.2</t>
        </is>
      </c>
      <c r="D66" t="inlineStr">
        <is>
          <t>Dominica</t>
        </is>
      </c>
      <c r="E66" t="inlineStr">
        <is>
          <t>DMA</t>
        </is>
      </c>
      <c r="F66" s="11" t="n">
        <v>44562</v>
      </c>
      <c r="G66" t="inlineStr">
        <is>
          <t>2018gn</t>
        </is>
      </c>
      <c r="H66" t="n">
        <v>2021</v>
      </c>
      <c r="I66" t="inlineStr">
        <is>
          <t>prv.dbt.2gdp</t>
        </is>
      </c>
      <c r="M66" t="inlineStr">
        <is>
          <t>Private debt in percent of GDP</t>
        </is>
      </c>
      <c r="P66" t="n">
        <v>19.11257765146908</v>
      </c>
      <c r="Q66" t="n">
        <v>20.80946532084861</v>
      </c>
      <c r="R66" t="n">
        <v>19.11760545028107</v>
      </c>
      <c r="S66" t="n">
        <v>24.36605847742557</v>
      </c>
      <c r="T66" t="n">
        <v>22.91323356875959</v>
      </c>
      <c r="U66" t="n">
        <v>21.02168285730912</v>
      </c>
      <c r="V66" t="n">
        <v>22.5751531333438</v>
      </c>
      <c r="W66" t="n">
        <v>26.98624913373196</v>
      </c>
      <c r="X66" t="n">
        <v>31.13086898736679</v>
      </c>
      <c r="Y66" t="n">
        <v>31.46813406762416</v>
      </c>
      <c r="Z66" t="n">
        <v>45.85710468201603</v>
      </c>
      <c r="AA66" t="n">
        <v>41.20212442983273</v>
      </c>
      <c r="AB66" t="n">
        <v>38.18100519455089</v>
      </c>
      <c r="AC66" t="n">
        <v>35.84260475237794</v>
      </c>
      <c r="AD66" t="n">
        <v>32.81847330670183</v>
      </c>
      <c r="AE66" t="n">
        <v>30.50178668679654</v>
      </c>
      <c r="AF66" t="n">
        <v>28.75790237979516</v>
      </c>
      <c r="AG66" t="n">
        <v>26.34096549971207</v>
      </c>
      <c r="AH66" t="n">
        <v>24.28966204584458</v>
      </c>
      <c r="AI66" t="n">
        <v>19.6299117560102</v>
      </c>
      <c r="AJ66" t="n">
        <v>25.60130111043374</v>
      </c>
      <c r="AK66" t="n">
        <v>24.00776602467587</v>
      </c>
      <c r="AL66" t="n">
        <v>22.26447588165072</v>
      </c>
      <c r="AM66" t="n">
        <v>18.6157151844443</v>
      </c>
      <c r="AN66" t="n">
        <v>13.61318777288958</v>
      </c>
      <c r="AO66" t="n">
        <v>8.840327565304532</v>
      </c>
      <c r="AP66" t="n">
        <v>8.538904792818217</v>
      </c>
      <c r="AQ66" t="n">
        <v>8.24775943223799</v>
      </c>
      <c r="AR66" t="n">
        <v>7.966541061481877</v>
      </c>
      <c r="AS66" t="n">
        <v>7.694911206576706</v>
      </c>
      <c r="AT66" t="n">
        <v>7.43254293427135</v>
      </c>
      <c r="AU66" t="n">
        <v>7.17912045854045</v>
      </c>
      <c r="AV66" t="n">
        <v>6.934338760504819</v>
      </c>
      <c r="AW66" t="n">
        <v>6.697903221311237</v>
      </c>
    </row>
    <row r="67">
      <c r="A67" t="inlineStr">
        <is>
          <t>Dominica_2022_January</t>
        </is>
      </c>
      <c r="C67" t="inlineStr">
        <is>
          <t>SM.22.7, Sup.2</t>
        </is>
      </c>
      <c r="D67" t="inlineStr">
        <is>
          <t>Dominica</t>
        </is>
      </c>
      <c r="E67" t="inlineStr">
        <is>
          <t>DMA</t>
        </is>
      </c>
      <c r="F67" s="11" t="n">
        <v>44562</v>
      </c>
      <c r="G67" t="inlineStr">
        <is>
          <t>2018gn</t>
        </is>
      </c>
      <c r="H67" t="n">
        <v>2021</v>
      </c>
      <c r="I67" t="inlineStr">
        <is>
          <t>prv.tds.2xprt</t>
        </is>
      </c>
      <c r="M67" t="inlineStr">
        <is>
          <t>Private debt service in percent of exports</t>
        </is>
      </c>
      <c r="P67" t="n">
        <v>1.443903313285521</v>
      </c>
      <c r="Q67" t="n">
        <v>1.728095966810858</v>
      </c>
      <c r="R67" t="n">
        <v>1.353519833601471</v>
      </c>
      <c r="S67" t="n">
        <v>1.493872417205116</v>
      </c>
      <c r="T67" t="n">
        <v>1.776031910170843</v>
      </c>
      <c r="U67" t="n">
        <v>1.453765156610666</v>
      </c>
      <c r="V67" t="n">
        <v>1.003923243529686</v>
      </c>
      <c r="W67" t="n">
        <v>1.048576582446368</v>
      </c>
      <c r="X67" t="n">
        <v>1.043041485566012</v>
      </c>
      <c r="Y67" t="n">
        <v>1.2929135084022</v>
      </c>
      <c r="Z67" t="n">
        <v>1.797103863940112</v>
      </c>
      <c r="AA67" t="n">
        <v>1.306587127357879</v>
      </c>
      <c r="AB67" t="n">
        <v>2.560067996594341</v>
      </c>
      <c r="AC67" t="n">
        <v>2.423173048830433</v>
      </c>
      <c r="AD67" t="n">
        <v>1.600331497229392</v>
      </c>
      <c r="AE67" t="n">
        <v>1.330920199697205</v>
      </c>
      <c r="AF67" t="n">
        <v>1.064122953303655</v>
      </c>
      <c r="AG67" t="n">
        <v>0.98169447636573</v>
      </c>
      <c r="AH67" t="n">
        <v>0.9254588241101283</v>
      </c>
      <c r="AI67" t="n">
        <v>0.901802828119312</v>
      </c>
      <c r="AJ67" t="n">
        <v>0.8768539517441474</v>
      </c>
      <c r="AK67" t="n">
        <v>0.8525205046191148</v>
      </c>
      <c r="AL67" t="n">
        <v>0.8292417676727485</v>
      </c>
      <c r="AM67" t="n">
        <v>0.808787933618649</v>
      </c>
      <c r="AN67" t="n">
        <v>0.7887972924323645</v>
      </c>
      <c r="AO67" t="n">
        <v>0.7692603225226575</v>
      </c>
      <c r="AP67" t="n">
        <v>0.7501676806829495</v>
      </c>
      <c r="AQ67" t="n">
        <v>0.7315101989296731</v>
      </c>
      <c r="AR67" t="n">
        <v>0.7132788813957599</v>
      </c>
      <c r="AS67" t="n">
        <v>0.6954649012784568</v>
      </c>
      <c r="AT67" t="n">
        <v>0.6780595978406825</v>
      </c>
      <c r="AU67" t="n">
        <v>0.661054473465121</v>
      </c>
      <c r="AV67" t="n">
        <v>0.6529994999149427</v>
      </c>
      <c r="AW67" t="n">
        <v>0.8743059934066645</v>
      </c>
    </row>
    <row r="68">
      <c r="A68" t="inlineStr">
        <is>
          <t>Dominica_2022_January</t>
        </is>
      </c>
      <c r="C68" t="inlineStr">
        <is>
          <t>SM.22.7, Sup.2</t>
        </is>
      </c>
      <c r="D68" t="inlineStr">
        <is>
          <t>Dominica</t>
        </is>
      </c>
      <c r="E68" t="inlineStr">
        <is>
          <t>DMA</t>
        </is>
      </c>
      <c r="F68" s="11" t="n">
        <v>44562</v>
      </c>
      <c r="G68" t="inlineStr">
        <is>
          <t>2018gn</t>
        </is>
      </c>
      <c r="H68" t="n">
        <v>2021</v>
      </c>
      <c r="I68" t="inlineStr">
        <is>
          <t>nicab.2gdp</t>
        </is>
      </c>
      <c r="M68" t="inlineStr">
        <is>
          <t>Non-interest current account in percent of GDP</t>
        </is>
      </c>
      <c r="P68" t="n">
        <v>-25.93780969780356</v>
      </c>
      <c r="Q68" t="n">
        <v>-20.75348579118162</v>
      </c>
      <c r="R68" t="n">
        <v>-14.45737542906071</v>
      </c>
      <c r="S68" t="n">
        <v>-6.325577944884725</v>
      </c>
      <c r="T68" t="n">
        <v>-13.52917793188566</v>
      </c>
      <c r="U68" t="n">
        <v>-8.013576682566454</v>
      </c>
      <c r="V68" t="n">
        <v>-3.548023831213025</v>
      </c>
      <c r="W68" t="n">
        <v>-2.982430683630599</v>
      </c>
      <c r="X68" t="n">
        <v>-6.183153116578477</v>
      </c>
      <c r="Y68" t="n">
        <v>-6.72851522670478</v>
      </c>
      <c r="Z68" t="n">
        <v>-39.06442412894532</v>
      </c>
      <c r="AA68" t="n">
        <v>-38.74183654448478</v>
      </c>
      <c r="AB68" t="n">
        <v>-27.62478488161032</v>
      </c>
      <c r="AC68" t="n">
        <v>-28.29385443647617</v>
      </c>
      <c r="AD68" t="n">
        <v>-26.29261595803998</v>
      </c>
      <c r="AE68" t="n">
        <v>-21.84925016092001</v>
      </c>
      <c r="AF68" t="n">
        <v>-16.45733934161032</v>
      </c>
      <c r="AG68" t="n">
        <v>-15.51521186920437</v>
      </c>
      <c r="AH68" t="n">
        <v>-13.32211194564384</v>
      </c>
      <c r="AI68" t="n">
        <v>-12.6146863789692</v>
      </c>
      <c r="AJ68" t="n">
        <v>-13.46276802586804</v>
      </c>
      <c r="AK68" t="n">
        <v>-12.6594494935939</v>
      </c>
      <c r="AL68" t="n">
        <v>-11.5900497785169</v>
      </c>
      <c r="AM68" t="n">
        <v>-8.915438528878502</v>
      </c>
      <c r="AN68" t="n">
        <v>-6.875717589440162</v>
      </c>
      <c r="AO68" t="n">
        <v>-5.274697374197165</v>
      </c>
      <c r="AP68" t="n">
        <v>-4.813382512083151</v>
      </c>
      <c r="AQ68" t="n">
        <v>-5.160208267776264</v>
      </c>
      <c r="AR68" t="n">
        <v>-4.81702493501304</v>
      </c>
      <c r="AS68" t="n">
        <v>-4.816996072093626</v>
      </c>
      <c r="AT68" t="n">
        <v>-4.519546613748362</v>
      </c>
      <c r="AU68" t="n">
        <v>-4.408974282566406</v>
      </c>
      <c r="AV68" t="n">
        <v>-4.730419766669092</v>
      </c>
      <c r="AW68" t="n">
        <v>-4.485241216452455</v>
      </c>
    </row>
    <row r="69">
      <c r="A69" t="inlineStr">
        <is>
          <t>Dominica_2022_January</t>
        </is>
      </c>
      <c r="C69" t="inlineStr">
        <is>
          <t>SM.22.7, Sup.2</t>
        </is>
      </c>
      <c r="D69" t="inlineStr">
        <is>
          <t>Dominica</t>
        </is>
      </c>
      <c r="E69" t="inlineStr">
        <is>
          <t>DMA</t>
        </is>
      </c>
      <c r="F69" s="11" t="n">
        <v>44562</v>
      </c>
      <c r="G69" t="inlineStr">
        <is>
          <t>2018gn</t>
        </is>
      </c>
      <c r="H69" t="n">
        <v>2021</v>
      </c>
      <c r="I69" t="inlineStr">
        <is>
          <t>off.trsfr.crt.2gdp</t>
        </is>
      </c>
      <c r="M69" t="inlineStr">
        <is>
          <t>Current official transfers in percent of GDP</t>
        </is>
      </c>
      <c r="P69" t="n">
        <v>-0.012327895270522</v>
      </c>
      <c r="Q69" t="n">
        <v>0.0613665347466764</v>
      </c>
      <c r="R69" t="n">
        <v>0.1300002233721753</v>
      </c>
      <c r="S69" t="n">
        <v>-0.4159254172670513</v>
      </c>
      <c r="T69" t="n">
        <v>0.0836246373594122</v>
      </c>
      <c r="U69" t="n">
        <v>1.062492292478622</v>
      </c>
      <c r="V69" t="n">
        <v>2.35530783442692</v>
      </c>
      <c r="W69" t="n">
        <v>2.948954560333702</v>
      </c>
      <c r="X69" t="n">
        <v>1.841436959162213</v>
      </c>
      <c r="Y69" t="n">
        <v>4.98551437085805</v>
      </c>
      <c r="Z69" t="n">
        <v>0.3733948269157684</v>
      </c>
      <c r="AA69" t="n">
        <v>0.9107441373165788</v>
      </c>
      <c r="AB69" t="n">
        <v>1.071619215663207</v>
      </c>
      <c r="AC69" t="n">
        <v>-1.046826663548442</v>
      </c>
      <c r="AD69" t="n">
        <v>-1.033341555534726</v>
      </c>
      <c r="AE69" t="n">
        <v>-1.009633895156079</v>
      </c>
      <c r="AF69" t="n">
        <v>-0.9872683898323107</v>
      </c>
      <c r="AG69" t="n">
        <v>-0.9730985058039323</v>
      </c>
      <c r="AH69" t="n">
        <v>-0.9680973094064191</v>
      </c>
      <c r="AI69" t="n">
        <v>-0.9305717617592759</v>
      </c>
      <c r="AJ69" t="n">
        <v>-0.9078976070073047</v>
      </c>
      <c r="AK69" t="n">
        <v>-0.8866129762857972</v>
      </c>
      <c r="AL69" t="n">
        <v>-0.870090353262983</v>
      </c>
      <c r="AM69" t="n">
        <v>-0.857231956671858</v>
      </c>
      <c r="AN69" t="n">
        <v>-0.8445635807936243</v>
      </c>
      <c r="AO69" t="n">
        <v>-0.8320823989492708</v>
      </c>
      <c r="AP69" t="n">
        <v>-0.8197856672798651</v>
      </c>
      <c r="AQ69" t="n">
        <v>-0.8076706599324022</v>
      </c>
      <c r="AR69" t="n">
        <v>-0.7957346913372468</v>
      </c>
      <c r="AS69" t="n">
        <v>-0.7839751156128153</v>
      </c>
      <c r="AT69" t="n">
        <v>-0.772389325979051</v>
      </c>
      <c r="AU69" t="n">
        <v>-0.7609747541795906</v>
      </c>
      <c r="AV69" t="n">
        <v>-0.7497288699124155</v>
      </c>
      <c r="AW69" t="n">
        <v>-0.738649180268981</v>
      </c>
    </row>
    <row r="70">
      <c r="A70" t="inlineStr">
        <is>
          <t>Dominica_2022_January</t>
        </is>
      </c>
      <c r="C70" t="inlineStr">
        <is>
          <t>SM.22.7, Sup.2</t>
        </is>
      </c>
      <c r="D70" t="inlineStr">
        <is>
          <t>Dominica</t>
        </is>
      </c>
      <c r="E70" t="inlineStr">
        <is>
          <t>DMA</t>
        </is>
      </c>
      <c r="F70" s="11" t="n">
        <v>44562</v>
      </c>
      <c r="G70" t="inlineStr">
        <is>
          <t>2018gn</t>
        </is>
      </c>
      <c r="H70" t="n">
        <v>2021</v>
      </c>
      <c r="I70" t="inlineStr">
        <is>
          <t>tot.grss.fin.2gdp</t>
        </is>
      </c>
      <c r="M70" t="inlineStr">
        <is>
          <t>Total gross financing</t>
        </is>
      </c>
      <c r="P70" t="inlineStr">
        <is>
          <t>...</t>
        </is>
      </c>
      <c r="Q70" t="n">
        <v>65.9605733333336</v>
      </c>
      <c r="R70" t="n">
        <v>46.21835999999999</v>
      </c>
      <c r="S70" t="n">
        <v>17.7700483125926</v>
      </c>
      <c r="T70" t="n">
        <v>44.2749432814738</v>
      </c>
      <c r="U70" t="n">
        <v>41.549034162003</v>
      </c>
      <c r="V70" t="n">
        <v>31.4967629267685</v>
      </c>
      <c r="W70" t="n">
        <v>27.8218792024424</v>
      </c>
      <c r="X70" t="n">
        <v>25.0775667508586</v>
      </c>
      <c r="Y70" t="n">
        <v>49.6319455580479</v>
      </c>
      <c r="Z70" t="n">
        <v>186.3453541457225</v>
      </c>
      <c r="AA70" t="n">
        <v>226.6745209780617</v>
      </c>
      <c r="AB70" t="n">
        <v>158.0301571582188</v>
      </c>
      <c r="AC70" t="n">
        <v>161.3007865503722</v>
      </c>
      <c r="AD70" t="n">
        <v>169.9646669565539</v>
      </c>
      <c r="AE70" t="n">
        <v>149.1865488253715</v>
      </c>
      <c r="AF70" t="n">
        <v>127.0292802553916</v>
      </c>
      <c r="AG70" t="n">
        <v>122.025351153698</v>
      </c>
      <c r="AH70" t="n">
        <v>105.5923883796396</v>
      </c>
      <c r="AI70" t="n">
        <v>100.95112440404</v>
      </c>
      <c r="AJ70" t="n">
        <v>112.0945679159688</v>
      </c>
      <c r="AK70" t="n">
        <v>108.0751776031778</v>
      </c>
      <c r="AL70" t="n">
        <v>100.4334591197628</v>
      </c>
      <c r="AM70" t="n">
        <v>74.34877312590235</v>
      </c>
      <c r="AN70" t="n">
        <v>53.99734361601013</v>
      </c>
      <c r="AO70" t="n">
        <v>44.02561961652569</v>
      </c>
      <c r="AP70" t="n">
        <v>39.99415352062115</v>
      </c>
      <c r="AQ70" t="n">
        <v>39.28497747959196</v>
      </c>
      <c r="AR70" t="n">
        <v>38.51819906416495</v>
      </c>
      <c r="AS70" t="n">
        <v>37.97104478337766</v>
      </c>
      <c r="AT70" t="n">
        <v>36.2354946277423</v>
      </c>
      <c r="AU70" t="n">
        <v>34.49939500777239</v>
      </c>
      <c r="AV70" t="n">
        <v>40.50569467440137</v>
      </c>
      <c r="AW70" t="n">
        <v>41.72092203637543</v>
      </c>
    </row>
    <row r="71">
      <c r="A71" t="inlineStr">
        <is>
          <t>Dominica_2022_January</t>
        </is>
      </c>
      <c r="C71" t="inlineStr">
        <is>
          <t>SM.22.7, Sup.2</t>
        </is>
      </c>
      <c r="D71" t="inlineStr">
        <is>
          <t>Dominica</t>
        </is>
      </c>
      <c r="E71" t="inlineStr">
        <is>
          <t>DMA</t>
        </is>
      </c>
      <c r="F71" s="11" t="n">
        <v>44562</v>
      </c>
      <c r="G71" t="inlineStr">
        <is>
          <t>2018gn</t>
        </is>
      </c>
      <c r="H71" t="n">
        <v>2021</v>
      </c>
      <c r="I71" t="inlineStr">
        <is>
          <t>tot.grss.fin.prv.2gdp</t>
        </is>
      </c>
      <c r="M71" t="inlineStr">
        <is>
          <t>o/w covered by private sector</t>
        </is>
      </c>
      <c r="P71" t="inlineStr">
        <is>
          <t>...</t>
        </is>
      </c>
      <c r="Q71" t="n">
        <v>11.7448148148147</v>
      </c>
      <c r="R71" t="n">
        <v>-7.172222222222103</v>
      </c>
      <c r="S71" t="n">
        <v>25.15328000000011</v>
      </c>
      <c r="T71" t="n">
        <v>-7.482575555556011</v>
      </c>
      <c r="U71" t="n">
        <v>-5.689963703703</v>
      </c>
      <c r="V71" t="n">
        <v>12.70333333333301</v>
      </c>
      <c r="W71" t="n">
        <v>30.933703703704</v>
      </c>
      <c r="X71" t="n">
        <v>22.982962962963</v>
      </c>
      <c r="Y71" t="n">
        <v>0.01370370370298701</v>
      </c>
      <c r="Z71" t="n">
        <v>96.87040993207202</v>
      </c>
      <c r="AA71" t="n">
        <v>-31.64947761328901</v>
      </c>
      <c r="AB71" t="n">
        <v>-24.14083379343501</v>
      </c>
      <c r="AC71" t="n">
        <v>4.160082551719</v>
      </c>
      <c r="AD71" t="n">
        <v>-0.8506709515859825</v>
      </c>
      <c r="AE71" t="n">
        <v>-1.114937322270009</v>
      </c>
      <c r="AF71" t="n">
        <v>0.6667699385089918</v>
      </c>
      <c r="AG71" t="n">
        <v>-7.686813719351989</v>
      </c>
      <c r="AH71" t="n">
        <v>-8.171353002323997</v>
      </c>
      <c r="AI71" t="n">
        <v>-31.79664210658001</v>
      </c>
      <c r="AJ71" t="n">
        <v>61.79479169562899</v>
      </c>
      <c r="AK71" t="n">
        <v>-4.757881818639987</v>
      </c>
      <c r="AL71" t="n">
        <v>-8.196602318062986</v>
      </c>
      <c r="AM71" t="n">
        <v>-29.40466627987001</v>
      </c>
      <c r="AN71" t="n">
        <v>-46.015464516983</v>
      </c>
      <c r="AO71" t="n">
        <v>-46.99520264572919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</row>
    <row r="72">
      <c r="A72" t="inlineStr">
        <is>
          <t>Dominica_2022_January</t>
        </is>
      </c>
      <c r="C72" t="inlineStr">
        <is>
          <t>SM.22.7, Sup.2</t>
        </is>
      </c>
      <c r="D72" t="inlineStr">
        <is>
          <t>Dominica</t>
        </is>
      </c>
      <c r="E72" t="inlineStr">
        <is>
          <t>DMA</t>
        </is>
      </c>
      <c r="F72" s="11" t="n">
        <v>44562</v>
      </c>
      <c r="G72" t="inlineStr">
        <is>
          <t>2018gn</t>
        </is>
      </c>
      <c r="H72" t="n">
        <v>2021</v>
      </c>
      <c r="I72" t="inlineStr">
        <is>
          <t>tot.grss.fin.pub.2gdp</t>
        </is>
      </c>
      <c r="M72" t="inlineStr">
        <is>
          <t>o/w covered by public sector</t>
        </is>
      </c>
      <c r="P72" t="inlineStr">
        <is>
          <t>...</t>
        </is>
      </c>
      <c r="Q72" t="n">
        <v>54.2157585185189</v>
      </c>
      <c r="R72" t="n">
        <v>53.39058222222209</v>
      </c>
      <c r="S72" t="n">
        <v>-7.383231687407505</v>
      </c>
      <c r="T72" t="n">
        <v>51.75751883702981</v>
      </c>
      <c r="U72" t="n">
        <v>47.238997865706</v>
      </c>
      <c r="V72" t="n">
        <v>18.7934295934355</v>
      </c>
      <c r="W72" t="n">
        <v>-3.111824501261598</v>
      </c>
      <c r="X72" t="n">
        <v>2.094603787895601</v>
      </c>
      <c r="Y72" t="n">
        <v>49.61824185434492</v>
      </c>
      <c r="Z72" t="n">
        <v>89.4749442136505</v>
      </c>
      <c r="AA72" t="n">
        <v>258.3239985913507</v>
      </c>
      <c r="AB72" t="n">
        <v>182.1709909516538</v>
      </c>
      <c r="AC72" t="n">
        <v>157.1407039986532</v>
      </c>
      <c r="AD72" t="n">
        <v>170.8153379081398</v>
      </c>
      <c r="AE72" t="n">
        <v>150.3014861476415</v>
      </c>
      <c r="AF72" t="n">
        <v>126.3625103168826</v>
      </c>
      <c r="AG72" t="n">
        <v>129.7121648730499</v>
      </c>
      <c r="AH72" t="n">
        <v>113.7637413819636</v>
      </c>
      <c r="AI72" t="n">
        <v>132.74776651062</v>
      </c>
      <c r="AJ72" t="n">
        <v>50.29977622033982</v>
      </c>
      <c r="AK72" t="n">
        <v>112.8330594218178</v>
      </c>
      <c r="AL72" t="n">
        <v>108.6300614378258</v>
      </c>
      <c r="AM72" t="n">
        <v>103.7534394057724</v>
      </c>
      <c r="AN72" t="n">
        <v>100.0128081329931</v>
      </c>
      <c r="AO72" t="n">
        <v>91.02082226225488</v>
      </c>
      <c r="AP72" t="n">
        <v>39.99415352062115</v>
      </c>
      <c r="AQ72" t="n">
        <v>39.28497747959196</v>
      </c>
      <c r="AR72" t="n">
        <v>38.51819906416495</v>
      </c>
      <c r="AS72" t="n">
        <v>37.97104478337766</v>
      </c>
      <c r="AT72" t="n">
        <v>36.2354946277423</v>
      </c>
      <c r="AU72" t="n">
        <v>34.49939500777239</v>
      </c>
      <c r="AV72" t="n">
        <v>40.50569467440137</v>
      </c>
      <c r="AW72" t="n">
        <v>41.72092203637543</v>
      </c>
    </row>
    <row r="73">
      <c r="A73" t="inlineStr">
        <is>
          <t>Dominica_2022_January</t>
        </is>
      </c>
      <c r="C73" t="inlineStr">
        <is>
          <t>SM.22.7, Sup.2</t>
        </is>
      </c>
      <c r="D73" t="inlineStr">
        <is>
          <t>Dominica</t>
        </is>
      </c>
      <c r="E73" t="inlineStr">
        <is>
          <t>DMA</t>
        </is>
      </c>
      <c r="F73" s="11" t="n">
        <v>44562</v>
      </c>
      <c r="G73" t="inlineStr">
        <is>
          <t>2018gn</t>
        </is>
      </c>
      <c r="H73" t="n">
        <v>2021</v>
      </c>
      <c r="I73" t="inlineStr">
        <is>
          <t>fin.gap.rsdl</t>
        </is>
      </c>
      <c r="M73" t="inlineStr">
        <is>
          <t>Residual financing gaps after private and public external financing ((-): overfinancing)</t>
        </is>
      </c>
      <c r="AC73" t="n">
        <v>120.8481916386075</v>
      </c>
      <c r="AD73" t="n">
        <v>92.45513207428795</v>
      </c>
      <c r="AE73" t="n">
        <v>89.14600771792533</v>
      </c>
      <c r="AF73" t="n">
        <v>73.00133203241813</v>
      </c>
      <c r="AG73" t="n">
        <v>79.04502405273993</v>
      </c>
      <c r="AH73" t="n">
        <v>61.02625437958491</v>
      </c>
      <c r="AI73" t="n">
        <v>90.91753063136595</v>
      </c>
      <c r="AJ73" t="n">
        <v>22.69192548580869</v>
      </c>
      <c r="AK73" t="n">
        <v>95.92858777176079</v>
      </c>
      <c r="AL73" t="n">
        <v>93.7302855678634</v>
      </c>
      <c r="AM73" t="n">
        <v>87.92697954750643</v>
      </c>
      <c r="AN73" t="n">
        <v>85.37330726519644</v>
      </c>
      <c r="AO73" t="n">
        <v>76.1175854450991</v>
      </c>
      <c r="AP73" t="n">
        <v>25.10466629037153</v>
      </c>
      <c r="AQ73" t="n">
        <v>23.90600439987397</v>
      </c>
      <c r="AR73" t="n">
        <v>22.51733561547232</v>
      </c>
      <c r="AS73" t="n">
        <v>21.13507830711001</v>
      </c>
      <c r="AT73" t="n">
        <v>18.08417795381774</v>
      </c>
      <c r="AU73" t="n">
        <v>15.78261913257403</v>
      </c>
      <c r="AV73" t="n">
        <v>21.28916403526626</v>
      </c>
      <c r="AW73" t="n">
        <v>21.75305561115412</v>
      </c>
    </row>
    <row r="74">
      <c r="A74" t="inlineStr">
        <is>
          <t>Dominica_2022_January</t>
        </is>
      </c>
      <c r="C74" t="inlineStr">
        <is>
          <t>SM.22.7, Sup.2</t>
        </is>
      </c>
      <c r="D74" t="inlineStr">
        <is>
          <t>Dominica</t>
        </is>
      </c>
      <c r="E74" t="inlineStr">
        <is>
          <t>DMA</t>
        </is>
      </c>
      <c r="F74" s="11" t="n">
        <v>44562</v>
      </c>
      <c r="G74" t="inlineStr">
        <is>
          <t>2018gn</t>
        </is>
      </c>
      <c r="H74" t="n">
        <v>2021</v>
      </c>
      <c r="M74" t="inlineStr">
        <is>
          <t xml:space="preserve">(Note) 
- This line is equal to External GFNs - (Private financing) - (Public external financing)
- Nonzero value should be consistent with other BoP components not shown in this GFN calculation (e.g., reserve accumulation).
</t>
        </is>
      </c>
    </row>
    <row r="75">
      <c r="A75" t="inlineStr">
        <is>
          <t>Dominica_2022_January</t>
        </is>
      </c>
      <c r="C75" t="inlineStr">
        <is>
          <t>SM.22.7, Sup.2</t>
        </is>
      </c>
      <c r="D75" t="inlineStr">
        <is>
          <t>Dominica</t>
        </is>
      </c>
      <c r="E75" t="inlineStr">
        <is>
          <t>DMA</t>
        </is>
      </c>
      <c r="F75" s="11" t="n">
        <v>44562</v>
      </c>
      <c r="G75" t="inlineStr">
        <is>
          <t>2018gn</t>
        </is>
      </c>
      <c r="H75" t="n">
        <v>2021</v>
      </c>
      <c r="M75" t="inlineStr">
        <is>
          <t>Public Sector</t>
        </is>
      </c>
    </row>
    <row r="76">
      <c r="A76" t="inlineStr">
        <is>
          <t>Dominica_2022_January</t>
        </is>
      </c>
      <c r="C76" t="inlineStr">
        <is>
          <t>SM.22.7, Sup.2</t>
        </is>
      </c>
      <c r="D76" t="inlineStr">
        <is>
          <t>Dominica</t>
        </is>
      </c>
      <c r="E76" t="inlineStr">
        <is>
          <t>DMA</t>
        </is>
      </c>
      <c r="F76" s="11" t="n">
        <v>44562</v>
      </c>
      <c r="G76" t="inlineStr">
        <is>
          <t>2018gn</t>
        </is>
      </c>
      <c r="H76" t="n">
        <v>2021</v>
      </c>
      <c r="K76" t="inlineStr">
        <is>
          <t>National Currency</t>
        </is>
      </c>
      <c r="L76" t="inlineStr">
        <is>
          <t>Million</t>
        </is>
      </c>
      <c r="M76" t="inlineStr">
        <is>
          <t>Total public debt outstanding at year-end</t>
        </is>
      </c>
      <c r="P76" t="n">
        <v>577.9093999999986</v>
      </c>
      <c r="Q76" t="n">
        <v>580.8587000000005</v>
      </c>
      <c r="R76" t="n">
        <v>658.1405862700012</v>
      </c>
      <c r="S76" t="n">
        <v>660.4770485500012</v>
      </c>
      <c r="T76" t="n">
        <v>708.7866822999999</v>
      </c>
      <c r="U76" t="n">
        <v>866.1053628277831</v>
      </c>
      <c r="V76" t="n">
        <v>1033.270183600001</v>
      </c>
      <c r="W76" t="n">
        <v>1038.537061776456</v>
      </c>
      <c r="X76" t="n">
        <v>1134.299640567196</v>
      </c>
      <c r="Y76" t="n">
        <v>1220.711932812604</v>
      </c>
      <c r="Z76" t="n">
        <v>1348.275011651082</v>
      </c>
      <c r="AA76" t="n">
        <v>1475.336947485384</v>
      </c>
      <c r="AB76" t="n">
        <v>1609.964100542074</v>
      </c>
      <c r="AC76" t="n">
        <v>1670.708351224122</v>
      </c>
      <c r="AD76" t="n">
        <v>1802.577165957116</v>
      </c>
      <c r="AE76" t="n">
        <v>1876.444381394816</v>
      </c>
      <c r="AF76" t="n">
        <v>1932.056710088815</v>
      </c>
      <c r="AG76" t="n">
        <v>1982.412301769917</v>
      </c>
      <c r="AH76" t="n">
        <v>2036.347943315947</v>
      </c>
      <c r="AI76" t="n">
        <v>2062.124784973142</v>
      </c>
      <c r="AJ76" t="n">
        <v>2050.654646197312</v>
      </c>
      <c r="AK76" t="n">
        <v>2018.013049193893</v>
      </c>
      <c r="AL76" t="n">
        <v>1978.130902653086</v>
      </c>
      <c r="AM76" t="n">
        <v>1942.733553621998</v>
      </c>
      <c r="AN76" t="n">
        <v>1904.45097140488</v>
      </c>
      <c r="AO76" t="n">
        <v>1883.054768111654</v>
      </c>
      <c r="AP76" t="n">
        <v>1861.938361477103</v>
      </c>
      <c r="AQ76" t="n">
        <v>1830.095903574114</v>
      </c>
      <c r="AR76" t="n">
        <v>1808.571533920204</v>
      </c>
      <c r="AS76" t="n">
        <v>1792.425812621305</v>
      </c>
      <c r="AT76" t="n">
        <v>1787.586777350623</v>
      </c>
      <c r="AU76" t="n">
        <v>1796.063028649892</v>
      </c>
      <c r="AV76" t="n">
        <v>1808.439269786345</v>
      </c>
      <c r="AW76" t="n">
        <v>1828.800542429254</v>
      </c>
    </row>
    <row r="77">
      <c r="A77" t="inlineStr">
        <is>
          <t>Dominica_2022_January</t>
        </is>
      </c>
      <c r="C77" t="inlineStr">
        <is>
          <t>SM.22.7, Sup.2</t>
        </is>
      </c>
      <c r="D77" t="inlineStr">
        <is>
          <t>Dominica</t>
        </is>
      </c>
      <c r="E77" t="inlineStr">
        <is>
          <t>DMA</t>
        </is>
      </c>
      <c r="F77" s="11" t="n">
        <v>44562</v>
      </c>
      <c r="G77" t="inlineStr">
        <is>
          <t>2018gn</t>
        </is>
      </c>
      <c r="H77" t="n">
        <v>2021</v>
      </c>
      <c r="K77" t="inlineStr">
        <is>
          <t>National Currency</t>
        </is>
      </c>
      <c r="L77" t="inlineStr">
        <is>
          <t>Million</t>
        </is>
      </c>
      <c r="M77" t="inlineStr">
        <is>
          <t>Total public external debt</t>
        </is>
      </c>
      <c r="P77" t="n">
        <v>577.9093999999986</v>
      </c>
      <c r="Q77" t="n">
        <v>580.8587000000005</v>
      </c>
      <c r="R77" t="n">
        <v>658.1405862700012</v>
      </c>
      <c r="S77" t="n">
        <v>660.4770485500012</v>
      </c>
      <c r="T77" t="n">
        <v>708.7866822999999</v>
      </c>
      <c r="U77" t="n">
        <v>866.1053628277831</v>
      </c>
      <c r="V77" t="n">
        <v>878.1814259776548</v>
      </c>
      <c r="W77" t="n">
        <v>878.0938615188063</v>
      </c>
      <c r="X77" t="n">
        <v>852.1033800359602</v>
      </c>
      <c r="Y77" t="n">
        <v>827.4263425568353</v>
      </c>
      <c r="Z77" t="n">
        <v>835.3919004734252</v>
      </c>
      <c r="AA77" t="n">
        <v>857.0100218853844</v>
      </c>
      <c r="AB77" t="n">
        <v>1012.592759482074</v>
      </c>
      <c r="AC77" t="n">
        <v>1062.267197168192</v>
      </c>
      <c r="AD77" t="n">
        <v>1197.014489336897</v>
      </c>
      <c r="AE77" t="n">
        <v>1285.371985268627</v>
      </c>
      <c r="AF77" t="n">
        <v>1354.379685147124</v>
      </c>
      <c r="AG77" t="n">
        <v>1424.737235846977</v>
      </c>
      <c r="AH77" t="n">
        <v>1505.509166628372</v>
      </c>
      <c r="AI77" t="n">
        <v>1561.222816742182</v>
      </c>
      <c r="AJ77" t="n">
        <v>1579.792047049458</v>
      </c>
      <c r="AK77" t="n">
        <v>1570.504851653702</v>
      </c>
      <c r="AL77" t="n">
        <v>1555.023311542925</v>
      </c>
      <c r="AM77" t="n">
        <v>1544.17313871989</v>
      </c>
      <c r="AN77" t="n">
        <v>1533.92025012727</v>
      </c>
      <c r="AO77" t="n">
        <v>1519.056219081537</v>
      </c>
      <c r="AP77" t="n">
        <v>1501.360935608064</v>
      </c>
      <c r="AQ77" t="n">
        <v>1483.140575222614</v>
      </c>
      <c r="AR77" t="n">
        <v>1464.864210280449</v>
      </c>
      <c r="AS77" t="n">
        <v>1446.443724481596</v>
      </c>
      <c r="AT77" t="n">
        <v>1432.285698302348</v>
      </c>
      <c r="AU77" t="n">
        <v>1424.483511863491</v>
      </c>
      <c r="AV77" t="n">
        <v>1416.462403606089</v>
      </c>
      <c r="AW77" t="n">
        <v>1408.849570282633</v>
      </c>
    </row>
    <row r="78">
      <c r="A78" t="inlineStr">
        <is>
          <t>Dominica_2022_January</t>
        </is>
      </c>
      <c r="C78" t="inlineStr">
        <is>
          <t>SM.22.7, Sup.2</t>
        </is>
      </c>
      <c r="D78" t="inlineStr">
        <is>
          <t>Dominica</t>
        </is>
      </c>
      <c r="E78" t="inlineStr">
        <is>
          <t>DMA</t>
        </is>
      </c>
      <c r="F78" s="11" t="n">
        <v>44562</v>
      </c>
      <c r="G78" t="inlineStr">
        <is>
          <t>2018gn</t>
        </is>
      </c>
      <c r="H78" t="n">
        <v>2021</v>
      </c>
      <c r="I78" t="inlineStr">
        <is>
          <t>dod.pub.dbt.eoy</t>
        </is>
      </c>
      <c r="K78" t="inlineStr">
        <is>
          <t>National Currency</t>
        </is>
      </c>
      <c r="L78" t="inlineStr">
        <is>
          <t>Million</t>
        </is>
      </c>
      <c r="M78" t="inlineStr">
        <is>
          <t>Total public domestic debt</t>
        </is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155.088757622346</v>
      </c>
      <c r="W78" t="n">
        <v>160.44320025765</v>
      </c>
      <c r="X78" t="n">
        <v>282.196260531236</v>
      </c>
      <c r="Y78" t="n">
        <v>393.285590255769</v>
      </c>
      <c r="Z78" t="n">
        <v>512.883111177657</v>
      </c>
      <c r="AA78" t="n">
        <v>618.3269256</v>
      </c>
      <c r="AB78" t="n">
        <v>597.37134106</v>
      </c>
      <c r="AC78" t="n">
        <v>608.4411540559302</v>
      </c>
      <c r="AD78" t="n">
        <v>605.5626766202198</v>
      </c>
      <c r="AE78" t="n">
        <v>591.0723961261889</v>
      </c>
      <c r="AF78" t="n">
        <v>577.6770249416911</v>
      </c>
      <c r="AG78" t="n">
        <v>557.6750659229402</v>
      </c>
      <c r="AH78" t="n">
        <v>530.8387766875754</v>
      </c>
      <c r="AI78" t="n">
        <v>500.9019682309591</v>
      </c>
      <c r="AJ78" t="n">
        <v>470.862599147854</v>
      </c>
      <c r="AK78" t="n">
        <v>447.5081975401907</v>
      </c>
      <c r="AL78" t="n">
        <v>423.107591110161</v>
      </c>
      <c r="AM78" t="n">
        <v>398.5604149021086</v>
      </c>
      <c r="AN78" t="n">
        <v>370.5307212776101</v>
      </c>
      <c r="AO78" t="n">
        <v>363.9985490301166</v>
      </c>
      <c r="AP78" t="n">
        <v>360.5774258690388</v>
      </c>
      <c r="AQ78" t="n">
        <v>346.9553283515003</v>
      </c>
      <c r="AR78" t="n">
        <v>343.7073236397558</v>
      </c>
      <c r="AS78" t="n">
        <v>345.9820881397091</v>
      </c>
      <c r="AT78" t="n">
        <v>355.3010790482752</v>
      </c>
      <c r="AU78" t="n">
        <v>371.5795167864016</v>
      </c>
      <c r="AV78" t="n">
        <v>391.9768661802561</v>
      </c>
      <c r="AW78" t="n">
        <v>419.9509721466205</v>
      </c>
    </row>
    <row r="79">
      <c r="A79" t="inlineStr">
        <is>
          <t>Dominica_2022_January</t>
        </is>
      </c>
      <c r="C79" t="inlineStr">
        <is>
          <t>SM.22.7, Sup.2</t>
        </is>
      </c>
      <c r="D79" t="inlineStr">
        <is>
          <t>Dominica</t>
        </is>
      </c>
      <c r="E79" t="inlineStr">
        <is>
          <t>DMA</t>
        </is>
      </c>
      <c r="F79" s="11" t="n">
        <v>44562</v>
      </c>
      <c r="G79" t="inlineStr">
        <is>
          <t>2018gn</t>
        </is>
      </c>
      <c r="H79" t="n">
        <v>2021</v>
      </c>
      <c r="I79" t="inlineStr">
        <is>
          <t>dod.pub.ext</t>
        </is>
      </c>
      <c r="K79" t="inlineStr">
        <is>
          <t>National Currency</t>
        </is>
      </c>
      <c r="L79" t="inlineStr">
        <is>
          <t>Million</t>
        </is>
      </c>
      <c r="M79" t="inlineStr">
        <is>
          <t>Foreign-currency denominated public debt (end of period)</t>
        </is>
      </c>
      <c r="P79" t="n">
        <v>0</v>
      </c>
      <c r="Q79" t="n">
        <v>580.8587000000005</v>
      </c>
      <c r="R79" t="n">
        <v>658.1405862700012</v>
      </c>
      <c r="S79" t="n">
        <v>660.4770485500012</v>
      </c>
      <c r="T79" t="n">
        <v>708.7866822999999</v>
      </c>
      <c r="U79" t="n">
        <v>866.1053628277831</v>
      </c>
      <c r="V79" t="n">
        <v>878.1814259776548</v>
      </c>
      <c r="W79" t="n">
        <v>878.0938615188063</v>
      </c>
      <c r="X79" t="n">
        <v>852.1033800359602</v>
      </c>
      <c r="Y79" t="n">
        <v>827.4263425568353</v>
      </c>
      <c r="Z79" t="n">
        <v>835.3919004734252</v>
      </c>
      <c r="AA79" t="n">
        <v>857.0100218853844</v>
      </c>
      <c r="AB79" t="n">
        <v>1012.592759482074</v>
      </c>
      <c r="AC79" t="n">
        <v>1062.267197168192</v>
      </c>
      <c r="AD79" t="n">
        <v>1197.014489336897</v>
      </c>
      <c r="AE79" t="n">
        <v>1285.371985268627</v>
      </c>
      <c r="AF79" t="n">
        <v>1354.379685147124</v>
      </c>
      <c r="AG79" t="n">
        <v>1424.737235846977</v>
      </c>
      <c r="AH79" t="n">
        <v>1505.509166628372</v>
      </c>
      <c r="AI79" t="n">
        <v>1561.222816742183</v>
      </c>
      <c r="AJ79" t="n">
        <v>1579.792047049458</v>
      </c>
      <c r="AK79" t="n">
        <v>1570.504851653702</v>
      </c>
      <c r="AL79" t="n">
        <v>1555.023311542925</v>
      </c>
      <c r="AM79" t="n">
        <v>1544.17313871989</v>
      </c>
      <c r="AN79" t="n">
        <v>1533.92025012727</v>
      </c>
      <c r="AO79" t="n">
        <v>1519.056219081537</v>
      </c>
      <c r="AP79" t="n">
        <v>1501.360935608064</v>
      </c>
      <c r="AQ79" t="n">
        <v>1483.140575222614</v>
      </c>
      <c r="AR79" t="n">
        <v>1464.864210280449</v>
      </c>
      <c r="AS79" t="n">
        <v>1446.443724481596</v>
      </c>
      <c r="AT79" t="n">
        <v>1432.285698302348</v>
      </c>
      <c r="AU79" t="n">
        <v>1424.483511863491</v>
      </c>
      <c r="AV79" t="n">
        <v>1416.46240360609</v>
      </c>
      <c r="AW79" t="n">
        <v>1408.849570282633</v>
      </c>
    </row>
    <row r="80">
      <c r="A80" t="inlineStr">
        <is>
          <t>Dominica_2022_January</t>
        </is>
      </c>
      <c r="C80" t="inlineStr">
        <is>
          <t>SM.22.7, Sup.2</t>
        </is>
      </c>
      <c r="D80" t="inlineStr">
        <is>
          <t>Dominica</t>
        </is>
      </c>
      <c r="E80" t="inlineStr">
        <is>
          <t>DMA</t>
        </is>
      </c>
      <c r="F80" s="11" t="n">
        <v>44562</v>
      </c>
      <c r="G80" t="inlineStr">
        <is>
          <t>2018gn</t>
        </is>
      </c>
      <c r="H80" t="n">
        <v>2021</v>
      </c>
      <c r="I80" t="inlineStr">
        <is>
          <t>dod.pub.dom</t>
        </is>
      </c>
      <c r="M80" t="inlineStr">
        <is>
          <t>Share of foreign-currency denominated Public debt in total Public debt (previous period)</t>
        </is>
      </c>
      <c r="P80" t="inlineStr">
        <is>
          <t>…</t>
        </is>
      </c>
      <c r="Q80" t="n">
        <v>0</v>
      </c>
      <c r="R80" t="n">
        <v>1</v>
      </c>
      <c r="S80" t="n">
        <v>1</v>
      </c>
      <c r="T80" t="n">
        <v>1</v>
      </c>
      <c r="U80" t="n">
        <v>1</v>
      </c>
      <c r="V80" t="n">
        <v>1</v>
      </c>
      <c r="W80" t="n">
        <v>0.8499049328201811</v>
      </c>
      <c r="X80" t="n">
        <v>0.8455103759289958</v>
      </c>
      <c r="Y80" t="n">
        <v>0.7512154192430791</v>
      </c>
      <c r="Z80" t="n">
        <v>0.6778227690872064</v>
      </c>
      <c r="AA80" t="n">
        <v>0.6196005215956749</v>
      </c>
      <c r="AB80" t="n">
        <v>0.5808910454971673</v>
      </c>
      <c r="AC80" t="n">
        <v>0.6289536264449217</v>
      </c>
      <c r="AD80" t="n">
        <v>0.6358184517302932</v>
      </c>
      <c r="AE80" t="n">
        <v>0.6640572797344387</v>
      </c>
      <c r="AF80" t="n">
        <v>0.6850040416935633</v>
      </c>
      <c r="AG80" t="n">
        <v>0.7010041051459945</v>
      </c>
      <c r="AH80" t="n">
        <v>0.7186886575385744</v>
      </c>
      <c r="AI80" t="n">
        <v>0.7393182346710512</v>
      </c>
      <c r="AJ80" t="n">
        <v>0.7570942496394645</v>
      </c>
      <c r="AK80" t="n">
        <v>0.7703842526478015</v>
      </c>
      <c r="AL80" t="n">
        <v>0.7782431596669056</v>
      </c>
      <c r="AM80" t="n">
        <v>0.7861073852379103</v>
      </c>
      <c r="AN80" t="n">
        <v>0.7948455596707847</v>
      </c>
      <c r="AO80" t="n">
        <v>0.8054396112889817</v>
      </c>
      <c r="AP80" t="n">
        <v>0.806697842678714</v>
      </c>
      <c r="AQ80" t="n">
        <v>0.8063429846394121</v>
      </c>
      <c r="AR80" t="n">
        <v>0.8104168597536836</v>
      </c>
      <c r="AS80" t="n">
        <v>0.80995646719334</v>
      </c>
      <c r="AT80" t="n">
        <v>0.8069755045349781</v>
      </c>
      <c r="AU80" t="n">
        <v>0.8012398147323142</v>
      </c>
      <c r="AV80" t="n">
        <v>0.7931144337035215</v>
      </c>
      <c r="AW80" t="n">
        <v>0.7832512970001114</v>
      </c>
    </row>
    <row r="81">
      <c r="A81" t="inlineStr">
        <is>
          <t>Dominica_2022_January</t>
        </is>
      </c>
      <c r="C81" t="inlineStr">
        <is>
          <t>SM.22.7, Sup.2</t>
        </is>
      </c>
      <c r="D81" t="inlineStr">
        <is>
          <t>Dominica</t>
        </is>
      </c>
      <c r="E81" t="inlineStr">
        <is>
          <t>DMA</t>
        </is>
      </c>
      <c r="F81" s="11" t="n">
        <v>44562</v>
      </c>
      <c r="G81" t="inlineStr">
        <is>
          <t>2018gn</t>
        </is>
      </c>
      <c r="H81" t="n">
        <v>2021</v>
      </c>
      <c r="I81" t="inlineStr">
        <is>
          <t>dod.fgn.cur</t>
        </is>
      </c>
      <c r="M81" t="inlineStr">
        <is>
          <t xml:space="preserve">Share of local-currency denominated external public debt in total external debt </t>
        </is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</row>
    <row r="82">
      <c r="A82" t="inlineStr">
        <is>
          <t>Dominica_2022_January</t>
        </is>
      </c>
      <c r="C82" t="inlineStr">
        <is>
          <t>SM.22.7, Sup.2</t>
        </is>
      </c>
      <c r="D82" t="inlineStr">
        <is>
          <t>Dominica</t>
        </is>
      </c>
      <c r="E82" t="inlineStr">
        <is>
          <t>DMA</t>
        </is>
      </c>
      <c r="F82" s="11" t="n">
        <v>44562</v>
      </c>
      <c r="G82" t="inlineStr">
        <is>
          <t>2018gn</t>
        </is>
      </c>
      <c r="H82" t="n">
        <v>2021</v>
      </c>
      <c r="I82" t="inlineStr">
        <is>
          <t>dod.dom.cur.shr</t>
        </is>
      </c>
      <c r="M82" t="inlineStr">
        <is>
          <t>Interest rate on external debt</t>
        </is>
      </c>
      <c r="P82" t="inlineStr">
        <is>
          <t>...</t>
        </is>
      </c>
      <c r="Q82" t="n">
        <v>3.050512762035024</v>
      </c>
      <c r="R82" t="n">
        <v>2.004132726255111</v>
      </c>
      <c r="S82" t="n">
        <v>1.779477097192027</v>
      </c>
      <c r="T82" t="n">
        <v>6.067074577076133</v>
      </c>
      <c r="U82" t="n">
        <v>2.19770531656334</v>
      </c>
      <c r="V82" t="n">
        <v>2.038289838358878</v>
      </c>
      <c r="W82" t="n">
        <v>1.75124503263991</v>
      </c>
      <c r="X82" t="n">
        <v>2.115936543260082</v>
      </c>
      <c r="Y82" t="n">
        <v>1.991483606048347</v>
      </c>
      <c r="Z82" t="n">
        <v>1.903519056612355</v>
      </c>
      <c r="AA82" t="n">
        <v>1.849347325637791</v>
      </c>
      <c r="AB82" t="n">
        <v>1.500478100793992</v>
      </c>
      <c r="AC82" t="n">
        <v>1.747572702254565</v>
      </c>
      <c r="AD82" t="n">
        <v>1.609066369351921</v>
      </c>
      <c r="AE82" t="n">
        <v>1.563115008993214</v>
      </c>
      <c r="AF82" t="n">
        <v>1.492423340771532</v>
      </c>
      <c r="AG82" t="n">
        <v>1.352166143459333</v>
      </c>
      <c r="AH82" t="n">
        <v>1.19740307592564</v>
      </c>
      <c r="AI82" t="n">
        <v>1.109416102058556</v>
      </c>
      <c r="AJ82" t="n">
        <v>1.193597892538053</v>
      </c>
      <c r="AK82" t="n">
        <v>1.24242899056534</v>
      </c>
      <c r="AL82" t="n">
        <v>1.198468374988287</v>
      </c>
      <c r="AM82" t="n">
        <v>1.114746015671639</v>
      </c>
      <c r="AN82" t="n">
        <v>1.288244269549149</v>
      </c>
      <c r="AO82" t="n">
        <v>2.110627249601816</v>
      </c>
      <c r="AP82" t="n">
        <v>2.101373705784134</v>
      </c>
      <c r="AQ82" t="n">
        <v>0.9555854212926788</v>
      </c>
      <c r="AR82" t="n">
        <v>1.237982726504404</v>
      </c>
      <c r="AS82" t="n">
        <v>0.7730048729440145</v>
      </c>
      <c r="AT82" t="n">
        <v>0.9989681068141034</v>
      </c>
      <c r="AU82" t="n">
        <v>1.081435259706139</v>
      </c>
      <c r="AV82" t="n">
        <v>1.049122250636486</v>
      </c>
      <c r="AW82" t="n">
        <v>1.392728580806361</v>
      </c>
    </row>
    <row r="83">
      <c r="A83" t="inlineStr">
        <is>
          <t>Dominica_2022_January</t>
        </is>
      </c>
      <c r="C83" t="inlineStr">
        <is>
          <t>SM.22.7, Sup.2</t>
        </is>
      </c>
      <c r="D83" t="inlineStr">
        <is>
          <t>Dominica</t>
        </is>
      </c>
      <c r="E83" t="inlineStr">
        <is>
          <t>DMA</t>
        </is>
      </c>
      <c r="F83" s="11" t="n">
        <v>44562</v>
      </c>
      <c r="G83" t="inlineStr">
        <is>
          <t>2018gn</t>
        </is>
      </c>
      <c r="H83" t="n">
        <v>2021</v>
      </c>
      <c r="I83" t="inlineStr">
        <is>
          <t>int.rat.ext.dbt</t>
        </is>
      </c>
      <c r="M83" t="inlineStr">
        <is>
          <t>Interest rate on domestic debt</t>
        </is>
      </c>
      <c r="P83" t="inlineStr">
        <is>
          <t>...</t>
        </is>
      </c>
      <c r="Q83" t="inlineStr">
        <is>
          <t>...</t>
        </is>
      </c>
      <c r="R83" t="inlineStr">
        <is>
          <t>...</t>
        </is>
      </c>
      <c r="S83" t="inlineStr">
        <is>
          <t>...</t>
        </is>
      </c>
      <c r="T83" t="inlineStr">
        <is>
          <t>...</t>
        </is>
      </c>
      <c r="U83" t="inlineStr">
        <is>
          <t>...</t>
        </is>
      </c>
      <c r="V83" t="inlineStr">
        <is>
          <t>...</t>
        </is>
      </c>
      <c r="W83" t="n">
        <v>1.57578933345448</v>
      </c>
      <c r="X83" t="n">
        <v>3.059925750743005</v>
      </c>
      <c r="Y83" t="n">
        <v>1.895934584649744</v>
      </c>
      <c r="Z83" t="n">
        <v>1.261354298990168</v>
      </c>
      <c r="AA83" t="n">
        <v>0.9795538380010633</v>
      </c>
      <c r="AB83" t="n">
        <v>0.5492612175516104</v>
      </c>
      <c r="AC83" t="n">
        <v>3.886692365136326</v>
      </c>
      <c r="AD83" t="n">
        <v>3.807512960517175</v>
      </c>
      <c r="AE83" t="n">
        <v>4.306922084194206</v>
      </c>
      <c r="AF83" t="n">
        <v>5.006621207874263</v>
      </c>
      <c r="AG83" t="n">
        <v>5.021382247078897</v>
      </c>
      <c r="AH83" t="n">
        <v>4.993225569423969</v>
      </c>
      <c r="AI83" t="n">
        <v>4.973699895695894</v>
      </c>
      <c r="AJ83" t="n">
        <v>5.003605280652217</v>
      </c>
      <c r="AK83" t="n">
        <v>5.107226960792484</v>
      </c>
      <c r="AL83" t="n">
        <v>5.233380794895568</v>
      </c>
      <c r="AM83" t="n">
        <v>5.37295286122853</v>
      </c>
      <c r="AN83" t="n">
        <v>5.54166318549747</v>
      </c>
      <c r="AO83" t="n">
        <v>5.654205995134273</v>
      </c>
      <c r="AP83" t="n">
        <v>5.720947057908312</v>
      </c>
      <c r="AQ83" t="n">
        <v>5.764636058988861</v>
      </c>
      <c r="AR83" t="n">
        <v>5.891618010912585</v>
      </c>
      <c r="AS83" t="n">
        <v>5.986856563974739</v>
      </c>
      <c r="AT83" t="n">
        <v>6.118502545522056</v>
      </c>
      <c r="AU83" t="n">
        <v>6.183097421516575</v>
      </c>
      <c r="AV83" t="n">
        <v>6.187865619720005</v>
      </c>
      <c r="AW83" t="n">
        <v>6.154766677398216</v>
      </c>
    </row>
    <row r="84">
      <c r="A84" t="inlineStr">
        <is>
          <t>Dominica_2022_January</t>
        </is>
      </c>
      <c r="C84" t="inlineStr">
        <is>
          <t>SM.22.7, Sup.2</t>
        </is>
      </c>
      <c r="D84" t="inlineStr">
        <is>
          <t>Dominica</t>
        </is>
      </c>
      <c r="E84" t="inlineStr">
        <is>
          <t>DMA</t>
        </is>
      </c>
      <c r="F84" s="11" t="n">
        <v>44562</v>
      </c>
      <c r="G84" t="inlineStr">
        <is>
          <t>2018gn</t>
        </is>
      </c>
      <c r="H84" t="n">
        <v>2021</v>
      </c>
      <c r="I84" t="inlineStr">
        <is>
          <t>int.rat.dom.dbt</t>
        </is>
      </c>
      <c r="M84" t="inlineStr">
        <is>
          <t>Average Maturity (Debt stock / Amortization)</t>
        </is>
      </c>
      <c r="P84" t="n">
        <v>21.37231001364625</v>
      </c>
      <c r="Q84" t="n">
        <v>17.75463001170685</v>
      </c>
      <c r="R84" t="n">
        <v>23.27045393149714</v>
      </c>
      <c r="S84" t="n">
        <v>17.51569162901785</v>
      </c>
      <c r="T84" t="n">
        <v>14.14369764469506</v>
      </c>
      <c r="U84" t="n">
        <v>20.69900936969522</v>
      </c>
      <c r="V84" t="n">
        <v>16.97131617956157</v>
      </c>
      <c r="W84" t="n">
        <v>15.64312006954352</v>
      </c>
      <c r="X84" t="n">
        <v>17.35582198334003</v>
      </c>
      <c r="Y84" t="n">
        <v>16.40526764624437</v>
      </c>
      <c r="Z84" t="n">
        <v>15.42265179438416</v>
      </c>
      <c r="AA84" t="n">
        <v>-26.47874840509979</v>
      </c>
      <c r="AB84" t="n">
        <v>26.30229232786068</v>
      </c>
      <c r="AC84" t="n">
        <v>32.10576780556901</v>
      </c>
      <c r="AD84" t="n">
        <v>15.99418996642048</v>
      </c>
      <c r="AE84" t="n">
        <v>12.54878284319479</v>
      </c>
      <c r="AF84" t="n">
        <v>17.06562346930935</v>
      </c>
      <c r="AG84" t="n">
        <v>17.92989241767528</v>
      </c>
      <c r="AH84" t="n">
        <v>18.26985128485358</v>
      </c>
      <c r="AI84" t="n">
        <v>18.86479237209339</v>
      </c>
      <c r="AJ84" t="n">
        <v>19.36147109975625</v>
      </c>
      <c r="AK84" t="n">
        <v>20.75929188446069</v>
      </c>
      <c r="AL84" t="n">
        <v>20.49308247868297</v>
      </c>
      <c r="AM84" t="n">
        <v>20.9614222945596</v>
      </c>
      <c r="AN84" t="n">
        <v>21.84065103321975</v>
      </c>
      <c r="AO84" t="n">
        <v>21.23157067717869</v>
      </c>
      <c r="AP84" t="n">
        <v>20.54707137415784</v>
      </c>
      <c r="AQ84" t="n">
        <v>19.88927202617571</v>
      </c>
      <c r="AR84" t="n">
        <v>19.65309520192597</v>
      </c>
      <c r="AS84" t="n">
        <v>18.9122574707299</v>
      </c>
      <c r="AT84" t="n">
        <v>18.20789364804465</v>
      </c>
      <c r="AU84" t="n">
        <v>18.12841087007294</v>
      </c>
      <c r="AV84" t="n">
        <v>16.89864824457592</v>
      </c>
      <c r="AW84" t="n">
        <v>15.97812414484313</v>
      </c>
    </row>
    <row r="85">
      <c r="A85" t="inlineStr">
        <is>
          <t>Dominica_2022_January</t>
        </is>
      </c>
      <c r="C85" t="inlineStr">
        <is>
          <t>SM.22.7, Sup.2</t>
        </is>
      </c>
      <c r="D85" t="inlineStr">
        <is>
          <t>Dominica</t>
        </is>
      </c>
      <c r="E85" t="inlineStr">
        <is>
          <t>DMA</t>
        </is>
      </c>
      <c r="F85" s="11" t="n">
        <v>44562</v>
      </c>
      <c r="G85" t="inlineStr">
        <is>
          <t>2018gn</t>
        </is>
      </c>
      <c r="H85" t="n">
        <v>2021</v>
      </c>
      <c r="I85" t="inlineStr">
        <is>
          <t>avg.mat</t>
        </is>
      </c>
      <c r="K85" t="inlineStr">
        <is>
          <t>US Dollars</t>
        </is>
      </c>
      <c r="L85" t="inlineStr">
        <is>
          <t>Million</t>
        </is>
      </c>
      <c r="M85" t="inlineStr">
        <is>
          <t>Total short-term external debt (public +private)</t>
        </is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</row>
    <row r="86">
      <c r="A86" t="inlineStr">
        <is>
          <t>Dominica_2022_January</t>
        </is>
      </c>
      <c r="C86" t="inlineStr">
        <is>
          <t>SM.22.7, Sup.2</t>
        </is>
      </c>
      <c r="D86" t="inlineStr">
        <is>
          <t>Dominica</t>
        </is>
      </c>
      <c r="E86" t="inlineStr">
        <is>
          <t>DMA</t>
        </is>
      </c>
      <c r="F86" s="11" t="n">
        <v>44562</v>
      </c>
      <c r="G86" t="inlineStr">
        <is>
          <t>2018gn</t>
        </is>
      </c>
      <c r="H86" t="n">
        <v>2021</v>
      </c>
      <c r="I86" t="inlineStr">
        <is>
          <t>dod.dbt.sht.trm.all</t>
        </is>
      </c>
      <c r="M86" t="inlineStr">
        <is>
          <t>Grant element of new public external borrowing (in percent; if available)</t>
        </is>
      </c>
      <c r="P86" t="inlineStr">
        <is>
          <t>…</t>
        </is>
      </c>
      <c r="Q86" t="inlineStr">
        <is>
          <t>…</t>
        </is>
      </c>
      <c r="R86" t="inlineStr">
        <is>
          <t>…</t>
        </is>
      </c>
      <c r="S86" t="inlineStr">
        <is>
          <t>…</t>
        </is>
      </c>
      <c r="T86" t="inlineStr">
        <is>
          <t>…</t>
        </is>
      </c>
      <c r="U86" t="inlineStr">
        <is>
          <t>…</t>
        </is>
      </c>
      <c r="V86" t="inlineStr">
        <is>
          <t>…</t>
        </is>
      </c>
      <c r="W86" t="inlineStr">
        <is>
          <t>…</t>
        </is>
      </c>
      <c r="X86" t="inlineStr">
        <is>
          <t>…</t>
        </is>
      </c>
      <c r="Y86" t="inlineStr">
        <is>
          <t>…</t>
        </is>
      </c>
      <c r="Z86" t="inlineStr">
        <is>
          <t>…</t>
        </is>
      </c>
      <c r="AA86" t="inlineStr">
        <is>
          <t>…</t>
        </is>
      </c>
      <c r="AB86" t="inlineStr">
        <is>
          <t>…</t>
        </is>
      </c>
      <c r="AC86" t="n">
        <v>50.68710139031518</v>
      </c>
      <c r="AD86" t="n">
        <v>53.62018996038654</v>
      </c>
      <c r="AE86" t="n">
        <v>53.08398907852946</v>
      </c>
      <c r="AF86" t="n">
        <v>52.87715590021977</v>
      </c>
      <c r="AG86" t="n">
        <v>52.87130867528681</v>
      </c>
      <c r="AH86" t="n">
        <v>52.87656377977883</v>
      </c>
      <c r="AI86" t="n">
        <v>52.21659984588356</v>
      </c>
      <c r="AJ86" t="n">
        <v>50.66150623219961</v>
      </c>
      <c r="AK86" t="n">
        <v>47.72430345445773</v>
      </c>
      <c r="AL86" t="n">
        <v>46.46774981455022</v>
      </c>
      <c r="AM86" t="n">
        <v>46.56082891351454</v>
      </c>
      <c r="AN86" t="n">
        <v>45.70614479929986</v>
      </c>
      <c r="AO86" t="n">
        <v>45.66974769442279</v>
      </c>
      <c r="AP86" t="n">
        <v>45.3888796302875</v>
      </c>
      <c r="AQ86" t="n">
        <v>45.28501390864929</v>
      </c>
      <c r="AR86" t="n">
        <v>45.20911931625682</v>
      </c>
      <c r="AS86" t="n">
        <v>45.18220847527417</v>
      </c>
      <c r="AT86" t="n">
        <v>45.26178443726823</v>
      </c>
      <c r="AU86" t="n">
        <v>45.14360055854491</v>
      </c>
      <c r="AV86" t="n">
        <v>45.06111418389652</v>
      </c>
      <c r="AW86" t="n">
        <v>45.05965696432074</v>
      </c>
    </row>
    <row r="87">
      <c r="A87" t="inlineStr">
        <is>
          <t>Dominica_2022_January</t>
        </is>
      </c>
      <c r="C87" t="inlineStr">
        <is>
          <t>SM.22.7, Sup.2</t>
        </is>
      </c>
      <c r="D87" t="inlineStr">
        <is>
          <t>Dominica</t>
        </is>
      </c>
      <c r="E87" t="inlineStr">
        <is>
          <t>DMA</t>
        </is>
      </c>
      <c r="F87" s="11" t="n">
        <v>44562</v>
      </c>
      <c r="G87" t="inlineStr">
        <is>
          <t>2018gn</t>
        </is>
      </c>
      <c r="H87" t="n">
        <v>2021</v>
      </c>
      <c r="I87" t="inlineStr">
        <is>
          <t>new.dis.ext.grt.lmt</t>
        </is>
      </c>
      <c r="K87" t="inlineStr">
        <is>
          <t>National Currency</t>
        </is>
      </c>
      <c r="L87" t="inlineStr">
        <is>
          <t>Million</t>
        </is>
      </c>
      <c r="M87" t="inlineStr">
        <is>
          <t>PV of contingent liabilities (if available)</t>
        </is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</row>
    <row r="88">
      <c r="A88" t="inlineStr">
        <is>
          <t>Dominica_2022_January</t>
        </is>
      </c>
      <c r="C88" t="inlineStr">
        <is>
          <t>SM.22.7, Sup.2</t>
        </is>
      </c>
      <c r="D88" t="inlineStr">
        <is>
          <t>Dominica</t>
        </is>
      </c>
      <c r="E88" t="inlineStr">
        <is>
          <t>DMA</t>
        </is>
      </c>
      <c r="F88" s="11" t="n">
        <v>44562</v>
      </c>
      <c r="G88" t="inlineStr">
        <is>
          <t>2018gn</t>
        </is>
      </c>
      <c r="H88" t="n">
        <v>2021</v>
      </c>
      <c r="I88" t="inlineStr">
        <is>
          <t>pv.conting.liab</t>
        </is>
      </c>
      <c r="M88" t="inlineStr">
        <is>
          <t>PV of public sector external debt (end of period)</t>
        </is>
      </c>
      <c r="P88" t="inlineStr">
        <is>
          <t>…</t>
        </is>
      </c>
      <c r="Q88" t="inlineStr">
        <is>
          <t>…</t>
        </is>
      </c>
      <c r="R88" t="inlineStr">
        <is>
          <t>…</t>
        </is>
      </c>
      <c r="S88" t="inlineStr">
        <is>
          <t>…</t>
        </is>
      </c>
      <c r="T88" t="inlineStr">
        <is>
          <t>…</t>
        </is>
      </c>
      <c r="U88" t="inlineStr">
        <is>
          <t>…</t>
        </is>
      </c>
      <c r="V88" t="inlineStr">
        <is>
          <t>…</t>
        </is>
      </c>
      <c r="W88" t="inlineStr">
        <is>
          <t>…</t>
        </is>
      </c>
      <c r="X88" t="inlineStr">
        <is>
          <t>…</t>
        </is>
      </c>
      <c r="Y88" t="inlineStr">
        <is>
          <t>…</t>
        </is>
      </c>
      <c r="Z88" t="inlineStr">
        <is>
          <t>…</t>
        </is>
      </c>
      <c r="AA88" t="inlineStr">
        <is>
          <t>…</t>
        </is>
      </c>
      <c r="AB88" t="n">
        <v>732.6058469743149</v>
      </c>
      <c r="AC88" t="n">
        <v>751.5466015094555</v>
      </c>
      <c r="AD88" t="n">
        <v>793.3330332333973</v>
      </c>
      <c r="AE88" t="n">
        <v>814.9942954596561</v>
      </c>
      <c r="AF88" t="n">
        <v>829.3856603217379</v>
      </c>
      <c r="AG88" t="n">
        <v>850.570403347096</v>
      </c>
      <c r="AH88" t="n">
        <v>881.5194252431604</v>
      </c>
      <c r="AI88" t="n">
        <v>905.632402920706</v>
      </c>
      <c r="AJ88" t="n">
        <v>913.0848375803415</v>
      </c>
      <c r="AK88" t="n">
        <v>908.0417280417704</v>
      </c>
      <c r="AL88" t="n">
        <v>900.4465758080623</v>
      </c>
      <c r="AM88" t="n">
        <v>897.3880579435224</v>
      </c>
      <c r="AN88" t="n">
        <v>894.0457413223719</v>
      </c>
      <c r="AO88" t="n">
        <v>873.1317277941283</v>
      </c>
      <c r="AP88" t="n">
        <v>848.9249198679399</v>
      </c>
      <c r="AQ88" t="n">
        <v>840.0002199892065</v>
      </c>
      <c r="AR88" t="n">
        <v>825.8314484054609</v>
      </c>
      <c r="AS88" t="n">
        <v>816.8405373246372</v>
      </c>
      <c r="AT88" t="n">
        <v>806.8928799922463</v>
      </c>
      <c r="AU88" t="n">
        <v>801.1326433377801</v>
      </c>
      <c r="AV88" t="n">
        <v>794.8438001712527</v>
      </c>
      <c r="AW88" t="n">
        <v>782.952559416355</v>
      </c>
    </row>
    <row r="89">
      <c r="A89" t="inlineStr">
        <is>
          <t>Dominica_2022_January</t>
        </is>
      </c>
      <c r="C89" t="inlineStr">
        <is>
          <t>SM.22.7, Sup.2</t>
        </is>
      </c>
      <c r="D89" t="inlineStr">
        <is>
          <t>Dominica</t>
        </is>
      </c>
      <c r="E89" t="inlineStr">
        <is>
          <t>DMA</t>
        </is>
      </c>
      <c r="F89" s="11" t="n">
        <v>44562</v>
      </c>
      <c r="G89" t="inlineStr">
        <is>
          <t>2018gn</t>
        </is>
      </c>
      <c r="H89" t="n">
        <v>2021</v>
      </c>
      <c r="I89" t="inlineStr">
        <is>
          <t>pv.pub.ext.dbt.eop</t>
        </is>
      </c>
      <c r="M89" t="inlineStr">
        <is>
          <t>Total public debt outstanding (net)</t>
        </is>
      </c>
      <c r="P89" t="n">
        <v>577.9093999999986</v>
      </c>
      <c r="Q89" t="n">
        <v>580.8587000000005</v>
      </c>
      <c r="R89" t="n">
        <v>658.1405862700012</v>
      </c>
      <c r="S89" t="n">
        <v>660.4770485500012</v>
      </c>
      <c r="T89" t="n">
        <v>708.7866822999999</v>
      </c>
      <c r="U89" t="n">
        <v>866.1053628277831</v>
      </c>
      <c r="V89" t="n">
        <v>975.9056836000008</v>
      </c>
      <c r="W89" t="n">
        <v>871.7198117764563</v>
      </c>
      <c r="X89" t="n">
        <v>827.9500512501961</v>
      </c>
      <c r="Y89" t="n">
        <v>897.5300066726044</v>
      </c>
      <c r="Z89" t="n">
        <v>1209.865011651082</v>
      </c>
      <c r="AA89" t="n">
        <v>1248.540587485384</v>
      </c>
      <c r="AB89" t="n">
        <v>1357.378511542074</v>
      </c>
      <c r="AC89" t="n">
        <v>1527.822762224122</v>
      </c>
      <c r="AD89" t="n">
        <v>1596.691576957116</v>
      </c>
      <c r="AE89" t="n">
        <v>1676.558792394816</v>
      </c>
      <c r="AF89" t="n">
        <v>1789.171121088815</v>
      </c>
      <c r="AG89" t="n">
        <v>1891.526712769917</v>
      </c>
      <c r="AH89" t="n">
        <v>1962.462354315947</v>
      </c>
      <c r="AI89" t="n">
        <v>1996.239195973142</v>
      </c>
      <c r="AJ89" t="n">
        <v>1992.769057197312</v>
      </c>
      <c r="AK89" t="n">
        <v>1952.127460193893</v>
      </c>
      <c r="AL89" t="n">
        <v>1872.245313653086</v>
      </c>
      <c r="AM89" t="n">
        <v>1771.847964621998</v>
      </c>
      <c r="AN89" t="n">
        <v>1663.56538240488</v>
      </c>
      <c r="AO89" t="n">
        <v>1553.169179111654</v>
      </c>
      <c r="AP89" t="n">
        <v>1396.052772477103</v>
      </c>
      <c r="AQ89" t="n">
        <v>1218.210314574114</v>
      </c>
      <c r="AR89" t="n">
        <v>1133.685944920204</v>
      </c>
      <c r="AS89" t="n">
        <v>1043.540223621305</v>
      </c>
      <c r="AT89" t="n">
        <v>960.7011883506229</v>
      </c>
      <c r="AU89" t="n">
        <v>881.1774396498922</v>
      </c>
      <c r="AV89" t="n">
        <v>797.5536807863455</v>
      </c>
      <c r="AW89" t="n">
        <v>719.9149534292537</v>
      </c>
    </row>
    <row r="90">
      <c r="A90" t="inlineStr">
        <is>
          <t>Dominica_2022_January</t>
        </is>
      </c>
      <c r="C90" t="inlineStr">
        <is>
          <t>SM.22.7, Sup.2</t>
        </is>
      </c>
      <c r="D90" t="inlineStr">
        <is>
          <t>Dominica</t>
        </is>
      </c>
      <c r="E90" t="inlineStr">
        <is>
          <t>DMA</t>
        </is>
      </c>
      <c r="F90" s="11" t="n">
        <v>44562</v>
      </c>
      <c r="G90" t="inlineStr">
        <is>
          <t>2018gn</t>
        </is>
      </c>
      <c r="H90" t="n">
        <v>2021</v>
      </c>
      <c r="I90" t="inlineStr">
        <is>
          <t>dod.pub.dbt</t>
        </is>
      </c>
    </row>
    <row r="91">
      <c r="A91" t="inlineStr">
        <is>
          <t>Dominica_2022_January</t>
        </is>
      </c>
      <c r="C91" t="inlineStr">
        <is>
          <t>SM.22.7, Sup.2</t>
        </is>
      </c>
      <c r="D91" t="inlineStr">
        <is>
          <t>Dominica</t>
        </is>
      </c>
      <c r="E91" t="inlineStr">
        <is>
          <t>DMA</t>
        </is>
      </c>
      <c r="F91" s="11" t="n">
        <v>44562</v>
      </c>
      <c r="G91" t="inlineStr">
        <is>
          <t>2018gn</t>
        </is>
      </c>
      <c r="H91" t="n">
        <v>2021</v>
      </c>
      <c r="K91" t="inlineStr">
        <is>
          <t>US Dollars</t>
        </is>
      </c>
      <c r="L91" t="inlineStr">
        <is>
          <t>Million</t>
        </is>
      </c>
      <c r="M91" t="inlineStr">
        <is>
          <t>Government revenues (excluding grants)</t>
        </is>
      </c>
      <c r="P91" t="n">
        <v>165.2851707598018</v>
      </c>
      <c r="Q91" t="n">
        <v>174.1984168963203</v>
      </c>
      <c r="R91" t="n">
        <v>174.6698185666666</v>
      </c>
      <c r="S91" t="n">
        <v>174.2855931444444</v>
      </c>
      <c r="T91" t="n">
        <v>183.1545438518519</v>
      </c>
      <c r="U91" t="n">
        <v>186.505067127037</v>
      </c>
      <c r="V91" t="n">
        <v>180.7274949022182</v>
      </c>
      <c r="W91" t="n">
        <v>280.7772592125103</v>
      </c>
      <c r="X91" t="n">
        <v>370.9069069704667</v>
      </c>
      <c r="Y91" t="n">
        <v>295.778556766147</v>
      </c>
      <c r="Z91" t="n">
        <v>305.6059664106845</v>
      </c>
      <c r="AA91" t="n">
        <v>262.1309839633574</v>
      </c>
      <c r="AB91" t="n">
        <v>347.7901160267763</v>
      </c>
      <c r="AC91" t="n">
        <v>342.829407369227</v>
      </c>
      <c r="AD91" t="n">
        <v>351.1865479178338</v>
      </c>
      <c r="AE91" t="n">
        <v>366.0070717845873</v>
      </c>
      <c r="AF91" t="n">
        <v>378.3333212175712</v>
      </c>
      <c r="AG91" t="n">
        <v>388.4114197343394</v>
      </c>
      <c r="AH91" t="n">
        <v>402.9219164722672</v>
      </c>
      <c r="AI91" t="n">
        <v>419.2724143611461</v>
      </c>
      <c r="AJ91" t="n">
        <v>437.4784490990444</v>
      </c>
      <c r="AK91" t="n">
        <v>454.5666841044377</v>
      </c>
      <c r="AL91" t="n">
        <v>465.7909590420622</v>
      </c>
      <c r="AM91" t="n">
        <v>477.1995925508687</v>
      </c>
      <c r="AN91" t="n">
        <v>490.7148261837218</v>
      </c>
      <c r="AO91" t="n">
        <v>505.9099265237265</v>
      </c>
      <c r="AP91" t="n">
        <v>522.4605109368216</v>
      </c>
      <c r="AQ91" t="n">
        <v>539.8226867580175</v>
      </c>
      <c r="AR91" t="n">
        <v>523.8166278544096</v>
      </c>
      <c r="AS91" t="n">
        <v>541.2077680207449</v>
      </c>
      <c r="AT91" t="n">
        <v>559.2930070197774</v>
      </c>
      <c r="AU91" t="n">
        <v>577.6032103610298</v>
      </c>
      <c r="AV91" t="n">
        <v>576.5106289457887</v>
      </c>
      <c r="AW91" t="n">
        <v>575.3794794791007</v>
      </c>
    </row>
    <row r="92">
      <c r="A92" t="inlineStr">
        <is>
          <t>Dominica_2022_January</t>
        </is>
      </c>
      <c r="C92" t="inlineStr">
        <is>
          <t>SM.22.7, Sup.2</t>
        </is>
      </c>
      <c r="D92" t="inlineStr">
        <is>
          <t>Dominica</t>
        </is>
      </c>
      <c r="E92" t="inlineStr">
        <is>
          <t>DMA</t>
        </is>
      </c>
      <c r="F92" s="11" t="n">
        <v>44562</v>
      </c>
      <c r="G92" t="inlineStr">
        <is>
          <t>2018gn</t>
        </is>
      </c>
      <c r="H92" t="n">
        <v>2021</v>
      </c>
      <c r="I92" t="inlineStr">
        <is>
          <t>gov.rev.exc.grt</t>
        </is>
      </c>
      <c r="M92" t="inlineStr">
        <is>
          <t>Real revenue and grants</t>
        </is>
      </c>
      <c r="P92" t="n">
        <v>522.6825731067669</v>
      </c>
      <c r="Q92" t="n">
        <v>524.330447956164</v>
      </c>
      <c r="R92" t="n">
        <v>531.6155848976816</v>
      </c>
      <c r="S92" t="n">
        <v>475.6027022012486</v>
      </c>
      <c r="T92" t="n">
        <v>468.2588655304025</v>
      </c>
      <c r="U92" t="n">
        <v>475.7515977757374</v>
      </c>
      <c r="V92" t="n">
        <v>434.9742494439308</v>
      </c>
      <c r="W92" t="n">
        <v>630.9627545204994</v>
      </c>
      <c r="X92" t="n">
        <v>797.4159291071281</v>
      </c>
      <c r="Y92" t="n">
        <v>673.4422272963498</v>
      </c>
      <c r="Z92" t="n">
        <v>645.593860062668</v>
      </c>
      <c r="AA92" t="n">
        <v>564.8919744879145</v>
      </c>
      <c r="AB92" t="n">
        <v>738.4378092514512</v>
      </c>
      <c r="AC92" t="n">
        <v>710.9056062734464</v>
      </c>
      <c r="AD92" t="n">
        <v>714.2010515119658</v>
      </c>
      <c r="AE92" t="n">
        <v>730.6869521188403</v>
      </c>
      <c r="AF92" t="n">
        <v>741.4312267638576</v>
      </c>
      <c r="AG92" t="n">
        <v>747.1629336442738</v>
      </c>
      <c r="AH92" t="n">
        <v>762.3760824203054</v>
      </c>
      <c r="AI92" t="n">
        <v>780.1126614838516</v>
      </c>
      <c r="AJ92" t="n">
        <v>798.0988801352877</v>
      </c>
      <c r="AK92" t="n">
        <v>813.2131750206257</v>
      </c>
      <c r="AL92" t="n">
        <v>817.5219251101062</v>
      </c>
      <c r="AM92" t="n">
        <v>821.5247707993709</v>
      </c>
      <c r="AN92" t="n">
        <v>828.4907862407774</v>
      </c>
      <c r="AO92" t="n">
        <v>837.5632789907918</v>
      </c>
      <c r="AP92" t="n">
        <v>848.1041710924214</v>
      </c>
      <c r="AQ92" t="n">
        <v>859.1875657629968</v>
      </c>
      <c r="AR92" t="n">
        <v>819.965574729723</v>
      </c>
      <c r="AS92" t="n">
        <v>824.4793027252055</v>
      </c>
      <c r="AT92" t="n">
        <v>841.6666795030579</v>
      </c>
      <c r="AU92" t="n">
        <v>845.9404413516197</v>
      </c>
      <c r="AV92" t="n">
        <v>829.3534191612511</v>
      </c>
      <c r="AW92" t="n">
        <v>813.0916424945051</v>
      </c>
    </row>
    <row r="93">
      <c r="A93" t="inlineStr">
        <is>
          <t>Dominica_2022_January</t>
        </is>
      </c>
      <c r="C93" t="inlineStr">
        <is>
          <t>SM.22.7, Sup.2</t>
        </is>
      </c>
      <c r="D93" t="inlineStr">
        <is>
          <t>Dominica</t>
        </is>
      </c>
      <c r="E93" t="inlineStr">
        <is>
          <t>DMA</t>
        </is>
      </c>
      <c r="F93" s="11" t="n">
        <v>44562</v>
      </c>
      <c r="G93" t="inlineStr">
        <is>
          <t>2018gn</t>
        </is>
      </c>
      <c r="H93" t="n">
        <v>2021</v>
      </c>
      <c r="I93" t="inlineStr">
        <is>
          <t>rev.real.inc.grt</t>
        </is>
      </c>
      <c r="M93" t="inlineStr">
        <is>
          <t>Growth in real revenues and grants</t>
        </is>
      </c>
      <c r="P93" t="inlineStr">
        <is>
          <t>...</t>
        </is>
      </c>
      <c r="Q93" t="n">
        <v>0.3152725830521508</v>
      </c>
      <c r="R93" t="n">
        <v>1.389417107077229</v>
      </c>
      <c r="S93" t="n">
        <v>-10.53635075563364</v>
      </c>
      <c r="T93" t="n">
        <v>-1.544111637056789</v>
      </c>
      <c r="U93" t="n">
        <v>1.60012608343203</v>
      </c>
      <c r="V93" t="n">
        <v>-8.571142697670652</v>
      </c>
      <c r="W93" t="n">
        <v>45.05749600743479</v>
      </c>
      <c r="X93" t="n">
        <v>26.3808241285375</v>
      </c>
      <c r="Y93" t="n">
        <v>-15.5469306901848</v>
      </c>
      <c r="Z93" t="n">
        <v>-4.135227359514393</v>
      </c>
      <c r="AA93" t="n">
        <v>-12.50041094983768</v>
      </c>
      <c r="AB93" t="n">
        <v>30.72195085102056</v>
      </c>
      <c r="AC93" t="n">
        <v>-3.728438960338987</v>
      </c>
      <c r="AD93" t="n">
        <v>0.4635559502468967</v>
      </c>
      <c r="AE93" t="n">
        <v>2.308299682837722</v>
      </c>
      <c r="AF93" t="n">
        <v>1.470434720896696</v>
      </c>
      <c r="AG93" t="n">
        <v>0.7730598164085389</v>
      </c>
      <c r="AH93" t="n">
        <v>2.036121987720896</v>
      </c>
      <c r="AI93" t="n">
        <v>2.326486818321771</v>
      </c>
      <c r="AJ93" t="n">
        <v>2.305592453431604</v>
      </c>
      <c r="AK93" t="n">
        <v>1.893787256383073</v>
      </c>
      <c r="AL93" t="n">
        <v>0.5298426318992133</v>
      </c>
      <c r="AM93" t="n">
        <v>0.489631600855911</v>
      </c>
      <c r="AN93" t="n">
        <v>0.8479373585568606</v>
      </c>
      <c r="AO93" t="n">
        <v>1.095062600657304</v>
      </c>
      <c r="AP93" t="n">
        <v>1.258518892367233</v>
      </c>
      <c r="AQ93" t="n">
        <v>1.30684355157682</v>
      </c>
      <c r="AR93" t="n">
        <v>-4.565009154717325</v>
      </c>
      <c r="AS93" t="n">
        <v>0.5504777437723929</v>
      </c>
      <c r="AT93" t="n">
        <v>2.084634110406647</v>
      </c>
      <c r="AU93" t="n">
        <v>0.5077736772334918</v>
      </c>
      <c r="AV93" t="n">
        <v>-1.960778960261833</v>
      </c>
      <c r="AW93" t="n">
        <v>-1.960777672224701</v>
      </c>
    </row>
    <row r="94">
      <c r="A94" t="inlineStr">
        <is>
          <t>Dominica_2022_January</t>
        </is>
      </c>
      <c r="C94" t="inlineStr">
        <is>
          <t>SM.22.7, Sup.2</t>
        </is>
      </c>
      <c r="D94" t="inlineStr">
        <is>
          <t>Dominica</t>
        </is>
      </c>
      <c r="E94" t="inlineStr">
        <is>
          <t>DMA</t>
        </is>
      </c>
      <c r="F94" s="11" t="n">
        <v>44562</v>
      </c>
      <c r="G94" t="inlineStr">
        <is>
          <t>2018gn</t>
        </is>
      </c>
      <c r="H94" t="n">
        <v>2021</v>
      </c>
      <c r="I94" t="inlineStr">
        <is>
          <t>gov.rev.gwth</t>
        </is>
      </c>
      <c r="M94" t="inlineStr">
        <is>
          <t>Revenues in percent of GDP</t>
        </is>
      </c>
      <c r="P94" t="n">
        <v>34.89736341403367</v>
      </c>
      <c r="Q94" t="n">
        <v>35.44579598820429</v>
      </c>
      <c r="R94" t="n">
        <v>35.11473959495179</v>
      </c>
      <c r="S94" t="n">
        <v>35.31543448982349</v>
      </c>
      <c r="T94" t="n">
        <v>37.21546727674322</v>
      </c>
      <c r="U94" t="n">
        <v>36.61535696316386</v>
      </c>
      <c r="V94" t="n">
        <v>34.06203767593243</v>
      </c>
      <c r="W94" t="n">
        <v>50.27495763153369</v>
      </c>
      <c r="X94" t="n">
        <v>66.47596956806127</v>
      </c>
      <c r="Y94" t="n">
        <v>53.58113772252431</v>
      </c>
      <c r="Z94" t="n">
        <v>51.79305336276669</v>
      </c>
      <c r="AA94" t="n">
        <v>45.20275617558526</v>
      </c>
      <c r="AB94" t="n">
        <v>61.82293048151416</v>
      </c>
      <c r="AC94" t="n">
        <v>56.12179948666217</v>
      </c>
      <c r="AD94" t="n">
        <v>52.84462477609401</v>
      </c>
      <c r="AE94" t="n">
        <v>51.44997374542145</v>
      </c>
      <c r="AF94" t="n">
        <v>49.98845432011551</v>
      </c>
      <c r="AG94" t="n">
        <v>48.72781991898155</v>
      </c>
      <c r="AH94" t="n">
        <v>48.49925756813153</v>
      </c>
      <c r="AI94" t="n">
        <v>48.41429630916701</v>
      </c>
      <c r="AJ94" t="n">
        <v>48.31932161065222</v>
      </c>
      <c r="AK94" t="n">
        <v>48.06830486872586</v>
      </c>
      <c r="AL94" t="n">
        <v>47.38952523730051</v>
      </c>
      <c r="AM94" t="n">
        <v>46.89485470758573</v>
      </c>
      <c r="AN94" t="n">
        <v>46.57878282742058</v>
      </c>
      <c r="AO94" t="n">
        <v>46.38376210062137</v>
      </c>
      <c r="AP94" t="n">
        <v>46.26792834693888</v>
      </c>
      <c r="AQ94" t="n">
        <v>46.17549181074949</v>
      </c>
      <c r="AR94" t="n">
        <v>43.27862870675449</v>
      </c>
      <c r="AS94" t="n">
        <v>43.19087937641252</v>
      </c>
      <c r="AT94" t="n">
        <v>43.11230351953563</v>
      </c>
      <c r="AU94" t="n">
        <v>43.0056237570027</v>
      </c>
      <c r="AV94" t="n">
        <v>41.46071479286201</v>
      </c>
      <c r="AW94" t="n">
        <v>39.96848156271081</v>
      </c>
    </row>
    <row r="95">
      <c r="A95" t="inlineStr">
        <is>
          <t>Dominica_2022_January</t>
        </is>
      </c>
      <c r="C95" t="inlineStr">
        <is>
          <t>SM.22.7, Sup.2</t>
        </is>
      </c>
      <c r="D95" t="inlineStr">
        <is>
          <t>Dominica</t>
        </is>
      </c>
      <c r="E95" t="inlineStr">
        <is>
          <t>DMA</t>
        </is>
      </c>
      <c r="F95" s="11" t="n">
        <v>44562</v>
      </c>
      <c r="G95" t="inlineStr">
        <is>
          <t>2018gn</t>
        </is>
      </c>
      <c r="H95" t="n">
        <v>2021</v>
      </c>
      <c r="I95" t="inlineStr">
        <is>
          <t>gov.rev.2gdp</t>
        </is>
      </c>
      <c r="M95" t="inlineStr">
        <is>
          <t>Real non-interest expenditure</t>
        </is>
      </c>
      <c r="P95" t="n">
        <v>322.1341452662937</v>
      </c>
      <c r="Q95" t="n">
        <v>502.1177771767498</v>
      </c>
      <c r="R95" t="n">
        <v>579.6357487722854</v>
      </c>
      <c r="S95" t="n">
        <v>515.5409241604182</v>
      </c>
      <c r="T95" t="n">
        <v>514.1920893310947</v>
      </c>
      <c r="U95" t="n">
        <v>377.3886654462681</v>
      </c>
      <c r="V95" t="n">
        <v>377.3635148413283</v>
      </c>
      <c r="W95" t="n">
        <v>467.161285006879</v>
      </c>
      <c r="X95" t="n">
        <v>639.4855570675271</v>
      </c>
      <c r="Y95" t="n">
        <v>688.0579781351815</v>
      </c>
      <c r="Z95" t="n">
        <v>826.5899434352605</v>
      </c>
      <c r="AA95" t="n">
        <v>629.5291473175944</v>
      </c>
      <c r="AB95" t="n">
        <v>796.5354621955014</v>
      </c>
      <c r="AC95" t="n">
        <v>801.9464681733148</v>
      </c>
      <c r="AD95" t="n">
        <v>728.6566886756588</v>
      </c>
      <c r="AE95" t="n">
        <v>746.2749463778761</v>
      </c>
      <c r="AF95" t="n">
        <v>777.7323542882129</v>
      </c>
      <c r="AG95" t="n">
        <v>779.7531063034211</v>
      </c>
      <c r="AH95" t="n">
        <v>775.0251406837684</v>
      </c>
      <c r="AI95" t="n">
        <v>769.1742196965557</v>
      </c>
      <c r="AJ95" t="n">
        <v>762.741008760994</v>
      </c>
      <c r="AK95" t="n">
        <v>754.8363471650878</v>
      </c>
      <c r="AL95" t="n">
        <v>736.6499974100473</v>
      </c>
      <c r="AM95" t="n">
        <v>731.0628091035803</v>
      </c>
      <c r="AN95" t="n">
        <v>733.9429343105078</v>
      </c>
      <c r="AO95" t="n">
        <v>736.3722506608735</v>
      </c>
      <c r="AP95" t="n">
        <v>721.24938195226</v>
      </c>
      <c r="AQ95" t="n">
        <v>732.0913472218994</v>
      </c>
      <c r="AR95" t="n">
        <v>743.09058646703</v>
      </c>
      <c r="AS95" t="n">
        <v>748.636106420237</v>
      </c>
      <c r="AT95" t="n">
        <v>765.5794446290297</v>
      </c>
      <c r="AU95" t="n">
        <v>771.2940978913748</v>
      </c>
      <c r="AV95" t="n">
        <v>752.8935918526147</v>
      </c>
      <c r="AW95" t="n">
        <v>737.1883022620335</v>
      </c>
    </row>
    <row r="96">
      <c r="A96" t="inlineStr">
        <is>
          <t>Dominica_2022_January</t>
        </is>
      </c>
      <c r="C96" t="inlineStr">
        <is>
          <t>SM.22.7, Sup.2</t>
        </is>
      </c>
      <c r="D96" t="inlineStr">
        <is>
          <t>Dominica</t>
        </is>
      </c>
      <c r="E96" t="inlineStr">
        <is>
          <t>DMA</t>
        </is>
      </c>
      <c r="F96" s="11" t="n">
        <v>44562</v>
      </c>
      <c r="G96" t="inlineStr">
        <is>
          <t>2018gn</t>
        </is>
      </c>
      <c r="H96" t="n">
        <v>2021</v>
      </c>
      <c r="I96" t="inlineStr">
        <is>
          <t>real.prim.exp</t>
        </is>
      </c>
      <c r="M96" t="inlineStr">
        <is>
          <t>Growth of real non-interest expenditures</t>
        </is>
      </c>
      <c r="Q96" t="n">
        <v>55.87226146476081</v>
      </c>
      <c r="R96" t="n">
        <v>15.43820496286643</v>
      </c>
      <c r="S96" t="n">
        <v>-11.05777632722363</v>
      </c>
      <c r="T96" t="n">
        <v>-0.2616348705042348</v>
      </c>
      <c r="U96" t="n">
        <v>-26.60550924904199</v>
      </c>
      <c r="V96" t="n">
        <v>-0.006664377402565425</v>
      </c>
      <c r="W96" t="n">
        <v>23.79609226485724</v>
      </c>
      <c r="X96" t="n">
        <v>36.88753276250421</v>
      </c>
      <c r="Y96" t="n">
        <v>7.595546221620975</v>
      </c>
      <c r="Z96" t="n">
        <v>20.13376338946568</v>
      </c>
      <c r="AA96" t="n">
        <v>-23.8402121490485</v>
      </c>
      <c r="AB96" t="n">
        <v>26.52876607691894</v>
      </c>
      <c r="AC96" t="n">
        <v>0.679317649323341</v>
      </c>
      <c r="AD96" t="n">
        <v>-9.138986504248415</v>
      </c>
      <c r="AE96" t="n">
        <v>2.417909281013908</v>
      </c>
      <c r="AF96" t="n">
        <v>4.215257133181094</v>
      </c>
      <c r="AG96" t="n">
        <v>0.2598261476542962</v>
      </c>
      <c r="AH96" t="n">
        <v>-0.606341363879459</v>
      </c>
      <c r="AI96" t="n">
        <v>-0.7549330570167934</v>
      </c>
      <c r="AJ96" t="n">
        <v>-0.8363789075119699</v>
      </c>
      <c r="AK96" t="n">
        <v>-1.0363493643467</v>
      </c>
      <c r="AL96" t="n">
        <v>-2.409310286043109</v>
      </c>
      <c r="AM96" t="n">
        <v>-0.758459013929369</v>
      </c>
      <c r="AN96" t="n">
        <v>0.39396412607271</v>
      </c>
      <c r="AO96" t="n">
        <v>0.3309952636369351</v>
      </c>
      <c r="AP96" t="n">
        <v>-2.053698885997013</v>
      </c>
      <c r="AQ96" t="n">
        <v>1.503220043016551</v>
      </c>
      <c r="AR96" t="n">
        <v>1.50244082065305</v>
      </c>
      <c r="AS96" t="n">
        <v>0.7462777828437739</v>
      </c>
      <c r="AT96" t="n">
        <v>2.263227496441611</v>
      </c>
      <c r="AU96" t="n">
        <v>0.7464481057369854</v>
      </c>
      <c r="AV96" t="n">
        <v>-2.385666646362894</v>
      </c>
      <c r="AW96" t="n">
        <v>-2.085990604852384</v>
      </c>
    </row>
    <row r="97">
      <c r="A97" t="inlineStr">
        <is>
          <t>Dominica_2022_January</t>
        </is>
      </c>
      <c r="C97" t="inlineStr">
        <is>
          <t>SM.22.7, Sup.2</t>
        </is>
      </c>
      <c r="D97" t="inlineStr">
        <is>
          <t>Dominica</t>
        </is>
      </c>
      <c r="E97" t="inlineStr">
        <is>
          <t>DMA</t>
        </is>
      </c>
      <c r="F97" s="11" t="n">
        <v>44562</v>
      </c>
      <c r="G97" t="inlineStr">
        <is>
          <t>2018gn</t>
        </is>
      </c>
      <c r="H97" t="n">
        <v>2021</v>
      </c>
      <c r="I97" t="inlineStr">
        <is>
          <t>real.prim.exp.gwth</t>
        </is>
      </c>
      <c r="M97" t="inlineStr">
        <is>
          <t>Gross financing need</t>
        </is>
      </c>
      <c r="P97" t="inlineStr">
        <is>
          <t>…</t>
        </is>
      </c>
      <c r="Q97" t="n">
        <v>25.58443128612407</v>
      </c>
      <c r="R97" t="n">
        <v>93.98220456000011</v>
      </c>
      <c r="S97" t="n">
        <v>94.31356011706214</v>
      </c>
      <c r="T97" t="n">
        <v>142.2110877571672</v>
      </c>
      <c r="U97" t="n">
        <v>-55.77990158471474</v>
      </c>
      <c r="V97" t="n">
        <v>15.51525999381533</v>
      </c>
      <c r="W97" t="n">
        <v>-120.6276038175936</v>
      </c>
      <c r="X97" t="n">
        <v>-112.4762048783108</v>
      </c>
      <c r="Y97" t="n">
        <v>115.4832827718277</v>
      </c>
      <c r="Z97" t="n">
        <v>343.3149366992693</v>
      </c>
      <c r="AA97" t="n">
        <v>49.05826569848363</v>
      </c>
      <c r="AB97" t="n">
        <v>154.0992214139948</v>
      </c>
      <c r="AC97" t="n">
        <v>216.3593310004832</v>
      </c>
      <c r="AD97" t="n">
        <v>172.9899142291416</v>
      </c>
      <c r="AE97" t="n">
        <v>216.3501078676413</v>
      </c>
      <c r="AF97" t="n">
        <v>214.3085062528785</v>
      </c>
      <c r="AG97" t="n">
        <v>205.7920892660854</v>
      </c>
      <c r="AH97" t="n">
        <v>175.2727989418792</v>
      </c>
      <c r="AI97" t="n">
        <v>135.7869341201881</v>
      </c>
      <c r="AJ97" t="n">
        <v>94.7864139409361</v>
      </c>
      <c r="AK97" t="n">
        <v>48.55764981206062</v>
      </c>
      <c r="AL97" t="n">
        <v>8.309296374069746</v>
      </c>
      <c r="AM97" t="n">
        <v>-16.09879803973836</v>
      </c>
      <c r="AN97" t="n">
        <v>-29.50539026796804</v>
      </c>
      <c r="AO97" t="n">
        <v>-31.21142987142546</v>
      </c>
      <c r="AP97" t="n">
        <v>-78.14215006520789</v>
      </c>
      <c r="AQ97" t="n">
        <v>-99.21864987455649</v>
      </c>
      <c r="AR97" t="n">
        <v>-8.830040784563977</v>
      </c>
      <c r="AS97" t="n">
        <v>-14.91575248790664</v>
      </c>
      <c r="AT97" t="n">
        <v>-10.01542823463387</v>
      </c>
      <c r="AU97" t="n">
        <v>-8.455655384334719</v>
      </c>
      <c r="AV97" t="n">
        <v>-6.526370292094569</v>
      </c>
      <c r="AW97" t="n">
        <v>4.923625330330992</v>
      </c>
    </row>
    <row r="98">
      <c r="A98" t="inlineStr">
        <is>
          <t>Dominica_2022_January</t>
        </is>
      </c>
      <c r="C98" t="inlineStr">
        <is>
          <t>SM.22.7, Sup.2</t>
        </is>
      </c>
      <c r="D98" t="inlineStr">
        <is>
          <t>Dominica</t>
        </is>
      </c>
      <c r="E98" t="inlineStr">
        <is>
          <t>DMA</t>
        </is>
      </c>
      <c r="F98" s="11" t="n">
        <v>44562</v>
      </c>
      <c r="G98" t="inlineStr">
        <is>
          <t>2018gn</t>
        </is>
      </c>
      <c r="H98" t="n">
        <v>2021</v>
      </c>
      <c r="I98" t="inlineStr">
        <is>
          <t>grss.fin.need</t>
        </is>
      </c>
    </row>
    <row r="99">
      <c r="A99" t="inlineStr">
        <is>
          <t>Dominica_2022_January</t>
        </is>
      </c>
      <c r="C99" t="inlineStr">
        <is>
          <t>SM.22.7, Sup.2</t>
        </is>
      </c>
      <c r="D99" t="inlineStr">
        <is>
          <t>Dominica</t>
        </is>
      </c>
      <c r="E99" t="inlineStr">
        <is>
          <t>DMA</t>
        </is>
      </c>
      <c r="F99" s="11" t="n">
        <v>44562</v>
      </c>
      <c r="G99" t="inlineStr">
        <is>
          <t>2018gn</t>
        </is>
      </c>
      <c r="H99" t="n">
        <v>2021</v>
      </c>
      <c r="K99" t="inlineStr">
        <is>
          <t>US Dollars</t>
        </is>
      </c>
      <c r="L99" t="inlineStr">
        <is>
          <t>Million</t>
        </is>
      </c>
      <c r="M99" t="inlineStr">
        <is>
          <t>Aid Flows</t>
        </is>
      </c>
      <c r="P99" t="n">
        <v>42.15534765185185</v>
      </c>
      <c r="Q99" t="n">
        <v>42.27416822592592</v>
      </c>
      <c r="R99" t="n">
        <v>46.98469374814815</v>
      </c>
      <c r="S99" t="n">
        <v>23.72282441851852</v>
      </c>
      <c r="T99" t="n">
        <v>13.27980428776333</v>
      </c>
      <c r="U99" t="n">
        <v>16.27750518518518</v>
      </c>
      <c r="V99" t="n">
        <v>10.62962962962963</v>
      </c>
      <c r="W99" t="n">
        <v>11.46085752592593</v>
      </c>
      <c r="X99" t="n">
        <v>5.575630096296296</v>
      </c>
      <c r="Y99" t="n">
        <v>24.26132703703703</v>
      </c>
      <c r="Z99" t="n">
        <v>5.086700818518518</v>
      </c>
      <c r="AA99" t="n">
        <v>10.74239437777778</v>
      </c>
      <c r="AB99" t="n">
        <v>12.96412532962963</v>
      </c>
      <c r="AC99" t="n">
        <v>36.08772383516999</v>
      </c>
      <c r="AD99" t="n">
        <v>82.91701879121193</v>
      </c>
      <c r="AE99" t="n">
        <v>66.39380979184982</v>
      </c>
      <c r="AF99" t="n">
        <v>59.99734060745249</v>
      </c>
      <c r="AG99" t="n">
        <v>58.79216679971502</v>
      </c>
      <c r="AH99" t="n">
        <v>61.21543644440942</v>
      </c>
      <c r="AI99" t="n">
        <v>50.63456085271759</v>
      </c>
      <c r="AJ99" t="n">
        <v>36.98998126008202</v>
      </c>
      <c r="AK99" t="n">
        <v>26.817753715021</v>
      </c>
      <c r="AL99" t="n">
        <v>25.26219436773029</v>
      </c>
      <c r="AM99" t="n">
        <v>26.59846596568886</v>
      </c>
      <c r="AN99" t="n">
        <v>25.85242274140001</v>
      </c>
      <c r="AO99" t="n">
        <v>26.60179316488259</v>
      </c>
      <c r="AP99" t="n">
        <v>27.07252164376683</v>
      </c>
      <c r="AQ99" t="n">
        <v>28.05330563125268</v>
      </c>
      <c r="AR99" t="n">
        <v>28.80778175082579</v>
      </c>
      <c r="AS99" t="n">
        <v>29.76290415221623</v>
      </c>
      <c r="AT99" t="n">
        <v>31.18168107620493</v>
      </c>
      <c r="AU99" t="n">
        <v>31.82560752125158</v>
      </c>
      <c r="AV99" t="n">
        <v>32.71372468866839</v>
      </c>
      <c r="AW99" t="n">
        <v>33.86851699907172</v>
      </c>
    </row>
    <row r="100">
      <c r="A100" t="inlineStr">
        <is>
          <t>Dominica_2022_January</t>
        </is>
      </c>
      <c r="C100" t="inlineStr">
        <is>
          <t>SM.22.7, Sup.2</t>
        </is>
      </c>
      <c r="D100" t="inlineStr">
        <is>
          <t>Dominica</t>
        </is>
      </c>
      <c r="E100" t="inlineStr">
        <is>
          <t>DMA</t>
        </is>
      </c>
      <c r="F100" s="11" t="n">
        <v>44562</v>
      </c>
      <c r="G100" t="inlineStr">
        <is>
          <t>2018gn</t>
        </is>
      </c>
      <c r="H100" t="n">
        <v>2021</v>
      </c>
      <c r="I100" t="inlineStr">
        <is>
          <t>aid.flw</t>
        </is>
      </c>
      <c r="M100" t="inlineStr">
        <is>
          <t>Grants</t>
        </is>
      </c>
      <c r="P100" t="n">
        <v>42.15534765185185</v>
      </c>
      <c r="Q100" t="n">
        <v>42.27416822592592</v>
      </c>
      <c r="R100" t="n">
        <v>46.98469374814815</v>
      </c>
      <c r="S100" t="n">
        <v>23.72282441851852</v>
      </c>
      <c r="T100" t="n">
        <v>13.27980428776333</v>
      </c>
      <c r="U100" t="n">
        <v>16.27750518518518</v>
      </c>
      <c r="V100" t="n">
        <v>10.62962962962963</v>
      </c>
      <c r="W100" t="n">
        <v>11.46085752592593</v>
      </c>
      <c r="X100" t="n">
        <v>5.575630096296296</v>
      </c>
      <c r="Y100" t="n">
        <v>24.26132703703703</v>
      </c>
      <c r="Z100" t="n">
        <v>5.086700818518518</v>
      </c>
      <c r="AA100" t="n">
        <v>10.74239437777778</v>
      </c>
      <c r="AB100" t="n">
        <v>12.96412532962963</v>
      </c>
      <c r="AC100" t="n">
        <v>14.07738709617293</v>
      </c>
      <c r="AD100" t="n">
        <v>15.31484572344504</v>
      </c>
      <c r="AE100" t="n">
        <v>16.39380979184982</v>
      </c>
      <c r="AF100" t="n">
        <v>17.44136446120289</v>
      </c>
      <c r="AG100" t="n">
        <v>18.36921432600129</v>
      </c>
      <c r="AH100" t="n">
        <v>19.14526461362159</v>
      </c>
      <c r="AI100" t="n">
        <v>19.95713697945389</v>
      </c>
      <c r="AJ100" t="n">
        <v>20.86466462165929</v>
      </c>
      <c r="AK100" t="n">
        <v>21.79286698868074</v>
      </c>
      <c r="AL100" t="n">
        <v>22.65083776871922</v>
      </c>
      <c r="AM100" t="n">
        <v>23.45041011146093</v>
      </c>
      <c r="AN100" t="n">
        <v>24.278207384019</v>
      </c>
      <c r="AO100" t="n">
        <v>25.13522649340681</v>
      </c>
      <c r="AP100" t="n">
        <v>26.02249832047841</v>
      </c>
      <c r="AQ100" t="n">
        <v>26.94109078416018</v>
      </c>
      <c r="AR100" t="n">
        <v>27.89210950084585</v>
      </c>
      <c r="AS100" t="n">
        <v>28.87669911511437</v>
      </c>
      <c r="AT100" t="n">
        <v>29.89604467742248</v>
      </c>
      <c r="AU100" t="n">
        <v>30.95137307042933</v>
      </c>
      <c r="AV100" t="n">
        <v>32.04395448567048</v>
      </c>
      <c r="AW100" t="n">
        <v>33.17510395235851</v>
      </c>
    </row>
    <row r="101">
      <c r="A101" t="inlineStr">
        <is>
          <t>Dominica_2022_January</t>
        </is>
      </c>
      <c r="C101" t="inlineStr">
        <is>
          <t>SM.22.7, Sup.2</t>
        </is>
      </c>
      <c r="D101" t="inlineStr">
        <is>
          <t>Dominica</t>
        </is>
      </c>
      <c r="E101" t="inlineStr">
        <is>
          <t>DMA</t>
        </is>
      </c>
      <c r="F101" s="11" t="n">
        <v>44562</v>
      </c>
      <c r="G101" t="inlineStr">
        <is>
          <t>2018gn</t>
        </is>
      </c>
      <c r="H101" t="n">
        <v>2021</v>
      </c>
      <c r="I101" t="inlineStr">
        <is>
          <t>grnt</t>
        </is>
      </c>
      <c r="M101" t="inlineStr">
        <is>
          <t>Concessional loans</t>
        </is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22.01033673899706</v>
      </c>
      <c r="AD101" t="n">
        <v>67.6021730677669</v>
      </c>
      <c r="AE101" t="n">
        <v>50</v>
      </c>
      <c r="AF101" t="n">
        <v>42.5559761462496</v>
      </c>
      <c r="AG101" t="n">
        <v>40.42295247371372</v>
      </c>
      <c r="AH101" t="n">
        <v>42.07017183078783</v>
      </c>
      <c r="AI101" t="n">
        <v>30.67742387326371</v>
      </c>
      <c r="AJ101" t="n">
        <v>16.12531663842273</v>
      </c>
      <c r="AK101" t="n">
        <v>5.02488672634026</v>
      </c>
      <c r="AL101" t="n">
        <v>2.61135659901107</v>
      </c>
      <c r="AM101" t="n">
        <v>3.148055854227934</v>
      </c>
      <c r="AN101" t="n">
        <v>1.574215357381005</v>
      </c>
      <c r="AO101" t="n">
        <v>1.466566671475781</v>
      </c>
      <c r="AP101" t="n">
        <v>1.050023323288424</v>
      </c>
      <c r="AQ101" t="n">
        <v>1.11221484709249</v>
      </c>
      <c r="AR101" t="n">
        <v>0.915672249979935</v>
      </c>
      <c r="AS101" t="n">
        <v>0.8862050371018563</v>
      </c>
      <c r="AT101" t="n">
        <v>1.285636398782452</v>
      </c>
      <c r="AU101" t="n">
        <v>0.8742344508222529</v>
      </c>
      <c r="AV101" t="n">
        <v>0.66977020299791</v>
      </c>
      <c r="AW101" t="n">
        <v>0.693413046713202</v>
      </c>
    </row>
    <row r="102">
      <c r="A102" t="inlineStr">
        <is>
          <t>Dominica_2022_January</t>
        </is>
      </c>
      <c r="C102" t="inlineStr">
        <is>
          <t>SM.22.7, Sup.2</t>
        </is>
      </c>
      <c r="D102" t="inlineStr">
        <is>
          <t>Dominica</t>
        </is>
      </c>
      <c r="E102" t="inlineStr">
        <is>
          <t>DMA</t>
        </is>
      </c>
      <c r="F102" s="11" t="n">
        <v>44562</v>
      </c>
      <c r="G102" t="inlineStr">
        <is>
          <t>2018gn</t>
        </is>
      </c>
      <c r="H102" t="n">
        <v>2021</v>
      </c>
      <c r="I102" t="inlineStr">
        <is>
          <t>css.loan</t>
        </is>
      </c>
      <c r="M102" t="inlineStr">
        <is>
          <t xml:space="preserve">Real Economy </t>
        </is>
      </c>
    </row>
    <row r="103">
      <c r="A103" t="inlineStr">
        <is>
          <t>Dominica_2022_January</t>
        </is>
      </c>
      <c r="C103" t="inlineStr">
        <is>
          <t>SM.22.7, Sup.2</t>
        </is>
      </c>
      <c r="D103" t="inlineStr">
        <is>
          <t>Dominica</t>
        </is>
      </c>
      <c r="E103" t="inlineStr">
        <is>
          <t>DMA</t>
        </is>
      </c>
      <c r="F103" s="11" t="n">
        <v>44562</v>
      </c>
      <c r="G103" t="inlineStr">
        <is>
          <t>2018gn</t>
        </is>
      </c>
      <c r="H103" t="n">
        <v>2021</v>
      </c>
      <c r="M103" t="inlineStr">
        <is>
          <t>Real GDP growth</t>
        </is>
      </c>
      <c r="Q103" t="n">
        <v>-0.2538966218426197</v>
      </c>
      <c r="R103" t="n">
        <v>0.2231156705932769</v>
      </c>
      <c r="S103" t="n">
        <v>-0.6408080300077557</v>
      </c>
      <c r="T103" t="n">
        <v>-1.029627629958341</v>
      </c>
      <c r="U103" t="n">
        <v>1.862467236345822</v>
      </c>
      <c r="V103" t="n">
        <v>0.9242484466851941</v>
      </c>
      <c r="W103" t="n">
        <v>-0.02197219066885081</v>
      </c>
      <c r="X103" t="n">
        <v>-1.99161555972982</v>
      </c>
      <c r="Y103" t="n">
        <v>-1.709694615794677</v>
      </c>
      <c r="Z103" t="n">
        <v>5.552301381302271</v>
      </c>
      <c r="AA103" t="n">
        <v>-2.087311289796256</v>
      </c>
      <c r="AB103" t="n">
        <v>-4.079275787604963</v>
      </c>
      <c r="AC103" t="n">
        <v>5.665564120493638</v>
      </c>
      <c r="AD103" t="n">
        <v>6.433490420390675</v>
      </c>
      <c r="AE103" t="n">
        <v>4.962672085923159</v>
      </c>
      <c r="AF103" t="n">
        <v>4.306400493311058</v>
      </c>
      <c r="AG103" t="n">
        <v>3.262423442617046</v>
      </c>
      <c r="AH103" t="n">
        <v>2.495175014618223</v>
      </c>
      <c r="AI103" t="n">
        <v>2.497898381979047</v>
      </c>
      <c r="AJ103" t="n">
        <v>2.497526678294304</v>
      </c>
      <c r="AK103" t="n">
        <v>2.401542376176513</v>
      </c>
      <c r="AL103" t="n">
        <v>1.902998006367107</v>
      </c>
      <c r="AM103" t="n">
        <v>1.499995775361818</v>
      </c>
      <c r="AN103" t="n">
        <v>1.500004880859418</v>
      </c>
      <c r="AO103" t="n">
        <v>1.499998701938376</v>
      </c>
      <c r="AP103" t="n">
        <v>1.499996541215087</v>
      </c>
      <c r="AQ103" t="n">
        <v>1.500004782192321</v>
      </c>
      <c r="AR103" t="n">
        <v>1.500001043869559</v>
      </c>
      <c r="AS103" t="n">
        <v>0.7444147629030562</v>
      </c>
      <c r="AT103" t="n">
        <v>2.261251310335521</v>
      </c>
      <c r="AU103" t="n">
        <v>0.7444127761963903</v>
      </c>
      <c r="AV103" t="n">
        <v>1.499999035887067</v>
      </c>
      <c r="AW103" t="n">
        <v>1.500000369391929</v>
      </c>
    </row>
    <row r="104">
      <c r="A104" t="inlineStr">
        <is>
          <t>Dominica_2022_January</t>
        </is>
      </c>
      <c r="C104" t="inlineStr">
        <is>
          <t>SM.22.7, Sup.2</t>
        </is>
      </c>
      <c r="D104" t="inlineStr">
        <is>
          <t>Dominica</t>
        </is>
      </c>
      <c r="E104" t="inlineStr">
        <is>
          <t>DMA</t>
        </is>
      </c>
      <c r="F104" s="11" t="n">
        <v>44562</v>
      </c>
      <c r="G104" t="inlineStr">
        <is>
          <t>2018gn</t>
        </is>
      </c>
      <c r="H104" t="n">
        <v>2021</v>
      </c>
      <c r="I104" t="inlineStr">
        <is>
          <t>real.gdp.gwth</t>
        </is>
      </c>
      <c r="M104" t="inlineStr">
        <is>
          <t>GDP deflator index (national currency)</t>
        </is>
      </c>
      <c r="P104" t="n">
        <v>107.1567005539052</v>
      </c>
      <c r="Q104" t="n">
        <v>111.4709210781765</v>
      </c>
      <c r="R104" t="n">
        <v>112.5751765470128</v>
      </c>
      <c r="S104" t="n">
        <v>112.4095226847087</v>
      </c>
      <c r="T104" t="n">
        <v>113.2648581839879</v>
      </c>
      <c r="U104" t="n">
        <v>115.0837848580573</v>
      </c>
      <c r="V104" t="n">
        <v>118.7804190469873</v>
      </c>
      <c r="W104" t="n">
        <v>125.0538022317041</v>
      </c>
      <c r="X104" t="n">
        <v>127.4746105484054</v>
      </c>
      <c r="Y104" t="n">
        <v>128.3120735891046</v>
      </c>
      <c r="Z104" t="n">
        <v>129.9377601635522</v>
      </c>
      <c r="AA104" t="n">
        <v>130.4246041358528</v>
      </c>
      <c r="AB104" t="n">
        <v>131.9050080398334</v>
      </c>
      <c r="AC104" t="n">
        <v>135.5522219198701</v>
      </c>
      <c r="AD104" t="n">
        <v>138.5539493027299</v>
      </c>
      <c r="AE104" t="n">
        <v>141.3029721226574</v>
      </c>
      <c r="AF104" t="n">
        <v>144.1255254377128</v>
      </c>
      <c r="AG104" t="n">
        <v>146.9970822302364</v>
      </c>
      <c r="AH104" t="n">
        <v>149.477589238383</v>
      </c>
      <c r="AI104" t="n">
        <v>152.0190412451303</v>
      </c>
      <c r="AJ104" t="n">
        <v>155.0592837363866</v>
      </c>
      <c r="AK104" t="n">
        <v>158.159118354028</v>
      </c>
      <c r="AL104" t="n">
        <v>161.3159000245151</v>
      </c>
      <c r="AM104" t="n">
        <v>164.5422092230995</v>
      </c>
      <c r="AN104" t="n">
        <v>167.8330300982727</v>
      </c>
      <c r="AO104" t="n">
        <v>171.1896819156065</v>
      </c>
      <c r="AP104" t="n">
        <v>174.6134703107514</v>
      </c>
      <c r="AQ104" t="n">
        <v>178.1057199081948</v>
      </c>
      <c r="AR104" t="n">
        <v>181.6678207923786</v>
      </c>
      <c r="AS104" t="n">
        <v>186.6909279807399</v>
      </c>
      <c r="AT104" t="n">
        <v>189.0071780579096</v>
      </c>
      <c r="AU104" t="n">
        <v>194.2332219795102</v>
      </c>
      <c r="AV104" t="n">
        <v>198.1178756008086</v>
      </c>
      <c r="AW104" t="n">
        <v>202.0802194232422</v>
      </c>
    </row>
    <row r="105">
      <c r="A105" t="inlineStr">
        <is>
          <t>Dominica_2022_January</t>
        </is>
      </c>
      <c r="C105" t="inlineStr">
        <is>
          <t>SM.22.7, Sup.2</t>
        </is>
      </c>
      <c r="D105" t="inlineStr">
        <is>
          <t>Dominica</t>
        </is>
      </c>
      <c r="E105" t="inlineStr">
        <is>
          <t>DMA</t>
        </is>
      </c>
      <c r="F105" s="11" t="n">
        <v>44562</v>
      </c>
      <c r="G105" t="inlineStr">
        <is>
          <t>2018gn</t>
        </is>
      </c>
      <c r="H105" t="n">
        <v>2021</v>
      </c>
      <c r="I105" t="inlineStr">
        <is>
          <t>gdp.def.lcu</t>
        </is>
      </c>
      <c r="M105" t="inlineStr">
        <is>
          <t>Change in GDP Deflator factor (percent)</t>
        </is>
      </c>
      <c r="P105" t="inlineStr">
        <is>
          <t>...</t>
        </is>
      </c>
      <c r="Q105" t="n">
        <v>4.026085631575627</v>
      </c>
      <c r="R105" t="n">
        <v>0.9906220009269218</v>
      </c>
      <c r="S105" t="n">
        <v>-0.1471495469829054</v>
      </c>
      <c r="T105" t="n">
        <v>0.7609101781157035</v>
      </c>
      <c r="U105" t="n">
        <v>1.605905576745403</v>
      </c>
      <c r="V105" t="n">
        <v>3.212124274057704</v>
      </c>
      <c r="W105" t="n">
        <v>5.281496087528637</v>
      </c>
      <c r="X105" t="n">
        <v>1.935813444693135</v>
      </c>
      <c r="Y105" t="n">
        <v>0.6569645807085189</v>
      </c>
      <c r="Z105" t="n">
        <v>1.266978647429196</v>
      </c>
      <c r="AA105" t="n">
        <v>0.3746747455765531</v>
      </c>
      <c r="AB105" t="n">
        <v>1.135064901127514</v>
      </c>
      <c r="AC105" t="n">
        <v>2.765030633966004</v>
      </c>
      <c r="AD105" t="n">
        <v>2.21444351139759</v>
      </c>
      <c r="AE105" t="n">
        <v>1.984081171097563</v>
      </c>
      <c r="AF105" t="n">
        <v>1.997518716453683</v>
      </c>
      <c r="AG105" t="n">
        <v>1.992399877677853</v>
      </c>
      <c r="AH105" t="n">
        <v>1.687453227310609</v>
      </c>
      <c r="AI105" t="n">
        <v>1.700222768975945</v>
      </c>
      <c r="AJ105" t="n">
        <v>1.999909002421596</v>
      </c>
      <c r="AK105" t="n">
        <v>1.999128683524209</v>
      </c>
      <c r="AL105" t="n">
        <v>1.99595300185027</v>
      </c>
      <c r="AM105" t="n">
        <v>1.999994543683647</v>
      </c>
      <c r="AN105" t="n">
        <v>1.999985833854456</v>
      </c>
      <c r="AO105" t="n">
        <v>1.99999476585051</v>
      </c>
      <c r="AP105" t="n">
        <v>1.999996937217774</v>
      </c>
      <c r="AQ105" t="n">
        <v>1.999988655645168</v>
      </c>
      <c r="AR105" t="n">
        <v>1.999992412382867</v>
      </c>
      <c r="AS105" t="n">
        <v>2.764995565231154</v>
      </c>
      <c r="AT105" t="n">
        <v>1.240687001892593</v>
      </c>
      <c r="AU105" t="n">
        <v>2.76499759178428</v>
      </c>
      <c r="AV105" t="n">
        <v>1.999994430256713</v>
      </c>
      <c r="AW105" t="n">
        <v>1.999993090183039</v>
      </c>
    </row>
    <row r="106">
      <c r="A106" t="inlineStr">
        <is>
          <t>Dominica_2022_January</t>
        </is>
      </c>
      <c r="C106" t="inlineStr">
        <is>
          <t>SM.22.7, Sup.2</t>
        </is>
      </c>
      <c r="D106" t="inlineStr">
        <is>
          <t>Dominica</t>
        </is>
      </c>
      <c r="E106" t="inlineStr">
        <is>
          <t>DMA</t>
        </is>
      </c>
      <c r="F106" s="11" t="n">
        <v>44562</v>
      </c>
      <c r="G106" t="inlineStr">
        <is>
          <t>2018gn</t>
        </is>
      </c>
      <c r="H106" t="n">
        <v>2021</v>
      </c>
      <c r="I106" t="inlineStr">
        <is>
          <t>dlta.gdp.def.lcu</t>
        </is>
      </c>
      <c r="M106" t="inlineStr">
        <is>
          <t>GDP deflator index (dollars)</t>
        </is>
      </c>
      <c r="P106" t="n">
        <v>39.68766687181675</v>
      </c>
      <c r="Q106" t="n">
        <v>41.28552632525057</v>
      </c>
      <c r="R106" t="n">
        <v>41.69450983222697</v>
      </c>
      <c r="S106" t="n">
        <v>41.63315654989211</v>
      </c>
      <c r="T106" t="n">
        <v>41.94994747555108</v>
      </c>
      <c r="U106" t="n">
        <v>42.62362402150272</v>
      </c>
      <c r="V106" t="n">
        <v>43.9927477951805</v>
      </c>
      <c r="W106" t="n">
        <v>46.3162230487793</v>
      </c>
      <c r="X106" t="n">
        <v>47.21281872163162</v>
      </c>
      <c r="Y106" t="n">
        <v>47.52299021818687</v>
      </c>
      <c r="Z106" t="n">
        <v>48.12509635687117</v>
      </c>
      <c r="AA106" t="n">
        <v>48.30540893920474</v>
      </c>
      <c r="AB106" t="n">
        <v>48.85370668141977</v>
      </c>
      <c r="AC106" t="n">
        <v>50.20452663698891</v>
      </c>
      <c r="AD106" t="n">
        <v>51.3162775195296</v>
      </c>
      <c r="AE106" t="n">
        <v>52.33443411950275</v>
      </c>
      <c r="AF106" t="n">
        <v>53.37982423618993</v>
      </c>
      <c r="AG106" t="n">
        <v>54.44336378897644</v>
      </c>
      <c r="AH106" t="n">
        <v>55.36207008828998</v>
      </c>
      <c r="AI106" t="n">
        <v>56.30334860930751</v>
      </c>
      <c r="AJ106" t="n">
        <v>57.42936434680986</v>
      </c>
      <c r="AK106" t="n">
        <v>58.57745124223257</v>
      </c>
      <c r="AL106" t="n">
        <v>59.74662963870928</v>
      </c>
      <c r="AM106" t="n">
        <v>60.94155897151834</v>
      </c>
      <c r="AN106" t="n">
        <v>62.16038151787877</v>
      </c>
      <c r="AO106" t="n">
        <v>63.40358589466904</v>
      </c>
      <c r="AP106" t="n">
        <v>64.67165567064868</v>
      </c>
      <c r="AQ106" t="n">
        <v>65.96508144747955</v>
      </c>
      <c r="AR106" t="n">
        <v>67.28437807125131</v>
      </c>
      <c r="AS106" t="n">
        <v>69.14478814101479</v>
      </c>
      <c r="AT106" t="n">
        <v>70.00265853996652</v>
      </c>
      <c r="AU106" t="n">
        <v>71.93823036278157</v>
      </c>
      <c r="AV106" t="n">
        <v>73.37699096326243</v>
      </c>
      <c r="AW106" t="n">
        <v>74.84452571231192</v>
      </c>
    </row>
    <row r="107">
      <c r="A107" t="inlineStr">
        <is>
          <t>Dominica_2022_January</t>
        </is>
      </c>
      <c r="C107" t="inlineStr">
        <is>
          <t>SM.22.7, Sup.2</t>
        </is>
      </c>
      <c r="D107" t="inlineStr">
        <is>
          <t>Dominica</t>
        </is>
      </c>
      <c r="E107" t="inlineStr">
        <is>
          <t>DMA</t>
        </is>
      </c>
      <c r="F107" s="11" t="n">
        <v>44562</v>
      </c>
      <c r="G107" t="inlineStr">
        <is>
          <t>2018gn</t>
        </is>
      </c>
      <c r="H107" t="n">
        <v>2021</v>
      </c>
      <c r="I107" t="inlineStr">
        <is>
          <t>gdp.def.usd</t>
        </is>
      </c>
      <c r="M107" t="inlineStr">
        <is>
          <t>Change in GDP Deflator factor (percent)</t>
        </is>
      </c>
      <c r="P107" t="inlineStr">
        <is>
          <t>...</t>
        </is>
      </c>
      <c r="Q107" t="n">
        <v>4.026085631575649</v>
      </c>
      <c r="R107" t="n">
        <v>0.9906220009269218</v>
      </c>
      <c r="S107" t="n">
        <v>-0.1471495469829054</v>
      </c>
      <c r="T107" t="n">
        <v>0.7609101781157035</v>
      </c>
      <c r="U107" t="n">
        <v>1.605905576745403</v>
      </c>
      <c r="V107" t="n">
        <v>3.212124274057704</v>
      </c>
      <c r="W107" t="n">
        <v>5.281496087528637</v>
      </c>
      <c r="X107" t="n">
        <v>1.935813444693113</v>
      </c>
      <c r="Y107" t="n">
        <v>0.6569645807085411</v>
      </c>
      <c r="Z107" t="n">
        <v>1.266978647429218</v>
      </c>
      <c r="AA107" t="n">
        <v>0.3746747455765309</v>
      </c>
      <c r="AB107" t="n">
        <v>1.135064901127514</v>
      </c>
      <c r="AC107" t="n">
        <v>2.765030633965981</v>
      </c>
      <c r="AD107" t="n">
        <v>2.214443511397612</v>
      </c>
      <c r="AE107" t="n">
        <v>1.98408117109754</v>
      </c>
      <c r="AF107" t="n">
        <v>1.997518716453683</v>
      </c>
      <c r="AG107" t="n">
        <v>1.992399877677875</v>
      </c>
      <c r="AH107" t="n">
        <v>1.687453227310609</v>
      </c>
      <c r="AI107" t="n">
        <v>1.700222768975945</v>
      </c>
      <c r="AJ107" t="n">
        <v>1.999909002421596</v>
      </c>
      <c r="AK107" t="n">
        <v>1.999128683524209</v>
      </c>
      <c r="AL107" t="n">
        <v>1.995953001850248</v>
      </c>
      <c r="AM107" t="n">
        <v>1.999994543683647</v>
      </c>
      <c r="AN107" t="n">
        <v>1.999985833854456</v>
      </c>
      <c r="AO107" t="n">
        <v>1.999994765850488</v>
      </c>
      <c r="AP107" t="n">
        <v>1.999996937217796</v>
      </c>
      <c r="AQ107" t="n">
        <v>1.999988655645168</v>
      </c>
      <c r="AR107" t="n">
        <v>1.999992412382867</v>
      </c>
      <c r="AS107" t="n">
        <v>2.764995565231176</v>
      </c>
      <c r="AT107" t="n">
        <v>1.240687001892571</v>
      </c>
      <c r="AU107" t="n">
        <v>2.76499759178428</v>
      </c>
      <c r="AV107" t="n">
        <v>1.999994430256691</v>
      </c>
      <c r="AW107" t="n">
        <v>1.999993090183061</v>
      </c>
    </row>
    <row r="108">
      <c r="A108" t="inlineStr">
        <is>
          <t>Dominica_2022_January</t>
        </is>
      </c>
      <c r="C108" t="inlineStr">
        <is>
          <t>SM.22.7, Sup.2</t>
        </is>
      </c>
      <c r="D108" t="inlineStr">
        <is>
          <t>Dominica</t>
        </is>
      </c>
      <c r="E108" t="inlineStr">
        <is>
          <t>DMA</t>
        </is>
      </c>
      <c r="F108" s="11" t="n">
        <v>44562</v>
      </c>
      <c r="G108" t="inlineStr">
        <is>
          <t>2018gn</t>
        </is>
      </c>
      <c r="H108" t="n">
        <v>2021</v>
      </c>
      <c r="I108" t="inlineStr">
        <is>
          <t>dlta.gdp.def.usd</t>
        </is>
      </c>
      <c r="M108" t="inlineStr">
        <is>
          <t>US GDP Deflator (percent change)</t>
        </is>
      </c>
      <c r="Q108" t="n">
        <v>0.6409055884719184</v>
      </c>
      <c r="R108" t="n">
        <v>1.201991933792779</v>
      </c>
      <c r="S108" t="n">
        <v>2.077737794578627</v>
      </c>
      <c r="T108" t="n">
        <v>1.870389109288872</v>
      </c>
      <c r="U108" t="n">
        <v>1.751312612593092</v>
      </c>
      <c r="V108" t="n">
        <v>1.869827474197749</v>
      </c>
      <c r="W108" t="n">
        <v>1.0004101954179</v>
      </c>
      <c r="X108" t="n">
        <v>1.002029862794962</v>
      </c>
      <c r="Y108" t="n">
        <v>1.89813209607701</v>
      </c>
      <c r="Z108" t="n">
        <v>2.388830087151894</v>
      </c>
      <c r="AA108" t="n">
        <v>1.788932486466033</v>
      </c>
      <c r="AB108" t="n">
        <v>1.205081833812383</v>
      </c>
      <c r="AC108" t="n">
        <v>3.603606488974753</v>
      </c>
      <c r="AD108" t="n">
        <v>2.75237739604508</v>
      </c>
      <c r="AE108" t="n">
        <v>2.379457924834383</v>
      </c>
      <c r="AF108" t="n">
        <v>2.279290967516179</v>
      </c>
      <c r="AG108" t="n">
        <v>2.172290340014538</v>
      </c>
      <c r="AH108" t="n">
        <v>2.072200751280939</v>
      </c>
      <c r="AI108" t="n">
        <v>2.000000000000002</v>
      </c>
      <c r="AJ108" t="n">
        <v>2.000000000000002</v>
      </c>
      <c r="AK108" t="n">
        <v>2.000000000000002</v>
      </c>
      <c r="AL108" t="n">
        <v>2.000000000000002</v>
      </c>
      <c r="AM108" t="n">
        <v>2.000000000000002</v>
      </c>
      <c r="AN108" t="n">
        <v>2.000000000000002</v>
      </c>
      <c r="AO108" t="n">
        <v>2.000000000000002</v>
      </c>
      <c r="AP108" t="n">
        <v>2.000000000000002</v>
      </c>
      <c r="AQ108" t="n">
        <v>2.000000000000002</v>
      </c>
      <c r="AR108" t="n">
        <v>2.000000000000002</v>
      </c>
      <c r="AS108" t="n">
        <v>2.000000000000002</v>
      </c>
      <c r="AT108" t="n">
        <v>2.000000000000002</v>
      </c>
      <c r="AU108" t="n">
        <v>2.000000000000002</v>
      </c>
      <c r="AV108" t="n">
        <v>2.000000000000002</v>
      </c>
      <c r="AW108" t="n">
        <v>2.000000000000002</v>
      </c>
    </row>
    <row r="109">
      <c r="A109" t="inlineStr">
        <is>
          <t>Dominica_2022_January</t>
        </is>
      </c>
      <c r="C109" t="inlineStr">
        <is>
          <t>SM.22.7, Sup.2</t>
        </is>
      </c>
      <c r="D109" t="inlineStr">
        <is>
          <t>Dominica</t>
        </is>
      </c>
      <c r="E109" t="inlineStr">
        <is>
          <t>DMA</t>
        </is>
      </c>
      <c r="F109" s="11" t="n">
        <v>44562</v>
      </c>
      <c r="G109" t="inlineStr">
        <is>
          <t>2018gn</t>
        </is>
      </c>
      <c r="H109" t="n">
        <v>2021</v>
      </c>
      <c r="I109" t="inlineStr">
        <is>
          <t>gdp.def.usd.gwth</t>
        </is>
      </c>
      <c r="M109" t="inlineStr">
        <is>
          <t>Exchange rate dollar/NC</t>
        </is>
      </c>
      <c r="P109" t="n">
        <v>0.3703703703703703</v>
      </c>
      <c r="Q109" t="n">
        <v>0.3703703703703703</v>
      </c>
      <c r="R109" t="n">
        <v>0.3703703703703703</v>
      </c>
      <c r="S109" t="n">
        <v>0.3703703703703703</v>
      </c>
      <c r="T109" t="n">
        <v>0.3703703703703703</v>
      </c>
      <c r="U109" t="n">
        <v>0.3703703703703703</v>
      </c>
      <c r="V109" t="n">
        <v>0.3703703703703703</v>
      </c>
      <c r="W109" t="n">
        <v>0.3703703703703703</v>
      </c>
      <c r="X109" t="n">
        <v>0.3703703703703703</v>
      </c>
      <c r="Y109" t="n">
        <v>0.3703703703703703</v>
      </c>
      <c r="Z109" t="n">
        <v>0.3703703703703703</v>
      </c>
      <c r="AA109" t="n">
        <v>0.3703703703703703</v>
      </c>
      <c r="AB109" t="n">
        <v>0.3703703703703703</v>
      </c>
      <c r="AC109" t="n">
        <v>0.3703703703703703</v>
      </c>
      <c r="AD109" t="n">
        <v>0.3703703703703703</v>
      </c>
      <c r="AE109" t="n">
        <v>0.3703703703703703</v>
      </c>
      <c r="AF109" t="n">
        <v>0.3703703703703703</v>
      </c>
      <c r="AG109" t="n">
        <v>0.3703703703703703</v>
      </c>
      <c r="AH109" t="n">
        <v>0.3703703703703703</v>
      </c>
      <c r="AI109" t="n">
        <v>0.3703703703703703</v>
      </c>
      <c r="AJ109" t="n">
        <v>0.3703703703703703</v>
      </c>
      <c r="AK109" t="n">
        <v>0.3703703703703703</v>
      </c>
      <c r="AL109" t="n">
        <v>0.3703703703703703</v>
      </c>
      <c r="AM109" t="n">
        <v>0.3703703703703703</v>
      </c>
      <c r="AN109" t="n">
        <v>0.3703703703703703</v>
      </c>
      <c r="AO109" t="n">
        <v>0.3703703703703703</v>
      </c>
      <c r="AP109" t="n">
        <v>0.3703703703703703</v>
      </c>
      <c r="AQ109" t="n">
        <v>0.3703703703703703</v>
      </c>
      <c r="AR109" t="n">
        <v>0.3703703703703703</v>
      </c>
      <c r="AS109" t="n">
        <v>0.3703703703703703</v>
      </c>
      <c r="AT109" t="n">
        <v>0.3703703703703703</v>
      </c>
      <c r="AU109" t="n">
        <v>0.3703703703703703</v>
      </c>
      <c r="AV109" t="n">
        <v>0.3703703703703703</v>
      </c>
      <c r="AW109" t="n">
        <v>0.3703703703703703</v>
      </c>
    </row>
    <row r="110">
      <c r="A110" t="inlineStr">
        <is>
          <t>Dominica_2022_January</t>
        </is>
      </c>
      <c r="C110" t="inlineStr">
        <is>
          <t>SM.22.7, Sup.2</t>
        </is>
      </c>
      <c r="D110" t="inlineStr">
        <is>
          <t>Dominica</t>
        </is>
      </c>
      <c r="E110" t="inlineStr">
        <is>
          <t>DMA</t>
        </is>
      </c>
      <c r="F110" s="11" t="n">
        <v>44562</v>
      </c>
      <c r="G110" t="inlineStr">
        <is>
          <t>2018gn</t>
        </is>
      </c>
      <c r="H110" t="n">
        <v>2021</v>
      </c>
      <c r="I110" t="inlineStr">
        <is>
          <t>exc.rat.usd2lcu</t>
        </is>
      </c>
      <c r="M110" t="inlineStr">
        <is>
          <t>Depreciation of NC (+: depreciation)</t>
        </is>
      </c>
      <c r="P110" t="inlineStr">
        <is>
          <t>...</t>
        </is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</row>
    <row r="111">
      <c r="A111" t="inlineStr">
        <is>
          <t>Dominica_2022_January</t>
        </is>
      </c>
      <c r="C111" t="inlineStr">
        <is>
          <t>SM.22.7, Sup.2</t>
        </is>
      </c>
      <c r="D111" t="inlineStr">
        <is>
          <t>Dominica</t>
        </is>
      </c>
      <c r="E111" t="inlineStr">
        <is>
          <t>DMA</t>
        </is>
      </c>
      <c r="F111" s="11" t="n">
        <v>44562</v>
      </c>
      <c r="G111" t="inlineStr">
        <is>
          <t>2018gn</t>
        </is>
      </c>
      <c r="H111" t="n">
        <v>2021</v>
      </c>
      <c r="I111" t="inlineStr">
        <is>
          <t>depr.rat.lcu</t>
        </is>
      </c>
    </row>
    <row r="112">
      <c r="A112" t="inlineStr">
        <is>
          <t>Dominica_2022_January</t>
        </is>
      </c>
      <c r="C112" t="inlineStr">
        <is>
          <t>SM.22.7, Sup.2</t>
        </is>
      </c>
      <c r="D112" t="inlineStr">
        <is>
          <t>Dominica</t>
        </is>
      </c>
      <c r="E112" t="inlineStr">
        <is>
          <t>DMA</t>
        </is>
      </c>
      <c r="F112" s="11" t="n">
        <v>44562</v>
      </c>
      <c r="G112" t="inlineStr">
        <is>
          <t>2018gn</t>
        </is>
      </c>
      <c r="H112" t="n">
        <v>2021</v>
      </c>
      <c r="N112" t="inlineStr">
        <is>
          <t xml:space="preserve">1/ Includes arrears </t>
        </is>
      </c>
    </row>
    <row r="113">
      <c r="A113" t="inlineStr">
        <is>
          <t>Dominica_2022_January</t>
        </is>
      </c>
      <c r="C113" t="inlineStr">
        <is>
          <t>SM.22.7, Sup.2</t>
        </is>
      </c>
      <c r="D113" t="inlineStr">
        <is>
          <t>Dominica</t>
        </is>
      </c>
      <c r="E113" t="inlineStr">
        <is>
          <t>DMA</t>
        </is>
      </c>
      <c r="F113" s="11" t="n">
        <v>44562</v>
      </c>
      <c r="G113" t="inlineStr">
        <is>
          <t>2018gn</t>
        </is>
      </c>
      <c r="H113" t="n">
        <v>2021</v>
      </c>
    </row>
    <row r="114">
      <c r="A114" t="inlineStr">
        <is>
          <t>Dominica_2022_January</t>
        </is>
      </c>
      <c r="C114" t="inlineStr">
        <is>
          <t>SM.22.7, Sup.2</t>
        </is>
      </c>
      <c r="D114" t="inlineStr">
        <is>
          <t>Dominica</t>
        </is>
      </c>
      <c r="E114" t="inlineStr">
        <is>
          <t>DMA</t>
        </is>
      </c>
      <c r="F114" s="11" t="n">
        <v>44562</v>
      </c>
      <c r="G114" t="inlineStr">
        <is>
          <t>2018gn</t>
        </is>
      </c>
      <c r="H114" t="n">
        <v>2021</v>
      </c>
    </row>
    <row r="115">
      <c r="A115" t="inlineStr">
        <is>
          <t>Dominica_2022_January</t>
        </is>
      </c>
      <c r="C115" t="inlineStr">
        <is>
          <t>SM.22.7, Sup.2</t>
        </is>
      </c>
      <c r="D115" t="inlineStr">
        <is>
          <t>Dominica</t>
        </is>
      </c>
      <c r="E115" t="inlineStr">
        <is>
          <t>DMA</t>
        </is>
      </c>
      <c r="F115" s="11" t="n">
        <v>44562</v>
      </c>
      <c r="G115" t="inlineStr">
        <is>
          <t>2018gn</t>
        </is>
      </c>
      <c r="H115" t="n">
        <v>2021</v>
      </c>
    </row>
    <row r="116">
      <c r="A116" t="inlineStr">
        <is>
          <t>Dominica_2022_January</t>
        </is>
      </c>
      <c r="C116" t="inlineStr">
        <is>
          <t>SM.22.7, Sup.2</t>
        </is>
      </c>
      <c r="D116" t="inlineStr">
        <is>
          <t>Dominica</t>
        </is>
      </c>
      <c r="E116" t="inlineStr">
        <is>
          <t>DMA</t>
        </is>
      </c>
      <c r="F116" s="11" t="n">
        <v>44562</v>
      </c>
      <c r="G116" t="inlineStr">
        <is>
          <t>2018gn</t>
        </is>
      </c>
      <c r="H116" t="n">
        <v>2021</v>
      </c>
    </row>
    <row r="117">
      <c r="A117" t="inlineStr">
        <is>
          <t>Dominica_2022_January</t>
        </is>
      </c>
      <c r="C117" t="inlineStr">
        <is>
          <t>SM.22.7, Sup.2</t>
        </is>
      </c>
      <c r="D117" t="inlineStr">
        <is>
          <t>Dominica</t>
        </is>
      </c>
      <c r="E117" t="inlineStr">
        <is>
          <t>DMA</t>
        </is>
      </c>
      <c r="F117" s="11" t="n">
        <v>44562</v>
      </c>
      <c r="G117" t="inlineStr">
        <is>
          <t>2018gn</t>
        </is>
      </c>
      <c r="H117" t="n">
        <v>2021</v>
      </c>
    </row>
    <row r="118">
      <c r="A118" t="inlineStr">
        <is>
          <t>Dominica_2022_January</t>
        </is>
      </c>
      <c r="C118" t="inlineStr">
        <is>
          <t>SM.22.7, Sup.2</t>
        </is>
      </c>
      <c r="D118" t="inlineStr">
        <is>
          <t>Dominica</t>
        </is>
      </c>
      <c r="E118" t="inlineStr">
        <is>
          <t>DMA</t>
        </is>
      </c>
      <c r="F118" s="11" t="n">
        <v>44562</v>
      </c>
      <c r="G118" t="inlineStr">
        <is>
          <t>2018gn</t>
        </is>
      </c>
      <c r="H118" t="n">
        <v>2021</v>
      </c>
    </row>
    <row r="119">
      <c r="A119" t="inlineStr">
        <is>
          <t>Dominica_2022_January</t>
        </is>
      </c>
      <c r="C119" t="inlineStr">
        <is>
          <t>SM.22.7, Sup.2</t>
        </is>
      </c>
      <c r="D119" t="inlineStr">
        <is>
          <t>Dominica</t>
        </is>
      </c>
      <c r="E119" t="inlineStr">
        <is>
          <t>DMA</t>
        </is>
      </c>
      <c r="F119" s="11" t="n">
        <v>44562</v>
      </c>
      <c r="G119" t="inlineStr">
        <is>
          <t>2018gn</t>
        </is>
      </c>
      <c r="H119" t="n">
        <v>2021</v>
      </c>
    </row>
    <row r="120">
      <c r="A120" t="inlineStr">
        <is>
          <t>Dominica_2022_January</t>
        </is>
      </c>
      <c r="C120" t="inlineStr">
        <is>
          <t>SM.22.7, Sup.2</t>
        </is>
      </c>
      <c r="D120" t="inlineStr">
        <is>
          <t>Dominica</t>
        </is>
      </c>
      <c r="E120" t="inlineStr">
        <is>
          <t>DMA</t>
        </is>
      </c>
      <c r="F120" s="11" t="n">
        <v>44562</v>
      </c>
      <c r="G120" t="inlineStr">
        <is>
          <t>2018gn</t>
        </is>
      </c>
      <c r="H120" t="n">
        <v>2021</v>
      </c>
    </row>
    <row r="121">
      <c r="A121" t="inlineStr">
        <is>
          <t>Dominica_2022_January</t>
        </is>
      </c>
      <c r="C121" t="inlineStr">
        <is>
          <t>SM.22.7, Sup.2</t>
        </is>
      </c>
      <c r="D121" t="inlineStr">
        <is>
          <t>Dominica</t>
        </is>
      </c>
      <c r="E121" t="inlineStr">
        <is>
          <t>DMA</t>
        </is>
      </c>
      <c r="F121" s="11" t="n">
        <v>44562</v>
      </c>
      <c r="G121" t="inlineStr">
        <is>
          <t>2018gn</t>
        </is>
      </c>
      <c r="H121" t="n">
        <v>2021</v>
      </c>
    </row>
    <row r="122">
      <c r="A122" t="inlineStr">
        <is>
          <t>Dominica_2022_January</t>
        </is>
      </c>
      <c r="C122" t="inlineStr">
        <is>
          <t>SM.22.7, Sup.2</t>
        </is>
      </c>
      <c r="D122" t="inlineStr">
        <is>
          <t>Dominica</t>
        </is>
      </c>
      <c r="E122" t="inlineStr">
        <is>
          <t>DMA</t>
        </is>
      </c>
      <c r="F122" s="11" t="n">
        <v>44562</v>
      </c>
      <c r="G122" t="inlineStr">
        <is>
          <t>2018gn</t>
        </is>
      </c>
      <c r="H122" t="n">
        <v>2021</v>
      </c>
    </row>
    <row r="123">
      <c r="A123" t="inlineStr">
        <is>
          <t>Dominica_2022_January</t>
        </is>
      </c>
      <c r="C123" t="inlineStr">
        <is>
          <t>SM.22.7, Sup.2</t>
        </is>
      </c>
      <c r="D123" t="inlineStr">
        <is>
          <t>Dominica</t>
        </is>
      </c>
      <c r="E123" t="inlineStr">
        <is>
          <t>DMA</t>
        </is>
      </c>
      <c r="F123" s="11" t="n">
        <v>44562</v>
      </c>
      <c r="G123" t="inlineStr">
        <is>
          <t>2018gn</t>
        </is>
      </c>
      <c r="H123" t="n">
        <v>2021</v>
      </c>
    </row>
    <row r="124">
      <c r="A124" t="inlineStr">
        <is>
          <t>Dominica_2022_January</t>
        </is>
      </c>
      <c r="C124" t="inlineStr">
        <is>
          <t>SM.22.7, Sup.2</t>
        </is>
      </c>
      <c r="D124" t="inlineStr">
        <is>
          <t>Dominica</t>
        </is>
      </c>
      <c r="E124" t="inlineStr">
        <is>
          <t>DMA</t>
        </is>
      </c>
      <c r="F124" s="11" t="n">
        <v>44562</v>
      </c>
      <c r="G124" t="inlineStr">
        <is>
          <t>2018gn</t>
        </is>
      </c>
      <c r="H124" t="n">
        <v>2021</v>
      </c>
    </row>
    <row r="125">
      <c r="A125" t="inlineStr">
        <is>
          <t>Dominica_2022_January</t>
        </is>
      </c>
      <c r="C125" t="inlineStr">
        <is>
          <t>SM.22.7, Sup.2</t>
        </is>
      </c>
      <c r="D125" t="inlineStr">
        <is>
          <t>Dominica</t>
        </is>
      </c>
      <c r="E125" t="inlineStr">
        <is>
          <t>DMA</t>
        </is>
      </c>
      <c r="F125" s="11" t="n">
        <v>44562</v>
      </c>
      <c r="G125" t="inlineStr">
        <is>
          <t>2018gn</t>
        </is>
      </c>
      <c r="H125" t="n">
        <v>2021</v>
      </c>
    </row>
    <row r="126">
      <c r="A126" t="inlineStr">
        <is>
          <t>Dominica_2022_January</t>
        </is>
      </c>
      <c r="C126" t="inlineStr">
        <is>
          <t>SM.22.7, Sup.2</t>
        </is>
      </c>
      <c r="D126" t="inlineStr">
        <is>
          <t>Dominica</t>
        </is>
      </c>
      <c r="E126" t="inlineStr">
        <is>
          <t>DMA</t>
        </is>
      </c>
      <c r="F126" s="11" t="n">
        <v>44562</v>
      </c>
      <c r="G126" t="inlineStr">
        <is>
          <t>2018gn</t>
        </is>
      </c>
      <c r="H126" t="n">
        <v>2021</v>
      </c>
    </row>
    <row r="127">
      <c r="A127" t="inlineStr">
        <is>
          <t>Dominica_2022_January</t>
        </is>
      </c>
      <c r="C127" t="inlineStr">
        <is>
          <t>SM.22.7, Sup.2</t>
        </is>
      </c>
      <c r="D127" t="inlineStr">
        <is>
          <t>Dominica</t>
        </is>
      </c>
      <c r="E127" t="inlineStr">
        <is>
          <t>DMA</t>
        </is>
      </c>
      <c r="F127" s="11" t="n">
        <v>44562</v>
      </c>
      <c r="G127" t="inlineStr">
        <is>
          <t>2018gn</t>
        </is>
      </c>
      <c r="H127" t="n">
        <v>2021</v>
      </c>
    </row>
    <row r="128">
      <c r="A128" t="inlineStr">
        <is>
          <t>Dominica_2022_January</t>
        </is>
      </c>
      <c r="C128" t="inlineStr">
        <is>
          <t>SM.22.7, Sup.2</t>
        </is>
      </c>
      <c r="D128" t="inlineStr">
        <is>
          <t>Dominica</t>
        </is>
      </c>
      <c r="E128" t="inlineStr">
        <is>
          <t>DMA</t>
        </is>
      </c>
      <c r="F128" s="11" t="n">
        <v>44562</v>
      </c>
      <c r="G128" t="inlineStr">
        <is>
          <t>2018gn</t>
        </is>
      </c>
      <c r="H128" t="n">
        <v>2021</v>
      </c>
    </row>
    <row r="129">
      <c r="A129" t="inlineStr">
        <is>
          <t>Dominica_2022_January</t>
        </is>
      </c>
      <c r="C129" t="inlineStr">
        <is>
          <t>SM.22.7, Sup.2</t>
        </is>
      </c>
      <c r="D129" t="inlineStr">
        <is>
          <t>Dominica</t>
        </is>
      </c>
      <c r="E129" t="inlineStr">
        <is>
          <t>DMA</t>
        </is>
      </c>
      <c r="F129" s="11" t="n">
        <v>44562</v>
      </c>
      <c r="G129" t="inlineStr">
        <is>
          <t>2018gn</t>
        </is>
      </c>
      <c r="H129" t="n">
        <v>2021</v>
      </c>
    </row>
    <row r="130">
      <c r="A130" t="inlineStr">
        <is>
          <t>Dominica_2022_January</t>
        </is>
      </c>
      <c r="C130" t="inlineStr">
        <is>
          <t>SM.22.7, Sup.2</t>
        </is>
      </c>
      <c r="D130" t="inlineStr">
        <is>
          <t>Dominica</t>
        </is>
      </c>
      <c r="E130" t="inlineStr">
        <is>
          <t>DMA</t>
        </is>
      </c>
      <c r="F130" s="11" t="n">
        <v>44562</v>
      </c>
      <c r="G130" t="inlineStr">
        <is>
          <t>2018gn</t>
        </is>
      </c>
      <c r="H130" t="n">
        <v>2021</v>
      </c>
    </row>
    <row r="131">
      <c r="A131" t="inlineStr">
        <is>
          <t>Dominica_2022_January</t>
        </is>
      </c>
      <c r="C131" t="inlineStr">
        <is>
          <t>SM.22.7, Sup.2</t>
        </is>
      </c>
      <c r="D131" t="inlineStr">
        <is>
          <t>Dominica</t>
        </is>
      </c>
      <c r="E131" t="inlineStr">
        <is>
          <t>DMA</t>
        </is>
      </c>
      <c r="F131" s="11" t="n">
        <v>44562</v>
      </c>
      <c r="G131" t="inlineStr">
        <is>
          <t>2018gn</t>
        </is>
      </c>
      <c r="H131" t="n">
        <v>2021</v>
      </c>
    </row>
    <row r="132">
      <c r="A132" t="inlineStr">
        <is>
          <t>Dominica_2022_January</t>
        </is>
      </c>
      <c r="C132" t="inlineStr">
        <is>
          <t>SM.22.7, Sup.2</t>
        </is>
      </c>
      <c r="D132" t="inlineStr">
        <is>
          <t>Dominica</t>
        </is>
      </c>
      <c r="E132" t="inlineStr">
        <is>
          <t>DMA</t>
        </is>
      </c>
      <c r="F132" s="11" t="n">
        <v>44562</v>
      </c>
      <c r="G132" t="inlineStr">
        <is>
          <t>2018gn</t>
        </is>
      </c>
      <c r="H132" t="n">
        <v>2021</v>
      </c>
    </row>
    <row r="133">
      <c r="A133" t="inlineStr">
        <is>
          <t>Dominica_2022_January</t>
        </is>
      </c>
      <c r="C133" t="inlineStr">
        <is>
          <t>SM.22.7, Sup.2</t>
        </is>
      </c>
      <c r="D133" t="inlineStr">
        <is>
          <t>Dominica</t>
        </is>
      </c>
      <c r="E133" t="inlineStr">
        <is>
          <t>DMA</t>
        </is>
      </c>
      <c r="F133" s="11" t="n">
        <v>44562</v>
      </c>
      <c r="G133" t="inlineStr">
        <is>
          <t>2018gn</t>
        </is>
      </c>
      <c r="H133" t="n">
        <v>2021</v>
      </c>
    </row>
    <row r="134">
      <c r="A134" t="inlineStr">
        <is>
          <t>Dominica_2022_January</t>
        </is>
      </c>
      <c r="C134" t="inlineStr">
        <is>
          <t>SM.22.7, Sup.2</t>
        </is>
      </c>
      <c r="D134" t="inlineStr">
        <is>
          <t>Dominica</t>
        </is>
      </c>
      <c r="E134" t="inlineStr">
        <is>
          <t>DMA</t>
        </is>
      </c>
      <c r="F134" s="11" t="n">
        <v>44562</v>
      </c>
      <c r="G134" t="inlineStr">
        <is>
          <t>2018gn</t>
        </is>
      </c>
      <c r="H134" t="n">
        <v>2021</v>
      </c>
    </row>
    <row r="135">
      <c r="A135" t="inlineStr">
        <is>
          <t>Dominica_2022_January</t>
        </is>
      </c>
      <c r="C135" t="inlineStr">
        <is>
          <t>SM.22.7, Sup.2</t>
        </is>
      </c>
      <c r="D135" t="inlineStr">
        <is>
          <t>Dominica</t>
        </is>
      </c>
      <c r="E135" t="inlineStr">
        <is>
          <t>DMA</t>
        </is>
      </c>
      <c r="F135" s="11" t="n">
        <v>44562</v>
      </c>
      <c r="G135" t="inlineStr">
        <is>
          <t>2018gn</t>
        </is>
      </c>
      <c r="H135" t="n">
        <v>2021</v>
      </c>
    </row>
    <row r="136">
      <c r="A136" t="inlineStr">
        <is>
          <t>Dominica_2022_January</t>
        </is>
      </c>
      <c r="C136" t="inlineStr">
        <is>
          <t>SM.22.7, Sup.2</t>
        </is>
      </c>
      <c r="D136" t="inlineStr">
        <is>
          <t>Dominica</t>
        </is>
      </c>
      <c r="E136" t="inlineStr">
        <is>
          <t>DMA</t>
        </is>
      </c>
      <c r="F136" s="11" t="n">
        <v>44562</v>
      </c>
      <c r="G136" t="inlineStr">
        <is>
          <t>2018gn</t>
        </is>
      </c>
      <c r="H136" t="n">
        <v>2021</v>
      </c>
    </row>
    <row r="137">
      <c r="A137" t="inlineStr">
        <is>
          <t>Dominica_2022_January</t>
        </is>
      </c>
      <c r="C137" t="inlineStr">
        <is>
          <t>SM.22.7, Sup.2</t>
        </is>
      </c>
      <c r="D137" t="inlineStr">
        <is>
          <t>Dominica</t>
        </is>
      </c>
      <c r="E137" t="inlineStr">
        <is>
          <t>DMA</t>
        </is>
      </c>
      <c r="F137" s="11" t="n">
        <v>44562</v>
      </c>
      <c r="G137" t="inlineStr">
        <is>
          <t>2018gn</t>
        </is>
      </c>
      <c r="H137" t="n">
        <v>2021</v>
      </c>
    </row>
    <row r="138">
      <c r="A138" t="inlineStr">
        <is>
          <t>Dominica_2022_January</t>
        </is>
      </c>
      <c r="C138" t="inlineStr">
        <is>
          <t>SM.22.7, Sup.2</t>
        </is>
      </c>
      <c r="D138" t="inlineStr">
        <is>
          <t>Dominica</t>
        </is>
      </c>
      <c r="E138" t="inlineStr">
        <is>
          <t>DMA</t>
        </is>
      </c>
      <c r="F138" s="11" t="n">
        <v>44562</v>
      </c>
      <c r="G138" t="inlineStr">
        <is>
          <t>2018gn</t>
        </is>
      </c>
      <c r="H138" t="n">
        <v>2021</v>
      </c>
    </row>
    <row r="139">
      <c r="A139" t="inlineStr">
        <is>
          <t>Dominica_2022_January</t>
        </is>
      </c>
      <c r="C139" t="inlineStr">
        <is>
          <t>SM.22.7, Sup.2</t>
        </is>
      </c>
      <c r="D139" t="inlineStr">
        <is>
          <t>Dominica</t>
        </is>
      </c>
      <c r="E139" t="inlineStr">
        <is>
          <t>DMA</t>
        </is>
      </c>
      <c r="F139" s="11" t="n">
        <v>44562</v>
      </c>
      <c r="G139" t="inlineStr">
        <is>
          <t>2018gn</t>
        </is>
      </c>
      <c r="H139" t="n">
        <v>2021</v>
      </c>
    </row>
    <row r="140">
      <c r="A140" t="inlineStr">
        <is>
          <t>Dominica_2022_January</t>
        </is>
      </c>
      <c r="C140" t="inlineStr">
        <is>
          <t>SM.22.7, Sup.2</t>
        </is>
      </c>
      <c r="D140" t="inlineStr">
        <is>
          <t>Dominica</t>
        </is>
      </c>
      <c r="E140" t="inlineStr">
        <is>
          <t>DMA</t>
        </is>
      </c>
      <c r="F140" s="11" t="n">
        <v>44562</v>
      </c>
      <c r="G140" t="inlineStr">
        <is>
          <t>2018gn</t>
        </is>
      </c>
      <c r="H140" t="n">
        <v>2021</v>
      </c>
    </row>
    <row r="141">
      <c r="A141" t="inlineStr">
        <is>
          <t>Dominica_2022_January</t>
        </is>
      </c>
      <c r="C141" t="inlineStr">
        <is>
          <t>SM.22.7, Sup.2</t>
        </is>
      </c>
      <c r="D141" t="inlineStr">
        <is>
          <t>Dominica</t>
        </is>
      </c>
      <c r="E141" t="inlineStr">
        <is>
          <t>DMA</t>
        </is>
      </c>
      <c r="F141" s="11" t="n">
        <v>44562</v>
      </c>
      <c r="G141" t="inlineStr">
        <is>
          <t>2018gn</t>
        </is>
      </c>
      <c r="H141" t="n">
        <v>2021</v>
      </c>
    </row>
    <row r="142">
      <c r="A142" t="inlineStr">
        <is>
          <t>Dominica_2022_January</t>
        </is>
      </c>
      <c r="C142" t="inlineStr">
        <is>
          <t>SM.22.7, Sup.2</t>
        </is>
      </c>
      <c r="D142" t="inlineStr">
        <is>
          <t>Dominica</t>
        </is>
      </c>
      <c r="E142" t="inlineStr">
        <is>
          <t>DMA</t>
        </is>
      </c>
      <c r="F142" s="11" t="n">
        <v>44562</v>
      </c>
      <c r="G142" t="inlineStr">
        <is>
          <t>2018gn</t>
        </is>
      </c>
      <c r="H142" t="n">
        <v>2021</v>
      </c>
    </row>
    <row r="143">
      <c r="A143" t="inlineStr">
        <is>
          <t>Dominica_2022_January</t>
        </is>
      </c>
      <c r="C143" t="inlineStr">
        <is>
          <t>SM.22.7, Sup.2</t>
        </is>
      </c>
      <c r="D143" t="inlineStr">
        <is>
          <t>Dominica</t>
        </is>
      </c>
      <c r="E143" t="inlineStr">
        <is>
          <t>DMA</t>
        </is>
      </c>
      <c r="F143" s="11" t="n">
        <v>44562</v>
      </c>
      <c r="G143" t="inlineStr">
        <is>
          <t>2018gn</t>
        </is>
      </c>
      <c r="H143" t="n">
        <v>2021</v>
      </c>
    </row>
    <row r="144">
      <c r="A144" t="inlineStr">
        <is>
          <t>Dominica_2022_January</t>
        </is>
      </c>
      <c r="C144" t="inlineStr">
        <is>
          <t>SM.22.7, Sup.2</t>
        </is>
      </c>
      <c r="D144" t="inlineStr">
        <is>
          <t>Dominica</t>
        </is>
      </c>
      <c r="E144" t="inlineStr">
        <is>
          <t>DMA</t>
        </is>
      </c>
      <c r="F144" s="11" t="n">
        <v>44562</v>
      </c>
      <c r="G144" t="inlineStr">
        <is>
          <t>2018gn</t>
        </is>
      </c>
      <c r="H144" t="n">
        <v>2021</v>
      </c>
    </row>
    <row r="145">
      <c r="A145" t="inlineStr">
        <is>
          <t>Dominica_2022_January</t>
        </is>
      </c>
      <c r="C145" t="inlineStr">
        <is>
          <t>SM.22.7, Sup.2</t>
        </is>
      </c>
      <c r="D145" t="inlineStr">
        <is>
          <t>Dominica</t>
        </is>
      </c>
      <c r="E145" t="inlineStr">
        <is>
          <t>DMA</t>
        </is>
      </c>
      <c r="F145" s="11" t="n">
        <v>44562</v>
      </c>
      <c r="G145" t="inlineStr">
        <is>
          <t>2018gn</t>
        </is>
      </c>
      <c r="H145" t="n">
        <v>2021</v>
      </c>
    </row>
    <row r="146">
      <c r="A146" t="inlineStr">
        <is>
          <t>Dominica_2022_January</t>
        </is>
      </c>
      <c r="C146" t="inlineStr">
        <is>
          <t>SM.22.7, Sup.2</t>
        </is>
      </c>
      <c r="D146" t="inlineStr">
        <is>
          <t>Dominica</t>
        </is>
      </c>
      <c r="E146" t="inlineStr">
        <is>
          <t>DMA</t>
        </is>
      </c>
      <c r="F146" s="11" t="n">
        <v>44562</v>
      </c>
      <c r="G146" t="inlineStr">
        <is>
          <t>2018gn</t>
        </is>
      </c>
      <c r="H146" t="n">
        <v>2021</v>
      </c>
    </row>
    <row r="147">
      <c r="A147" t="inlineStr">
        <is>
          <t>Dominica_2022_January</t>
        </is>
      </c>
      <c r="C147" t="inlineStr">
        <is>
          <t>SM.22.7, Sup.2</t>
        </is>
      </c>
      <c r="D147" t="inlineStr">
        <is>
          <t>Dominica</t>
        </is>
      </c>
      <c r="E147" t="inlineStr">
        <is>
          <t>DMA</t>
        </is>
      </c>
      <c r="F147" s="11" t="n">
        <v>44562</v>
      </c>
      <c r="G147" t="inlineStr">
        <is>
          <t>2018gn</t>
        </is>
      </c>
      <c r="H147" t="n">
        <v>2021</v>
      </c>
    </row>
    <row r="148">
      <c r="A148" t="inlineStr">
        <is>
          <t>Dominica_2022_January</t>
        </is>
      </c>
      <c r="C148" t="inlineStr">
        <is>
          <t>SM.22.7, Sup.2</t>
        </is>
      </c>
      <c r="D148" t="inlineStr">
        <is>
          <t>Dominica</t>
        </is>
      </c>
      <c r="E148" t="inlineStr">
        <is>
          <t>DMA</t>
        </is>
      </c>
      <c r="F148" s="11" t="n">
        <v>44562</v>
      </c>
      <c r="G148" t="inlineStr">
        <is>
          <t>2018gn</t>
        </is>
      </c>
      <c r="H148" t="n">
        <v>2021</v>
      </c>
    </row>
    <row r="149">
      <c r="A149" t="inlineStr">
        <is>
          <t>Dominica_2022_January</t>
        </is>
      </c>
      <c r="C149" t="inlineStr">
        <is>
          <t>SM.22.7, Sup.2</t>
        </is>
      </c>
      <c r="D149" t="inlineStr">
        <is>
          <t>Dominica</t>
        </is>
      </c>
      <c r="E149" t="inlineStr">
        <is>
          <t>DMA</t>
        </is>
      </c>
      <c r="F149" s="11" t="n">
        <v>44562</v>
      </c>
      <c r="G149" t="inlineStr">
        <is>
          <t>2018gn</t>
        </is>
      </c>
      <c r="H149" t="n">
        <v>2021</v>
      </c>
    </row>
    <row r="150">
      <c r="A150" t="inlineStr">
        <is>
          <t>Dominica_2022_January</t>
        </is>
      </c>
      <c r="C150" t="inlineStr">
        <is>
          <t>SM.22.7, Sup.2</t>
        </is>
      </c>
      <c r="D150" t="inlineStr">
        <is>
          <t>Dominica</t>
        </is>
      </c>
      <c r="E150" t="inlineStr">
        <is>
          <t>DMA</t>
        </is>
      </c>
      <c r="F150" s="11" t="n">
        <v>44562</v>
      </c>
      <c r="G150" t="inlineStr">
        <is>
          <t>2018gn</t>
        </is>
      </c>
      <c r="H150" t="n">
        <v>2021</v>
      </c>
    </row>
    <row r="151">
      <c r="A151" t="inlineStr">
        <is>
          <t>Dominica_2022_January</t>
        </is>
      </c>
      <c r="C151" t="inlineStr">
        <is>
          <t>SM.22.7, Sup.2</t>
        </is>
      </c>
      <c r="D151" t="inlineStr">
        <is>
          <t>Dominica</t>
        </is>
      </c>
      <c r="E151" t="inlineStr">
        <is>
          <t>DMA</t>
        </is>
      </c>
      <c r="F151" s="11" t="n">
        <v>44562</v>
      </c>
      <c r="G151" t="inlineStr">
        <is>
          <t>2018gn</t>
        </is>
      </c>
      <c r="H151" t="n">
        <v>2021</v>
      </c>
    </row>
    <row r="152">
      <c r="A152" t="inlineStr">
        <is>
          <t>Dominica_2022_January</t>
        </is>
      </c>
      <c r="C152" t="inlineStr">
        <is>
          <t>SM.22.7, Sup.2</t>
        </is>
      </c>
      <c r="D152" t="inlineStr">
        <is>
          <t>Dominica</t>
        </is>
      </c>
      <c r="E152" t="inlineStr">
        <is>
          <t>DMA</t>
        </is>
      </c>
      <c r="F152" s="11" t="n">
        <v>44562</v>
      </c>
      <c r="G152" t="inlineStr">
        <is>
          <t>2018gn</t>
        </is>
      </c>
      <c r="H152" t="n">
        <v>2021</v>
      </c>
    </row>
    <row r="153">
      <c r="A153" t="inlineStr">
        <is>
          <t>Dominica_2022_January</t>
        </is>
      </c>
      <c r="C153" t="inlineStr">
        <is>
          <t>SM.22.7, Sup.2</t>
        </is>
      </c>
      <c r="D153" t="inlineStr">
        <is>
          <t>Dominica</t>
        </is>
      </c>
      <c r="E153" t="inlineStr">
        <is>
          <t>DMA</t>
        </is>
      </c>
      <c r="F153" s="11" t="n">
        <v>44562</v>
      </c>
      <c r="G153" t="inlineStr">
        <is>
          <t>2018gn</t>
        </is>
      </c>
      <c r="H153" t="n">
        <v>2021</v>
      </c>
    </row>
    <row r="154">
      <c r="A154" t="inlineStr">
        <is>
          <t>Dominica_2022_January</t>
        </is>
      </c>
      <c r="C154" t="inlineStr">
        <is>
          <t>SM.22.7, Sup.2</t>
        </is>
      </c>
      <c r="D154" t="inlineStr">
        <is>
          <t>Dominica</t>
        </is>
      </c>
      <c r="E154" t="inlineStr">
        <is>
          <t>DMA</t>
        </is>
      </c>
      <c r="F154" s="11" t="n">
        <v>44562</v>
      </c>
      <c r="G154" t="inlineStr">
        <is>
          <t>2018gn</t>
        </is>
      </c>
      <c r="H154" t="n">
        <v>2021</v>
      </c>
    </row>
    <row r="155">
      <c r="A155" t="inlineStr">
        <is>
          <t>Dominica_2022_January</t>
        </is>
      </c>
      <c r="C155" t="inlineStr">
        <is>
          <t>SM.22.7, Sup.2</t>
        </is>
      </c>
      <c r="D155" t="inlineStr">
        <is>
          <t>Dominica</t>
        </is>
      </c>
      <c r="E155" t="inlineStr">
        <is>
          <t>DMA</t>
        </is>
      </c>
      <c r="F155" s="11" t="n">
        <v>44562</v>
      </c>
      <c r="G155" t="inlineStr">
        <is>
          <t>2018gn</t>
        </is>
      </c>
      <c r="H155" t="n">
        <v>2021</v>
      </c>
    </row>
    <row r="156">
      <c r="A156" t="inlineStr">
        <is>
          <t>Dominica_2022_January</t>
        </is>
      </c>
      <c r="C156" t="inlineStr">
        <is>
          <t>SM.22.7, Sup.2</t>
        </is>
      </c>
      <c r="D156" t="inlineStr">
        <is>
          <t>Dominica</t>
        </is>
      </c>
      <c r="E156" t="inlineStr">
        <is>
          <t>DMA</t>
        </is>
      </c>
      <c r="F156" s="11" t="n">
        <v>44562</v>
      </c>
      <c r="G156" t="inlineStr">
        <is>
          <t>2018gn</t>
        </is>
      </c>
      <c r="H156" t="n">
        <v>2021</v>
      </c>
    </row>
    <row r="157">
      <c r="A157" t="inlineStr">
        <is>
          <t>Dominica_2022_January</t>
        </is>
      </c>
      <c r="C157" t="inlineStr">
        <is>
          <t>SM.22.7, Sup.2</t>
        </is>
      </c>
      <c r="D157" t="inlineStr">
        <is>
          <t>Dominica</t>
        </is>
      </c>
      <c r="E157" t="inlineStr">
        <is>
          <t>DMA</t>
        </is>
      </c>
      <c r="F157" s="11" t="n">
        <v>44562</v>
      </c>
      <c r="G157" t="inlineStr">
        <is>
          <t>2018gn</t>
        </is>
      </c>
      <c r="H157" t="n">
        <v>2021</v>
      </c>
    </row>
    <row r="158">
      <c r="A158" t="inlineStr">
        <is>
          <t>Dominica_2022_January</t>
        </is>
      </c>
      <c r="C158" t="inlineStr">
        <is>
          <t>SM.22.7, Sup.2</t>
        </is>
      </c>
      <c r="D158" t="inlineStr">
        <is>
          <t>Dominica</t>
        </is>
      </c>
      <c r="E158" t="inlineStr">
        <is>
          <t>DMA</t>
        </is>
      </c>
      <c r="F158" s="11" t="n">
        <v>44562</v>
      </c>
      <c r="G158" t="inlineStr">
        <is>
          <t>2018gn</t>
        </is>
      </c>
      <c r="H158" t="n">
        <v>2021</v>
      </c>
    </row>
    <row r="159">
      <c r="A159" t="inlineStr">
        <is>
          <t>Dominica_2022_January</t>
        </is>
      </c>
      <c r="C159" t="inlineStr">
        <is>
          <t>SM.22.7, Sup.2</t>
        </is>
      </c>
      <c r="D159" t="inlineStr">
        <is>
          <t>Dominica</t>
        </is>
      </c>
      <c r="E159" t="inlineStr">
        <is>
          <t>DMA</t>
        </is>
      </c>
      <c r="F159" s="11" t="n">
        <v>44562</v>
      </c>
      <c r="G159" t="inlineStr">
        <is>
          <t>2018gn</t>
        </is>
      </c>
      <c r="H159" t="n">
        <v>2021</v>
      </c>
    </row>
    <row r="160">
      <c r="A160" t="inlineStr">
        <is>
          <t>Dominica_2022_January</t>
        </is>
      </c>
      <c r="C160" t="inlineStr">
        <is>
          <t>SM.22.7, Sup.2</t>
        </is>
      </c>
      <c r="D160" t="inlineStr">
        <is>
          <t>Dominica</t>
        </is>
      </c>
      <c r="E160" t="inlineStr">
        <is>
          <t>DMA</t>
        </is>
      </c>
      <c r="F160" s="11" t="n">
        <v>44562</v>
      </c>
      <c r="G160" t="inlineStr">
        <is>
          <t>2018gn</t>
        </is>
      </c>
      <c r="H160" t="n">
        <v>2021</v>
      </c>
    </row>
    <row r="161">
      <c r="A161" t="inlineStr">
        <is>
          <t>Dominica_2022_January</t>
        </is>
      </c>
      <c r="C161" t="inlineStr">
        <is>
          <t>SM.22.7, Sup.2</t>
        </is>
      </c>
      <c r="D161" t="inlineStr">
        <is>
          <t>Dominica</t>
        </is>
      </c>
      <c r="E161" t="inlineStr">
        <is>
          <t>DMA</t>
        </is>
      </c>
      <c r="F161" s="11" t="n">
        <v>44562</v>
      </c>
      <c r="G161" t="inlineStr">
        <is>
          <t>2018gn</t>
        </is>
      </c>
      <c r="H161" t="n">
        <v>2021</v>
      </c>
    </row>
    <row r="162">
      <c r="A162" t="inlineStr">
        <is>
          <t>Dominica_2022_January</t>
        </is>
      </c>
      <c r="C162" t="inlineStr">
        <is>
          <t>SM.22.7, Sup.2</t>
        </is>
      </c>
      <c r="D162" t="inlineStr">
        <is>
          <t>Dominica</t>
        </is>
      </c>
      <c r="E162" t="inlineStr">
        <is>
          <t>DMA</t>
        </is>
      </c>
      <c r="F162" s="11" t="n">
        <v>44562</v>
      </c>
      <c r="G162" t="inlineStr">
        <is>
          <t>2018gn</t>
        </is>
      </c>
      <c r="H162" t="n">
        <v>2021</v>
      </c>
    </row>
    <row r="163">
      <c r="A163" t="inlineStr">
        <is>
          <t>Dominica_2022_January</t>
        </is>
      </c>
      <c r="C163" t="inlineStr">
        <is>
          <t>SM.22.7, Sup.2</t>
        </is>
      </c>
      <c r="D163" t="inlineStr">
        <is>
          <t>Dominica</t>
        </is>
      </c>
      <c r="E163" t="inlineStr">
        <is>
          <t>DMA</t>
        </is>
      </c>
      <c r="F163" s="11" t="n">
        <v>44562</v>
      </c>
      <c r="G163" t="inlineStr">
        <is>
          <t>2018gn</t>
        </is>
      </c>
      <c r="H163" t="n">
        <v>2021</v>
      </c>
    </row>
    <row r="164">
      <c r="A164" t="inlineStr">
        <is>
          <t>Dominica_2022_January</t>
        </is>
      </c>
      <c r="C164" t="inlineStr">
        <is>
          <t>SM.22.7, Sup.2</t>
        </is>
      </c>
      <c r="D164" t="inlineStr">
        <is>
          <t>Dominica</t>
        </is>
      </c>
      <c r="E164" t="inlineStr">
        <is>
          <t>DMA</t>
        </is>
      </c>
      <c r="F164" s="11" t="n">
        <v>44562</v>
      </c>
      <c r="G164" t="inlineStr">
        <is>
          <t>2018gn</t>
        </is>
      </c>
      <c r="H164" t="n">
        <v>2021</v>
      </c>
    </row>
    <row r="165">
      <c r="A165" t="inlineStr">
        <is>
          <t>Dominica_2022_January</t>
        </is>
      </c>
      <c r="C165" t="inlineStr">
        <is>
          <t>SM.22.7, Sup.2</t>
        </is>
      </c>
      <c r="D165" t="inlineStr">
        <is>
          <t>Dominica</t>
        </is>
      </c>
      <c r="E165" t="inlineStr">
        <is>
          <t>DMA</t>
        </is>
      </c>
      <c r="F165" s="11" t="n">
        <v>44562</v>
      </c>
      <c r="G165" t="inlineStr">
        <is>
          <t>2018gn</t>
        </is>
      </c>
      <c r="H165" t="n">
        <v>2021</v>
      </c>
    </row>
    <row r="166">
      <c r="A166" t="inlineStr">
        <is>
          <t>Dominica_2022_January</t>
        </is>
      </c>
      <c r="C166" t="inlineStr">
        <is>
          <t>SM.22.7, Sup.2</t>
        </is>
      </c>
      <c r="D166" t="inlineStr">
        <is>
          <t>Dominica</t>
        </is>
      </c>
      <c r="E166" t="inlineStr">
        <is>
          <t>DMA</t>
        </is>
      </c>
      <c r="F166" s="11" t="n">
        <v>44562</v>
      </c>
      <c r="G166" t="inlineStr">
        <is>
          <t>2018gn</t>
        </is>
      </c>
      <c r="H166" t="n">
        <v>2021</v>
      </c>
    </row>
    <row r="167">
      <c r="A167" t="inlineStr">
        <is>
          <t>Dominica_2022_January</t>
        </is>
      </c>
      <c r="C167" t="inlineStr">
        <is>
          <t>SM.22.7, Sup.2</t>
        </is>
      </c>
      <c r="D167" t="inlineStr">
        <is>
          <t>Dominica</t>
        </is>
      </c>
      <c r="E167" t="inlineStr">
        <is>
          <t>DMA</t>
        </is>
      </c>
      <c r="F167" s="11" t="n">
        <v>44562</v>
      </c>
      <c r="G167" t="inlineStr">
        <is>
          <t>2018gn</t>
        </is>
      </c>
      <c r="H167" t="n">
        <v>2021</v>
      </c>
    </row>
    <row r="168">
      <c r="A168" t="inlineStr">
        <is>
          <t>Dominica_2022_January</t>
        </is>
      </c>
      <c r="C168" t="inlineStr">
        <is>
          <t>SM.22.7, Sup.2</t>
        </is>
      </c>
      <c r="D168" t="inlineStr">
        <is>
          <t>Dominica</t>
        </is>
      </c>
      <c r="E168" t="inlineStr">
        <is>
          <t>DMA</t>
        </is>
      </c>
      <c r="F168" s="11" t="n">
        <v>44562</v>
      </c>
      <c r="G168" t="inlineStr">
        <is>
          <t>2018gn</t>
        </is>
      </c>
      <c r="H168" t="n">
        <v>2021</v>
      </c>
    </row>
    <row r="169">
      <c r="A169" t="inlineStr">
        <is>
          <t>Dominica_2022_January</t>
        </is>
      </c>
      <c r="C169" t="inlineStr">
        <is>
          <t>SM.22.7, Sup.2</t>
        </is>
      </c>
      <c r="D169" t="inlineStr">
        <is>
          <t>Dominica</t>
        </is>
      </c>
      <c r="E169" t="inlineStr">
        <is>
          <t>DMA</t>
        </is>
      </c>
      <c r="F169" s="11" t="n">
        <v>44562</v>
      </c>
      <c r="G169" t="inlineStr">
        <is>
          <t>2018gn</t>
        </is>
      </c>
      <c r="H169" t="n">
        <v>2021</v>
      </c>
    </row>
    <row r="170">
      <c r="A170" t="inlineStr">
        <is>
          <t>Dominica_2022_January</t>
        </is>
      </c>
      <c r="C170" t="inlineStr">
        <is>
          <t>SM.22.7, Sup.2</t>
        </is>
      </c>
      <c r="D170" t="inlineStr">
        <is>
          <t>Dominica</t>
        </is>
      </c>
      <c r="E170" t="inlineStr">
        <is>
          <t>DMA</t>
        </is>
      </c>
      <c r="F170" s="11" t="n">
        <v>44562</v>
      </c>
      <c r="G170" t="inlineStr">
        <is>
          <t>2018gn</t>
        </is>
      </c>
      <c r="H170" t="n">
        <v>2021</v>
      </c>
    </row>
    <row r="171">
      <c r="A171" t="inlineStr">
        <is>
          <t>Dominica_2022_January</t>
        </is>
      </c>
      <c r="C171" t="inlineStr">
        <is>
          <t>SM.22.7, Sup.2</t>
        </is>
      </c>
      <c r="D171" t="inlineStr">
        <is>
          <t>Dominica</t>
        </is>
      </c>
      <c r="E171" t="inlineStr">
        <is>
          <t>DMA</t>
        </is>
      </c>
      <c r="F171" s="11" t="n">
        <v>44562</v>
      </c>
      <c r="G171" t="inlineStr">
        <is>
          <t>2018gn</t>
        </is>
      </c>
      <c r="H171" t="n">
        <v>2021</v>
      </c>
    </row>
    <row r="172">
      <c r="A172" t="inlineStr">
        <is>
          <t>Dominica_2022_January</t>
        </is>
      </c>
      <c r="C172" t="inlineStr">
        <is>
          <t>SM.22.7, Sup.2</t>
        </is>
      </c>
      <c r="D172" t="inlineStr">
        <is>
          <t>Dominica</t>
        </is>
      </c>
      <c r="E172" t="inlineStr">
        <is>
          <t>DMA</t>
        </is>
      </c>
      <c r="F172" s="11" t="n">
        <v>44562</v>
      </c>
      <c r="G172" t="inlineStr">
        <is>
          <t>2018gn</t>
        </is>
      </c>
      <c r="H172" t="n">
        <v>2021</v>
      </c>
    </row>
    <row r="173">
      <c r="A173" t="inlineStr">
        <is>
          <t>Dominica_2022_January</t>
        </is>
      </c>
      <c r="C173" t="inlineStr">
        <is>
          <t>SM.22.7, Sup.2</t>
        </is>
      </c>
      <c r="D173" t="inlineStr">
        <is>
          <t>Dominica</t>
        </is>
      </c>
      <c r="E173" t="inlineStr">
        <is>
          <t>DMA</t>
        </is>
      </c>
      <c r="F173" s="11" t="n">
        <v>44562</v>
      </c>
      <c r="G173" t="inlineStr">
        <is>
          <t>2018gn</t>
        </is>
      </c>
      <c r="H173" t="n">
        <v>2021</v>
      </c>
    </row>
    <row r="174">
      <c r="A174" t="inlineStr">
        <is>
          <t>Dominica_2022_January</t>
        </is>
      </c>
      <c r="C174" t="inlineStr">
        <is>
          <t>SM.22.7, Sup.2</t>
        </is>
      </c>
      <c r="D174" t="inlineStr">
        <is>
          <t>Dominica</t>
        </is>
      </c>
      <c r="E174" t="inlineStr">
        <is>
          <t>DMA</t>
        </is>
      </c>
      <c r="F174" s="11" t="n">
        <v>44562</v>
      </c>
      <c r="G174" t="inlineStr">
        <is>
          <t>2018gn</t>
        </is>
      </c>
      <c r="H174" t="n">
        <v>2021</v>
      </c>
    </row>
    <row r="175">
      <c r="A175" t="inlineStr">
        <is>
          <t>Dominica_2022_January</t>
        </is>
      </c>
      <c r="C175" t="inlineStr">
        <is>
          <t>SM.22.7, Sup.2</t>
        </is>
      </c>
      <c r="D175" t="inlineStr">
        <is>
          <t>Dominica</t>
        </is>
      </c>
      <c r="E175" t="inlineStr">
        <is>
          <t>DMA</t>
        </is>
      </c>
      <c r="F175" s="11" t="n">
        <v>44562</v>
      </c>
      <c r="G175" t="inlineStr">
        <is>
          <t>2018gn</t>
        </is>
      </c>
      <c r="H175" t="n">
        <v>2021</v>
      </c>
    </row>
    <row r="176">
      <c r="A176" t="inlineStr">
        <is>
          <t>Dominica_2022_January</t>
        </is>
      </c>
      <c r="C176" t="inlineStr">
        <is>
          <t>SM.22.7, Sup.2</t>
        </is>
      </c>
      <c r="D176" t="inlineStr">
        <is>
          <t>Dominica</t>
        </is>
      </c>
      <c r="E176" t="inlineStr">
        <is>
          <t>DMA</t>
        </is>
      </c>
      <c r="F176" s="11" t="n">
        <v>44562</v>
      </c>
      <c r="G176" t="inlineStr">
        <is>
          <t>2018gn</t>
        </is>
      </c>
      <c r="H176" t="n">
        <v>2021</v>
      </c>
    </row>
    <row r="177">
      <c r="A177" t="inlineStr">
        <is>
          <t>Dominica_2022_January</t>
        </is>
      </c>
      <c r="C177" t="inlineStr">
        <is>
          <t>SM.22.7, Sup.2</t>
        </is>
      </c>
      <c r="D177" t="inlineStr">
        <is>
          <t>Dominica</t>
        </is>
      </c>
      <c r="E177" t="inlineStr">
        <is>
          <t>DMA</t>
        </is>
      </c>
      <c r="F177" s="11" t="n">
        <v>44562</v>
      </c>
      <c r="G177" t="inlineStr">
        <is>
          <t>2018gn</t>
        </is>
      </c>
      <c r="H177" t="n">
        <v>2021</v>
      </c>
    </row>
    <row r="178">
      <c r="A178" t="inlineStr">
        <is>
          <t>Dominica_2022_January</t>
        </is>
      </c>
      <c r="C178" t="inlineStr">
        <is>
          <t>SM.22.7, Sup.2</t>
        </is>
      </c>
      <c r="D178" t="inlineStr">
        <is>
          <t>Dominica</t>
        </is>
      </c>
      <c r="E178" t="inlineStr">
        <is>
          <t>DMA</t>
        </is>
      </c>
      <c r="F178" s="11" t="n">
        <v>44562</v>
      </c>
      <c r="G178" t="inlineStr">
        <is>
          <t>2018gn</t>
        </is>
      </c>
      <c r="H178" t="n">
        <v>2021</v>
      </c>
    </row>
    <row r="179">
      <c r="A179" t="inlineStr">
        <is>
          <t>Dominica_2022_January</t>
        </is>
      </c>
      <c r="C179" t="inlineStr">
        <is>
          <t>SM.22.7, Sup.2</t>
        </is>
      </c>
      <c r="D179" t="inlineStr">
        <is>
          <t>Dominica</t>
        </is>
      </c>
      <c r="E179" t="inlineStr">
        <is>
          <t>DMA</t>
        </is>
      </c>
      <c r="F179" s="11" t="n">
        <v>44562</v>
      </c>
      <c r="G179" t="inlineStr">
        <is>
          <t>2018gn</t>
        </is>
      </c>
      <c r="H179" t="n">
        <v>2021</v>
      </c>
    </row>
    <row r="180">
      <c r="A180" t="inlineStr">
        <is>
          <t>Dominica_2022_January</t>
        </is>
      </c>
      <c r="C180" t="inlineStr">
        <is>
          <t>SM.22.7, Sup.2</t>
        </is>
      </c>
      <c r="D180" t="inlineStr">
        <is>
          <t>Dominica</t>
        </is>
      </c>
      <c r="E180" t="inlineStr">
        <is>
          <t>DMA</t>
        </is>
      </c>
      <c r="F180" s="11" t="n">
        <v>44562</v>
      </c>
      <c r="G180" t="inlineStr">
        <is>
          <t>2018gn</t>
        </is>
      </c>
      <c r="H180" t="n">
        <v>2021</v>
      </c>
    </row>
    <row r="181">
      <c r="A181" t="inlineStr">
        <is>
          <t>Dominica_2022_January</t>
        </is>
      </c>
      <c r="C181" t="inlineStr">
        <is>
          <t>SM.22.7, Sup.2</t>
        </is>
      </c>
      <c r="D181" t="inlineStr">
        <is>
          <t>Dominica</t>
        </is>
      </c>
      <c r="E181" t="inlineStr">
        <is>
          <t>DMA</t>
        </is>
      </c>
      <c r="F181" s="11" t="n">
        <v>44562</v>
      </c>
      <c r="G181" t="inlineStr">
        <is>
          <t>2018gn</t>
        </is>
      </c>
      <c r="H181" t="n">
        <v>2021</v>
      </c>
    </row>
    <row r="182">
      <c r="A182" t="inlineStr">
        <is>
          <t>Dominica_2022_January</t>
        </is>
      </c>
      <c r="C182" t="inlineStr">
        <is>
          <t>SM.22.7, Sup.2</t>
        </is>
      </c>
      <c r="D182" t="inlineStr">
        <is>
          <t>Dominica</t>
        </is>
      </c>
      <c r="E182" t="inlineStr">
        <is>
          <t>DMA</t>
        </is>
      </c>
      <c r="F182" s="11" t="n">
        <v>44562</v>
      </c>
      <c r="G182" t="inlineStr">
        <is>
          <t>2018gn</t>
        </is>
      </c>
      <c r="H182" t="n">
        <v>2021</v>
      </c>
    </row>
    <row r="183">
      <c r="A183" t="inlineStr">
        <is>
          <t>Dominica_2022_January</t>
        </is>
      </c>
      <c r="C183" t="inlineStr">
        <is>
          <t>SM.22.7, Sup.2</t>
        </is>
      </c>
      <c r="D183" t="inlineStr">
        <is>
          <t>Dominica</t>
        </is>
      </c>
      <c r="E183" t="inlineStr">
        <is>
          <t>DMA</t>
        </is>
      </c>
      <c r="F183" s="11" t="n">
        <v>44562</v>
      </c>
      <c r="G183" t="inlineStr">
        <is>
          <t>2018gn</t>
        </is>
      </c>
      <c r="H183" t="n">
        <v>2021</v>
      </c>
    </row>
    <row r="184">
      <c r="A184" t="inlineStr">
        <is>
          <t>Dominica_2022_January</t>
        </is>
      </c>
      <c r="C184" t="inlineStr">
        <is>
          <t>SM.22.7, Sup.2</t>
        </is>
      </c>
      <c r="D184" t="inlineStr">
        <is>
          <t>Dominica</t>
        </is>
      </c>
      <c r="E184" t="inlineStr">
        <is>
          <t>DMA</t>
        </is>
      </c>
      <c r="F184" s="11" t="n">
        <v>44562</v>
      </c>
      <c r="G184" t="inlineStr">
        <is>
          <t>2018gn</t>
        </is>
      </c>
      <c r="H184" t="n">
        <v>2021</v>
      </c>
    </row>
    <row r="185">
      <c r="A185" t="inlineStr">
        <is>
          <t>Dominica_2022_January</t>
        </is>
      </c>
      <c r="C185" t="inlineStr">
        <is>
          <t>SM.22.7, Sup.2</t>
        </is>
      </c>
      <c r="D185" t="inlineStr">
        <is>
          <t>Dominica</t>
        </is>
      </c>
      <c r="E185" t="inlineStr">
        <is>
          <t>DMA</t>
        </is>
      </c>
      <c r="F185" s="11" t="n">
        <v>44562</v>
      </c>
      <c r="G185" t="inlineStr">
        <is>
          <t>2018gn</t>
        </is>
      </c>
      <c r="H185" t="n">
        <v>2021</v>
      </c>
    </row>
    <row r="186">
      <c r="A186" t="inlineStr">
        <is>
          <t>Dominica_2022_January</t>
        </is>
      </c>
      <c r="C186" t="inlineStr">
        <is>
          <t>SM.22.7, Sup.2</t>
        </is>
      </c>
      <c r="D186" t="inlineStr">
        <is>
          <t>Dominica</t>
        </is>
      </c>
      <c r="E186" t="inlineStr">
        <is>
          <t>DMA</t>
        </is>
      </c>
      <c r="F186" s="11" t="n">
        <v>44562</v>
      </c>
      <c r="G186" t="inlineStr">
        <is>
          <t>2018gn</t>
        </is>
      </c>
      <c r="H186" t="n">
        <v>2021</v>
      </c>
    </row>
    <row r="187">
      <c r="A187" t="inlineStr">
        <is>
          <t>Dominica_2022_January</t>
        </is>
      </c>
      <c r="C187" t="inlineStr">
        <is>
          <t>SM.22.7, Sup.2</t>
        </is>
      </c>
      <c r="D187" t="inlineStr">
        <is>
          <t>Dominica</t>
        </is>
      </c>
      <c r="E187" t="inlineStr">
        <is>
          <t>DMA</t>
        </is>
      </c>
      <c r="F187" s="11" t="n">
        <v>44562</v>
      </c>
      <c r="G187" t="inlineStr">
        <is>
          <t>2018gn</t>
        </is>
      </c>
      <c r="H187" t="n">
        <v>2021</v>
      </c>
    </row>
    <row r="188">
      <c r="A188" t="inlineStr">
        <is>
          <t>Dominica_2022_January</t>
        </is>
      </c>
      <c r="C188" t="inlineStr">
        <is>
          <t>SM.22.7, Sup.2</t>
        </is>
      </c>
      <c r="D188" t="inlineStr">
        <is>
          <t>Dominica</t>
        </is>
      </c>
      <c r="E188" t="inlineStr">
        <is>
          <t>DMA</t>
        </is>
      </c>
      <c r="F188" s="11" t="n">
        <v>44562</v>
      </c>
      <c r="G188" t="inlineStr">
        <is>
          <t>2018gn</t>
        </is>
      </c>
      <c r="H188" t="n">
        <v>2021</v>
      </c>
    </row>
    <row r="189">
      <c r="A189" t="inlineStr">
        <is>
          <t>Dominica_2022_January</t>
        </is>
      </c>
      <c r="C189" t="inlineStr">
        <is>
          <t>SM.22.7, Sup.2</t>
        </is>
      </c>
      <c r="D189" t="inlineStr">
        <is>
          <t>Dominica</t>
        </is>
      </c>
      <c r="E189" t="inlineStr">
        <is>
          <t>DMA</t>
        </is>
      </c>
      <c r="F189" s="11" t="n">
        <v>44562</v>
      </c>
      <c r="G189" t="inlineStr">
        <is>
          <t>2018gn</t>
        </is>
      </c>
      <c r="H189" t="n">
        <v>2021</v>
      </c>
    </row>
    <row r="190">
      <c r="A190" t="inlineStr">
        <is>
          <t>Dominica_2022_January</t>
        </is>
      </c>
      <c r="C190" t="inlineStr">
        <is>
          <t>SM.22.7, Sup.2</t>
        </is>
      </c>
      <c r="D190" t="inlineStr">
        <is>
          <t>Dominica</t>
        </is>
      </c>
      <c r="E190" t="inlineStr">
        <is>
          <t>DMA</t>
        </is>
      </c>
      <c r="F190" s="11" t="n">
        <v>44562</v>
      </c>
      <c r="G190" t="inlineStr">
        <is>
          <t>2018gn</t>
        </is>
      </c>
      <c r="H190" t="n">
        <v>2021</v>
      </c>
    </row>
    <row r="191">
      <c r="A191" t="inlineStr">
        <is>
          <t>Dominica_2022_January</t>
        </is>
      </c>
      <c r="C191" t="inlineStr">
        <is>
          <t>SM.22.7, Sup.2</t>
        </is>
      </c>
      <c r="D191" t="inlineStr">
        <is>
          <t>Dominica</t>
        </is>
      </c>
      <c r="E191" t="inlineStr">
        <is>
          <t>DMA</t>
        </is>
      </c>
      <c r="F191" s="11" t="n">
        <v>44562</v>
      </c>
      <c r="G191" t="inlineStr">
        <is>
          <t>2018gn</t>
        </is>
      </c>
      <c r="H191" t="n">
        <v>2021</v>
      </c>
    </row>
    <row r="192">
      <c r="A192" t="inlineStr">
        <is>
          <t>Dominica_2022_January</t>
        </is>
      </c>
      <c r="C192" t="inlineStr">
        <is>
          <t>SM.22.7, Sup.2</t>
        </is>
      </c>
      <c r="D192" t="inlineStr">
        <is>
          <t>Dominica</t>
        </is>
      </c>
      <c r="E192" t="inlineStr">
        <is>
          <t>DMA</t>
        </is>
      </c>
      <c r="F192" s="11" t="n">
        <v>44562</v>
      </c>
      <c r="G192" t="inlineStr">
        <is>
          <t>2018gn</t>
        </is>
      </c>
      <c r="H192" t="n">
        <v>2021</v>
      </c>
    </row>
    <row r="193">
      <c r="A193" t="inlineStr">
        <is>
          <t>Dominica_2022_January</t>
        </is>
      </c>
      <c r="C193" t="inlineStr">
        <is>
          <t>SM.22.7, Sup.2</t>
        </is>
      </c>
      <c r="D193" t="inlineStr">
        <is>
          <t>Dominica</t>
        </is>
      </c>
      <c r="E193" t="inlineStr">
        <is>
          <t>DMA</t>
        </is>
      </c>
      <c r="F193" s="11" t="n">
        <v>44562</v>
      </c>
      <c r="G193" t="inlineStr">
        <is>
          <t>2018gn</t>
        </is>
      </c>
      <c r="H193" t="n">
        <v>2021</v>
      </c>
    </row>
    <row r="194">
      <c r="A194" t="inlineStr">
        <is>
          <t>Dominica_2022_January</t>
        </is>
      </c>
      <c r="C194" t="inlineStr">
        <is>
          <t>SM.22.7, Sup.2</t>
        </is>
      </c>
      <c r="D194" t="inlineStr">
        <is>
          <t>Dominica</t>
        </is>
      </c>
      <c r="E194" t="inlineStr">
        <is>
          <t>DMA</t>
        </is>
      </c>
      <c r="F194" s="11" t="n">
        <v>44562</v>
      </c>
      <c r="G194" t="inlineStr">
        <is>
          <t>2018gn</t>
        </is>
      </c>
      <c r="H194" t="n">
        <v>2021</v>
      </c>
    </row>
    <row r="195">
      <c r="A195" t="inlineStr">
        <is>
          <t>Dominica_2022_January</t>
        </is>
      </c>
      <c r="C195" t="inlineStr">
        <is>
          <t>SM.22.7, Sup.2</t>
        </is>
      </c>
      <c r="D195" t="inlineStr">
        <is>
          <t>Dominica</t>
        </is>
      </c>
      <c r="E195" t="inlineStr">
        <is>
          <t>DMA</t>
        </is>
      </c>
      <c r="F195" s="11" t="n">
        <v>44562</v>
      </c>
      <c r="G195" t="inlineStr">
        <is>
          <t>2018gn</t>
        </is>
      </c>
      <c r="H195" t="n">
        <v>2021</v>
      </c>
    </row>
    <row r="196">
      <c r="A196" t="inlineStr">
        <is>
          <t>Dominica_2022_January</t>
        </is>
      </c>
      <c r="C196" t="inlineStr">
        <is>
          <t>SM.22.7, Sup.2</t>
        </is>
      </c>
      <c r="D196" t="inlineStr">
        <is>
          <t>Dominica</t>
        </is>
      </c>
      <c r="E196" t="inlineStr">
        <is>
          <t>DMA</t>
        </is>
      </c>
      <c r="F196" s="11" t="n">
        <v>44562</v>
      </c>
      <c r="G196" t="inlineStr">
        <is>
          <t>2018gn</t>
        </is>
      </c>
      <c r="H196" t="n">
        <v>2021</v>
      </c>
    </row>
    <row r="197">
      <c r="A197" t="inlineStr">
        <is>
          <t>Dominica_2022_January</t>
        </is>
      </c>
      <c r="C197" t="inlineStr">
        <is>
          <t>SM.22.7, Sup.2</t>
        </is>
      </c>
      <c r="D197" t="inlineStr">
        <is>
          <t>Dominica</t>
        </is>
      </c>
      <c r="E197" t="inlineStr">
        <is>
          <t>DMA</t>
        </is>
      </c>
      <c r="F197" s="11" t="n">
        <v>44562</v>
      </c>
      <c r="G197" t="inlineStr">
        <is>
          <t>2018gn</t>
        </is>
      </c>
      <c r="H197" t="n">
        <v>2021</v>
      </c>
    </row>
    <row r="198">
      <c r="A198" t="inlineStr">
        <is>
          <t>Dominica_2022_January</t>
        </is>
      </c>
      <c r="C198" t="inlineStr">
        <is>
          <t>SM.22.7, Sup.2</t>
        </is>
      </c>
      <c r="D198" t="inlineStr">
        <is>
          <t>Dominica</t>
        </is>
      </c>
      <c r="E198" t="inlineStr">
        <is>
          <t>DMA</t>
        </is>
      </c>
      <c r="F198" s="11" t="n">
        <v>44562</v>
      </c>
      <c r="G198" t="inlineStr">
        <is>
          <t>2018gn</t>
        </is>
      </c>
      <c r="H198" t="n">
        <v>2021</v>
      </c>
    </row>
    <row r="199">
      <c r="A199" t="inlineStr">
        <is>
          <t>Dominica_2022_January</t>
        </is>
      </c>
      <c r="C199" t="inlineStr">
        <is>
          <t>SM.22.7, Sup.2</t>
        </is>
      </c>
      <c r="D199" t="inlineStr">
        <is>
          <t>Dominica</t>
        </is>
      </c>
      <c r="E199" t="inlineStr">
        <is>
          <t>DMA</t>
        </is>
      </c>
      <c r="F199" s="11" t="n">
        <v>44562</v>
      </c>
      <c r="G199" t="inlineStr">
        <is>
          <t>2018gn</t>
        </is>
      </c>
      <c r="H199" t="n">
        <v>2021</v>
      </c>
    </row>
    <row r="200">
      <c r="A200" t="inlineStr">
        <is>
          <t>Dominica_2022_January</t>
        </is>
      </c>
      <c r="C200" t="inlineStr">
        <is>
          <t>SM.22.7, Sup.2</t>
        </is>
      </c>
      <c r="D200" t="inlineStr">
        <is>
          <t>Dominica</t>
        </is>
      </c>
      <c r="E200" t="inlineStr">
        <is>
          <t>DMA</t>
        </is>
      </c>
      <c r="F200" s="11" t="n">
        <v>44562</v>
      </c>
      <c r="G200" t="inlineStr">
        <is>
          <t>2018gn</t>
        </is>
      </c>
      <c r="H200" t="n">
        <v>2021</v>
      </c>
    </row>
    <row r="201">
      <c r="A201" t="inlineStr">
        <is>
          <t>Dominica_2022_January</t>
        </is>
      </c>
      <c r="C201" t="inlineStr">
        <is>
          <t>SM.22.7, Sup.2</t>
        </is>
      </c>
      <c r="D201" t="inlineStr">
        <is>
          <t>Dominica</t>
        </is>
      </c>
      <c r="E201" t="inlineStr">
        <is>
          <t>DMA</t>
        </is>
      </c>
      <c r="F201" s="11" t="n">
        <v>44562</v>
      </c>
      <c r="G201" t="inlineStr">
        <is>
          <t>2018gn</t>
        </is>
      </c>
      <c r="H201" t="n">
        <v>2021</v>
      </c>
    </row>
    <row r="202">
      <c r="A202" t="inlineStr">
        <is>
          <t>Dominica_2022_January</t>
        </is>
      </c>
      <c r="C202" t="inlineStr">
        <is>
          <t>SM.22.7, Sup.2</t>
        </is>
      </c>
      <c r="D202" t="inlineStr">
        <is>
          <t>Dominica</t>
        </is>
      </c>
      <c r="E202" t="inlineStr">
        <is>
          <t>DMA</t>
        </is>
      </c>
      <c r="F202" s="11" t="n">
        <v>44562</v>
      </c>
      <c r="G202" t="inlineStr">
        <is>
          <t>2018gn</t>
        </is>
      </c>
      <c r="H202" t="n">
        <v>2021</v>
      </c>
    </row>
    <row r="203">
      <c r="A203" t="inlineStr">
        <is>
          <t>Dominica_2022_January</t>
        </is>
      </c>
      <c r="C203" t="inlineStr">
        <is>
          <t>SM.22.7, Sup.2</t>
        </is>
      </c>
      <c r="D203" t="inlineStr">
        <is>
          <t>Dominica</t>
        </is>
      </c>
      <c r="E203" t="inlineStr">
        <is>
          <t>DMA</t>
        </is>
      </c>
      <c r="F203" s="11" t="n">
        <v>44562</v>
      </c>
      <c r="G203" t="inlineStr">
        <is>
          <t>2018gn</t>
        </is>
      </c>
      <c r="H203" t="n">
        <v>2021</v>
      </c>
    </row>
    <row r="204">
      <c r="A204" t="inlineStr">
        <is>
          <t>Dominica_2022_January</t>
        </is>
      </c>
      <c r="C204" t="inlineStr">
        <is>
          <t>SM.22.7, Sup.2</t>
        </is>
      </c>
      <c r="D204" t="inlineStr">
        <is>
          <t>Dominica</t>
        </is>
      </c>
      <c r="E204" t="inlineStr">
        <is>
          <t>DMA</t>
        </is>
      </c>
      <c r="F204" s="11" t="n">
        <v>44562</v>
      </c>
      <c r="G204" t="inlineStr">
        <is>
          <t>2018gn</t>
        </is>
      </c>
      <c r="H204" t="n">
        <v>2021</v>
      </c>
    </row>
    <row r="205">
      <c r="A205" t="inlineStr">
        <is>
          <t>Dominica_2022_January</t>
        </is>
      </c>
      <c r="C205" t="inlineStr">
        <is>
          <t>SM.22.7, Sup.2</t>
        </is>
      </c>
      <c r="D205" t="inlineStr">
        <is>
          <t>Dominica</t>
        </is>
      </c>
      <c r="E205" t="inlineStr">
        <is>
          <t>DMA</t>
        </is>
      </c>
      <c r="F205" s="11" t="n">
        <v>44562</v>
      </c>
      <c r="G205" t="inlineStr">
        <is>
          <t>2018gn</t>
        </is>
      </c>
      <c r="H205" t="n">
        <v>2021</v>
      </c>
    </row>
    <row r="206">
      <c r="A206" t="inlineStr">
        <is>
          <t>Dominica_2022_January</t>
        </is>
      </c>
      <c r="C206" t="inlineStr">
        <is>
          <t>SM.22.7, Sup.2</t>
        </is>
      </c>
      <c r="D206" t="inlineStr">
        <is>
          <t>Dominica</t>
        </is>
      </c>
      <c r="E206" t="inlineStr">
        <is>
          <t>DMA</t>
        </is>
      </c>
      <c r="F206" s="11" t="n">
        <v>44562</v>
      </c>
      <c r="G206" t="inlineStr">
        <is>
          <t>2018gn</t>
        </is>
      </c>
      <c r="H206" t="n">
        <v>2021</v>
      </c>
    </row>
    <row r="207">
      <c r="A207" t="inlineStr">
        <is>
          <t>Dominica_2022_January</t>
        </is>
      </c>
      <c r="C207" t="inlineStr">
        <is>
          <t>SM.22.7, Sup.2</t>
        </is>
      </c>
      <c r="D207" t="inlineStr">
        <is>
          <t>Dominica</t>
        </is>
      </c>
      <c r="E207" t="inlineStr">
        <is>
          <t>DMA</t>
        </is>
      </c>
      <c r="F207" s="11" t="n">
        <v>44562</v>
      </c>
      <c r="G207" t="inlineStr">
        <is>
          <t>2018gn</t>
        </is>
      </c>
      <c r="H207" t="n">
        <v>2021</v>
      </c>
    </row>
    <row r="208">
      <c r="A208" t="inlineStr">
        <is>
          <t>Dominica_2022_January</t>
        </is>
      </c>
      <c r="C208" t="inlineStr">
        <is>
          <t>SM.22.7, Sup.2</t>
        </is>
      </c>
      <c r="D208" t="inlineStr">
        <is>
          <t>Dominica</t>
        </is>
      </c>
      <c r="E208" t="inlineStr">
        <is>
          <t>DMA</t>
        </is>
      </c>
      <c r="F208" s="11" t="n">
        <v>44562</v>
      </c>
      <c r="G208" t="inlineStr">
        <is>
          <t>2018gn</t>
        </is>
      </c>
      <c r="H208" t="n">
        <v>2021</v>
      </c>
    </row>
    <row r="209">
      <c r="A209" t="inlineStr">
        <is>
          <t>Dominica_2022_January</t>
        </is>
      </c>
      <c r="C209" t="inlineStr">
        <is>
          <t>SM.22.7, Sup.2</t>
        </is>
      </c>
      <c r="D209" t="inlineStr">
        <is>
          <t>Dominica</t>
        </is>
      </c>
      <c r="E209" t="inlineStr">
        <is>
          <t>DMA</t>
        </is>
      </c>
      <c r="F209" s="11" t="n">
        <v>44562</v>
      </c>
      <c r="G209" t="inlineStr">
        <is>
          <t>2018gn</t>
        </is>
      </c>
      <c r="H209" t="n">
        <v>2021</v>
      </c>
    </row>
    <row r="210">
      <c r="A210" t="inlineStr">
        <is>
          <t>Dominica_2022_January</t>
        </is>
      </c>
      <c r="C210" t="inlineStr">
        <is>
          <t>SM.22.7, Sup.2</t>
        </is>
      </c>
      <c r="D210" t="inlineStr">
        <is>
          <t>Dominica</t>
        </is>
      </c>
      <c r="E210" t="inlineStr">
        <is>
          <t>DMA</t>
        </is>
      </c>
      <c r="F210" s="11" t="n">
        <v>44562</v>
      </c>
      <c r="G210" t="inlineStr">
        <is>
          <t>2018gn</t>
        </is>
      </c>
      <c r="H210" t="n">
        <v>2021</v>
      </c>
    </row>
    <row r="211">
      <c r="A211" t="inlineStr">
        <is>
          <t>Dominica_2022_January</t>
        </is>
      </c>
      <c r="C211" t="inlineStr">
        <is>
          <t>SM.22.7, Sup.2</t>
        </is>
      </c>
      <c r="D211" t="inlineStr">
        <is>
          <t>Dominica</t>
        </is>
      </c>
      <c r="E211" t="inlineStr">
        <is>
          <t>DMA</t>
        </is>
      </c>
      <c r="F211" s="11" t="n">
        <v>44562</v>
      </c>
      <c r="G211" t="inlineStr">
        <is>
          <t>2018gn</t>
        </is>
      </c>
      <c r="H211" t="n">
        <v>2021</v>
      </c>
    </row>
    <row r="212">
      <c r="A212" t="inlineStr">
        <is>
          <t>Dominica_2022_January</t>
        </is>
      </c>
      <c r="C212" t="inlineStr">
        <is>
          <t>SM.22.7, Sup.2</t>
        </is>
      </c>
      <c r="D212" t="inlineStr">
        <is>
          <t>Dominica</t>
        </is>
      </c>
      <c r="E212" t="inlineStr">
        <is>
          <t>DMA</t>
        </is>
      </c>
      <c r="F212" s="11" t="n">
        <v>44562</v>
      </c>
      <c r="G212" t="inlineStr">
        <is>
          <t>2018gn</t>
        </is>
      </c>
      <c r="H212" t="n">
        <v>2021</v>
      </c>
    </row>
    <row r="213">
      <c r="A213" t="inlineStr">
        <is>
          <t>Dominica_2022_January</t>
        </is>
      </c>
      <c r="C213" t="inlineStr">
        <is>
          <t>SM.22.7, Sup.2</t>
        </is>
      </c>
      <c r="D213" t="inlineStr">
        <is>
          <t>Dominica</t>
        </is>
      </c>
      <c r="E213" t="inlineStr">
        <is>
          <t>DMA</t>
        </is>
      </c>
      <c r="F213" s="11" t="n">
        <v>44562</v>
      </c>
      <c r="G213" t="inlineStr">
        <is>
          <t>2018gn</t>
        </is>
      </c>
      <c r="H213" t="n">
        <v>2021</v>
      </c>
    </row>
    <row r="214">
      <c r="A214" t="inlineStr">
        <is>
          <t>Dominica_2022_January</t>
        </is>
      </c>
      <c r="C214" t="inlineStr">
        <is>
          <t>SM.22.7, Sup.2</t>
        </is>
      </c>
      <c r="D214" t="inlineStr">
        <is>
          <t>Dominica</t>
        </is>
      </c>
      <c r="E214" t="inlineStr">
        <is>
          <t>DMA</t>
        </is>
      </c>
      <c r="F214" s="11" t="n">
        <v>44562</v>
      </c>
      <c r="G214" t="inlineStr">
        <is>
          <t>2018gn</t>
        </is>
      </c>
      <c r="H214" t="n">
        <v>2021</v>
      </c>
    </row>
    <row r="215">
      <c r="A215" t="inlineStr">
        <is>
          <t>Dominica_2022_January</t>
        </is>
      </c>
      <c r="C215" t="inlineStr">
        <is>
          <t>SM.22.7, Sup.2</t>
        </is>
      </c>
      <c r="D215" t="inlineStr">
        <is>
          <t>Dominica</t>
        </is>
      </c>
      <c r="E215" t="inlineStr">
        <is>
          <t>DMA</t>
        </is>
      </c>
      <c r="F215" s="11" t="n">
        <v>44562</v>
      </c>
      <c r="G215" t="inlineStr">
        <is>
          <t>2018gn</t>
        </is>
      </c>
      <c r="H215" t="n">
        <v>2021</v>
      </c>
    </row>
    <row r="216">
      <c r="A216" t="inlineStr">
        <is>
          <t>Dominica_2022_January</t>
        </is>
      </c>
      <c r="C216" t="inlineStr">
        <is>
          <t>SM.22.7, Sup.2</t>
        </is>
      </c>
      <c r="D216" t="inlineStr">
        <is>
          <t>Dominica</t>
        </is>
      </c>
      <c r="E216" t="inlineStr">
        <is>
          <t>DMA</t>
        </is>
      </c>
      <c r="F216" s="11" t="n">
        <v>44562</v>
      </c>
      <c r="G216" t="inlineStr">
        <is>
          <t>2018gn</t>
        </is>
      </c>
      <c r="H216" t="n">
        <v>2021</v>
      </c>
    </row>
    <row r="217">
      <c r="A217" t="inlineStr">
        <is>
          <t>Dominica_2022_January</t>
        </is>
      </c>
      <c r="C217" t="inlineStr">
        <is>
          <t>SM.22.7, Sup.2</t>
        </is>
      </c>
      <c r="D217" t="inlineStr">
        <is>
          <t>Dominica</t>
        </is>
      </c>
      <c r="E217" t="inlineStr">
        <is>
          <t>DMA</t>
        </is>
      </c>
      <c r="F217" s="11" t="n">
        <v>44562</v>
      </c>
      <c r="G217" t="inlineStr">
        <is>
          <t>2018gn</t>
        </is>
      </c>
      <c r="H217" t="n">
        <v>2021</v>
      </c>
    </row>
    <row r="218">
      <c r="A218" t="inlineStr">
        <is>
          <t>Dominica_2022_January</t>
        </is>
      </c>
      <c r="C218" t="inlineStr">
        <is>
          <t>SM.22.7, Sup.2</t>
        </is>
      </c>
      <c r="D218" t="inlineStr">
        <is>
          <t>Dominica</t>
        </is>
      </c>
      <c r="E218" t="inlineStr">
        <is>
          <t>DMA</t>
        </is>
      </c>
      <c r="F218" s="11" t="n">
        <v>44562</v>
      </c>
      <c r="G218" t="inlineStr">
        <is>
          <t>2018gn</t>
        </is>
      </c>
      <c r="H218" t="n">
        <v>2021</v>
      </c>
    </row>
    <row r="219">
      <c r="A219" t="inlineStr">
        <is>
          <t>Dominica_2022_January</t>
        </is>
      </c>
      <c r="C219" t="inlineStr">
        <is>
          <t>SM.22.7, Sup.2</t>
        </is>
      </c>
      <c r="D219" t="inlineStr">
        <is>
          <t>Dominica</t>
        </is>
      </c>
      <c r="E219" t="inlineStr">
        <is>
          <t>DMA</t>
        </is>
      </c>
      <c r="F219" s="11" t="n">
        <v>44562</v>
      </c>
      <c r="G219" t="inlineStr">
        <is>
          <t>2018gn</t>
        </is>
      </c>
      <c r="H219" t="n">
        <v>2021</v>
      </c>
    </row>
    <row r="220">
      <c r="A220" t="inlineStr">
        <is>
          <t>Dominica_2022_January</t>
        </is>
      </c>
      <c r="C220" t="inlineStr">
        <is>
          <t>SM.22.7, Sup.2</t>
        </is>
      </c>
      <c r="D220" t="inlineStr">
        <is>
          <t>Dominica</t>
        </is>
      </c>
      <c r="E220" t="inlineStr">
        <is>
          <t>DMA</t>
        </is>
      </c>
      <c r="F220" s="11" t="n">
        <v>44562</v>
      </c>
      <c r="G220" t="inlineStr">
        <is>
          <t>2018gn</t>
        </is>
      </c>
      <c r="H220" t="n">
        <v>2021</v>
      </c>
    </row>
    <row r="221">
      <c r="A221" t="inlineStr">
        <is>
          <t>Dominica_2022_January</t>
        </is>
      </c>
      <c r="C221" t="inlineStr">
        <is>
          <t>SM.22.7, Sup.2</t>
        </is>
      </c>
      <c r="D221" t="inlineStr">
        <is>
          <t>Dominica</t>
        </is>
      </c>
      <c r="E221" t="inlineStr">
        <is>
          <t>DMA</t>
        </is>
      </c>
      <c r="F221" s="11" t="n">
        <v>44562</v>
      </c>
      <c r="G221" t="inlineStr">
        <is>
          <t>2018gn</t>
        </is>
      </c>
      <c r="H221" t="n">
        <v>2021</v>
      </c>
    </row>
    <row r="222">
      <c r="A222" t="inlineStr">
        <is>
          <t>Dominica_2022_January</t>
        </is>
      </c>
      <c r="C222" t="inlineStr">
        <is>
          <t>SM.22.7, Sup.2</t>
        </is>
      </c>
      <c r="D222" t="inlineStr">
        <is>
          <t>Dominica</t>
        </is>
      </c>
      <c r="E222" t="inlineStr">
        <is>
          <t>DMA</t>
        </is>
      </c>
      <c r="F222" s="11" t="n">
        <v>44562</v>
      </c>
      <c r="G222" t="inlineStr">
        <is>
          <t>2018gn</t>
        </is>
      </c>
      <c r="H222" t="n">
        <v>2021</v>
      </c>
    </row>
    <row r="223">
      <c r="A223" t="inlineStr">
        <is>
          <t>Dominica_2022_January</t>
        </is>
      </c>
      <c r="C223" t="inlineStr">
        <is>
          <t>SM.22.7, Sup.2</t>
        </is>
      </c>
      <c r="D223" t="inlineStr">
        <is>
          <t>Dominica</t>
        </is>
      </c>
      <c r="E223" t="inlineStr">
        <is>
          <t>DMA</t>
        </is>
      </c>
      <c r="F223" s="11" t="n">
        <v>44562</v>
      </c>
      <c r="G223" t="inlineStr">
        <is>
          <t>2018gn</t>
        </is>
      </c>
      <c r="H223" t="n">
        <v>2021</v>
      </c>
    </row>
    <row r="224">
      <c r="A224" t="inlineStr">
        <is>
          <t>Dominica_2022_January</t>
        </is>
      </c>
      <c r="C224" t="inlineStr">
        <is>
          <t>SM.22.7, Sup.2</t>
        </is>
      </c>
      <c r="D224" t="inlineStr">
        <is>
          <t>Dominica</t>
        </is>
      </c>
      <c r="E224" t="inlineStr">
        <is>
          <t>DMA</t>
        </is>
      </c>
      <c r="F224" s="11" t="n">
        <v>44562</v>
      </c>
      <c r="G224" t="inlineStr">
        <is>
          <t>2018gn</t>
        </is>
      </c>
      <c r="H224" t="n">
        <v>2021</v>
      </c>
    </row>
    <row r="225">
      <c r="A225" t="inlineStr">
        <is>
          <t>Dominica_2022_January</t>
        </is>
      </c>
      <c r="C225" t="inlineStr">
        <is>
          <t>SM.22.7, Sup.2</t>
        </is>
      </c>
      <c r="D225" t="inlineStr">
        <is>
          <t>Dominica</t>
        </is>
      </c>
      <c r="E225" t="inlineStr">
        <is>
          <t>DMA</t>
        </is>
      </c>
      <c r="F225" s="11" t="n">
        <v>44562</v>
      </c>
      <c r="G225" t="inlineStr">
        <is>
          <t>2018gn</t>
        </is>
      </c>
      <c r="H225" t="n">
        <v>2021</v>
      </c>
    </row>
    <row r="226">
      <c r="A226" t="inlineStr">
        <is>
          <t>Dominica_2022_January</t>
        </is>
      </c>
      <c r="C226" t="inlineStr">
        <is>
          <t>SM.22.7, Sup.2</t>
        </is>
      </c>
      <c r="D226" t="inlineStr">
        <is>
          <t>Dominica</t>
        </is>
      </c>
      <c r="E226" t="inlineStr">
        <is>
          <t>DMA</t>
        </is>
      </c>
      <c r="F226" s="11" t="n">
        <v>44562</v>
      </c>
      <c r="G226" t="inlineStr">
        <is>
          <t>2018gn</t>
        </is>
      </c>
      <c r="H226" t="n">
        <v>2021</v>
      </c>
    </row>
    <row r="227">
      <c r="A227" t="inlineStr">
        <is>
          <t>Dominica_2022_January</t>
        </is>
      </c>
      <c r="C227" t="inlineStr">
        <is>
          <t>SM.22.7, Sup.2</t>
        </is>
      </c>
      <c r="D227" t="inlineStr">
        <is>
          <t>Dominica</t>
        </is>
      </c>
      <c r="E227" t="inlineStr">
        <is>
          <t>DMA</t>
        </is>
      </c>
      <c r="F227" s="11" t="n">
        <v>44562</v>
      </c>
      <c r="G227" t="inlineStr">
        <is>
          <t>2018gn</t>
        </is>
      </c>
      <c r="H227" t="n">
        <v>2021</v>
      </c>
    </row>
    <row r="228">
      <c r="A228" t="inlineStr">
        <is>
          <t>Dominica_2022_January</t>
        </is>
      </c>
      <c r="C228" t="inlineStr">
        <is>
          <t>SM.22.7, Sup.2</t>
        </is>
      </c>
      <c r="D228" t="inlineStr">
        <is>
          <t>Dominica</t>
        </is>
      </c>
      <c r="E228" t="inlineStr">
        <is>
          <t>DMA</t>
        </is>
      </c>
      <c r="F228" s="11" t="n">
        <v>44562</v>
      </c>
      <c r="G228" t="inlineStr">
        <is>
          <t>2018gn</t>
        </is>
      </c>
      <c r="H228" t="n">
        <v>2021</v>
      </c>
    </row>
    <row r="229">
      <c r="A229" t="inlineStr">
        <is>
          <t>Dominica_2022_January</t>
        </is>
      </c>
      <c r="C229" t="inlineStr">
        <is>
          <t>SM.22.7, Sup.2</t>
        </is>
      </c>
      <c r="D229" t="inlineStr">
        <is>
          <t>Dominica</t>
        </is>
      </c>
      <c r="E229" t="inlineStr">
        <is>
          <t>DMA</t>
        </is>
      </c>
      <c r="F229" s="11" t="n">
        <v>44562</v>
      </c>
      <c r="G229" t="inlineStr">
        <is>
          <t>2018gn</t>
        </is>
      </c>
      <c r="H229" t="n">
        <v>2021</v>
      </c>
    </row>
    <row r="230">
      <c r="A230" t="inlineStr">
        <is>
          <t>Dominica_2022_January</t>
        </is>
      </c>
      <c r="C230" t="inlineStr">
        <is>
          <t>SM.22.7, Sup.2</t>
        </is>
      </c>
      <c r="D230" t="inlineStr">
        <is>
          <t>Dominica</t>
        </is>
      </c>
      <c r="E230" t="inlineStr">
        <is>
          <t>DMA</t>
        </is>
      </c>
      <c r="F230" s="11" t="n">
        <v>44562</v>
      </c>
      <c r="G230" t="inlineStr">
        <is>
          <t>2018gn</t>
        </is>
      </c>
      <c r="H230" t="n">
        <v>2021</v>
      </c>
    </row>
    <row r="231">
      <c r="A231" t="inlineStr">
        <is>
          <t>Dominica_2022_January</t>
        </is>
      </c>
      <c r="C231" t="inlineStr">
        <is>
          <t>SM.22.7, Sup.2</t>
        </is>
      </c>
      <c r="D231" t="inlineStr">
        <is>
          <t>Dominica</t>
        </is>
      </c>
      <c r="E231" t="inlineStr">
        <is>
          <t>DMA</t>
        </is>
      </c>
      <c r="F231" s="11" t="n">
        <v>44562</v>
      </c>
      <c r="G231" t="inlineStr">
        <is>
          <t>2018gn</t>
        </is>
      </c>
      <c r="H231" t="n">
        <v>2021</v>
      </c>
    </row>
    <row r="232">
      <c r="A232" t="inlineStr">
        <is>
          <t>Dominica_2022_January</t>
        </is>
      </c>
      <c r="C232" t="inlineStr">
        <is>
          <t>SM.22.7, Sup.2</t>
        </is>
      </c>
      <c r="D232" t="inlineStr">
        <is>
          <t>Dominica</t>
        </is>
      </c>
      <c r="E232" t="inlineStr">
        <is>
          <t>DMA</t>
        </is>
      </c>
      <c r="F232" s="11" t="n">
        <v>44562</v>
      </c>
      <c r="G232" t="inlineStr">
        <is>
          <t>2018gn</t>
        </is>
      </c>
      <c r="H232" t="n">
        <v>2021</v>
      </c>
    </row>
    <row r="233">
      <c r="A233" t="inlineStr">
        <is>
          <t>Dominica_2022_January</t>
        </is>
      </c>
      <c r="C233" t="inlineStr">
        <is>
          <t>SM.22.7, Sup.2</t>
        </is>
      </c>
      <c r="D233" t="inlineStr">
        <is>
          <t>Dominica</t>
        </is>
      </c>
      <c r="E233" t="inlineStr">
        <is>
          <t>DMA</t>
        </is>
      </c>
      <c r="F233" s="11" t="n">
        <v>44562</v>
      </c>
      <c r="G233" t="inlineStr">
        <is>
          <t>2018gn</t>
        </is>
      </c>
      <c r="H233" t="n">
        <v>2021</v>
      </c>
    </row>
    <row r="234">
      <c r="A234" t="inlineStr">
        <is>
          <t>Dominica_2022_January</t>
        </is>
      </c>
      <c r="C234" t="inlineStr">
        <is>
          <t>SM.22.7, Sup.2</t>
        </is>
      </c>
      <c r="D234" t="inlineStr">
        <is>
          <t>Dominica</t>
        </is>
      </c>
      <c r="E234" t="inlineStr">
        <is>
          <t>DMA</t>
        </is>
      </c>
      <c r="F234" s="11" t="n">
        <v>44562</v>
      </c>
      <c r="G234" t="inlineStr">
        <is>
          <t>2018gn</t>
        </is>
      </c>
      <c r="H234" t="n">
        <v>2021</v>
      </c>
    </row>
    <row r="235">
      <c r="A235" t="inlineStr">
        <is>
          <t>Dominica_2022_January</t>
        </is>
      </c>
      <c r="C235" t="inlineStr">
        <is>
          <t>SM.22.7, Sup.2</t>
        </is>
      </c>
      <c r="D235" t="inlineStr">
        <is>
          <t>Dominica</t>
        </is>
      </c>
      <c r="E235" t="inlineStr">
        <is>
          <t>DMA</t>
        </is>
      </c>
      <c r="F235" s="11" t="n">
        <v>44562</v>
      </c>
      <c r="G235" t="inlineStr">
        <is>
          <t>2018gn</t>
        </is>
      </c>
      <c r="H235" t="n">
        <v>2021</v>
      </c>
    </row>
    <row r="236">
      <c r="A236" t="inlineStr">
        <is>
          <t>Dominica_2022_January</t>
        </is>
      </c>
      <c r="C236" t="inlineStr">
        <is>
          <t>SM.22.7, Sup.2</t>
        </is>
      </c>
      <c r="D236" t="inlineStr">
        <is>
          <t>Dominica</t>
        </is>
      </c>
      <c r="E236" t="inlineStr">
        <is>
          <t>DMA</t>
        </is>
      </c>
      <c r="F236" s="11" t="n">
        <v>44562</v>
      </c>
      <c r="G236" t="inlineStr">
        <is>
          <t>2018gn</t>
        </is>
      </c>
      <c r="H236" t="n">
        <v>2021</v>
      </c>
    </row>
    <row r="237">
      <c r="A237" t="inlineStr">
        <is>
          <t>Dominica_2022_January</t>
        </is>
      </c>
      <c r="C237" t="inlineStr">
        <is>
          <t>SM.22.7, Sup.2</t>
        </is>
      </c>
      <c r="D237" t="inlineStr">
        <is>
          <t>Dominica</t>
        </is>
      </c>
      <c r="E237" t="inlineStr">
        <is>
          <t>DMA</t>
        </is>
      </c>
      <c r="F237" s="11" t="n">
        <v>44562</v>
      </c>
      <c r="G237" t="inlineStr">
        <is>
          <t>2018gn</t>
        </is>
      </c>
      <c r="H237" t="n">
        <v>2021</v>
      </c>
    </row>
    <row r="238">
      <c r="A238" t="inlineStr">
        <is>
          <t>Dominica_2022_January</t>
        </is>
      </c>
      <c r="C238" t="inlineStr">
        <is>
          <t>SM.22.7, Sup.2</t>
        </is>
      </c>
      <c r="D238" t="inlineStr">
        <is>
          <t>Dominica</t>
        </is>
      </c>
      <c r="E238" t="inlineStr">
        <is>
          <t>DMA</t>
        </is>
      </c>
      <c r="F238" s="11" t="n">
        <v>44562</v>
      </c>
      <c r="G238" t="inlineStr">
        <is>
          <t>2018gn</t>
        </is>
      </c>
      <c r="H238" t="n">
        <v>2021</v>
      </c>
    </row>
    <row r="239">
      <c r="A239" t="inlineStr">
        <is>
          <t>Dominica_2022_January</t>
        </is>
      </c>
      <c r="C239" t="inlineStr">
        <is>
          <t>SM.22.7, Sup.2</t>
        </is>
      </c>
      <c r="D239" t="inlineStr">
        <is>
          <t>Dominica</t>
        </is>
      </c>
      <c r="E239" t="inlineStr">
        <is>
          <t>DMA</t>
        </is>
      </c>
      <c r="F239" s="11" t="n">
        <v>44562</v>
      </c>
      <c r="G239" t="inlineStr">
        <is>
          <t>2018gn</t>
        </is>
      </c>
      <c r="H239" t="n">
        <v>2021</v>
      </c>
    </row>
    <row r="240">
      <c r="A240" t="inlineStr">
        <is>
          <t>Dominica_2022_January</t>
        </is>
      </c>
      <c r="C240" t="inlineStr">
        <is>
          <t>SM.22.7, Sup.2</t>
        </is>
      </c>
      <c r="D240" t="inlineStr">
        <is>
          <t>Dominica</t>
        </is>
      </c>
      <c r="E240" t="inlineStr">
        <is>
          <t>DMA</t>
        </is>
      </c>
      <c r="F240" s="11" t="n">
        <v>44562</v>
      </c>
      <c r="G240" t="inlineStr">
        <is>
          <t>2018gn</t>
        </is>
      </c>
      <c r="H240" t="n">
        <v>2021</v>
      </c>
    </row>
    <row r="241">
      <c r="A241" t="inlineStr">
        <is>
          <t>Dominica_2022_January</t>
        </is>
      </c>
      <c r="C241" t="inlineStr">
        <is>
          <t>SM.22.7, Sup.2</t>
        </is>
      </c>
      <c r="D241" t="inlineStr">
        <is>
          <t>Dominica</t>
        </is>
      </c>
      <c r="E241" t="inlineStr">
        <is>
          <t>DMA</t>
        </is>
      </c>
      <c r="F241" s="11" t="n">
        <v>44562</v>
      </c>
      <c r="G241" t="inlineStr">
        <is>
          <t>2018gn</t>
        </is>
      </c>
      <c r="H241" t="n">
        <v>2021</v>
      </c>
    </row>
    <row r="242">
      <c r="A242" t="inlineStr">
        <is>
          <t>Dominica_2022_January</t>
        </is>
      </c>
      <c r="C242" t="inlineStr">
        <is>
          <t>SM.22.7, Sup.2</t>
        </is>
      </c>
      <c r="D242" t="inlineStr">
        <is>
          <t>Dominica</t>
        </is>
      </c>
      <c r="E242" t="inlineStr">
        <is>
          <t>DMA</t>
        </is>
      </c>
      <c r="F242" s="11" t="n">
        <v>44562</v>
      </c>
      <c r="G242" t="inlineStr">
        <is>
          <t>2018gn</t>
        </is>
      </c>
      <c r="H242" t="n">
        <v>2021</v>
      </c>
    </row>
    <row r="243">
      <c r="A243" t="inlineStr">
        <is>
          <t>Dominica_2022_January</t>
        </is>
      </c>
      <c r="C243" t="inlineStr">
        <is>
          <t>SM.22.7, Sup.2</t>
        </is>
      </c>
      <c r="D243" t="inlineStr">
        <is>
          <t>Dominica</t>
        </is>
      </c>
      <c r="E243" t="inlineStr">
        <is>
          <t>DMA</t>
        </is>
      </c>
      <c r="F243" s="11" t="n">
        <v>44562</v>
      </c>
      <c r="G243" t="inlineStr">
        <is>
          <t>2018gn</t>
        </is>
      </c>
      <c r="H243" t="n">
        <v>2021</v>
      </c>
    </row>
    <row r="244">
      <c r="A244" t="inlineStr">
        <is>
          <t>Dominica_2022_January</t>
        </is>
      </c>
      <c r="C244" t="inlineStr">
        <is>
          <t>SM.22.7, Sup.2</t>
        </is>
      </c>
      <c r="D244" t="inlineStr">
        <is>
          <t>Dominica</t>
        </is>
      </c>
      <c r="E244" t="inlineStr">
        <is>
          <t>DMA</t>
        </is>
      </c>
      <c r="F244" s="11" t="n">
        <v>44562</v>
      </c>
      <c r="G244" t="inlineStr">
        <is>
          <t>2018gn</t>
        </is>
      </c>
      <c r="H244" t="n">
        <v>2021</v>
      </c>
    </row>
    <row r="245">
      <c r="A245" t="inlineStr">
        <is>
          <t>Dominica_2022_January</t>
        </is>
      </c>
      <c r="C245" t="inlineStr">
        <is>
          <t>SM.22.7, Sup.2</t>
        </is>
      </c>
      <c r="D245" t="inlineStr">
        <is>
          <t>Dominica</t>
        </is>
      </c>
      <c r="E245" t="inlineStr">
        <is>
          <t>DMA</t>
        </is>
      </c>
      <c r="F245" s="11" t="n">
        <v>44562</v>
      </c>
      <c r="G245" t="inlineStr">
        <is>
          <t>2018gn</t>
        </is>
      </c>
      <c r="H245" t="n">
        <v>2021</v>
      </c>
    </row>
    <row r="246">
      <c r="A246" t="inlineStr">
        <is>
          <t>Dominica_2022_January</t>
        </is>
      </c>
      <c r="C246" t="inlineStr">
        <is>
          <t>SM.22.7, Sup.2</t>
        </is>
      </c>
      <c r="D246" t="inlineStr">
        <is>
          <t>Dominica</t>
        </is>
      </c>
      <c r="E246" t="inlineStr">
        <is>
          <t>DMA</t>
        </is>
      </c>
      <c r="F246" s="11" t="n">
        <v>44562</v>
      </c>
      <c r="G246" t="inlineStr">
        <is>
          <t>2018gn</t>
        </is>
      </c>
      <c r="H246" t="n">
        <v>2021</v>
      </c>
    </row>
    <row r="247">
      <c r="A247" t="inlineStr">
        <is>
          <t>Dominica_2022_January</t>
        </is>
      </c>
      <c r="C247" t="inlineStr">
        <is>
          <t>SM.22.7, Sup.2</t>
        </is>
      </c>
      <c r="D247" t="inlineStr">
        <is>
          <t>Dominica</t>
        </is>
      </c>
      <c r="E247" t="inlineStr">
        <is>
          <t>DMA</t>
        </is>
      </c>
      <c r="F247" s="11" t="n">
        <v>44562</v>
      </c>
      <c r="G247" t="inlineStr">
        <is>
          <t>2018gn</t>
        </is>
      </c>
      <c r="H247" t="n">
        <v>2021</v>
      </c>
    </row>
    <row r="248">
      <c r="A248" t="inlineStr">
        <is>
          <t>Dominica_2022_January</t>
        </is>
      </c>
      <c r="C248" t="inlineStr">
        <is>
          <t>SM.22.7, Sup.2</t>
        </is>
      </c>
      <c r="D248" t="inlineStr">
        <is>
          <t>Dominica</t>
        </is>
      </c>
      <c r="E248" t="inlineStr">
        <is>
          <t>DMA</t>
        </is>
      </c>
      <c r="F248" s="11" t="n">
        <v>44562</v>
      </c>
      <c r="G248" t="inlineStr">
        <is>
          <t>2018gn</t>
        </is>
      </c>
      <c r="H248" t="n">
        <v>2021</v>
      </c>
    </row>
    <row r="249">
      <c r="A249" t="inlineStr">
        <is>
          <t>Dominica_2022_January</t>
        </is>
      </c>
      <c r="C249" t="inlineStr">
        <is>
          <t>SM.22.7, Sup.2</t>
        </is>
      </c>
      <c r="D249" t="inlineStr">
        <is>
          <t>Dominica</t>
        </is>
      </c>
      <c r="E249" t="inlineStr">
        <is>
          <t>DMA</t>
        </is>
      </c>
      <c r="F249" s="11" t="n">
        <v>44562</v>
      </c>
      <c r="G249" t="inlineStr">
        <is>
          <t>2018gn</t>
        </is>
      </c>
      <c r="H249" t="n">
        <v>2021</v>
      </c>
    </row>
    <row r="250">
      <c r="A250" t="inlineStr">
        <is>
          <t>Dominica_2022_January</t>
        </is>
      </c>
      <c r="C250" t="inlineStr">
        <is>
          <t>SM.22.7, Sup.2</t>
        </is>
      </c>
      <c r="D250" t="inlineStr">
        <is>
          <t>Dominica</t>
        </is>
      </c>
      <c r="E250" t="inlineStr">
        <is>
          <t>DMA</t>
        </is>
      </c>
      <c r="F250" s="11" t="n">
        <v>44562</v>
      </c>
      <c r="G250" t="inlineStr">
        <is>
          <t>2018gn</t>
        </is>
      </c>
      <c r="H250" t="n">
        <v>2021</v>
      </c>
    </row>
    <row r="251">
      <c r="A251" t="inlineStr">
        <is>
          <t>Dominica_2022_January</t>
        </is>
      </c>
      <c r="C251" t="inlineStr">
        <is>
          <t>SM.22.7, Sup.2</t>
        </is>
      </c>
      <c r="D251" t="inlineStr">
        <is>
          <t>Dominica</t>
        </is>
      </c>
      <c r="E251" t="inlineStr">
        <is>
          <t>DMA</t>
        </is>
      </c>
      <c r="F251" s="11" t="n">
        <v>44562</v>
      </c>
      <c r="G251" t="inlineStr">
        <is>
          <t>2018gn</t>
        </is>
      </c>
      <c r="H251" t="n">
        <v>2021</v>
      </c>
    </row>
    <row r="252">
      <c r="A252" t="inlineStr">
        <is>
          <t>Dominica_2022_January</t>
        </is>
      </c>
      <c r="C252" t="inlineStr">
        <is>
          <t>SM.22.7, Sup.2</t>
        </is>
      </c>
      <c r="D252" t="inlineStr">
        <is>
          <t>Dominica</t>
        </is>
      </c>
      <c r="E252" t="inlineStr">
        <is>
          <t>DMA</t>
        </is>
      </c>
      <c r="F252" s="11" t="n">
        <v>44562</v>
      </c>
      <c r="G252" t="inlineStr">
        <is>
          <t>2018gn</t>
        </is>
      </c>
      <c r="H252" t="n">
        <v>2021</v>
      </c>
    </row>
    <row r="253">
      <c r="A253" t="inlineStr">
        <is>
          <t>Dominica_2022_January</t>
        </is>
      </c>
      <c r="C253" t="inlineStr">
        <is>
          <t>SM.22.7, Sup.2</t>
        </is>
      </c>
      <c r="D253" t="inlineStr">
        <is>
          <t>Dominica</t>
        </is>
      </c>
      <c r="E253" t="inlineStr">
        <is>
          <t>DMA</t>
        </is>
      </c>
      <c r="F253" s="11" t="n">
        <v>44562</v>
      </c>
      <c r="G253" t="inlineStr">
        <is>
          <t>2018gn</t>
        </is>
      </c>
      <c r="H253" t="n">
        <v>2021</v>
      </c>
    </row>
    <row r="254">
      <c r="A254" t="inlineStr">
        <is>
          <t>Dominica_2022_January</t>
        </is>
      </c>
      <c r="C254" t="inlineStr">
        <is>
          <t>SM.22.7, Sup.2</t>
        </is>
      </c>
      <c r="D254" t="inlineStr">
        <is>
          <t>Dominica</t>
        </is>
      </c>
      <c r="E254" t="inlineStr">
        <is>
          <t>DMA</t>
        </is>
      </c>
      <c r="F254" s="11" t="n">
        <v>44562</v>
      </c>
      <c r="G254" t="inlineStr">
        <is>
          <t>2018gn</t>
        </is>
      </c>
      <c r="H254" t="n">
        <v>2021</v>
      </c>
    </row>
    <row r="255">
      <c r="A255" t="inlineStr">
        <is>
          <t>Dominica_2022_January</t>
        </is>
      </c>
      <c r="C255" t="inlineStr">
        <is>
          <t>SM.22.7, Sup.2</t>
        </is>
      </c>
      <c r="D255" t="inlineStr">
        <is>
          <t>Dominica</t>
        </is>
      </c>
      <c r="E255" t="inlineStr">
        <is>
          <t>DMA</t>
        </is>
      </c>
      <c r="F255" s="11" t="n">
        <v>44562</v>
      </c>
      <c r="G255" t="inlineStr">
        <is>
          <t>2018gn</t>
        </is>
      </c>
      <c r="H255" t="n">
        <v>2021</v>
      </c>
    </row>
    <row r="256">
      <c r="A256" t="inlineStr">
        <is>
          <t>Dominica_2022_January</t>
        </is>
      </c>
      <c r="C256" t="inlineStr">
        <is>
          <t>SM.22.7, Sup.2</t>
        </is>
      </c>
      <c r="D256" t="inlineStr">
        <is>
          <t>Dominica</t>
        </is>
      </c>
      <c r="E256" t="inlineStr">
        <is>
          <t>DMA</t>
        </is>
      </c>
      <c r="F256" s="11" t="n">
        <v>44562</v>
      </c>
      <c r="G256" t="inlineStr">
        <is>
          <t>2018gn</t>
        </is>
      </c>
      <c r="H256" t="n">
        <v>2021</v>
      </c>
    </row>
    <row r="257">
      <c r="A257" t="inlineStr">
        <is>
          <t>Dominica_2022_January</t>
        </is>
      </c>
      <c r="C257" t="inlineStr">
        <is>
          <t>SM.22.7, Sup.2</t>
        </is>
      </c>
      <c r="D257" t="inlineStr">
        <is>
          <t>Dominica</t>
        </is>
      </c>
      <c r="E257" t="inlineStr">
        <is>
          <t>DMA</t>
        </is>
      </c>
      <c r="F257" s="11" t="n">
        <v>44562</v>
      </c>
      <c r="G257" t="inlineStr">
        <is>
          <t>2018gn</t>
        </is>
      </c>
      <c r="H257" t="n">
        <v>2021</v>
      </c>
    </row>
    <row r="258">
      <c r="A258" t="inlineStr">
        <is>
          <t>Dominica_2022_January</t>
        </is>
      </c>
      <c r="C258" t="inlineStr">
        <is>
          <t>SM.22.7, Sup.2</t>
        </is>
      </c>
      <c r="D258" t="inlineStr">
        <is>
          <t>Dominica</t>
        </is>
      </c>
      <c r="E258" t="inlineStr">
        <is>
          <t>DMA</t>
        </is>
      </c>
      <c r="F258" s="11" t="n">
        <v>44562</v>
      </c>
      <c r="G258" t="inlineStr">
        <is>
          <t>2018gn</t>
        </is>
      </c>
      <c r="H258" t="n">
        <v>2021</v>
      </c>
    </row>
    <row r="259">
      <c r="A259" t="inlineStr">
        <is>
          <t>Dominica_2022_January</t>
        </is>
      </c>
      <c r="C259" t="inlineStr">
        <is>
          <t>SM.22.7, Sup.2</t>
        </is>
      </c>
      <c r="D259" t="inlineStr">
        <is>
          <t>Dominica</t>
        </is>
      </c>
      <c r="E259" t="inlineStr">
        <is>
          <t>DMA</t>
        </is>
      </c>
      <c r="F259" s="11" t="n">
        <v>44562</v>
      </c>
      <c r="G259" t="inlineStr">
        <is>
          <t>2018gn</t>
        </is>
      </c>
      <c r="H259" t="n">
        <v>2021</v>
      </c>
    </row>
    <row r="260">
      <c r="A260" t="inlineStr">
        <is>
          <t>Dominica_2022_January</t>
        </is>
      </c>
      <c r="C260" t="inlineStr">
        <is>
          <t>SM.22.7, Sup.2</t>
        </is>
      </c>
      <c r="D260" t="inlineStr">
        <is>
          <t>Dominica</t>
        </is>
      </c>
      <c r="E260" t="inlineStr">
        <is>
          <t>DMA</t>
        </is>
      </c>
      <c r="F260" s="11" t="n">
        <v>44562</v>
      </c>
      <c r="G260" t="inlineStr">
        <is>
          <t>2018gn</t>
        </is>
      </c>
      <c r="H260" t="n">
        <v>2021</v>
      </c>
    </row>
    <row r="261">
      <c r="A261" t="inlineStr">
        <is>
          <t>Dominica_2022_January</t>
        </is>
      </c>
      <c r="C261" t="inlineStr">
        <is>
          <t>SM.22.7, Sup.2</t>
        </is>
      </c>
      <c r="D261" t="inlineStr">
        <is>
          <t>Dominica</t>
        </is>
      </c>
      <c r="E261" t="inlineStr">
        <is>
          <t>DMA</t>
        </is>
      </c>
      <c r="F261" s="11" t="n">
        <v>44562</v>
      </c>
      <c r="G261" t="inlineStr">
        <is>
          <t>2018gn</t>
        </is>
      </c>
      <c r="H261" t="n">
        <v>2021</v>
      </c>
    </row>
    <row r="262">
      <c r="A262" t="inlineStr">
        <is>
          <t>Dominica_2022_January</t>
        </is>
      </c>
      <c r="C262" t="inlineStr">
        <is>
          <t>SM.22.7, Sup.2</t>
        </is>
      </c>
      <c r="D262" t="inlineStr">
        <is>
          <t>Dominica</t>
        </is>
      </c>
      <c r="E262" t="inlineStr">
        <is>
          <t>DMA</t>
        </is>
      </c>
      <c r="F262" s="11" t="n">
        <v>44562</v>
      </c>
      <c r="G262" t="inlineStr">
        <is>
          <t>2018gn</t>
        </is>
      </c>
      <c r="H262" t="n">
        <v>2021</v>
      </c>
    </row>
    <row r="263">
      <c r="A263" t="inlineStr">
        <is>
          <t>Dominica_2022_January</t>
        </is>
      </c>
      <c r="C263" t="inlineStr">
        <is>
          <t>SM.22.7, Sup.2</t>
        </is>
      </c>
      <c r="D263" t="inlineStr">
        <is>
          <t>Dominica</t>
        </is>
      </c>
      <c r="E263" t="inlineStr">
        <is>
          <t>DMA</t>
        </is>
      </c>
      <c r="F263" s="11" t="n">
        <v>44562</v>
      </c>
      <c r="G263" t="inlineStr">
        <is>
          <t>2018gn</t>
        </is>
      </c>
      <c r="H263" t="n">
        <v>2021</v>
      </c>
    </row>
    <row r="264">
      <c r="A264" t="inlineStr">
        <is>
          <t>Dominica_2022_January</t>
        </is>
      </c>
      <c r="C264" t="inlineStr">
        <is>
          <t>SM.22.7, Sup.2</t>
        </is>
      </c>
      <c r="D264" t="inlineStr">
        <is>
          <t>Dominica</t>
        </is>
      </c>
      <c r="E264" t="inlineStr">
        <is>
          <t>DMA</t>
        </is>
      </c>
      <c r="F264" s="11" t="n">
        <v>44562</v>
      </c>
      <c r="G264" t="inlineStr">
        <is>
          <t>2018gn</t>
        </is>
      </c>
      <c r="H264" t="n">
        <v>2021</v>
      </c>
    </row>
    <row r="265">
      <c r="A265" t="inlineStr">
        <is>
          <t>Dominica_2022_January</t>
        </is>
      </c>
      <c r="C265" t="inlineStr">
        <is>
          <t>SM.22.7, Sup.2</t>
        </is>
      </c>
      <c r="D265" t="inlineStr">
        <is>
          <t>Dominica</t>
        </is>
      </c>
      <c r="E265" t="inlineStr">
        <is>
          <t>DMA</t>
        </is>
      </c>
      <c r="F265" s="11" t="n">
        <v>44562</v>
      </c>
      <c r="G265" t="inlineStr">
        <is>
          <t>2018gn</t>
        </is>
      </c>
      <c r="H265" t="n">
        <v>2021</v>
      </c>
    </row>
    <row r="266">
      <c r="A266" t="inlineStr">
        <is>
          <t>Dominica_2022_January</t>
        </is>
      </c>
      <c r="C266" t="inlineStr">
        <is>
          <t>SM.22.7, Sup.2</t>
        </is>
      </c>
      <c r="D266" t="inlineStr">
        <is>
          <t>Dominica</t>
        </is>
      </c>
      <c r="E266" t="inlineStr">
        <is>
          <t>DMA</t>
        </is>
      </c>
      <c r="F266" s="11" t="n">
        <v>44562</v>
      </c>
      <c r="G266" t="inlineStr">
        <is>
          <t>2018gn</t>
        </is>
      </c>
      <c r="H266" t="n">
        <v>2021</v>
      </c>
    </row>
    <row r="267">
      <c r="A267" t="inlineStr">
        <is>
          <t>Dominica_2022_January</t>
        </is>
      </c>
      <c r="C267" t="inlineStr">
        <is>
          <t>SM.22.7, Sup.2</t>
        </is>
      </c>
      <c r="D267" t="inlineStr">
        <is>
          <t>Dominica</t>
        </is>
      </c>
      <c r="E267" t="inlineStr">
        <is>
          <t>DMA</t>
        </is>
      </c>
      <c r="F267" s="11" t="n">
        <v>44562</v>
      </c>
      <c r="G267" t="inlineStr">
        <is>
          <t>2018gn</t>
        </is>
      </c>
      <c r="H267" t="n">
        <v>2021</v>
      </c>
    </row>
    <row r="268">
      <c r="A268" t="inlineStr">
        <is>
          <t>Dominica_2022_January</t>
        </is>
      </c>
      <c r="C268" t="inlineStr">
        <is>
          <t>SM.22.7, Sup.2</t>
        </is>
      </c>
      <c r="D268" t="inlineStr">
        <is>
          <t>Dominica</t>
        </is>
      </c>
      <c r="E268" t="inlineStr">
        <is>
          <t>DMA</t>
        </is>
      </c>
      <c r="F268" s="11" t="n">
        <v>44562</v>
      </c>
      <c r="G268" t="inlineStr">
        <is>
          <t>2018gn</t>
        </is>
      </c>
      <c r="H268" t="n">
        <v>2021</v>
      </c>
    </row>
    <row r="269">
      <c r="A269" t="inlineStr">
        <is>
          <t>Dominica_2022_January</t>
        </is>
      </c>
      <c r="C269" t="inlineStr">
        <is>
          <t>SM.22.7, Sup.2</t>
        </is>
      </c>
      <c r="D269" t="inlineStr">
        <is>
          <t>Dominica</t>
        </is>
      </c>
      <c r="E269" t="inlineStr">
        <is>
          <t>DMA</t>
        </is>
      </c>
      <c r="F269" s="11" t="n">
        <v>44562</v>
      </c>
      <c r="G269" t="inlineStr">
        <is>
          <t>2018gn</t>
        </is>
      </c>
      <c r="H269" t="n">
        <v>2021</v>
      </c>
    </row>
    <row r="270">
      <c r="A270" t="inlineStr">
        <is>
          <t>Dominica_2022_January</t>
        </is>
      </c>
      <c r="C270" t="inlineStr">
        <is>
          <t>SM.22.7, Sup.2</t>
        </is>
      </c>
      <c r="D270" t="inlineStr">
        <is>
          <t>Dominica</t>
        </is>
      </c>
      <c r="E270" t="inlineStr">
        <is>
          <t>DMA</t>
        </is>
      </c>
      <c r="F270" s="11" t="n">
        <v>44562</v>
      </c>
      <c r="G270" t="inlineStr">
        <is>
          <t>2018gn</t>
        </is>
      </c>
      <c r="H270" t="n">
        <v>2021</v>
      </c>
    </row>
    <row r="271">
      <c r="A271" t="inlineStr">
        <is>
          <t>Dominica_2022_January</t>
        </is>
      </c>
      <c r="C271" t="inlineStr">
        <is>
          <t>SM.22.7, Sup.2</t>
        </is>
      </c>
      <c r="D271" t="inlineStr">
        <is>
          <t>Dominica</t>
        </is>
      </c>
      <c r="E271" t="inlineStr">
        <is>
          <t>DMA</t>
        </is>
      </c>
      <c r="F271" s="11" t="n">
        <v>44562</v>
      </c>
      <c r="G271" t="inlineStr">
        <is>
          <t>2018gn</t>
        </is>
      </c>
      <c r="H271" t="n">
        <v>2021</v>
      </c>
    </row>
    <row r="272">
      <c r="A272" t="inlineStr">
        <is>
          <t>Dominica_2022_January</t>
        </is>
      </c>
      <c r="C272" t="inlineStr">
        <is>
          <t>SM.22.7, Sup.2</t>
        </is>
      </c>
      <c r="D272" t="inlineStr">
        <is>
          <t>Dominica</t>
        </is>
      </c>
      <c r="E272" t="inlineStr">
        <is>
          <t>DMA</t>
        </is>
      </c>
      <c r="F272" s="11" t="n">
        <v>44562</v>
      </c>
      <c r="G272" t="inlineStr">
        <is>
          <t>2018gn</t>
        </is>
      </c>
      <c r="H272" t="n">
        <v>2021</v>
      </c>
    </row>
    <row r="273">
      <c r="A273" t="inlineStr">
        <is>
          <t>Dominica_2022_January</t>
        </is>
      </c>
      <c r="C273" t="inlineStr">
        <is>
          <t>SM.22.7, Sup.2</t>
        </is>
      </c>
      <c r="D273" t="inlineStr">
        <is>
          <t>Dominica</t>
        </is>
      </c>
      <c r="E273" t="inlineStr">
        <is>
          <t>DMA</t>
        </is>
      </c>
      <c r="F273" s="11" t="n">
        <v>44562</v>
      </c>
      <c r="G273" t="inlineStr">
        <is>
          <t>2018gn</t>
        </is>
      </c>
      <c r="H273" t="n">
        <v>2021</v>
      </c>
    </row>
    <row r="274">
      <c r="A274" t="inlineStr">
        <is>
          <t>Dominica_2022_January</t>
        </is>
      </c>
      <c r="C274" t="inlineStr">
        <is>
          <t>SM.22.7, Sup.2</t>
        </is>
      </c>
      <c r="D274" t="inlineStr">
        <is>
          <t>Dominica</t>
        </is>
      </c>
      <c r="E274" t="inlineStr">
        <is>
          <t>DMA</t>
        </is>
      </c>
      <c r="F274" s="11" t="n">
        <v>44562</v>
      </c>
      <c r="G274" t="inlineStr">
        <is>
          <t>2018gn</t>
        </is>
      </c>
      <c r="H274" t="n">
        <v>2021</v>
      </c>
    </row>
    <row r="275">
      <c r="A275" t="inlineStr">
        <is>
          <t>Dominica_2022_January</t>
        </is>
      </c>
      <c r="C275" t="inlineStr">
        <is>
          <t>SM.22.7, Sup.2</t>
        </is>
      </c>
      <c r="D275" t="inlineStr">
        <is>
          <t>Dominica</t>
        </is>
      </c>
      <c r="E275" t="inlineStr">
        <is>
          <t>DMA</t>
        </is>
      </c>
      <c r="F275" s="11" t="n">
        <v>44562</v>
      </c>
      <c r="G275" t="inlineStr">
        <is>
          <t>2018gn</t>
        </is>
      </c>
      <c r="H275" t="n">
        <v>2021</v>
      </c>
    </row>
    <row r="276">
      <c r="A276" t="inlineStr">
        <is>
          <t>Dominica_2022_January</t>
        </is>
      </c>
      <c r="C276" t="inlineStr">
        <is>
          <t>SM.22.7, Sup.2</t>
        </is>
      </c>
      <c r="D276" t="inlineStr">
        <is>
          <t>Dominica</t>
        </is>
      </c>
      <c r="E276" t="inlineStr">
        <is>
          <t>DMA</t>
        </is>
      </c>
      <c r="F276" s="11" t="n">
        <v>44562</v>
      </c>
      <c r="G276" t="inlineStr">
        <is>
          <t>2018gn</t>
        </is>
      </c>
      <c r="H276" t="n">
        <v>2021</v>
      </c>
    </row>
    <row r="277">
      <c r="A277" t="inlineStr">
        <is>
          <t>Dominica_2022_January</t>
        </is>
      </c>
      <c r="C277" t="inlineStr">
        <is>
          <t>SM.22.7, Sup.2</t>
        </is>
      </c>
      <c r="D277" t="inlineStr">
        <is>
          <t>Dominica</t>
        </is>
      </c>
      <c r="E277" t="inlineStr">
        <is>
          <t>DMA</t>
        </is>
      </c>
      <c r="F277" s="11" t="n">
        <v>44562</v>
      </c>
      <c r="G277" t="inlineStr">
        <is>
          <t>2018gn</t>
        </is>
      </c>
      <c r="H277" t="n">
        <v>2021</v>
      </c>
    </row>
    <row r="278">
      <c r="A278" t="inlineStr">
        <is>
          <t>Dominica_2022_January</t>
        </is>
      </c>
      <c r="C278" t="inlineStr">
        <is>
          <t>SM.22.7, Sup.2</t>
        </is>
      </c>
      <c r="D278" t="inlineStr">
        <is>
          <t>Dominica</t>
        </is>
      </c>
      <c r="E278" t="inlineStr">
        <is>
          <t>DMA</t>
        </is>
      </c>
      <c r="F278" s="11" t="n">
        <v>44562</v>
      </c>
      <c r="G278" t="inlineStr">
        <is>
          <t>2018gn</t>
        </is>
      </c>
      <c r="H278" t="n">
        <v>2021</v>
      </c>
    </row>
    <row r="279">
      <c r="A279" t="inlineStr">
        <is>
          <t>Dominica_2022_January</t>
        </is>
      </c>
      <c r="C279" t="inlineStr">
        <is>
          <t>SM.22.7, Sup.2</t>
        </is>
      </c>
      <c r="D279" t="inlineStr">
        <is>
          <t>Dominica</t>
        </is>
      </c>
      <c r="E279" t="inlineStr">
        <is>
          <t>DMA</t>
        </is>
      </c>
      <c r="F279" s="11" t="n">
        <v>44562</v>
      </c>
      <c r="G279" t="inlineStr">
        <is>
          <t>2018gn</t>
        </is>
      </c>
      <c r="H279" t="n">
        <v>2021</v>
      </c>
    </row>
    <row r="280">
      <c r="A280" t="inlineStr">
        <is>
          <t>Dominica_2022_January</t>
        </is>
      </c>
      <c r="C280" t="inlineStr">
        <is>
          <t>SM.22.7, Sup.2</t>
        </is>
      </c>
      <c r="D280" t="inlineStr">
        <is>
          <t>Dominica</t>
        </is>
      </c>
      <c r="E280" t="inlineStr">
        <is>
          <t>DMA</t>
        </is>
      </c>
      <c r="F280" s="11" t="n">
        <v>44562</v>
      </c>
      <c r="G280" t="inlineStr">
        <is>
          <t>2018gn</t>
        </is>
      </c>
      <c r="H280" t="n">
        <v>2021</v>
      </c>
    </row>
    <row r="281">
      <c r="A281" t="inlineStr">
        <is>
          <t>Dominica_2022_January</t>
        </is>
      </c>
      <c r="C281" t="inlineStr">
        <is>
          <t>SM.22.7, Sup.2</t>
        </is>
      </c>
      <c r="D281" t="inlineStr">
        <is>
          <t>Dominica</t>
        </is>
      </c>
      <c r="E281" t="inlineStr">
        <is>
          <t>DMA</t>
        </is>
      </c>
      <c r="F281" s="11" t="n">
        <v>44562</v>
      </c>
      <c r="G281" t="inlineStr">
        <is>
          <t>2018gn</t>
        </is>
      </c>
      <c r="H281" t="n">
        <v>2021</v>
      </c>
    </row>
    <row r="282">
      <c r="A282" t="inlineStr">
        <is>
          <t>Dominica_2022_January</t>
        </is>
      </c>
      <c r="C282" t="inlineStr">
        <is>
          <t>SM.22.7, Sup.2</t>
        </is>
      </c>
      <c r="D282" t="inlineStr">
        <is>
          <t>Dominica</t>
        </is>
      </c>
      <c r="E282" t="inlineStr">
        <is>
          <t>DMA</t>
        </is>
      </c>
      <c r="F282" s="11" t="n">
        <v>44562</v>
      </c>
      <c r="G282" t="inlineStr">
        <is>
          <t>2018gn</t>
        </is>
      </c>
      <c r="H282" t="n">
        <v>2021</v>
      </c>
    </row>
    <row r="283">
      <c r="A283" t="inlineStr">
        <is>
          <t>Dominica_2022_January</t>
        </is>
      </c>
      <c r="C283" t="inlineStr">
        <is>
          <t>SM.22.7, Sup.2</t>
        </is>
      </c>
      <c r="D283" t="inlineStr">
        <is>
          <t>Dominica</t>
        </is>
      </c>
      <c r="E283" t="inlineStr">
        <is>
          <t>DMA</t>
        </is>
      </c>
      <c r="F283" s="11" t="n">
        <v>44562</v>
      </c>
      <c r="G283" t="inlineStr">
        <is>
          <t>2018gn</t>
        </is>
      </c>
      <c r="H283" t="n">
        <v>2021</v>
      </c>
    </row>
    <row r="284">
      <c r="A284" t="inlineStr">
        <is>
          <t>Dominica_2022_January</t>
        </is>
      </c>
      <c r="C284" t="inlineStr">
        <is>
          <t>SM.22.7, Sup.2</t>
        </is>
      </c>
      <c r="D284" t="inlineStr">
        <is>
          <t>Dominica</t>
        </is>
      </c>
      <c r="E284" t="inlineStr">
        <is>
          <t>DMA</t>
        </is>
      </c>
      <c r="F284" s="11" t="n">
        <v>44562</v>
      </c>
      <c r="G284" t="inlineStr">
        <is>
          <t>2018gn</t>
        </is>
      </c>
      <c r="H284" t="n">
        <v>2021</v>
      </c>
    </row>
    <row r="285">
      <c r="A285" t="inlineStr">
        <is>
          <t>Dominica_2022_January</t>
        </is>
      </c>
      <c r="C285" t="inlineStr">
        <is>
          <t>SM.22.7, Sup.2</t>
        </is>
      </c>
      <c r="D285" t="inlineStr">
        <is>
          <t>Dominica</t>
        </is>
      </c>
      <c r="E285" t="inlineStr">
        <is>
          <t>DMA</t>
        </is>
      </c>
      <c r="F285" s="11" t="n">
        <v>44562</v>
      </c>
      <c r="G285" t="inlineStr">
        <is>
          <t>2018gn</t>
        </is>
      </c>
      <c r="H285" t="n">
        <v>2021</v>
      </c>
    </row>
    <row r="286">
      <c r="A286" t="inlineStr">
        <is>
          <t>Dominica_2022_January</t>
        </is>
      </c>
      <c r="C286" t="inlineStr">
        <is>
          <t>SM.22.7, Sup.2</t>
        </is>
      </c>
      <c r="D286" t="inlineStr">
        <is>
          <t>Dominica</t>
        </is>
      </c>
      <c r="E286" t="inlineStr">
        <is>
          <t>DMA</t>
        </is>
      </c>
      <c r="F286" s="11" t="n">
        <v>44562</v>
      </c>
      <c r="G286" t="inlineStr">
        <is>
          <t>2018gn</t>
        </is>
      </c>
      <c r="H286" t="n">
        <v>2021</v>
      </c>
    </row>
    <row r="287">
      <c r="A287" t="inlineStr">
        <is>
          <t>Dominica_2022_January</t>
        </is>
      </c>
      <c r="C287" t="inlineStr">
        <is>
          <t>SM.22.7, Sup.2</t>
        </is>
      </c>
      <c r="D287" t="inlineStr">
        <is>
          <t>Dominica</t>
        </is>
      </c>
      <c r="E287" t="inlineStr">
        <is>
          <t>DMA</t>
        </is>
      </c>
      <c r="F287" s="11" t="n">
        <v>44562</v>
      </c>
      <c r="G287" t="inlineStr">
        <is>
          <t>2018gn</t>
        </is>
      </c>
      <c r="H287" t="n">
        <v>2021</v>
      </c>
    </row>
    <row r="288">
      <c r="A288" t="inlineStr">
        <is>
          <t>Dominica_2022_January</t>
        </is>
      </c>
      <c r="C288" t="inlineStr">
        <is>
          <t>SM.22.7, Sup.2</t>
        </is>
      </c>
      <c r="D288" t="inlineStr">
        <is>
          <t>Dominica</t>
        </is>
      </c>
      <c r="E288" t="inlineStr">
        <is>
          <t>DMA</t>
        </is>
      </c>
      <c r="F288" s="11" t="n">
        <v>44562</v>
      </c>
      <c r="G288" t="inlineStr">
        <is>
          <t>2018gn</t>
        </is>
      </c>
      <c r="H288" t="n">
        <v>2021</v>
      </c>
    </row>
    <row r="289">
      <c r="A289" t="inlineStr">
        <is>
          <t>Dominica_2022_January</t>
        </is>
      </c>
      <c r="C289" t="inlineStr">
        <is>
          <t>SM.22.7, Sup.2</t>
        </is>
      </c>
      <c r="D289" t="inlineStr">
        <is>
          <t>Dominica</t>
        </is>
      </c>
      <c r="E289" t="inlineStr">
        <is>
          <t>DMA</t>
        </is>
      </c>
      <c r="F289" s="11" t="n">
        <v>44562</v>
      </c>
      <c r="G289" t="inlineStr">
        <is>
          <t>2018gn</t>
        </is>
      </c>
      <c r="H289" t="n">
        <v>2021</v>
      </c>
    </row>
    <row r="290">
      <c r="A290" t="inlineStr">
        <is>
          <t>Dominica_2022_January</t>
        </is>
      </c>
      <c r="C290" t="inlineStr">
        <is>
          <t>SM.22.7, Sup.2</t>
        </is>
      </c>
      <c r="D290" t="inlineStr">
        <is>
          <t>Dominica</t>
        </is>
      </c>
      <c r="E290" t="inlineStr">
        <is>
          <t>DMA</t>
        </is>
      </c>
      <c r="F290" s="11" t="n">
        <v>44562</v>
      </c>
      <c r="G290" t="inlineStr">
        <is>
          <t>2018gn</t>
        </is>
      </c>
      <c r="H290" t="n">
        <v>2021</v>
      </c>
    </row>
    <row r="291">
      <c r="A291" t="inlineStr">
        <is>
          <t>Dominica_2022_January</t>
        </is>
      </c>
      <c r="C291" t="inlineStr">
        <is>
          <t>SM.22.7, Sup.2</t>
        </is>
      </c>
      <c r="D291" t="inlineStr">
        <is>
          <t>Dominica</t>
        </is>
      </c>
      <c r="E291" t="inlineStr">
        <is>
          <t>DMA</t>
        </is>
      </c>
      <c r="F291" s="11" t="n">
        <v>44562</v>
      </c>
      <c r="G291" t="inlineStr">
        <is>
          <t>2018gn</t>
        </is>
      </c>
      <c r="H291" t="n">
        <v>2021</v>
      </c>
    </row>
    <row r="292">
      <c r="A292" t="inlineStr">
        <is>
          <t>Dominica_2022_January</t>
        </is>
      </c>
      <c r="C292" t="inlineStr">
        <is>
          <t>SM.22.7, Sup.2</t>
        </is>
      </c>
      <c r="D292" t="inlineStr">
        <is>
          <t>Dominica</t>
        </is>
      </c>
      <c r="E292" t="inlineStr">
        <is>
          <t>DMA</t>
        </is>
      </c>
      <c r="F292" s="11" t="n">
        <v>44562</v>
      </c>
      <c r="G292" t="inlineStr">
        <is>
          <t>2018gn</t>
        </is>
      </c>
      <c r="H292" t="n">
        <v>2021</v>
      </c>
    </row>
    <row r="293">
      <c r="A293" t="inlineStr">
        <is>
          <t>Dominica_2022_January</t>
        </is>
      </c>
      <c r="C293" t="inlineStr">
        <is>
          <t>SM.22.7, Sup.2</t>
        </is>
      </c>
      <c r="D293" t="inlineStr">
        <is>
          <t>Dominica</t>
        </is>
      </c>
      <c r="E293" t="inlineStr">
        <is>
          <t>DMA</t>
        </is>
      </c>
      <c r="F293" s="11" t="n">
        <v>44562</v>
      </c>
      <c r="G293" t="inlineStr">
        <is>
          <t>2018gn</t>
        </is>
      </c>
      <c r="H293" t="n">
        <v>2021</v>
      </c>
    </row>
    <row r="294">
      <c r="A294" t="inlineStr">
        <is>
          <t>Dominica_2022_January</t>
        </is>
      </c>
      <c r="C294" t="inlineStr">
        <is>
          <t>SM.22.7, Sup.2</t>
        </is>
      </c>
      <c r="D294" t="inlineStr">
        <is>
          <t>Dominica</t>
        </is>
      </c>
      <c r="E294" t="inlineStr">
        <is>
          <t>DMA</t>
        </is>
      </c>
      <c r="F294" s="11" t="n">
        <v>44562</v>
      </c>
      <c r="G294" t="inlineStr">
        <is>
          <t>2018gn</t>
        </is>
      </c>
      <c r="H294" t="n">
        <v>2021</v>
      </c>
    </row>
    <row r="295">
      <c r="A295" t="inlineStr">
        <is>
          <t>Dominica_2022_January</t>
        </is>
      </c>
      <c r="C295" t="inlineStr">
        <is>
          <t>SM.22.7, Sup.2</t>
        </is>
      </c>
      <c r="D295" t="inlineStr">
        <is>
          <t>Dominica</t>
        </is>
      </c>
      <c r="E295" t="inlineStr">
        <is>
          <t>DMA</t>
        </is>
      </c>
      <c r="F295" s="11" t="n">
        <v>44562</v>
      </c>
      <c r="G295" t="inlineStr">
        <is>
          <t>2018gn</t>
        </is>
      </c>
      <c r="H295" t="n">
        <v>2021</v>
      </c>
    </row>
    <row r="296">
      <c r="A296" t="inlineStr">
        <is>
          <t>Dominica_2022_January</t>
        </is>
      </c>
      <c r="C296" t="inlineStr">
        <is>
          <t>SM.22.7, Sup.2</t>
        </is>
      </c>
      <c r="D296" t="inlineStr">
        <is>
          <t>Dominica</t>
        </is>
      </c>
      <c r="E296" t="inlineStr">
        <is>
          <t>DMA</t>
        </is>
      </c>
      <c r="F296" s="11" t="n">
        <v>44562</v>
      </c>
      <c r="G296" t="inlineStr">
        <is>
          <t>2018gn</t>
        </is>
      </c>
      <c r="H296" t="n">
        <v>2021</v>
      </c>
    </row>
    <row r="297">
      <c r="A297" t="inlineStr">
        <is>
          <t>Dominica_2022_January</t>
        </is>
      </c>
      <c r="C297" t="inlineStr">
        <is>
          <t>SM.22.7, Sup.2</t>
        </is>
      </c>
      <c r="D297" t="inlineStr">
        <is>
          <t>Dominica</t>
        </is>
      </c>
      <c r="E297" t="inlineStr">
        <is>
          <t>DMA</t>
        </is>
      </c>
      <c r="F297" s="11" t="n">
        <v>44562</v>
      </c>
      <c r="G297" t="inlineStr">
        <is>
          <t>2018gn</t>
        </is>
      </c>
      <c r="H297" t="n">
        <v>2021</v>
      </c>
    </row>
    <row r="298">
      <c r="A298" t="inlineStr">
        <is>
          <t>Dominica_2022_January</t>
        </is>
      </c>
      <c r="C298" t="inlineStr">
        <is>
          <t>SM.22.7, Sup.2</t>
        </is>
      </c>
      <c r="D298" t="inlineStr">
        <is>
          <t>Dominica</t>
        </is>
      </c>
      <c r="E298" t="inlineStr">
        <is>
          <t>DMA</t>
        </is>
      </c>
      <c r="F298" s="11" t="n">
        <v>44562</v>
      </c>
      <c r="G298" t="inlineStr">
        <is>
          <t>2018gn</t>
        </is>
      </c>
      <c r="H298" t="n">
        <v>2021</v>
      </c>
    </row>
    <row r="299">
      <c r="A299" t="inlineStr">
        <is>
          <t>Dominica_2022_January</t>
        </is>
      </c>
      <c r="C299" t="inlineStr">
        <is>
          <t>SM.22.7, Sup.2</t>
        </is>
      </c>
      <c r="D299" t="inlineStr">
        <is>
          <t>Dominica</t>
        </is>
      </c>
      <c r="E299" t="inlineStr">
        <is>
          <t>DMA</t>
        </is>
      </c>
      <c r="F299" s="11" t="n">
        <v>44562</v>
      </c>
      <c r="G299" t="inlineStr">
        <is>
          <t>2018gn</t>
        </is>
      </c>
      <c r="H299" t="n">
        <v>2021</v>
      </c>
    </row>
    <row r="300">
      <c r="A300" t="inlineStr">
        <is>
          <t>Dominica_2022_January</t>
        </is>
      </c>
      <c r="C300" t="inlineStr">
        <is>
          <t>SM.22.7, Sup.2</t>
        </is>
      </c>
      <c r="D300" t="inlineStr">
        <is>
          <t>Dominica</t>
        </is>
      </c>
      <c r="E300" t="inlineStr">
        <is>
          <t>DMA</t>
        </is>
      </c>
      <c r="F300" s="11" t="n">
        <v>44562</v>
      </c>
      <c r="G300" t="inlineStr">
        <is>
          <t>2018gn</t>
        </is>
      </c>
      <c r="H300" t="n">
        <v>2021</v>
      </c>
    </row>
    <row r="301">
      <c r="A301" t="inlineStr">
        <is>
          <t>Dominica_2022_January</t>
        </is>
      </c>
      <c r="C301" t="inlineStr">
        <is>
          <t>SM.22.7, Sup.2</t>
        </is>
      </c>
      <c r="D301" t="inlineStr">
        <is>
          <t>Dominica</t>
        </is>
      </c>
      <c r="E301" t="inlineStr">
        <is>
          <t>DMA</t>
        </is>
      </c>
      <c r="F301" s="11" t="n">
        <v>44562</v>
      </c>
      <c r="G301" t="inlineStr">
        <is>
          <t>2018gn</t>
        </is>
      </c>
      <c r="H301" t="n">
        <v>2021</v>
      </c>
    </row>
    <row r="302">
      <c r="A302" t="inlineStr">
        <is>
          <t>Dominica_2022_January</t>
        </is>
      </c>
      <c r="C302" t="inlineStr">
        <is>
          <t>SM.22.7, Sup.2</t>
        </is>
      </c>
      <c r="D302" t="inlineStr">
        <is>
          <t>Dominica</t>
        </is>
      </c>
      <c r="E302" t="inlineStr">
        <is>
          <t>DMA</t>
        </is>
      </c>
      <c r="F302" s="11" t="n">
        <v>44562</v>
      </c>
      <c r="G302" t="inlineStr">
        <is>
          <t>2018gn</t>
        </is>
      </c>
      <c r="H302" t="n">
        <v>2021</v>
      </c>
    </row>
    <row r="303">
      <c r="A303" t="inlineStr">
        <is>
          <t>Dominica_2022_January</t>
        </is>
      </c>
      <c r="C303" t="inlineStr">
        <is>
          <t>SM.22.7, Sup.2</t>
        </is>
      </c>
      <c r="D303" t="inlineStr">
        <is>
          <t>Dominica</t>
        </is>
      </c>
      <c r="E303" t="inlineStr">
        <is>
          <t>DMA</t>
        </is>
      </c>
      <c r="F303" s="11" t="n">
        <v>44562</v>
      </c>
      <c r="G303" t="inlineStr">
        <is>
          <t>2018gn</t>
        </is>
      </c>
      <c r="H303" t="n">
        <v>2021</v>
      </c>
    </row>
    <row r="304">
      <c r="A304" t="inlineStr">
        <is>
          <t>Dominica_2022_January</t>
        </is>
      </c>
      <c r="C304" t="inlineStr">
        <is>
          <t>SM.22.7, Sup.2</t>
        </is>
      </c>
      <c r="D304" t="inlineStr">
        <is>
          <t>Dominica</t>
        </is>
      </c>
      <c r="E304" t="inlineStr">
        <is>
          <t>DMA</t>
        </is>
      </c>
      <c r="F304" s="11" t="n">
        <v>44562</v>
      </c>
      <c r="G304" t="inlineStr">
        <is>
          <t>2018gn</t>
        </is>
      </c>
      <c r="H304" t="n">
        <v>2021</v>
      </c>
    </row>
    <row r="305">
      <c r="A305" t="inlineStr">
        <is>
          <t>Dominica_2022_January</t>
        </is>
      </c>
      <c r="C305" t="inlineStr">
        <is>
          <t>SM.22.7, Sup.2</t>
        </is>
      </c>
      <c r="D305" t="inlineStr">
        <is>
          <t>Dominica</t>
        </is>
      </c>
      <c r="E305" t="inlineStr">
        <is>
          <t>DMA</t>
        </is>
      </c>
      <c r="F305" s="11" t="n">
        <v>44562</v>
      </c>
      <c r="G305" t="inlineStr">
        <is>
          <t>2018gn</t>
        </is>
      </c>
      <c r="H305" t="n">
        <v>2021</v>
      </c>
    </row>
    <row r="306">
      <c r="A306" t="inlineStr">
        <is>
          <t>Dominica_2022_January</t>
        </is>
      </c>
      <c r="C306" t="inlineStr">
        <is>
          <t>SM.22.7, Sup.2</t>
        </is>
      </c>
      <c r="D306" t="inlineStr">
        <is>
          <t>Dominica</t>
        </is>
      </c>
      <c r="E306" t="inlineStr">
        <is>
          <t>DMA</t>
        </is>
      </c>
      <c r="F306" s="11" t="n">
        <v>44562</v>
      </c>
      <c r="G306" t="inlineStr">
        <is>
          <t>2018gn</t>
        </is>
      </c>
      <c r="H306" t="n">
        <v>2021</v>
      </c>
    </row>
    <row r="307">
      <c r="A307" t="inlineStr">
        <is>
          <t>Dominica_2022_January</t>
        </is>
      </c>
      <c r="C307" t="inlineStr">
        <is>
          <t>SM.22.7, Sup.2</t>
        </is>
      </c>
      <c r="D307" t="inlineStr">
        <is>
          <t>Dominica</t>
        </is>
      </c>
      <c r="E307" t="inlineStr">
        <is>
          <t>DMA</t>
        </is>
      </c>
      <c r="F307" s="11" t="n">
        <v>44562</v>
      </c>
      <c r="G307" t="inlineStr">
        <is>
          <t>2018gn</t>
        </is>
      </c>
      <c r="H307" t="n">
        <v>2021</v>
      </c>
    </row>
    <row r="308">
      <c r="A308" t="inlineStr">
        <is>
          <t>Dominica_2022_January</t>
        </is>
      </c>
      <c r="C308" t="inlineStr">
        <is>
          <t>SM.22.7, Sup.2</t>
        </is>
      </c>
      <c r="D308" t="inlineStr">
        <is>
          <t>Dominica</t>
        </is>
      </c>
      <c r="E308" t="inlineStr">
        <is>
          <t>DMA</t>
        </is>
      </c>
      <c r="F308" s="11" t="n">
        <v>44562</v>
      </c>
      <c r="G308" t="inlineStr">
        <is>
          <t>2018gn</t>
        </is>
      </c>
      <c r="H308" t="n">
        <v>2021</v>
      </c>
    </row>
    <row r="309">
      <c r="A309" t="inlineStr">
        <is>
          <t>Dominica_2022_January</t>
        </is>
      </c>
      <c r="C309" t="inlineStr">
        <is>
          <t>SM.22.7, Sup.2</t>
        </is>
      </c>
      <c r="D309" t="inlineStr">
        <is>
          <t>Dominica</t>
        </is>
      </c>
      <c r="E309" t="inlineStr">
        <is>
          <t>DMA</t>
        </is>
      </c>
      <c r="F309" s="11" t="n">
        <v>44562</v>
      </c>
      <c r="G309" t="inlineStr">
        <is>
          <t>2018gn</t>
        </is>
      </c>
      <c r="H309" t="n">
        <v>2021</v>
      </c>
    </row>
    <row r="310">
      <c r="A310" t="inlineStr">
        <is>
          <t>Dominica_2022_January</t>
        </is>
      </c>
      <c r="C310" t="inlineStr">
        <is>
          <t>SM.22.7, Sup.2</t>
        </is>
      </c>
      <c r="D310" t="inlineStr">
        <is>
          <t>Dominica</t>
        </is>
      </c>
      <c r="E310" t="inlineStr">
        <is>
          <t>DMA</t>
        </is>
      </c>
      <c r="F310" s="11" t="n">
        <v>44562</v>
      </c>
      <c r="G310" t="inlineStr">
        <is>
          <t>2018gn</t>
        </is>
      </c>
      <c r="H310" t="n">
        <v>2021</v>
      </c>
    </row>
    <row r="311">
      <c r="A311" t="inlineStr">
        <is>
          <t>Dominica_2022_January</t>
        </is>
      </c>
      <c r="C311" t="inlineStr">
        <is>
          <t>SM.22.7, Sup.2</t>
        </is>
      </c>
      <c r="D311" t="inlineStr">
        <is>
          <t>Dominica</t>
        </is>
      </c>
      <c r="E311" t="inlineStr">
        <is>
          <t>DMA</t>
        </is>
      </c>
      <c r="F311" s="11" t="n">
        <v>44562</v>
      </c>
      <c r="G311" t="inlineStr">
        <is>
          <t>2018gn</t>
        </is>
      </c>
      <c r="H311" t="n">
        <v>2021</v>
      </c>
    </row>
    <row r="312">
      <c r="A312" t="inlineStr">
        <is>
          <t>Dominica_2022_January</t>
        </is>
      </c>
      <c r="C312" t="inlineStr">
        <is>
          <t>SM.22.7, Sup.2</t>
        </is>
      </c>
      <c r="D312" t="inlineStr">
        <is>
          <t>Dominica</t>
        </is>
      </c>
      <c r="E312" t="inlineStr">
        <is>
          <t>DMA</t>
        </is>
      </c>
      <c r="F312" s="11" t="n">
        <v>44562</v>
      </c>
      <c r="G312" t="inlineStr">
        <is>
          <t>2018gn</t>
        </is>
      </c>
      <c r="H312" t="n">
        <v>2021</v>
      </c>
    </row>
    <row r="313">
      <c r="A313" t="inlineStr">
        <is>
          <t>Dominica_2022_January</t>
        </is>
      </c>
      <c r="C313" t="inlineStr">
        <is>
          <t>SM.22.7, Sup.2</t>
        </is>
      </c>
      <c r="D313" t="inlineStr">
        <is>
          <t>Dominica</t>
        </is>
      </c>
      <c r="E313" t="inlineStr">
        <is>
          <t>DMA</t>
        </is>
      </c>
      <c r="F313" s="11" t="n">
        <v>44562</v>
      </c>
      <c r="G313" t="inlineStr">
        <is>
          <t>2018gn</t>
        </is>
      </c>
      <c r="H313" t="n">
        <v>2021</v>
      </c>
    </row>
    <row r="314">
      <c r="A314" t="inlineStr">
        <is>
          <t>Dominica_2022_January</t>
        </is>
      </c>
      <c r="C314" t="inlineStr">
        <is>
          <t>SM.22.7, Sup.2</t>
        </is>
      </c>
      <c r="D314" t="inlineStr">
        <is>
          <t>Dominica</t>
        </is>
      </c>
      <c r="E314" t="inlineStr">
        <is>
          <t>DMA</t>
        </is>
      </c>
      <c r="F314" s="11" t="n">
        <v>44562</v>
      </c>
      <c r="G314" t="inlineStr">
        <is>
          <t>2018gn</t>
        </is>
      </c>
      <c r="H314" t="n">
        <v>2021</v>
      </c>
    </row>
    <row r="315">
      <c r="A315" t="inlineStr">
        <is>
          <t>Dominica_2022_January</t>
        </is>
      </c>
      <c r="C315" t="inlineStr">
        <is>
          <t>SM.22.7, Sup.2</t>
        </is>
      </c>
      <c r="D315" t="inlineStr">
        <is>
          <t>Dominica</t>
        </is>
      </c>
      <c r="E315" t="inlineStr">
        <is>
          <t>DMA</t>
        </is>
      </c>
      <c r="F315" s="11" t="n">
        <v>44562</v>
      </c>
      <c r="G315" t="inlineStr">
        <is>
          <t>2018gn</t>
        </is>
      </c>
      <c r="H315" t="n">
        <v>2021</v>
      </c>
    </row>
    <row r="316">
      <c r="A316" t="inlineStr">
        <is>
          <t>Dominica_2022_January</t>
        </is>
      </c>
      <c r="C316" t="inlineStr">
        <is>
          <t>SM.22.7, Sup.2</t>
        </is>
      </c>
      <c r="D316" t="inlineStr">
        <is>
          <t>Dominica</t>
        </is>
      </c>
      <c r="E316" t="inlineStr">
        <is>
          <t>DMA</t>
        </is>
      </c>
      <c r="F316" s="11" t="n">
        <v>44562</v>
      </c>
      <c r="G316" t="inlineStr">
        <is>
          <t>2018gn</t>
        </is>
      </c>
      <c r="H316" t="n">
        <v>2021</v>
      </c>
    </row>
    <row r="317">
      <c r="A317" t="inlineStr">
        <is>
          <t>Dominica_2022_January</t>
        </is>
      </c>
      <c r="C317" t="inlineStr">
        <is>
          <t>SM.22.7, Sup.2</t>
        </is>
      </c>
      <c r="D317" t="inlineStr">
        <is>
          <t>Dominica</t>
        </is>
      </c>
      <c r="E317" t="inlineStr">
        <is>
          <t>DMA</t>
        </is>
      </c>
      <c r="F317" s="11" t="n">
        <v>44562</v>
      </c>
      <c r="G317" t="inlineStr">
        <is>
          <t>2018gn</t>
        </is>
      </c>
      <c r="H317" t="n">
        <v>2021</v>
      </c>
    </row>
    <row r="318">
      <c r="A318" t="inlineStr">
        <is>
          <t>Dominica_2022_January</t>
        </is>
      </c>
      <c r="C318" t="inlineStr">
        <is>
          <t>SM.22.7, Sup.2</t>
        </is>
      </c>
      <c r="D318" t="inlineStr">
        <is>
          <t>Dominica</t>
        </is>
      </c>
      <c r="E318" t="inlineStr">
        <is>
          <t>DMA</t>
        </is>
      </c>
      <c r="F318" s="11" t="n">
        <v>44562</v>
      </c>
      <c r="G318" t="inlineStr">
        <is>
          <t>2018gn</t>
        </is>
      </c>
      <c r="H318" t="n">
        <v>2021</v>
      </c>
    </row>
    <row r="319">
      <c r="A319" t="inlineStr">
        <is>
          <t>Dominica_2022_January</t>
        </is>
      </c>
      <c r="C319" t="inlineStr">
        <is>
          <t>SM.22.7, Sup.2</t>
        </is>
      </c>
      <c r="D319" t="inlineStr">
        <is>
          <t>Dominica</t>
        </is>
      </c>
      <c r="E319" t="inlineStr">
        <is>
          <t>DMA</t>
        </is>
      </c>
      <c r="F319" s="11" t="n">
        <v>44562</v>
      </c>
      <c r="G319" t="inlineStr">
        <is>
          <t>2018gn</t>
        </is>
      </c>
      <c r="H319" t="n">
        <v>2021</v>
      </c>
    </row>
    <row r="320">
      <c r="A320" t="inlineStr">
        <is>
          <t>Dominica_2022_January</t>
        </is>
      </c>
      <c r="C320" t="inlineStr">
        <is>
          <t>SM.22.7, Sup.2</t>
        </is>
      </c>
      <c r="D320" t="inlineStr">
        <is>
          <t>Dominica</t>
        </is>
      </c>
      <c r="E320" t="inlineStr">
        <is>
          <t>DMA</t>
        </is>
      </c>
      <c r="F320" s="11" t="n">
        <v>44562</v>
      </c>
      <c r="G320" t="inlineStr">
        <is>
          <t>2018gn</t>
        </is>
      </c>
      <c r="H320" t="n">
        <v>2021</v>
      </c>
    </row>
    <row r="321">
      <c r="A321" t="inlineStr">
        <is>
          <t>Dominica_2022_January</t>
        </is>
      </c>
      <c r="C321" t="inlineStr">
        <is>
          <t>SM.22.7, Sup.2</t>
        </is>
      </c>
      <c r="D321" t="inlineStr">
        <is>
          <t>Dominica</t>
        </is>
      </c>
      <c r="E321" t="inlineStr">
        <is>
          <t>DMA</t>
        </is>
      </c>
      <c r="F321" s="11" t="n">
        <v>44562</v>
      </c>
      <c r="G321" t="inlineStr">
        <is>
          <t>2018gn</t>
        </is>
      </c>
      <c r="H321" t="n">
        <v>2021</v>
      </c>
    </row>
    <row r="322">
      <c r="A322" t="inlineStr">
        <is>
          <t>Dominica_2022_January</t>
        </is>
      </c>
      <c r="C322" t="inlineStr">
        <is>
          <t>SM.22.7, Sup.2</t>
        </is>
      </c>
      <c r="D322" t="inlineStr">
        <is>
          <t>Dominica</t>
        </is>
      </c>
      <c r="E322" t="inlineStr">
        <is>
          <t>DMA</t>
        </is>
      </c>
      <c r="F322" s="11" t="n">
        <v>44562</v>
      </c>
      <c r="G322" t="inlineStr">
        <is>
          <t>2018gn</t>
        </is>
      </c>
      <c r="H322" t="n">
        <v>2021</v>
      </c>
    </row>
    <row r="323">
      <c r="A323" t="inlineStr">
        <is>
          <t>Dominica_2022_January</t>
        </is>
      </c>
      <c r="C323" t="inlineStr">
        <is>
          <t>SM.22.7, Sup.2</t>
        </is>
      </c>
      <c r="D323" t="inlineStr">
        <is>
          <t>Dominica</t>
        </is>
      </c>
      <c r="E323" t="inlineStr">
        <is>
          <t>DMA</t>
        </is>
      </c>
      <c r="F323" s="11" t="n">
        <v>44562</v>
      </c>
      <c r="G323" t="inlineStr">
        <is>
          <t>2018gn</t>
        </is>
      </c>
      <c r="H323" t="n">
        <v>2021</v>
      </c>
    </row>
    <row r="324">
      <c r="A324" t="inlineStr">
        <is>
          <t>Dominica_2022_January</t>
        </is>
      </c>
      <c r="C324" t="inlineStr">
        <is>
          <t>SM.22.7, Sup.2</t>
        </is>
      </c>
      <c r="D324" t="inlineStr">
        <is>
          <t>Dominica</t>
        </is>
      </c>
      <c r="E324" t="inlineStr">
        <is>
          <t>DMA</t>
        </is>
      </c>
      <c r="F324" s="11" t="n">
        <v>44562</v>
      </c>
      <c r="G324" t="inlineStr">
        <is>
          <t>2018gn</t>
        </is>
      </c>
      <c r="H324" t="n">
        <v>2021</v>
      </c>
    </row>
    <row r="325">
      <c r="A325" t="inlineStr">
        <is>
          <t>Dominica_2022_January</t>
        </is>
      </c>
      <c r="C325" t="inlineStr">
        <is>
          <t>SM.22.7, Sup.2</t>
        </is>
      </c>
      <c r="D325" t="inlineStr">
        <is>
          <t>Dominica</t>
        </is>
      </c>
      <c r="E325" t="inlineStr">
        <is>
          <t>DMA</t>
        </is>
      </c>
      <c r="F325" s="11" t="n">
        <v>44562</v>
      </c>
      <c r="G325" t="inlineStr">
        <is>
          <t>2018gn</t>
        </is>
      </c>
      <c r="H325" t="n">
        <v>2021</v>
      </c>
    </row>
    <row r="326">
      <c r="A326" t="inlineStr">
        <is>
          <t>Dominica_2022_January</t>
        </is>
      </c>
      <c r="C326" t="inlineStr">
        <is>
          <t>SM.22.7, Sup.2</t>
        </is>
      </c>
      <c r="D326" t="inlineStr">
        <is>
          <t>Dominica</t>
        </is>
      </c>
      <c r="E326" t="inlineStr">
        <is>
          <t>DMA</t>
        </is>
      </c>
      <c r="F326" s="11" t="n">
        <v>44562</v>
      </c>
      <c r="G326" t="inlineStr">
        <is>
          <t>2018gn</t>
        </is>
      </c>
      <c r="H326" t="n">
        <v>2021</v>
      </c>
    </row>
    <row r="327">
      <c r="A327" t="inlineStr">
        <is>
          <t>Dominica_2022_January</t>
        </is>
      </c>
      <c r="C327" t="inlineStr">
        <is>
          <t>SM.22.7, Sup.2</t>
        </is>
      </c>
      <c r="D327" t="inlineStr">
        <is>
          <t>Dominica</t>
        </is>
      </c>
      <c r="E327" t="inlineStr">
        <is>
          <t>DMA</t>
        </is>
      </c>
      <c r="F327" s="11" t="n">
        <v>44562</v>
      </c>
      <c r="G327" t="inlineStr">
        <is>
          <t>2018gn</t>
        </is>
      </c>
      <c r="H327" t="n">
        <v>2021</v>
      </c>
    </row>
    <row r="328">
      <c r="A328" t="inlineStr">
        <is>
          <t>Dominica_2022_January</t>
        </is>
      </c>
      <c r="C328" t="inlineStr">
        <is>
          <t>SM.22.7, Sup.2</t>
        </is>
      </c>
      <c r="D328" t="inlineStr">
        <is>
          <t>Dominica</t>
        </is>
      </c>
      <c r="E328" t="inlineStr">
        <is>
          <t>DMA</t>
        </is>
      </c>
      <c r="F328" s="11" t="n">
        <v>44562</v>
      </c>
      <c r="G328" t="inlineStr">
        <is>
          <t>2018gn</t>
        </is>
      </c>
      <c r="H328" t="n">
        <v>2021</v>
      </c>
    </row>
    <row r="329">
      <c r="A329" t="inlineStr">
        <is>
          <t>Dominica_2022_January</t>
        </is>
      </c>
      <c r="C329" t="inlineStr">
        <is>
          <t>SM.22.7, Sup.2</t>
        </is>
      </c>
      <c r="D329" t="inlineStr">
        <is>
          <t>Dominica</t>
        </is>
      </c>
      <c r="E329" t="inlineStr">
        <is>
          <t>DMA</t>
        </is>
      </c>
      <c r="F329" s="11" t="n">
        <v>44562</v>
      </c>
      <c r="G329" t="inlineStr">
        <is>
          <t>2018gn</t>
        </is>
      </c>
      <c r="H329" t="n">
        <v>2021</v>
      </c>
    </row>
    <row r="330">
      <c r="A330" t="inlineStr">
        <is>
          <t>Dominica_2022_January</t>
        </is>
      </c>
      <c r="C330" t="inlineStr">
        <is>
          <t>SM.22.7, Sup.2</t>
        </is>
      </c>
      <c r="D330" t="inlineStr">
        <is>
          <t>Dominica</t>
        </is>
      </c>
      <c r="E330" t="inlineStr">
        <is>
          <t>DMA</t>
        </is>
      </c>
      <c r="F330" s="11" t="n">
        <v>44562</v>
      </c>
      <c r="G330" t="inlineStr">
        <is>
          <t>2018gn</t>
        </is>
      </c>
      <c r="H330" t="n">
        <v>2021</v>
      </c>
    </row>
    <row r="331">
      <c r="A331" t="inlineStr">
        <is>
          <t>Dominica_2022_January</t>
        </is>
      </c>
      <c r="C331" t="inlineStr">
        <is>
          <t>SM.22.7, Sup.2</t>
        </is>
      </c>
      <c r="D331" t="inlineStr">
        <is>
          <t>Dominica</t>
        </is>
      </c>
      <c r="E331" t="inlineStr">
        <is>
          <t>DMA</t>
        </is>
      </c>
      <c r="F331" s="11" t="n">
        <v>44562</v>
      </c>
      <c r="G331" t="inlineStr">
        <is>
          <t>2018gn</t>
        </is>
      </c>
      <c r="H331" t="n">
        <v>2021</v>
      </c>
    </row>
    <row r="332">
      <c r="A332" t="inlineStr">
        <is>
          <t>Dominica_2022_January</t>
        </is>
      </c>
      <c r="C332" t="inlineStr">
        <is>
          <t>SM.22.7, Sup.2</t>
        </is>
      </c>
      <c r="D332" t="inlineStr">
        <is>
          <t>Dominica</t>
        </is>
      </c>
      <c r="E332" t="inlineStr">
        <is>
          <t>DMA</t>
        </is>
      </c>
      <c r="F332" s="11" t="n">
        <v>44562</v>
      </c>
      <c r="G332" t="inlineStr">
        <is>
          <t>2018gn</t>
        </is>
      </c>
      <c r="H332" t="n">
        <v>2021</v>
      </c>
    </row>
    <row r="333">
      <c r="A333" t="inlineStr">
        <is>
          <t>Dominica_2022_January</t>
        </is>
      </c>
      <c r="C333" t="inlineStr">
        <is>
          <t>SM.22.7, Sup.2</t>
        </is>
      </c>
      <c r="D333" t="inlineStr">
        <is>
          <t>Dominica</t>
        </is>
      </c>
      <c r="E333" t="inlineStr">
        <is>
          <t>DMA</t>
        </is>
      </c>
      <c r="F333" s="11" t="n">
        <v>44562</v>
      </c>
      <c r="G333" t="inlineStr">
        <is>
          <t>2018gn</t>
        </is>
      </c>
      <c r="H333" t="n">
        <v>2021</v>
      </c>
    </row>
    <row r="334">
      <c r="A334" t="inlineStr">
        <is>
          <t>Dominica_2022_January</t>
        </is>
      </c>
      <c r="C334" t="inlineStr">
        <is>
          <t>SM.22.7, Sup.2</t>
        </is>
      </c>
      <c r="D334" t="inlineStr">
        <is>
          <t>Dominica</t>
        </is>
      </c>
      <c r="E334" t="inlineStr">
        <is>
          <t>DMA</t>
        </is>
      </c>
      <c r="F334" s="11" t="n">
        <v>44562</v>
      </c>
      <c r="G334" t="inlineStr">
        <is>
          <t>2018gn</t>
        </is>
      </c>
      <c r="H334" t="n">
        <v>2021</v>
      </c>
    </row>
    <row r="335">
      <c r="A335" t="inlineStr">
        <is>
          <t>Dominica_2022_January</t>
        </is>
      </c>
      <c r="C335" t="inlineStr">
        <is>
          <t>SM.22.7, Sup.2</t>
        </is>
      </c>
      <c r="D335" t="inlineStr">
        <is>
          <t>Dominica</t>
        </is>
      </c>
      <c r="E335" t="inlineStr">
        <is>
          <t>DMA</t>
        </is>
      </c>
      <c r="F335" s="11" t="n">
        <v>44562</v>
      </c>
      <c r="G335" t="inlineStr">
        <is>
          <t>2018gn</t>
        </is>
      </c>
      <c r="H335" t="n">
        <v>2021</v>
      </c>
    </row>
    <row r="336">
      <c r="A336" t="inlineStr">
        <is>
          <t>Dominica_2022_January</t>
        </is>
      </c>
      <c r="C336" t="inlineStr">
        <is>
          <t>SM.22.7, Sup.2</t>
        </is>
      </c>
      <c r="D336" t="inlineStr">
        <is>
          <t>Dominica</t>
        </is>
      </c>
      <c r="E336" t="inlineStr">
        <is>
          <t>DMA</t>
        </is>
      </c>
      <c r="F336" s="11" t="n">
        <v>44562</v>
      </c>
      <c r="G336" t="inlineStr">
        <is>
          <t>2018gn</t>
        </is>
      </c>
      <c r="H336" t="n">
        <v>2021</v>
      </c>
    </row>
    <row r="337">
      <c r="A337" t="inlineStr">
        <is>
          <t>Dominica_2022_January</t>
        </is>
      </c>
      <c r="C337" t="inlineStr">
        <is>
          <t>SM.22.7, Sup.2</t>
        </is>
      </c>
      <c r="D337" t="inlineStr">
        <is>
          <t>Dominica</t>
        </is>
      </c>
      <c r="E337" t="inlineStr">
        <is>
          <t>DMA</t>
        </is>
      </c>
      <c r="F337" s="11" t="n">
        <v>44562</v>
      </c>
      <c r="G337" t="inlineStr">
        <is>
          <t>2018gn</t>
        </is>
      </c>
      <c r="H337" t="n">
        <v>2021</v>
      </c>
    </row>
    <row r="338">
      <c r="A338" t="inlineStr">
        <is>
          <t>Dominica_2022_January</t>
        </is>
      </c>
      <c r="C338" t="inlineStr">
        <is>
          <t>SM.22.7, Sup.2</t>
        </is>
      </c>
      <c r="D338" t="inlineStr">
        <is>
          <t>Dominica</t>
        </is>
      </c>
      <c r="E338" t="inlineStr">
        <is>
          <t>DMA</t>
        </is>
      </c>
      <c r="F338" s="11" t="n">
        <v>44562</v>
      </c>
      <c r="G338" t="inlineStr">
        <is>
          <t>2018gn</t>
        </is>
      </c>
      <c r="H338" t="n">
        <v>2021</v>
      </c>
    </row>
    <row r="339">
      <c r="A339" t="inlineStr">
        <is>
          <t>Dominica_2022_January</t>
        </is>
      </c>
      <c r="C339" t="inlineStr">
        <is>
          <t>SM.22.7, Sup.2</t>
        </is>
      </c>
      <c r="D339" t="inlineStr">
        <is>
          <t>Dominica</t>
        </is>
      </c>
      <c r="E339" t="inlineStr">
        <is>
          <t>DMA</t>
        </is>
      </c>
      <c r="F339" s="11" t="n">
        <v>44562</v>
      </c>
      <c r="G339" t="inlineStr">
        <is>
          <t>2018gn</t>
        </is>
      </c>
      <c r="H339" t="n">
        <v>2021</v>
      </c>
    </row>
    <row r="340">
      <c r="A340" t="inlineStr">
        <is>
          <t>Dominica_2022_January</t>
        </is>
      </c>
      <c r="C340" t="inlineStr">
        <is>
          <t>SM.22.7, Sup.2</t>
        </is>
      </c>
      <c r="D340" t="inlineStr">
        <is>
          <t>Dominica</t>
        </is>
      </c>
      <c r="E340" t="inlineStr">
        <is>
          <t>DMA</t>
        </is>
      </c>
      <c r="F340" s="11" t="n">
        <v>44562</v>
      </c>
      <c r="G340" t="inlineStr">
        <is>
          <t>2018gn</t>
        </is>
      </c>
      <c r="H340" t="n">
        <v>2021</v>
      </c>
    </row>
    <row r="341">
      <c r="A341" t="inlineStr">
        <is>
          <t>Dominica_2022_January</t>
        </is>
      </c>
      <c r="C341" t="inlineStr">
        <is>
          <t>SM.22.7, Sup.2</t>
        </is>
      </c>
      <c r="D341" t="inlineStr">
        <is>
          <t>Dominica</t>
        </is>
      </c>
      <c r="E341" t="inlineStr">
        <is>
          <t>DMA</t>
        </is>
      </c>
      <c r="F341" s="11" t="n">
        <v>44562</v>
      </c>
      <c r="G341" t="inlineStr">
        <is>
          <t>2018gn</t>
        </is>
      </c>
      <c r="H341" t="n">
        <v>2021</v>
      </c>
    </row>
    <row r="342">
      <c r="A342" t="inlineStr">
        <is>
          <t>Dominica_2022_January</t>
        </is>
      </c>
      <c r="C342" t="inlineStr">
        <is>
          <t>SM.22.7, Sup.2</t>
        </is>
      </c>
      <c r="D342" t="inlineStr">
        <is>
          <t>Dominica</t>
        </is>
      </c>
      <c r="E342" t="inlineStr">
        <is>
          <t>DMA</t>
        </is>
      </c>
      <c r="F342" s="11" t="n">
        <v>44562</v>
      </c>
      <c r="G342" t="inlineStr">
        <is>
          <t>2018gn</t>
        </is>
      </c>
      <c r="H342" t="n">
        <v>2021</v>
      </c>
    </row>
    <row r="343">
      <c r="A343" t="inlineStr">
        <is>
          <t>Dominica_2022_January</t>
        </is>
      </c>
      <c r="C343" t="inlineStr">
        <is>
          <t>SM.22.7, Sup.2</t>
        </is>
      </c>
      <c r="D343" t="inlineStr">
        <is>
          <t>Dominica</t>
        </is>
      </c>
      <c r="E343" t="inlineStr">
        <is>
          <t>DMA</t>
        </is>
      </c>
      <c r="F343" s="11" t="n">
        <v>44562</v>
      </c>
      <c r="G343" t="inlineStr">
        <is>
          <t>2018gn</t>
        </is>
      </c>
      <c r="H343" t="n">
        <v>2021</v>
      </c>
    </row>
    <row r="344">
      <c r="A344" t="inlineStr">
        <is>
          <t>Dominica_2022_January</t>
        </is>
      </c>
      <c r="C344" t="inlineStr">
        <is>
          <t>SM.22.7, Sup.2</t>
        </is>
      </c>
      <c r="D344" t="inlineStr">
        <is>
          <t>Dominica</t>
        </is>
      </c>
      <c r="E344" t="inlineStr">
        <is>
          <t>DMA</t>
        </is>
      </c>
      <c r="F344" s="11" t="n">
        <v>44562</v>
      </c>
      <c r="G344" t="inlineStr">
        <is>
          <t>2018gn</t>
        </is>
      </c>
      <c r="H344" t="n">
        <v>2021</v>
      </c>
    </row>
    <row r="345">
      <c r="A345" t="inlineStr">
        <is>
          <t>Dominica_2022_January</t>
        </is>
      </c>
      <c r="C345" t="inlineStr">
        <is>
          <t>SM.22.7, Sup.2</t>
        </is>
      </c>
      <c r="D345" t="inlineStr">
        <is>
          <t>Dominica</t>
        </is>
      </c>
      <c r="E345" t="inlineStr">
        <is>
          <t>DMA</t>
        </is>
      </c>
      <c r="F345" s="11" t="n">
        <v>44562</v>
      </c>
      <c r="G345" t="inlineStr">
        <is>
          <t>2018gn</t>
        </is>
      </c>
      <c r="H345" t="n">
        <v>2021</v>
      </c>
    </row>
    <row r="346">
      <c r="A346" t="inlineStr">
        <is>
          <t>Dominica_2022_January</t>
        </is>
      </c>
      <c r="C346" t="inlineStr">
        <is>
          <t>SM.22.7, Sup.2</t>
        </is>
      </c>
      <c r="D346" t="inlineStr">
        <is>
          <t>Dominica</t>
        </is>
      </c>
      <c r="E346" t="inlineStr">
        <is>
          <t>DMA</t>
        </is>
      </c>
      <c r="F346" s="11" t="n">
        <v>44562</v>
      </c>
      <c r="G346" t="inlineStr">
        <is>
          <t>2018gn</t>
        </is>
      </c>
      <c r="H346" t="n">
        <v>2021</v>
      </c>
    </row>
    <row r="347">
      <c r="A347" t="inlineStr">
        <is>
          <t>Dominica_2022_January</t>
        </is>
      </c>
      <c r="C347" t="inlineStr">
        <is>
          <t>SM.22.7, Sup.2</t>
        </is>
      </c>
      <c r="D347" t="inlineStr">
        <is>
          <t>Dominica</t>
        </is>
      </c>
      <c r="E347" t="inlineStr">
        <is>
          <t>DMA</t>
        </is>
      </c>
      <c r="F347" s="11" t="n">
        <v>44562</v>
      </c>
      <c r="G347" t="inlineStr">
        <is>
          <t>2018gn</t>
        </is>
      </c>
      <c r="H347" t="n">
        <v>2021</v>
      </c>
    </row>
    <row r="348">
      <c r="A348" t="inlineStr">
        <is>
          <t>Dominica_2022_January</t>
        </is>
      </c>
      <c r="C348" t="inlineStr">
        <is>
          <t>SM.22.7, Sup.2</t>
        </is>
      </c>
      <c r="D348" t="inlineStr">
        <is>
          <t>Dominica</t>
        </is>
      </c>
      <c r="E348" t="inlineStr">
        <is>
          <t>DMA</t>
        </is>
      </c>
      <c r="F348" s="11" t="n">
        <v>44562</v>
      </c>
      <c r="G348" t="inlineStr">
        <is>
          <t>2018gn</t>
        </is>
      </c>
      <c r="H348" t="n">
        <v>2021</v>
      </c>
    </row>
    <row r="349">
      <c r="A349" t="inlineStr">
        <is>
          <t>Dominica_2022_January</t>
        </is>
      </c>
      <c r="C349" t="inlineStr">
        <is>
          <t>SM.22.7, Sup.2</t>
        </is>
      </c>
      <c r="D349" t="inlineStr">
        <is>
          <t>Dominica</t>
        </is>
      </c>
      <c r="E349" t="inlineStr">
        <is>
          <t>DMA</t>
        </is>
      </c>
      <c r="F349" s="11" t="n">
        <v>44562</v>
      </c>
      <c r="G349" t="inlineStr">
        <is>
          <t>2018gn</t>
        </is>
      </c>
      <c r="H349" t="n">
        <v>2021</v>
      </c>
    </row>
    <row r="350">
      <c r="A350" t="inlineStr">
        <is>
          <t>Dominica_2022_January</t>
        </is>
      </c>
      <c r="C350" t="inlineStr">
        <is>
          <t>SM.22.7, Sup.2</t>
        </is>
      </c>
      <c r="D350" t="inlineStr">
        <is>
          <t>Dominica</t>
        </is>
      </c>
      <c r="E350" t="inlineStr">
        <is>
          <t>DMA</t>
        </is>
      </c>
      <c r="F350" s="11" t="n">
        <v>44562</v>
      </c>
      <c r="G350" t="inlineStr">
        <is>
          <t>2018gn</t>
        </is>
      </c>
      <c r="H350" t="n">
        <v>2021</v>
      </c>
    </row>
    <row r="351">
      <c r="A351" t="inlineStr">
        <is>
          <t>Dominica_2022_January</t>
        </is>
      </c>
      <c r="C351" t="inlineStr">
        <is>
          <t>SM.22.7, Sup.2</t>
        </is>
      </c>
      <c r="D351" t="inlineStr">
        <is>
          <t>Dominica</t>
        </is>
      </c>
      <c r="E351" t="inlineStr">
        <is>
          <t>DMA</t>
        </is>
      </c>
      <c r="F351" s="11" t="n">
        <v>44562</v>
      </c>
      <c r="G351" t="inlineStr">
        <is>
          <t>2018gn</t>
        </is>
      </c>
      <c r="H351" t="n">
        <v>2021</v>
      </c>
    </row>
    <row r="352">
      <c r="A352" t="inlineStr">
        <is>
          <t>Dominica_2022_January</t>
        </is>
      </c>
      <c r="C352" t="inlineStr">
        <is>
          <t>SM.22.7, Sup.2</t>
        </is>
      </c>
      <c r="D352" t="inlineStr">
        <is>
          <t>Dominica</t>
        </is>
      </c>
      <c r="E352" t="inlineStr">
        <is>
          <t>DMA</t>
        </is>
      </c>
      <c r="F352" s="11" t="n">
        <v>44562</v>
      </c>
      <c r="G352" t="inlineStr">
        <is>
          <t>2018gn</t>
        </is>
      </c>
      <c r="H352" t="n">
        <v>2021</v>
      </c>
    </row>
    <row r="353">
      <c r="A353" t="inlineStr">
        <is>
          <t>Dominica_2022_January</t>
        </is>
      </c>
      <c r="C353" t="inlineStr">
        <is>
          <t>SM.22.7, Sup.2</t>
        </is>
      </c>
      <c r="D353" t="inlineStr">
        <is>
          <t>Dominica</t>
        </is>
      </c>
      <c r="E353" t="inlineStr">
        <is>
          <t>DMA</t>
        </is>
      </c>
      <c r="F353" s="11" t="n">
        <v>44562</v>
      </c>
      <c r="G353" t="inlineStr">
        <is>
          <t>2018gn</t>
        </is>
      </c>
      <c r="H353" t="n">
        <v>2021</v>
      </c>
    </row>
    <row r="354">
      <c r="A354" t="inlineStr">
        <is>
          <t>Dominica_2022_January</t>
        </is>
      </c>
      <c r="C354" t="inlineStr">
        <is>
          <t>SM.22.7, Sup.2</t>
        </is>
      </c>
      <c r="D354" t="inlineStr">
        <is>
          <t>Dominica</t>
        </is>
      </c>
      <c r="E354" t="inlineStr">
        <is>
          <t>DMA</t>
        </is>
      </c>
      <c r="F354" s="11" t="n">
        <v>44562</v>
      </c>
      <c r="G354" t="inlineStr">
        <is>
          <t>2018gn</t>
        </is>
      </c>
      <c r="H354" t="n">
        <v>2021</v>
      </c>
    </row>
    <row r="355">
      <c r="A355" t="inlineStr">
        <is>
          <t>Dominica_2022_January</t>
        </is>
      </c>
      <c r="C355" t="inlineStr">
        <is>
          <t>SM.22.7, Sup.2</t>
        </is>
      </c>
      <c r="D355" t="inlineStr">
        <is>
          <t>Dominica</t>
        </is>
      </c>
      <c r="E355" t="inlineStr">
        <is>
          <t>DMA</t>
        </is>
      </c>
      <c r="F355" s="11" t="n">
        <v>44562</v>
      </c>
      <c r="G355" t="inlineStr">
        <is>
          <t>2018gn</t>
        </is>
      </c>
      <c r="H355" t="n">
        <v>2021</v>
      </c>
    </row>
    <row r="356">
      <c r="A356" t="inlineStr">
        <is>
          <t>Dominica_2022_January</t>
        </is>
      </c>
      <c r="C356" t="inlineStr">
        <is>
          <t>SM.22.7, Sup.2</t>
        </is>
      </c>
      <c r="D356" t="inlineStr">
        <is>
          <t>Dominica</t>
        </is>
      </c>
      <c r="E356" t="inlineStr">
        <is>
          <t>DMA</t>
        </is>
      </c>
      <c r="F356" s="11" t="n">
        <v>44562</v>
      </c>
      <c r="G356" t="inlineStr">
        <is>
          <t>2018gn</t>
        </is>
      </c>
      <c r="H356" t="n">
        <v>2021</v>
      </c>
    </row>
    <row r="357">
      <c r="A357" t="inlineStr">
        <is>
          <t>Dominica_2022_January</t>
        </is>
      </c>
      <c r="C357" t="inlineStr">
        <is>
          <t>SM.22.7, Sup.2</t>
        </is>
      </c>
      <c r="D357" t="inlineStr">
        <is>
          <t>Dominica</t>
        </is>
      </c>
      <c r="E357" t="inlineStr">
        <is>
          <t>DMA</t>
        </is>
      </c>
      <c r="F357" s="11" t="n">
        <v>44562</v>
      </c>
      <c r="G357" t="inlineStr">
        <is>
          <t>2018gn</t>
        </is>
      </c>
      <c r="H357" t="n">
        <v>2021</v>
      </c>
    </row>
    <row r="358">
      <c r="A358" t="inlineStr">
        <is>
          <t>Dominica_2022_January</t>
        </is>
      </c>
      <c r="C358" t="inlineStr">
        <is>
          <t>SM.22.7, Sup.2</t>
        </is>
      </c>
      <c r="D358" t="inlineStr">
        <is>
          <t>Dominica</t>
        </is>
      </c>
      <c r="E358" t="inlineStr">
        <is>
          <t>DMA</t>
        </is>
      </c>
      <c r="F358" s="11" t="n">
        <v>44562</v>
      </c>
      <c r="G358" t="inlineStr">
        <is>
          <t>2018gn</t>
        </is>
      </c>
      <c r="H358" t="n">
        <v>2021</v>
      </c>
    </row>
    <row r="359">
      <c r="A359" t="inlineStr">
        <is>
          <t>Dominica_2022_January</t>
        </is>
      </c>
      <c r="C359" t="inlineStr">
        <is>
          <t>SM.22.7, Sup.2</t>
        </is>
      </c>
      <c r="D359" t="inlineStr">
        <is>
          <t>Dominica</t>
        </is>
      </c>
      <c r="E359" t="inlineStr">
        <is>
          <t>DMA</t>
        </is>
      </c>
      <c r="F359" s="11" t="n">
        <v>44562</v>
      </c>
      <c r="G359" t="inlineStr">
        <is>
          <t>2018gn</t>
        </is>
      </c>
      <c r="H359" t="n">
        <v>2021</v>
      </c>
    </row>
    <row r="360">
      <c r="A360" t="inlineStr">
        <is>
          <t>Dominica_2022_January</t>
        </is>
      </c>
      <c r="C360" t="inlineStr">
        <is>
          <t>SM.22.7, Sup.2</t>
        </is>
      </c>
      <c r="D360" t="inlineStr">
        <is>
          <t>Dominica</t>
        </is>
      </c>
      <c r="E360" t="inlineStr">
        <is>
          <t>DMA</t>
        </is>
      </c>
      <c r="F360" s="11" t="n">
        <v>44562</v>
      </c>
      <c r="G360" t="inlineStr">
        <is>
          <t>2018gn</t>
        </is>
      </c>
      <c r="H360" t="n">
        <v>2021</v>
      </c>
    </row>
    <row r="361">
      <c r="A361" t="inlineStr">
        <is>
          <t>Dominica_2022_January</t>
        </is>
      </c>
      <c r="C361" t="inlineStr">
        <is>
          <t>SM.22.7, Sup.2</t>
        </is>
      </c>
      <c r="D361" t="inlineStr">
        <is>
          <t>Dominica</t>
        </is>
      </c>
      <c r="E361" t="inlineStr">
        <is>
          <t>DMA</t>
        </is>
      </c>
      <c r="F361" s="11" t="n">
        <v>44562</v>
      </c>
      <c r="G361" t="inlineStr">
        <is>
          <t>2018gn</t>
        </is>
      </c>
      <c r="H361" t="n">
        <v>2021</v>
      </c>
    </row>
    <row r="362">
      <c r="A362" t="inlineStr">
        <is>
          <t>Dominica_2022_January</t>
        </is>
      </c>
      <c r="C362" t="inlineStr">
        <is>
          <t>SM.22.7, Sup.2</t>
        </is>
      </c>
      <c r="D362" t="inlineStr">
        <is>
          <t>Dominica</t>
        </is>
      </c>
      <c r="E362" t="inlineStr">
        <is>
          <t>DMA</t>
        </is>
      </c>
      <c r="F362" s="11" t="n">
        <v>44562</v>
      </c>
      <c r="G362" t="inlineStr">
        <is>
          <t>2018gn</t>
        </is>
      </c>
      <c r="H362" t="n">
        <v>2021</v>
      </c>
    </row>
    <row r="363">
      <c r="A363" t="inlineStr">
        <is>
          <t>Dominica_2022_January</t>
        </is>
      </c>
      <c r="C363" t="inlineStr">
        <is>
          <t>SM.22.7, Sup.2</t>
        </is>
      </c>
      <c r="D363" t="inlineStr">
        <is>
          <t>Dominica</t>
        </is>
      </c>
      <c r="E363" t="inlineStr">
        <is>
          <t>DMA</t>
        </is>
      </c>
      <c r="F363" s="11" t="n">
        <v>44562</v>
      </c>
      <c r="G363" t="inlineStr">
        <is>
          <t>2018gn</t>
        </is>
      </c>
      <c r="H363" t="n">
        <v>2021</v>
      </c>
    </row>
    <row r="364">
      <c r="A364" t="inlineStr">
        <is>
          <t>Dominica_2022_January</t>
        </is>
      </c>
      <c r="C364" t="inlineStr">
        <is>
          <t>SM.22.7, Sup.2</t>
        </is>
      </c>
      <c r="D364" t="inlineStr">
        <is>
          <t>Dominica</t>
        </is>
      </c>
      <c r="E364" t="inlineStr">
        <is>
          <t>DMA</t>
        </is>
      </c>
      <c r="F364" s="11" t="n">
        <v>44562</v>
      </c>
      <c r="G364" t="inlineStr">
        <is>
          <t>2018gn</t>
        </is>
      </c>
      <c r="H364" t="n">
        <v>2021</v>
      </c>
    </row>
    <row r="365">
      <c r="A365" t="inlineStr">
        <is>
          <t>Dominica_2022_January</t>
        </is>
      </c>
      <c r="C365" t="inlineStr">
        <is>
          <t>SM.22.7, Sup.2</t>
        </is>
      </c>
      <c r="D365" t="inlineStr">
        <is>
          <t>Dominica</t>
        </is>
      </c>
      <c r="E365" t="inlineStr">
        <is>
          <t>DMA</t>
        </is>
      </c>
      <c r="F365" s="11" t="n">
        <v>44562</v>
      </c>
      <c r="G365" t="inlineStr">
        <is>
          <t>2018gn</t>
        </is>
      </c>
      <c r="H365" t="n">
        <v>2021</v>
      </c>
    </row>
    <row r="366">
      <c r="A366" t="inlineStr">
        <is>
          <t>Dominica_2022_January</t>
        </is>
      </c>
      <c r="C366" t="inlineStr">
        <is>
          <t>SM.22.7, Sup.2</t>
        </is>
      </c>
      <c r="D366" t="inlineStr">
        <is>
          <t>Dominica</t>
        </is>
      </c>
      <c r="E366" t="inlineStr">
        <is>
          <t>DMA</t>
        </is>
      </c>
      <c r="F366" s="11" t="n">
        <v>44562</v>
      </c>
      <c r="G366" t="inlineStr">
        <is>
          <t>2018gn</t>
        </is>
      </c>
      <c r="H366" t="n">
        <v>2021</v>
      </c>
    </row>
    <row r="367">
      <c r="A367" t="inlineStr">
        <is>
          <t>Dominica_2022_January</t>
        </is>
      </c>
      <c r="C367" t="inlineStr">
        <is>
          <t>SM.22.7, Sup.2</t>
        </is>
      </c>
      <c r="D367" t="inlineStr">
        <is>
          <t>Dominica</t>
        </is>
      </c>
      <c r="E367" t="inlineStr">
        <is>
          <t>DMA</t>
        </is>
      </c>
      <c r="F367" s="11" t="n">
        <v>44562</v>
      </c>
      <c r="G367" t="inlineStr">
        <is>
          <t>2018gn</t>
        </is>
      </c>
      <c r="H367" t="n">
        <v>2021</v>
      </c>
    </row>
    <row r="368">
      <c r="A368" t="inlineStr">
        <is>
          <t>Dominica_2022_January</t>
        </is>
      </c>
      <c r="C368" t="inlineStr">
        <is>
          <t>SM.22.7, Sup.2</t>
        </is>
      </c>
      <c r="D368" t="inlineStr">
        <is>
          <t>Dominica</t>
        </is>
      </c>
      <c r="E368" t="inlineStr">
        <is>
          <t>DMA</t>
        </is>
      </c>
      <c r="F368" s="11" t="n">
        <v>44562</v>
      </c>
      <c r="G368" t="inlineStr">
        <is>
          <t>2018gn</t>
        </is>
      </c>
      <c r="H368" t="n">
        <v>2021</v>
      </c>
    </row>
    <row r="369">
      <c r="A369" t="inlineStr">
        <is>
          <t>Dominica_2022_January</t>
        </is>
      </c>
      <c r="C369" t="inlineStr">
        <is>
          <t>SM.22.7, Sup.2</t>
        </is>
      </c>
      <c r="D369" t="inlineStr">
        <is>
          <t>Dominica</t>
        </is>
      </c>
      <c r="E369" t="inlineStr">
        <is>
          <t>DMA</t>
        </is>
      </c>
      <c r="F369" s="11" t="n">
        <v>44562</v>
      </c>
      <c r="G369" t="inlineStr">
        <is>
          <t>2018gn</t>
        </is>
      </c>
      <c r="H369" t="n">
        <v>2021</v>
      </c>
    </row>
    <row r="370">
      <c r="A370" t="inlineStr">
        <is>
          <t>Dominica_2022_January</t>
        </is>
      </c>
      <c r="C370" t="inlineStr">
        <is>
          <t>SM.22.7, Sup.2</t>
        </is>
      </c>
      <c r="D370" t="inlineStr">
        <is>
          <t>Dominica</t>
        </is>
      </c>
      <c r="E370" t="inlineStr">
        <is>
          <t>DMA</t>
        </is>
      </c>
      <c r="F370" s="11" t="n">
        <v>44562</v>
      </c>
      <c r="G370" t="inlineStr">
        <is>
          <t>2018gn</t>
        </is>
      </c>
      <c r="H370" t="n">
        <v>2021</v>
      </c>
    </row>
    <row r="371">
      <c r="A371" t="inlineStr">
        <is>
          <t>Dominica_2022_January</t>
        </is>
      </c>
      <c r="C371" t="inlineStr">
        <is>
          <t>SM.22.7, Sup.2</t>
        </is>
      </c>
      <c r="D371" t="inlineStr">
        <is>
          <t>Dominica</t>
        </is>
      </c>
      <c r="E371" t="inlineStr">
        <is>
          <t>DMA</t>
        </is>
      </c>
      <c r="F371" s="11" t="n">
        <v>44562</v>
      </c>
      <c r="G371" t="inlineStr">
        <is>
          <t>2018gn</t>
        </is>
      </c>
      <c r="H371" t="n">
        <v>2021</v>
      </c>
    </row>
    <row r="372">
      <c r="A372" t="inlineStr">
        <is>
          <t>Dominica_2022_January</t>
        </is>
      </c>
      <c r="C372" t="inlineStr">
        <is>
          <t>SM.22.7, Sup.2</t>
        </is>
      </c>
      <c r="D372" t="inlineStr">
        <is>
          <t>Dominica</t>
        </is>
      </c>
      <c r="E372" t="inlineStr">
        <is>
          <t>DMA</t>
        </is>
      </c>
      <c r="F372" s="11" t="n">
        <v>44562</v>
      </c>
      <c r="G372" t="inlineStr">
        <is>
          <t>2018gn</t>
        </is>
      </c>
      <c r="H372" t="n">
        <v>2021</v>
      </c>
    </row>
    <row r="373">
      <c r="A373" t="inlineStr">
        <is>
          <t>Dominica_2022_January</t>
        </is>
      </c>
      <c r="C373" t="inlineStr">
        <is>
          <t>SM.22.7, Sup.2</t>
        </is>
      </c>
      <c r="D373" t="inlineStr">
        <is>
          <t>Dominica</t>
        </is>
      </c>
      <c r="E373" t="inlineStr">
        <is>
          <t>DMA</t>
        </is>
      </c>
      <c r="F373" s="11" t="n">
        <v>44562</v>
      </c>
      <c r="G373" t="inlineStr">
        <is>
          <t>2018gn</t>
        </is>
      </c>
      <c r="H373" t="n">
        <v>2021</v>
      </c>
    </row>
    <row r="374">
      <c r="A374" t="inlineStr">
        <is>
          <t>Dominica_2022_January</t>
        </is>
      </c>
      <c r="C374" t="inlineStr">
        <is>
          <t>SM.22.7, Sup.2</t>
        </is>
      </c>
      <c r="D374" t="inlineStr">
        <is>
          <t>Dominica</t>
        </is>
      </c>
      <c r="E374" t="inlineStr">
        <is>
          <t>DMA</t>
        </is>
      </c>
      <c r="F374" s="11" t="n">
        <v>44562</v>
      </c>
      <c r="G374" t="inlineStr">
        <is>
          <t>2018gn</t>
        </is>
      </c>
      <c r="H374" t="n">
        <v>2021</v>
      </c>
    </row>
    <row r="375">
      <c r="A375" t="inlineStr">
        <is>
          <t>Dominica_2022_January</t>
        </is>
      </c>
      <c r="C375" t="inlineStr">
        <is>
          <t>SM.22.7, Sup.2</t>
        </is>
      </c>
      <c r="D375" t="inlineStr">
        <is>
          <t>Dominica</t>
        </is>
      </c>
      <c r="E375" t="inlineStr">
        <is>
          <t>DMA</t>
        </is>
      </c>
      <c r="F375" s="11" t="n">
        <v>44562</v>
      </c>
      <c r="G375" t="inlineStr">
        <is>
          <t>2018gn</t>
        </is>
      </c>
      <c r="H375" t="n">
        <v>2021</v>
      </c>
    </row>
    <row r="376">
      <c r="A376" t="inlineStr">
        <is>
          <t>Dominica_2022_January</t>
        </is>
      </c>
      <c r="C376" t="inlineStr">
        <is>
          <t>SM.22.7, Sup.2</t>
        </is>
      </c>
      <c r="D376" t="inlineStr">
        <is>
          <t>Dominica</t>
        </is>
      </c>
      <c r="E376" t="inlineStr">
        <is>
          <t>DMA</t>
        </is>
      </c>
      <c r="F376" s="11" t="n">
        <v>44562</v>
      </c>
      <c r="G376" t="inlineStr">
        <is>
          <t>2018gn</t>
        </is>
      </c>
      <c r="H376" t="n">
        <v>2021</v>
      </c>
    </row>
    <row r="377">
      <c r="A377" t="inlineStr">
        <is>
          <t>Dominica_2022_January</t>
        </is>
      </c>
      <c r="C377" t="inlineStr">
        <is>
          <t>SM.22.7, Sup.2</t>
        </is>
      </c>
      <c r="D377" t="inlineStr">
        <is>
          <t>Dominica</t>
        </is>
      </c>
      <c r="E377" t="inlineStr">
        <is>
          <t>DMA</t>
        </is>
      </c>
      <c r="F377" s="11" t="n">
        <v>44562</v>
      </c>
      <c r="G377" t="inlineStr">
        <is>
          <t>2018gn</t>
        </is>
      </c>
      <c r="H377" t="n">
        <v>2021</v>
      </c>
    </row>
    <row r="378">
      <c r="A378" t="inlineStr">
        <is>
          <t>Dominica_2022_January</t>
        </is>
      </c>
      <c r="C378" t="inlineStr">
        <is>
          <t>SM.22.7, Sup.2</t>
        </is>
      </c>
      <c r="D378" t="inlineStr">
        <is>
          <t>Dominica</t>
        </is>
      </c>
      <c r="E378" t="inlineStr">
        <is>
          <t>DMA</t>
        </is>
      </c>
      <c r="F378" s="11" t="n">
        <v>44562</v>
      </c>
      <c r="G378" t="inlineStr">
        <is>
          <t>2018gn</t>
        </is>
      </c>
      <c r="H378" t="n">
        <v>2021</v>
      </c>
    </row>
    <row r="379">
      <c r="A379" t="inlineStr">
        <is>
          <t>Dominica_2022_January</t>
        </is>
      </c>
      <c r="C379" t="inlineStr">
        <is>
          <t>SM.22.7, Sup.2</t>
        </is>
      </c>
      <c r="D379" t="inlineStr">
        <is>
          <t>Dominica</t>
        </is>
      </c>
      <c r="E379" t="inlineStr">
        <is>
          <t>DMA</t>
        </is>
      </c>
      <c r="F379" s="11" t="n">
        <v>44562</v>
      </c>
      <c r="G379" t="inlineStr">
        <is>
          <t>2018gn</t>
        </is>
      </c>
      <c r="H379" t="n">
        <v>2021</v>
      </c>
    </row>
    <row r="380">
      <c r="A380" t="inlineStr">
        <is>
          <t>Dominica_2022_January</t>
        </is>
      </c>
      <c r="C380" t="inlineStr">
        <is>
          <t>SM.22.7, Sup.2</t>
        </is>
      </c>
      <c r="D380" t="inlineStr">
        <is>
          <t>Dominica</t>
        </is>
      </c>
      <c r="E380" t="inlineStr">
        <is>
          <t>DMA</t>
        </is>
      </c>
      <c r="F380" s="11" t="n">
        <v>44562</v>
      </c>
      <c r="G380" t="inlineStr">
        <is>
          <t>2018gn</t>
        </is>
      </c>
      <c r="H380" t="n">
        <v>2021</v>
      </c>
    </row>
    <row r="381">
      <c r="A381" t="inlineStr">
        <is>
          <t>Dominica_2022_January</t>
        </is>
      </c>
      <c r="C381" t="inlineStr">
        <is>
          <t>SM.22.7, Sup.2</t>
        </is>
      </c>
      <c r="D381" t="inlineStr">
        <is>
          <t>Dominica</t>
        </is>
      </c>
      <c r="E381" t="inlineStr">
        <is>
          <t>DMA</t>
        </is>
      </c>
      <c r="F381" s="11" t="n">
        <v>44562</v>
      </c>
      <c r="G381" t="inlineStr">
        <is>
          <t>2018gn</t>
        </is>
      </c>
      <c r="H381" t="n">
        <v>2021</v>
      </c>
    </row>
    <row r="382">
      <c r="A382" t="inlineStr">
        <is>
          <t>Dominica_2022_January</t>
        </is>
      </c>
      <c r="C382" t="inlineStr">
        <is>
          <t>SM.22.7, Sup.2</t>
        </is>
      </c>
      <c r="D382" t="inlineStr">
        <is>
          <t>Dominica</t>
        </is>
      </c>
      <c r="E382" t="inlineStr">
        <is>
          <t>DMA</t>
        </is>
      </c>
      <c r="F382" s="11" t="n">
        <v>44562</v>
      </c>
      <c r="G382" t="inlineStr">
        <is>
          <t>2018gn</t>
        </is>
      </c>
      <c r="H382" t="n">
        <v>2021</v>
      </c>
    </row>
    <row r="383">
      <c r="A383" t="inlineStr">
        <is>
          <t>Dominica_2022_January</t>
        </is>
      </c>
      <c r="C383" t="inlineStr">
        <is>
          <t>SM.22.7, Sup.2</t>
        </is>
      </c>
      <c r="D383" t="inlineStr">
        <is>
          <t>Dominica</t>
        </is>
      </c>
      <c r="E383" t="inlineStr">
        <is>
          <t>DMA</t>
        </is>
      </c>
      <c r="F383" s="11" t="n">
        <v>44562</v>
      </c>
      <c r="G383" t="inlineStr">
        <is>
          <t>2018gn</t>
        </is>
      </c>
      <c r="H383" t="n">
        <v>2021</v>
      </c>
    </row>
    <row r="384">
      <c r="A384" t="inlineStr">
        <is>
          <t>Dominica_2022_January</t>
        </is>
      </c>
      <c r="C384" t="inlineStr">
        <is>
          <t>SM.22.7, Sup.2</t>
        </is>
      </c>
      <c r="D384" t="inlineStr">
        <is>
          <t>Dominica</t>
        </is>
      </c>
      <c r="E384" t="inlineStr">
        <is>
          <t>DMA</t>
        </is>
      </c>
      <c r="F384" s="11" t="n">
        <v>44562</v>
      </c>
      <c r="G384" t="inlineStr">
        <is>
          <t>2018gn</t>
        </is>
      </c>
      <c r="H384" t="n">
        <v>2021</v>
      </c>
    </row>
    <row r="385">
      <c r="A385" t="inlineStr">
        <is>
          <t>Dominica_2022_January</t>
        </is>
      </c>
      <c r="C385" t="inlineStr">
        <is>
          <t>SM.22.7, Sup.2</t>
        </is>
      </c>
      <c r="D385" t="inlineStr">
        <is>
          <t>Dominica</t>
        </is>
      </c>
      <c r="E385" t="inlineStr">
        <is>
          <t>DMA</t>
        </is>
      </c>
      <c r="F385" s="11" t="n">
        <v>44562</v>
      </c>
      <c r="G385" t="inlineStr">
        <is>
          <t>2018gn</t>
        </is>
      </c>
      <c r="H385" t="n">
        <v>2021</v>
      </c>
    </row>
    <row r="386">
      <c r="A386" t="inlineStr">
        <is>
          <t>Dominica_2022_January</t>
        </is>
      </c>
      <c r="C386" t="inlineStr">
        <is>
          <t>SM.22.7, Sup.2</t>
        </is>
      </c>
      <c r="D386" t="inlineStr">
        <is>
          <t>Dominica</t>
        </is>
      </c>
      <c r="E386" t="inlineStr">
        <is>
          <t>DMA</t>
        </is>
      </c>
      <c r="F386" s="11" t="n">
        <v>44562</v>
      </c>
      <c r="G386" t="inlineStr">
        <is>
          <t>2018gn</t>
        </is>
      </c>
      <c r="H386" t="n">
        <v>2021</v>
      </c>
    </row>
    <row r="387">
      <c r="A387" t="inlineStr">
        <is>
          <t>Dominica_2022_January</t>
        </is>
      </c>
      <c r="C387" t="inlineStr">
        <is>
          <t>SM.22.7, Sup.2</t>
        </is>
      </c>
      <c r="D387" t="inlineStr">
        <is>
          <t>Dominica</t>
        </is>
      </c>
      <c r="E387" t="inlineStr">
        <is>
          <t>DMA</t>
        </is>
      </c>
      <c r="F387" s="11" t="n">
        <v>44562</v>
      </c>
      <c r="G387" t="inlineStr">
        <is>
          <t>2018gn</t>
        </is>
      </c>
      <c r="H387" t="n">
        <v>2021</v>
      </c>
    </row>
    <row r="388">
      <c r="A388" t="inlineStr">
        <is>
          <t>Dominica_2022_January</t>
        </is>
      </c>
      <c r="C388" t="inlineStr">
        <is>
          <t>SM.22.7, Sup.2</t>
        </is>
      </c>
      <c r="D388" t="inlineStr">
        <is>
          <t>Dominica</t>
        </is>
      </c>
      <c r="E388" t="inlineStr">
        <is>
          <t>DMA</t>
        </is>
      </c>
      <c r="F388" s="11" t="n">
        <v>44562</v>
      </c>
      <c r="G388" t="inlineStr">
        <is>
          <t>2018gn</t>
        </is>
      </c>
      <c r="H388" t="n">
        <v>2021</v>
      </c>
    </row>
    <row r="389">
      <c r="A389" t="inlineStr">
        <is>
          <t>Dominica_2022_January</t>
        </is>
      </c>
      <c r="C389" t="inlineStr">
        <is>
          <t>SM.22.7, Sup.2</t>
        </is>
      </c>
      <c r="D389" t="inlineStr">
        <is>
          <t>Dominica</t>
        </is>
      </c>
      <c r="E389" t="inlineStr">
        <is>
          <t>DMA</t>
        </is>
      </c>
      <c r="F389" s="11" t="n">
        <v>44562</v>
      </c>
      <c r="G389" t="inlineStr">
        <is>
          <t>2018gn</t>
        </is>
      </c>
      <c r="H389" t="n">
        <v>2021</v>
      </c>
    </row>
    <row r="390">
      <c r="A390" t="inlineStr">
        <is>
          <t>Dominica_2022_January</t>
        </is>
      </c>
      <c r="C390" t="inlineStr">
        <is>
          <t>SM.22.7, Sup.2</t>
        </is>
      </c>
      <c r="D390" t="inlineStr">
        <is>
          <t>Dominica</t>
        </is>
      </c>
      <c r="E390" t="inlineStr">
        <is>
          <t>DMA</t>
        </is>
      </c>
      <c r="F390" s="11" t="n">
        <v>44562</v>
      </c>
      <c r="G390" t="inlineStr">
        <is>
          <t>2018gn</t>
        </is>
      </c>
      <c r="H390" t="n">
        <v>2021</v>
      </c>
    </row>
    <row r="391">
      <c r="A391" t="inlineStr">
        <is>
          <t>Dominica_2022_January</t>
        </is>
      </c>
      <c r="C391" t="inlineStr">
        <is>
          <t>SM.22.7, Sup.2</t>
        </is>
      </c>
      <c r="D391" t="inlineStr">
        <is>
          <t>Dominica</t>
        </is>
      </c>
      <c r="E391" t="inlineStr">
        <is>
          <t>DMA</t>
        </is>
      </c>
      <c r="F391" s="11" t="n">
        <v>44562</v>
      </c>
      <c r="G391" t="inlineStr">
        <is>
          <t>2018gn</t>
        </is>
      </c>
      <c r="H391" t="n">
        <v>2021</v>
      </c>
    </row>
    <row r="392">
      <c r="A392" t="inlineStr">
        <is>
          <t>Dominica_2022_January</t>
        </is>
      </c>
      <c r="C392" t="inlineStr">
        <is>
          <t>SM.22.7, Sup.2</t>
        </is>
      </c>
      <c r="D392" t="inlineStr">
        <is>
          <t>Dominica</t>
        </is>
      </c>
      <c r="E392" t="inlineStr">
        <is>
          <t>DMA</t>
        </is>
      </c>
      <c r="F392" s="11" t="n">
        <v>44562</v>
      </c>
      <c r="G392" t="inlineStr">
        <is>
          <t>2018gn</t>
        </is>
      </c>
      <c r="H392" t="n">
        <v>2021</v>
      </c>
    </row>
    <row r="393">
      <c r="A393" t="inlineStr">
        <is>
          <t>Dominica_2022_January</t>
        </is>
      </c>
      <c r="C393" t="inlineStr">
        <is>
          <t>SM.22.7, Sup.2</t>
        </is>
      </c>
      <c r="D393" t="inlineStr">
        <is>
          <t>Dominica</t>
        </is>
      </c>
      <c r="E393" t="inlineStr">
        <is>
          <t>DMA</t>
        </is>
      </c>
      <c r="F393" s="11" t="n">
        <v>44562</v>
      </c>
      <c r="G393" t="inlineStr">
        <is>
          <t>2018gn</t>
        </is>
      </c>
      <c r="H393" t="n">
        <v>2021</v>
      </c>
    </row>
    <row r="394">
      <c r="A394" t="inlineStr">
        <is>
          <t>Dominica_2022_January</t>
        </is>
      </c>
      <c r="C394" t="inlineStr">
        <is>
          <t>SM.22.7, Sup.2</t>
        </is>
      </c>
      <c r="D394" t="inlineStr">
        <is>
          <t>Dominica</t>
        </is>
      </c>
      <c r="E394" t="inlineStr">
        <is>
          <t>DMA</t>
        </is>
      </c>
      <c r="F394" s="11" t="n">
        <v>44562</v>
      </c>
      <c r="G394" t="inlineStr">
        <is>
          <t>2018gn</t>
        </is>
      </c>
      <c r="H394" t="n">
        <v>2021</v>
      </c>
    </row>
    <row r="395">
      <c r="A395" t="inlineStr">
        <is>
          <t>Dominica_2022_January</t>
        </is>
      </c>
      <c r="C395" t="inlineStr">
        <is>
          <t>SM.22.7, Sup.2</t>
        </is>
      </c>
      <c r="D395" t="inlineStr">
        <is>
          <t>Dominica</t>
        </is>
      </c>
      <c r="E395" t="inlineStr">
        <is>
          <t>DMA</t>
        </is>
      </c>
      <c r="F395" s="11" t="n">
        <v>44562</v>
      </c>
      <c r="G395" t="inlineStr">
        <is>
          <t>2018gn</t>
        </is>
      </c>
      <c r="H395" t="n">
        <v>2021</v>
      </c>
    </row>
    <row r="396">
      <c r="A396" t="inlineStr">
        <is>
          <t>Dominica_2022_January</t>
        </is>
      </c>
      <c r="C396" t="inlineStr">
        <is>
          <t>SM.22.7, Sup.2</t>
        </is>
      </c>
      <c r="D396" t="inlineStr">
        <is>
          <t>Dominica</t>
        </is>
      </c>
      <c r="E396" t="inlineStr">
        <is>
          <t>DMA</t>
        </is>
      </c>
      <c r="F396" s="11" t="n">
        <v>44562</v>
      </c>
      <c r="G396" t="inlineStr">
        <is>
          <t>2018gn</t>
        </is>
      </c>
      <c r="H396" t="n">
        <v>2021</v>
      </c>
    </row>
    <row r="397">
      <c r="A397" t="inlineStr">
        <is>
          <t>Dominica_2022_January</t>
        </is>
      </c>
      <c r="C397" t="inlineStr">
        <is>
          <t>SM.22.7, Sup.2</t>
        </is>
      </c>
      <c r="D397" t="inlineStr">
        <is>
          <t>Dominica</t>
        </is>
      </c>
      <c r="E397" t="inlineStr">
        <is>
          <t>DMA</t>
        </is>
      </c>
      <c r="F397" s="11" t="n">
        <v>44562</v>
      </c>
      <c r="G397" t="inlineStr">
        <is>
          <t>2018gn</t>
        </is>
      </c>
      <c r="H397" t="n">
        <v>2021</v>
      </c>
    </row>
    <row r="398">
      <c r="A398" t="inlineStr">
        <is>
          <t>Dominica_2022_January</t>
        </is>
      </c>
      <c r="C398" t="inlineStr">
        <is>
          <t>SM.22.7, Sup.2</t>
        </is>
      </c>
      <c r="D398" t="inlineStr">
        <is>
          <t>Dominica</t>
        </is>
      </c>
      <c r="E398" t="inlineStr">
        <is>
          <t>DMA</t>
        </is>
      </c>
      <c r="F398" s="11" t="n">
        <v>44562</v>
      </c>
      <c r="G398" t="inlineStr">
        <is>
          <t>2018gn</t>
        </is>
      </c>
      <c r="H398" t="n">
        <v>2021</v>
      </c>
    </row>
    <row r="399">
      <c r="A399" t="inlineStr">
        <is>
          <t>Dominica_2022_January</t>
        </is>
      </c>
      <c r="C399" t="inlineStr">
        <is>
          <t>SM.22.7, Sup.2</t>
        </is>
      </c>
      <c r="D399" t="inlineStr">
        <is>
          <t>Dominica</t>
        </is>
      </c>
      <c r="E399" t="inlineStr">
        <is>
          <t>DMA</t>
        </is>
      </c>
      <c r="F399" s="11" t="n">
        <v>44562</v>
      </c>
      <c r="G399" t="inlineStr">
        <is>
          <t>2018gn</t>
        </is>
      </c>
      <c r="H399" t="n">
        <v>2021</v>
      </c>
    </row>
    <row r="400">
      <c r="A400" t="inlineStr">
        <is>
          <t>Dominica_2022_January</t>
        </is>
      </c>
      <c r="C400" t="inlineStr">
        <is>
          <t>SM.22.7, Sup.2</t>
        </is>
      </c>
      <c r="D400" t="inlineStr">
        <is>
          <t>Dominica</t>
        </is>
      </c>
      <c r="E400" t="inlineStr">
        <is>
          <t>DMA</t>
        </is>
      </c>
      <c r="F400" s="11" t="n">
        <v>44562</v>
      </c>
      <c r="G400" t="inlineStr">
        <is>
          <t>2018gn</t>
        </is>
      </c>
      <c r="H400" t="n">
        <v>2021</v>
      </c>
    </row>
    <row r="401">
      <c r="A401" t="inlineStr">
        <is>
          <t>Dominica_2022_January</t>
        </is>
      </c>
      <c r="C401" t="inlineStr">
        <is>
          <t>SM.22.7, Sup.2</t>
        </is>
      </c>
      <c r="D401" t="inlineStr">
        <is>
          <t>Dominica</t>
        </is>
      </c>
      <c r="E401" t="inlineStr">
        <is>
          <t>DMA</t>
        </is>
      </c>
      <c r="F401" s="11" t="n">
        <v>44562</v>
      </c>
      <c r="G401" t="inlineStr">
        <is>
          <t>2018gn</t>
        </is>
      </c>
      <c r="H401" t="n">
        <v>2021</v>
      </c>
    </row>
    <row r="402">
      <c r="A402" t="inlineStr">
        <is>
          <t>Dominica_2022_January</t>
        </is>
      </c>
      <c r="C402" t="inlineStr">
        <is>
          <t>SM.22.7, Sup.2</t>
        </is>
      </c>
      <c r="D402" t="inlineStr">
        <is>
          <t>Dominica</t>
        </is>
      </c>
      <c r="E402" t="inlineStr">
        <is>
          <t>DMA</t>
        </is>
      </c>
      <c r="F402" s="11" t="n">
        <v>44562</v>
      </c>
      <c r="G402" t="inlineStr">
        <is>
          <t>2018gn</t>
        </is>
      </c>
      <c r="H402" t="n">
        <v>2021</v>
      </c>
    </row>
    <row r="403">
      <c r="A403" t="inlineStr">
        <is>
          <t>Dominica_2022_January</t>
        </is>
      </c>
      <c r="C403" t="inlineStr">
        <is>
          <t>SM.22.7, Sup.2</t>
        </is>
      </c>
      <c r="D403" t="inlineStr">
        <is>
          <t>Dominica</t>
        </is>
      </c>
      <c r="E403" t="inlineStr">
        <is>
          <t>DMA</t>
        </is>
      </c>
      <c r="F403" s="11" t="n">
        <v>44562</v>
      </c>
      <c r="G403" t="inlineStr">
        <is>
          <t>2018gn</t>
        </is>
      </c>
      <c r="H403" t="n">
        <v>2021</v>
      </c>
    </row>
    <row r="404">
      <c r="A404" t="inlineStr">
        <is>
          <t>Dominica_2022_January</t>
        </is>
      </c>
      <c r="C404" t="inlineStr">
        <is>
          <t>SM.22.7, Sup.2</t>
        </is>
      </c>
      <c r="D404" t="inlineStr">
        <is>
          <t>Dominica</t>
        </is>
      </c>
      <c r="E404" t="inlineStr">
        <is>
          <t>DMA</t>
        </is>
      </c>
      <c r="F404" s="11" t="n">
        <v>44562</v>
      </c>
      <c r="G404" t="inlineStr">
        <is>
          <t>2018gn</t>
        </is>
      </c>
      <c r="H404" t="n">
        <v>2021</v>
      </c>
    </row>
    <row r="405">
      <c r="A405" t="inlineStr">
        <is>
          <t>Dominica_2022_January</t>
        </is>
      </c>
      <c r="C405" t="inlineStr">
        <is>
          <t>SM.22.7, Sup.2</t>
        </is>
      </c>
      <c r="D405" t="inlineStr">
        <is>
          <t>Dominica</t>
        </is>
      </c>
      <c r="E405" t="inlineStr">
        <is>
          <t>DMA</t>
        </is>
      </c>
      <c r="F405" s="11" t="n">
        <v>44562</v>
      </c>
      <c r="G405" t="inlineStr">
        <is>
          <t>2018gn</t>
        </is>
      </c>
      <c r="H405" t="n">
        <v>2021</v>
      </c>
    </row>
    <row r="406">
      <c r="A406" t="inlineStr">
        <is>
          <t>Dominica_2022_January</t>
        </is>
      </c>
      <c r="C406" t="inlineStr">
        <is>
          <t>SM.22.7, Sup.2</t>
        </is>
      </c>
      <c r="D406" t="inlineStr">
        <is>
          <t>Dominica</t>
        </is>
      </c>
      <c r="E406" t="inlineStr">
        <is>
          <t>DMA</t>
        </is>
      </c>
      <c r="F406" s="11" t="n">
        <v>44562</v>
      </c>
      <c r="G406" t="inlineStr">
        <is>
          <t>2018gn</t>
        </is>
      </c>
      <c r="H406" t="n">
        <v>2021</v>
      </c>
    </row>
    <row r="407">
      <c r="A407" t="inlineStr">
        <is>
          <t>Dominica_2022_January</t>
        </is>
      </c>
      <c r="C407" t="inlineStr">
        <is>
          <t>SM.22.7, Sup.2</t>
        </is>
      </c>
      <c r="D407" t="inlineStr">
        <is>
          <t>Dominica</t>
        </is>
      </c>
      <c r="E407" t="inlineStr">
        <is>
          <t>DMA</t>
        </is>
      </c>
      <c r="F407" s="11" t="n">
        <v>44562</v>
      </c>
      <c r="G407" t="inlineStr">
        <is>
          <t>2018gn</t>
        </is>
      </c>
      <c r="H407" t="n">
        <v>2021</v>
      </c>
    </row>
    <row r="408">
      <c r="A408" t="inlineStr">
        <is>
          <t>Dominica_2022_January</t>
        </is>
      </c>
      <c r="C408" t="inlineStr">
        <is>
          <t>SM.22.7, Sup.2</t>
        </is>
      </c>
      <c r="D408" t="inlineStr">
        <is>
          <t>Dominica</t>
        </is>
      </c>
      <c r="E408" t="inlineStr">
        <is>
          <t>DMA</t>
        </is>
      </c>
      <c r="F408" s="11" t="n">
        <v>44562</v>
      </c>
      <c r="G408" t="inlineStr">
        <is>
          <t>2018gn</t>
        </is>
      </c>
      <c r="H408" t="n">
        <v>2021</v>
      </c>
    </row>
    <row r="409">
      <c r="A409" t="inlineStr">
        <is>
          <t>Dominica_2022_January</t>
        </is>
      </c>
      <c r="C409" t="inlineStr">
        <is>
          <t>SM.22.7, Sup.2</t>
        </is>
      </c>
      <c r="D409" t="inlineStr">
        <is>
          <t>Dominica</t>
        </is>
      </c>
      <c r="E409" t="inlineStr">
        <is>
          <t>DMA</t>
        </is>
      </c>
      <c r="F409" s="11" t="n">
        <v>44562</v>
      </c>
      <c r="G409" t="inlineStr">
        <is>
          <t>2018gn</t>
        </is>
      </c>
      <c r="H409" t="n">
        <v>2021</v>
      </c>
    </row>
    <row r="410">
      <c r="A410" t="inlineStr">
        <is>
          <t>Dominica_2022_January</t>
        </is>
      </c>
      <c r="C410" t="inlineStr">
        <is>
          <t>SM.22.7, Sup.2</t>
        </is>
      </c>
      <c r="D410" t="inlineStr">
        <is>
          <t>Dominica</t>
        </is>
      </c>
      <c r="E410" t="inlineStr">
        <is>
          <t>DMA</t>
        </is>
      </c>
      <c r="F410" s="11" t="n">
        <v>44562</v>
      </c>
      <c r="G410" t="inlineStr">
        <is>
          <t>2018gn</t>
        </is>
      </c>
      <c r="H410" t="n">
        <v>2021</v>
      </c>
    </row>
    <row r="411">
      <c r="A411" t="inlineStr">
        <is>
          <t>Dominica_2022_January</t>
        </is>
      </c>
      <c r="C411" t="inlineStr">
        <is>
          <t>SM.22.7, Sup.2</t>
        </is>
      </c>
      <c r="D411" t="inlineStr">
        <is>
          <t>Dominica</t>
        </is>
      </c>
      <c r="E411" t="inlineStr">
        <is>
          <t>DMA</t>
        </is>
      </c>
      <c r="F411" s="11" t="n">
        <v>44562</v>
      </c>
      <c r="G411" t="inlineStr">
        <is>
          <t>2018gn</t>
        </is>
      </c>
      <c r="H411" t="n">
        <v>2021</v>
      </c>
    </row>
    <row r="412">
      <c r="A412" t="inlineStr">
        <is>
          <t>Dominica_2022_January</t>
        </is>
      </c>
      <c r="C412" t="inlineStr">
        <is>
          <t>SM.22.7, Sup.2</t>
        </is>
      </c>
      <c r="D412" t="inlineStr">
        <is>
          <t>Dominica</t>
        </is>
      </c>
      <c r="E412" t="inlineStr">
        <is>
          <t>DMA</t>
        </is>
      </c>
      <c r="F412" s="11" t="n">
        <v>44562</v>
      </c>
      <c r="G412" t="inlineStr">
        <is>
          <t>2018gn</t>
        </is>
      </c>
      <c r="H412" t="n">
        <v>2021</v>
      </c>
    </row>
    <row r="413">
      <c r="A413" t="inlineStr">
        <is>
          <t>Dominica_2022_January</t>
        </is>
      </c>
      <c r="C413" t="inlineStr">
        <is>
          <t>SM.22.7, Sup.2</t>
        </is>
      </c>
      <c r="D413" t="inlineStr">
        <is>
          <t>Dominica</t>
        </is>
      </c>
      <c r="E413" t="inlineStr">
        <is>
          <t>DMA</t>
        </is>
      </c>
      <c r="F413" s="11" t="n">
        <v>44562</v>
      </c>
      <c r="G413" t="inlineStr">
        <is>
          <t>2018gn</t>
        </is>
      </c>
      <c r="H413" t="n">
        <v>2021</v>
      </c>
    </row>
    <row r="414">
      <c r="A414" t="inlineStr">
        <is>
          <t>Dominica_2022_January</t>
        </is>
      </c>
      <c r="C414" t="inlineStr">
        <is>
          <t>SM.22.7, Sup.2</t>
        </is>
      </c>
      <c r="D414" t="inlineStr">
        <is>
          <t>Dominica</t>
        </is>
      </c>
      <c r="E414" t="inlineStr">
        <is>
          <t>DMA</t>
        </is>
      </c>
      <c r="F414" s="11" t="n">
        <v>44562</v>
      </c>
      <c r="G414" t="inlineStr">
        <is>
          <t>2018gn</t>
        </is>
      </c>
      <c r="H414" t="n">
        <v>2021</v>
      </c>
    </row>
    <row r="415">
      <c r="A415" t="inlineStr">
        <is>
          <t>Dominica_2022_January</t>
        </is>
      </c>
      <c r="C415" t="inlineStr">
        <is>
          <t>SM.22.7, Sup.2</t>
        </is>
      </c>
      <c r="D415" t="inlineStr">
        <is>
          <t>Dominica</t>
        </is>
      </c>
      <c r="E415" t="inlineStr">
        <is>
          <t>DMA</t>
        </is>
      </c>
      <c r="F415" s="11" t="n">
        <v>44562</v>
      </c>
      <c r="G415" t="inlineStr">
        <is>
          <t>2018gn</t>
        </is>
      </c>
      <c r="H415" t="n">
        <v>2021</v>
      </c>
    </row>
    <row r="416">
      <c r="A416" t="inlineStr">
        <is>
          <t>Dominica_2022_January</t>
        </is>
      </c>
      <c r="C416" t="inlineStr">
        <is>
          <t>SM.22.7, Sup.2</t>
        </is>
      </c>
      <c r="D416" t="inlineStr">
        <is>
          <t>Dominica</t>
        </is>
      </c>
      <c r="E416" t="inlineStr">
        <is>
          <t>DMA</t>
        </is>
      </c>
      <c r="F416" s="11" t="n">
        <v>44562</v>
      </c>
      <c r="G416" t="inlineStr">
        <is>
          <t>2018gn</t>
        </is>
      </c>
      <c r="H416" t="n">
        <v>2021</v>
      </c>
    </row>
    <row r="417">
      <c r="A417" t="inlineStr">
        <is>
          <t>Dominica_2022_January</t>
        </is>
      </c>
      <c r="C417" t="inlineStr">
        <is>
          <t>SM.22.7, Sup.2</t>
        </is>
      </c>
      <c r="D417" t="inlineStr">
        <is>
          <t>Dominica</t>
        </is>
      </c>
      <c r="E417" t="inlineStr">
        <is>
          <t>DMA</t>
        </is>
      </c>
      <c r="F417" s="11" t="n">
        <v>44562</v>
      </c>
      <c r="G417" t="inlineStr">
        <is>
          <t>2018gn</t>
        </is>
      </c>
      <c r="H417" t="n">
        <v>2021</v>
      </c>
    </row>
    <row r="418">
      <c r="A418" t="inlineStr">
        <is>
          <t>Dominica_2022_January</t>
        </is>
      </c>
      <c r="C418" t="inlineStr">
        <is>
          <t>SM.22.7, Sup.2</t>
        </is>
      </c>
      <c r="D418" t="inlineStr">
        <is>
          <t>Dominica</t>
        </is>
      </c>
      <c r="E418" t="inlineStr">
        <is>
          <t>DMA</t>
        </is>
      </c>
      <c r="F418" s="11" t="n">
        <v>44562</v>
      </c>
      <c r="G418" t="inlineStr">
        <is>
          <t>2018gn</t>
        </is>
      </c>
      <c r="H418" t="n">
        <v>2021</v>
      </c>
    </row>
    <row r="419">
      <c r="A419" t="inlineStr">
        <is>
          <t>Dominica_2022_January</t>
        </is>
      </c>
      <c r="C419" t="inlineStr">
        <is>
          <t>SM.22.7, Sup.2</t>
        </is>
      </c>
      <c r="D419" t="inlineStr">
        <is>
          <t>Dominica</t>
        </is>
      </c>
      <c r="E419" t="inlineStr">
        <is>
          <t>DMA</t>
        </is>
      </c>
      <c r="F419" s="11" t="n">
        <v>44562</v>
      </c>
      <c r="G419" t="inlineStr">
        <is>
          <t>2018gn</t>
        </is>
      </c>
      <c r="H419" t="n">
        <v>2021</v>
      </c>
    </row>
    <row r="420">
      <c r="A420" t="inlineStr">
        <is>
          <t>Dominica_2022_January</t>
        </is>
      </c>
      <c r="C420" t="inlineStr">
        <is>
          <t>SM.22.7, Sup.2</t>
        </is>
      </c>
      <c r="D420" t="inlineStr">
        <is>
          <t>Dominica</t>
        </is>
      </c>
      <c r="E420" t="inlineStr">
        <is>
          <t>DMA</t>
        </is>
      </c>
      <c r="F420" s="11" t="n">
        <v>44562</v>
      </c>
      <c r="G420" t="inlineStr">
        <is>
          <t>2018gn</t>
        </is>
      </c>
      <c r="H420" t="n">
        <v>2021</v>
      </c>
    </row>
    <row r="421">
      <c r="A421" t="inlineStr">
        <is>
          <t>Dominica_2022_January</t>
        </is>
      </c>
      <c r="C421" t="inlineStr">
        <is>
          <t>SM.22.7, Sup.2</t>
        </is>
      </c>
      <c r="D421" t="inlineStr">
        <is>
          <t>Dominica</t>
        </is>
      </c>
      <c r="E421" t="inlineStr">
        <is>
          <t>DMA</t>
        </is>
      </c>
      <c r="F421" s="11" t="n">
        <v>44562</v>
      </c>
      <c r="G421" t="inlineStr">
        <is>
          <t>2018gn</t>
        </is>
      </c>
      <c r="H421" t="n">
        <v>2021</v>
      </c>
    </row>
    <row r="422">
      <c r="A422" t="inlineStr">
        <is>
          <t>Dominica_2022_January</t>
        </is>
      </c>
      <c r="C422" t="inlineStr">
        <is>
          <t>SM.22.7, Sup.2</t>
        </is>
      </c>
      <c r="D422" t="inlineStr">
        <is>
          <t>Dominica</t>
        </is>
      </c>
      <c r="E422" t="inlineStr">
        <is>
          <t>DMA</t>
        </is>
      </c>
      <c r="F422" s="11" t="n">
        <v>44562</v>
      </c>
      <c r="G422" t="inlineStr">
        <is>
          <t>2018gn</t>
        </is>
      </c>
      <c r="H422" t="n">
        <v>2021</v>
      </c>
    </row>
    <row r="423">
      <c r="A423" t="inlineStr">
        <is>
          <t>Dominica_2022_January</t>
        </is>
      </c>
      <c r="C423" t="inlineStr">
        <is>
          <t>SM.22.7, Sup.2</t>
        </is>
      </c>
      <c r="D423" t="inlineStr">
        <is>
          <t>Dominica</t>
        </is>
      </c>
      <c r="E423" t="inlineStr">
        <is>
          <t>DMA</t>
        </is>
      </c>
      <c r="F423" s="11" t="n">
        <v>44562</v>
      </c>
      <c r="G423" t="inlineStr">
        <is>
          <t>2018gn</t>
        </is>
      </c>
      <c r="H423" t="n">
        <v>2021</v>
      </c>
    </row>
    <row r="424">
      <c r="C424" t="inlineStr">
        <is>
          <t>SM.22.7, Sup.2</t>
        </is>
      </c>
      <c r="D424" t="inlineStr">
        <is>
          <t>Dominica</t>
        </is>
      </c>
      <c r="E424" t="inlineStr">
        <is>
          <t>DMA</t>
        </is>
      </c>
      <c r="F424" s="11" t="n">
        <v>44562</v>
      </c>
      <c r="G424" t="inlineStr">
        <is>
          <t>2018gn</t>
        </is>
      </c>
      <c r="H424" t="n">
        <v>2021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I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s="1" t="inlineStr">
        <is>
          <t>link.staff.report</t>
        </is>
      </c>
      <c r="C1" s="1" t="inlineStr">
        <is>
          <t>dsa.vintage</t>
        </is>
      </c>
      <c r="D1" s="1" t="inlineStr">
        <is>
          <t>country.name</t>
        </is>
      </c>
      <c r="E1" s="1" t="inlineStr">
        <is>
          <t>country.code</t>
        </is>
      </c>
      <c r="F1" s="1" t="inlineStr">
        <is>
          <t>issue.date</t>
        </is>
      </c>
      <c r="G1" s="1" t="inlineStr">
        <is>
          <t>methodo.gn</t>
        </is>
      </c>
      <c r="H1" s="1" t="inlineStr">
        <is>
          <t>first.year.proj</t>
        </is>
      </c>
      <c r="I1" s="1" t="inlineStr">
        <is>
          <t>indicator</t>
        </is>
      </c>
      <c r="J1" s="1" t="inlineStr">
        <is>
          <t>description</t>
        </is>
      </c>
      <c r="K1" s="1" t="inlineStr">
        <is>
          <t>trs1</t>
        </is>
      </c>
      <c r="L1" s="1" t="inlineStr">
        <is>
          <t>trs2</t>
        </is>
      </c>
      <c r="M1" s="1" t="inlineStr">
        <is>
          <t>trs3</t>
        </is>
      </c>
      <c r="N1" t="n">
        <v>2021</v>
      </c>
      <c r="O1" t="n">
        <v>2022</v>
      </c>
      <c r="P1" t="n">
        <v>2023</v>
      </c>
      <c r="Q1" t="n">
        <v>2024</v>
      </c>
      <c r="R1" t="n">
        <v>2025</v>
      </c>
      <c r="S1" t="n">
        <v>2026</v>
      </c>
      <c r="T1" t="n">
        <v>2027</v>
      </c>
      <c r="U1" t="n">
        <v>2028</v>
      </c>
      <c r="V1" t="n">
        <v>2029</v>
      </c>
      <c r="W1" t="n">
        <v>2030</v>
      </c>
      <c r="X1" t="n">
        <v>2031</v>
      </c>
      <c r="Y1" t="n">
        <v>2032</v>
      </c>
      <c r="Z1" t="n">
        <v>2033</v>
      </c>
      <c r="AA1" t="n">
        <v>2034</v>
      </c>
      <c r="AB1" t="n">
        <v>2035</v>
      </c>
      <c r="AC1" t="n">
        <v>2036</v>
      </c>
      <c r="AD1" t="n">
        <v>2037</v>
      </c>
      <c r="AE1" t="n">
        <v>2038</v>
      </c>
      <c r="AF1" t="n">
        <v>2039</v>
      </c>
      <c r="AG1" t="n">
        <v>2040</v>
      </c>
      <c r="AH1" t="n">
        <v>2041</v>
      </c>
      <c r="AI1" t="n">
        <v>2042</v>
      </c>
      <c r="AJ1" t="n">
        <v>2043</v>
      </c>
      <c r="AK1" t="n">
        <v>2044</v>
      </c>
      <c r="AL1" t="n">
        <v>2045</v>
      </c>
      <c r="AM1" t="n">
        <v>2046</v>
      </c>
      <c r="AN1" t="n">
        <v>2047</v>
      </c>
      <c r="AO1" t="n">
        <v>2048</v>
      </c>
      <c r="AP1" t="n">
        <v>2049</v>
      </c>
      <c r="AQ1" t="n">
        <v>2050</v>
      </c>
      <c r="AR1" t="n">
        <v>2051</v>
      </c>
      <c r="AS1" t="n">
        <v>2052</v>
      </c>
      <c r="AT1" t="n">
        <v>2053</v>
      </c>
      <c r="AU1" t="n">
        <v>2054</v>
      </c>
      <c r="AV1" t="n">
        <v>2055</v>
      </c>
      <c r="AW1" t="n">
        <v>2056</v>
      </c>
      <c r="AX1" t="n">
        <v>2057</v>
      </c>
      <c r="AY1" t="n">
        <v>2058</v>
      </c>
      <c r="AZ1" t="n">
        <v>2059</v>
      </c>
      <c r="BA1" t="n">
        <v>2060</v>
      </c>
      <c r="BB1" t="n">
        <v>2061</v>
      </c>
      <c r="BC1" t="n">
        <v>2062</v>
      </c>
      <c r="BD1" t="n">
        <v>2063</v>
      </c>
      <c r="BE1" t="n">
        <v>2064</v>
      </c>
      <c r="BF1" t="n">
        <v>2065</v>
      </c>
      <c r="BG1" t="n">
        <v>2066</v>
      </c>
    </row>
    <row r="2">
      <c r="A2" t="inlineStr">
        <is>
          <t>Dominica_2023_May</t>
        </is>
      </c>
      <c r="B2" s="2" t="n"/>
      <c r="C2" s="3" t="inlineStr">
        <is>
          <t>SM.23.127, Sup. 1</t>
        </is>
      </c>
      <c r="D2" s="4" t="inlineStr">
        <is>
          <t>Dominica</t>
        </is>
      </c>
      <c r="E2" s="4" t="inlineStr">
        <is>
          <t>DMA</t>
        </is>
      </c>
      <c r="F2" s="10" t="n">
        <v>45047</v>
      </c>
      <c r="G2" s="4" t="inlineStr">
        <is>
          <t>2018gn</t>
        </is>
      </c>
      <c r="H2" s="4" t="n">
        <v>2022</v>
      </c>
      <c r="I2" s="5" t="n"/>
      <c r="J2" t="inlineStr">
        <is>
          <t>THIS SHEET CALCULATES THE PV OF PUBLIC (PPG) EXTERNAL DEBT</t>
        </is>
      </c>
    </row>
    <row r="3">
      <c r="A3" t="inlineStr">
        <is>
          <t>Dominica_2023_May</t>
        </is>
      </c>
      <c r="B3" s="2" t="n"/>
      <c r="C3" s="3" t="inlineStr">
        <is>
          <t>SM.23.127, Sup. 1</t>
        </is>
      </c>
      <c r="D3" s="4" t="inlineStr">
        <is>
          <t>Dominica</t>
        </is>
      </c>
      <c r="E3" s="4" t="inlineStr">
        <is>
          <t>DMA</t>
        </is>
      </c>
      <c r="F3" s="10" t="n">
        <v>45047</v>
      </c>
      <c r="G3" s="4" t="inlineStr">
        <is>
          <t>2018gn</t>
        </is>
      </c>
      <c r="H3" s="4" t="n">
        <v>2022</v>
      </c>
      <c r="I3" s="5" t="n"/>
    </row>
    <row r="4">
      <c r="A4" t="inlineStr">
        <is>
          <t>Dominica_2023_May</t>
        </is>
      </c>
      <c r="B4" s="2" t="n"/>
      <c r="C4" s="3" t="inlineStr">
        <is>
          <t>SM.23.127, Sup. 1</t>
        </is>
      </c>
      <c r="D4" s="4" t="inlineStr">
        <is>
          <t>Dominica</t>
        </is>
      </c>
      <c r="E4" s="4" t="inlineStr">
        <is>
          <t>DMA</t>
        </is>
      </c>
      <c r="F4" s="10" t="n">
        <v>45047</v>
      </c>
      <c r="G4" s="4" t="inlineStr">
        <is>
          <t>2018gn</t>
        </is>
      </c>
      <c r="H4" s="4" t="n">
        <v>2022</v>
      </c>
      <c r="I4" s="5" t="n"/>
    </row>
    <row r="5">
      <c r="A5" t="inlineStr">
        <is>
          <t>Dominica_2023_May</t>
        </is>
      </c>
      <c r="B5" s="2" t="n"/>
      <c r="C5" s="3" t="inlineStr">
        <is>
          <t>SM.23.127, Sup. 1</t>
        </is>
      </c>
      <c r="D5" s="4" t="inlineStr">
        <is>
          <t>Dominica</t>
        </is>
      </c>
      <c r="E5" s="4" t="inlineStr">
        <is>
          <t>DMA</t>
        </is>
      </c>
      <c r="F5" s="10" t="n">
        <v>45047</v>
      </c>
      <c r="G5" s="4" t="inlineStr">
        <is>
          <t>2018gn</t>
        </is>
      </c>
      <c r="H5" s="4" t="n">
        <v>2022</v>
      </c>
      <c r="I5" s="5" t="n"/>
      <c r="J5" t="inlineStr">
        <is>
          <t>Blue cells are populated automatically</t>
        </is>
      </c>
    </row>
    <row r="6">
      <c r="A6" t="inlineStr">
        <is>
          <t>Dominica_2023_May</t>
        </is>
      </c>
      <c r="B6" s="2" t="n"/>
      <c r="C6" s="3" t="inlineStr">
        <is>
          <t>SM.23.127, Sup. 1</t>
        </is>
      </c>
      <c r="D6" s="4" t="inlineStr">
        <is>
          <t>Dominica</t>
        </is>
      </c>
      <c r="E6" s="4" t="inlineStr">
        <is>
          <t>DMA</t>
        </is>
      </c>
      <c r="F6" s="10" t="n">
        <v>45047</v>
      </c>
      <c r="G6" s="4" t="inlineStr">
        <is>
          <t>2018gn</t>
        </is>
      </c>
      <c r="H6" s="4" t="n">
        <v>2022</v>
      </c>
      <c r="I6" s="5" t="n"/>
    </row>
    <row r="7">
      <c r="A7" t="inlineStr">
        <is>
          <t>Dominica_2023_May</t>
        </is>
      </c>
      <c r="B7" s="2" t="n"/>
      <c r="C7" s="3" t="inlineStr">
        <is>
          <t>SM.23.127, Sup. 1</t>
        </is>
      </c>
      <c r="D7" s="4" t="inlineStr">
        <is>
          <t>Dominica</t>
        </is>
      </c>
      <c r="E7" s="4" t="inlineStr">
        <is>
          <t>DMA</t>
        </is>
      </c>
      <c r="F7" s="10" t="n">
        <v>45047</v>
      </c>
      <c r="G7" s="4" t="inlineStr">
        <is>
          <t>2018gn</t>
        </is>
      </c>
      <c r="H7" s="4" t="n">
        <v>2022</v>
      </c>
      <c r="I7" s="5" t="n"/>
    </row>
    <row r="8">
      <c r="A8" t="inlineStr">
        <is>
          <t>Dominica_2023_May</t>
        </is>
      </c>
      <c r="B8" s="2" t="n"/>
      <c r="C8" s="3" t="inlineStr">
        <is>
          <t>SM.23.127, Sup. 1</t>
        </is>
      </c>
      <c r="D8" s="4" t="inlineStr">
        <is>
          <t>Dominica</t>
        </is>
      </c>
      <c r="E8" s="4" t="inlineStr">
        <is>
          <t>DMA</t>
        </is>
      </c>
      <c r="F8" s="10" t="n">
        <v>45047</v>
      </c>
      <c r="G8" s="4" t="inlineStr">
        <is>
          <t>2018gn</t>
        </is>
      </c>
      <c r="H8" s="4" t="n">
        <v>2022</v>
      </c>
      <c r="I8" s="5" t="n"/>
      <c r="J8" t="inlineStr">
        <is>
          <t>1. Old MLT debt (excluding arrears): debt service due 1/</t>
        </is>
      </c>
    </row>
    <row r="9">
      <c r="A9" t="inlineStr">
        <is>
          <t>Dominica_2023_May</t>
        </is>
      </c>
      <c r="B9" s="2" t="n"/>
      <c r="C9" s="3" t="inlineStr">
        <is>
          <t>SM.23.127, Sup. 1</t>
        </is>
      </c>
      <c r="D9" s="4" t="inlineStr">
        <is>
          <t>Dominica</t>
        </is>
      </c>
      <c r="E9" s="4" t="inlineStr">
        <is>
          <t>DMA</t>
        </is>
      </c>
      <c r="F9" s="10" t="n">
        <v>45047</v>
      </c>
      <c r="G9" s="4" t="inlineStr">
        <is>
          <t>2018gn</t>
        </is>
      </c>
      <c r="H9" s="4" t="n">
        <v>2022</v>
      </c>
      <c r="I9" s="5" t="n"/>
      <c r="M9" t="n">
        <v>2020</v>
      </c>
      <c r="N9" t="n">
        <v>2021</v>
      </c>
      <c r="O9" t="n">
        <v>2022</v>
      </c>
      <c r="P9" t="n">
        <v>2023</v>
      </c>
      <c r="Q9" t="n">
        <v>2024</v>
      </c>
      <c r="R9" t="n">
        <v>2025</v>
      </c>
      <c r="S9" t="n">
        <v>2026</v>
      </c>
      <c r="T9" t="n">
        <v>2027</v>
      </c>
      <c r="U9" t="n">
        <v>2028</v>
      </c>
      <c r="V9" t="n">
        <v>2029</v>
      </c>
      <c r="W9" t="n">
        <v>2030</v>
      </c>
      <c r="X9" t="n">
        <v>2031</v>
      </c>
      <c r="Y9" t="n">
        <v>2032</v>
      </c>
      <c r="Z9" t="n">
        <v>2033</v>
      </c>
      <c r="AA9" t="n">
        <v>2034</v>
      </c>
      <c r="AB9" t="n">
        <v>2035</v>
      </c>
      <c r="AC9" t="n">
        <v>2036</v>
      </c>
      <c r="AD9" t="n">
        <v>2037</v>
      </c>
      <c r="AE9" t="n">
        <v>2038</v>
      </c>
      <c r="AF9" t="n">
        <v>2039</v>
      </c>
      <c r="AG9" t="n">
        <v>2040</v>
      </c>
      <c r="AH9" t="n">
        <v>2041</v>
      </c>
      <c r="AI9" t="n">
        <v>2042</v>
      </c>
      <c r="AJ9" t="n">
        <v>2043</v>
      </c>
      <c r="AK9" t="n">
        <v>2044</v>
      </c>
      <c r="AL9" t="n">
        <v>2045</v>
      </c>
      <c r="AM9" t="n">
        <v>2046</v>
      </c>
      <c r="AN9" t="n">
        <v>2047</v>
      </c>
      <c r="AO9" t="n">
        <v>2048</v>
      </c>
      <c r="AP9" t="n">
        <v>2049</v>
      </c>
      <c r="AQ9" t="n">
        <v>2050</v>
      </c>
      <c r="AR9" t="n">
        <v>2051</v>
      </c>
      <c r="AS9" t="n">
        <v>2052</v>
      </c>
      <c r="AT9" t="n">
        <v>2053</v>
      </c>
      <c r="AU9" t="n">
        <v>2054</v>
      </c>
      <c r="AV9" t="n">
        <v>2055</v>
      </c>
      <c r="AW9" t="n">
        <v>2056</v>
      </c>
      <c r="AX9" t="n">
        <v>2057</v>
      </c>
      <c r="AY9" t="n">
        <v>2058</v>
      </c>
      <c r="AZ9" t="n">
        <v>2059</v>
      </c>
      <c r="BA9" t="n">
        <v>2060</v>
      </c>
      <c r="BB9" t="n">
        <v>2061</v>
      </c>
      <c r="BC9" t="n">
        <v>2062</v>
      </c>
      <c r="BD9" t="n">
        <v>2063</v>
      </c>
      <c r="BE9" t="n">
        <v>2064</v>
      </c>
      <c r="BF9" t="n">
        <v>2065</v>
      </c>
      <c r="BG9" t="n">
        <v>2066</v>
      </c>
      <c r="BI9" t="inlineStr">
        <is>
          <t>Series Code</t>
        </is>
      </c>
    </row>
    <row r="10">
      <c r="A10" t="inlineStr">
        <is>
          <t>Dominica_2023_May</t>
        </is>
      </c>
      <c r="B10" s="2" t="n"/>
      <c r="C10" s="3" t="inlineStr">
        <is>
          <t>SM.23.127, Sup. 1</t>
        </is>
      </c>
      <c r="D10" s="4" t="inlineStr">
        <is>
          <t>Dominica</t>
        </is>
      </c>
      <c r="E10" s="4" t="inlineStr">
        <is>
          <t>DMA</t>
        </is>
      </c>
      <c r="F10" s="10" t="n">
        <v>45047</v>
      </c>
      <c r="G10" s="4" t="inlineStr">
        <is>
          <t>2018gn</t>
        </is>
      </c>
      <c r="H10" s="4" t="n">
        <v>2022</v>
      </c>
      <c r="I10" s="5" t="n"/>
      <c r="J10" t="inlineStr">
        <is>
          <t>External debt (excluding locally-issued debt)</t>
        </is>
      </c>
    </row>
    <row r="11">
      <c r="A11" t="inlineStr">
        <is>
          <t>Dominica_2023_May</t>
        </is>
      </c>
      <c r="B11" s="2" t="n"/>
      <c r="C11" s="3" t="inlineStr">
        <is>
          <t>SM.23.127, Sup. 1</t>
        </is>
      </c>
      <c r="D11" s="4" t="inlineStr">
        <is>
          <t>Dominica</t>
        </is>
      </c>
      <c r="E11" s="4" t="inlineStr">
        <is>
          <t>DMA</t>
        </is>
      </c>
      <c r="F11" s="10" t="n">
        <v>45047</v>
      </c>
      <c r="G11" s="4" t="inlineStr">
        <is>
          <t>2018gn</t>
        </is>
      </c>
      <c r="H11" s="4" t="n">
        <v>2022</v>
      </c>
      <c r="I11" s="4" t="inlineStr">
        <is>
          <t>old.tds.mlt</t>
        </is>
      </c>
      <c r="J11" t="inlineStr">
        <is>
          <t>Multilaterals</t>
        </is>
      </c>
      <c r="N11" t="n">
        <v>12.36991207407407</v>
      </c>
      <c r="O11" t="n">
        <v>5.542763481481482</v>
      </c>
      <c r="P11" t="n">
        <v>15.56181733333328</v>
      </c>
      <c r="Q11" t="n">
        <v>16.65555497853009</v>
      </c>
      <c r="R11" t="n">
        <v>15.69314788137658</v>
      </c>
      <c r="S11" t="n">
        <v>14.74350920920856</v>
      </c>
      <c r="T11" t="n">
        <v>13.5378620154206</v>
      </c>
      <c r="U11" t="n">
        <v>12.79299200154377</v>
      </c>
      <c r="V11" t="n">
        <v>11.90915904289143</v>
      </c>
      <c r="W11" t="n">
        <v>11.32800897700529</v>
      </c>
      <c r="X11" t="n">
        <v>10.66732295598999</v>
      </c>
      <c r="Y11" t="n">
        <v>10.18235577465268</v>
      </c>
      <c r="Z11" t="n">
        <v>9.728172668447552</v>
      </c>
      <c r="AA11" t="n">
        <v>9.302523466351488</v>
      </c>
      <c r="AB11" t="n">
        <v>8.903325958246949</v>
      </c>
      <c r="AC11" t="n">
        <v>8.528653111874203</v>
      </c>
      <c r="AD11" t="n">
        <v>7.680837941819112</v>
      </c>
      <c r="AE11" t="n">
        <v>6.854112654599611</v>
      </c>
      <c r="AF11" t="n">
        <v>6.218240941290003</v>
      </c>
      <c r="AG11" t="n">
        <v>5.965021800178008</v>
      </c>
      <c r="AH11" t="n">
        <v>5.728637684513327</v>
      </c>
      <c r="AI11" t="n">
        <v>5.507874619640351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I11" t="inlineStr">
        <is>
          <t>OLD_ML</t>
        </is>
      </c>
    </row>
    <row r="12">
      <c r="A12" t="inlineStr">
        <is>
          <t>Dominica_2023_May</t>
        </is>
      </c>
      <c r="B12" s="2" t="n"/>
      <c r="C12" s="3" t="inlineStr">
        <is>
          <t>SM.23.127, Sup. 1</t>
        </is>
      </c>
      <c r="D12" s="4" t="inlineStr">
        <is>
          <t>Dominica</t>
        </is>
      </c>
      <c r="E12" s="4" t="inlineStr">
        <is>
          <t>DMA</t>
        </is>
      </c>
      <c r="F12" s="10" t="n">
        <v>45047</v>
      </c>
      <c r="G12" s="4" t="inlineStr">
        <is>
          <t>2018gn</t>
        </is>
      </c>
      <c r="H12" s="4" t="n">
        <v>2022</v>
      </c>
      <c r="I12" s="4" t="inlineStr">
        <is>
          <t>old.tds.mlt.imf</t>
        </is>
      </c>
      <c r="J12" t="inlineStr">
        <is>
          <t>IMF</t>
        </is>
      </c>
      <c r="N12" t="n">
        <v>2.27151888888889</v>
      </c>
      <c r="O12" t="n">
        <v>0.815672222222222</v>
      </c>
      <c r="P12" t="n">
        <v>1.63134444444444</v>
      </c>
      <c r="Q12" t="n">
        <v>1.4810970714256</v>
      </c>
      <c r="R12" t="n">
        <v>1.34468753208801</v>
      </c>
      <c r="S12" t="n">
        <v>1.22084135728694</v>
      </c>
      <c r="T12" t="n">
        <v>1.10840145691533</v>
      </c>
      <c r="U12" t="n">
        <v>1.00631730925484</v>
      </c>
      <c r="V12" t="n">
        <v>0.913635145991382</v>
      </c>
      <c r="W12" t="n">
        <v>0.829489041193972</v>
      </c>
      <c r="X12" t="n">
        <v>0.753092821001641</v>
      </c>
      <c r="Y12" t="n">
        <v>0.683732718430917</v>
      </c>
      <c r="Z12" t="n">
        <v>0.620760704678013</v>
      </c>
      <c r="AA12" t="n">
        <v>0.563588434610327</v>
      </c>
      <c r="AB12" t="n">
        <v>0.51168174988021</v>
      </c>
      <c r="AC12" t="n">
        <v>0.464555688303823</v>
      </c>
      <c r="AD12" t="n">
        <v>0.421769952877862</v>
      </c>
      <c r="AE12" t="n">
        <v>0.382924798101391</v>
      </c>
      <c r="AF12" t="n">
        <v>0.347657295168803</v>
      </c>
      <c r="AG12" t="n">
        <v>0.315637941139778</v>
      </c>
      <c r="AH12" t="n">
        <v>0.286567580405827</v>
      </c>
      <c r="AI12" t="n">
        <v>0.260174609690801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I12" t="inlineStr">
        <is>
          <t>OLD_IMF</t>
        </is>
      </c>
    </row>
    <row r="13">
      <c r="A13" t="inlineStr">
        <is>
          <t>Dominica_2023_May</t>
        </is>
      </c>
      <c r="B13" s="2" t="n"/>
      <c r="C13" s="3" t="inlineStr">
        <is>
          <t>SM.23.127, Sup. 1</t>
        </is>
      </c>
      <c r="D13" s="4" t="inlineStr">
        <is>
          <t>Dominica</t>
        </is>
      </c>
      <c r="E13" s="4" t="inlineStr">
        <is>
          <t>DMA</t>
        </is>
      </c>
      <c r="F13" s="10" t="n">
        <v>45047</v>
      </c>
      <c r="G13" s="4" t="inlineStr">
        <is>
          <t>2018gn</t>
        </is>
      </c>
      <c r="H13" s="4" t="n">
        <v>2022</v>
      </c>
      <c r="I13" s="4" t="inlineStr">
        <is>
          <t>old.tds.mlt.ida.reg</t>
        </is>
      </c>
      <c r="J13" t="inlineStr">
        <is>
          <t>IDA - small economy</t>
        </is>
      </c>
      <c r="N13" t="n">
        <v>1.82070981481481</v>
      </c>
      <c r="O13" t="n">
        <v>1.12772855555556</v>
      </c>
      <c r="P13" t="n">
        <v>2.52925574074074</v>
      </c>
      <c r="Q13" t="n">
        <v>3.26927281900689</v>
      </c>
      <c r="R13" t="n">
        <v>3.24638370180037</v>
      </c>
      <c r="S13" t="n">
        <v>3.22365483787202</v>
      </c>
      <c r="T13" t="n">
        <v>3.20108510524265</v>
      </c>
      <c r="U13" t="n">
        <v>3.17867338978838</v>
      </c>
      <c r="V13" t="n">
        <v>3.15641858518562</v>
      </c>
      <c r="W13" t="n">
        <v>3.13431959285646</v>
      </c>
      <c r="X13" t="n">
        <v>3.11237532191446</v>
      </c>
      <c r="Y13" t="n">
        <v>3.09058468911079</v>
      </c>
      <c r="Z13" t="n">
        <v>3.06894661878075</v>
      </c>
      <c r="AA13" t="n">
        <v>3.04746004279068</v>
      </c>
      <c r="AB13" t="n">
        <v>3.02612390048524</v>
      </c>
      <c r="AC13" t="n">
        <v>3.00493713863503</v>
      </c>
      <c r="AD13" t="n">
        <v>2.98389871138461</v>
      </c>
      <c r="AE13" t="n">
        <v>2.96300758020087</v>
      </c>
      <c r="AF13" t="n">
        <v>2.9422627138218</v>
      </c>
      <c r="AG13" t="n">
        <v>2.92166308820551</v>
      </c>
      <c r="AH13" t="n">
        <v>2.90120768647974</v>
      </c>
      <c r="AI13" t="n">
        <v>2.88089549889165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I13" t="inlineStr">
        <is>
          <t>OLD_IDA1</t>
        </is>
      </c>
    </row>
    <row r="14">
      <c r="A14" t="inlineStr">
        <is>
          <t>Dominica_2023_May</t>
        </is>
      </c>
      <c r="B14" s="2" t="n"/>
      <c r="C14" s="3" t="inlineStr">
        <is>
          <t>SM.23.127, Sup. 1</t>
        </is>
      </c>
      <c r="D14" s="4" t="inlineStr">
        <is>
          <t>Dominica</t>
        </is>
      </c>
      <c r="E14" s="4" t="inlineStr">
        <is>
          <t>DMA</t>
        </is>
      </c>
      <c r="F14" s="10" t="n">
        <v>45047</v>
      </c>
      <c r="G14" s="4" t="inlineStr">
        <is>
          <t>2018gn</t>
        </is>
      </c>
      <c r="H14" s="4" t="n">
        <v>2022</v>
      </c>
      <c r="I14" s="4" t="inlineStr">
        <is>
          <t>old.tds.mlt.ida.bld</t>
        </is>
      </c>
      <c r="J14" t="inlineStr">
        <is>
          <t>IDA - small economy</t>
        </is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I14" t="inlineStr">
        <is>
          <t>OLD_IDA2</t>
        </is>
      </c>
    </row>
    <row r="15">
      <c r="A15" t="inlineStr">
        <is>
          <t>Dominica_2023_May</t>
        </is>
      </c>
      <c r="B15" s="2" t="n"/>
      <c r="C15" s="3" t="inlineStr">
        <is>
          <t>SM.23.127, Sup. 1</t>
        </is>
      </c>
      <c r="D15" s="4" t="inlineStr">
        <is>
          <t>Dominica</t>
        </is>
      </c>
      <c r="E15" s="4" t="inlineStr">
        <is>
          <t>DMA</t>
        </is>
      </c>
      <c r="F15" s="10" t="n">
        <v>45047</v>
      </c>
      <c r="G15" s="4" t="inlineStr">
        <is>
          <t>2018gn</t>
        </is>
      </c>
      <c r="H15" s="4" t="n">
        <v>2022</v>
      </c>
      <c r="I15" s="4" t="inlineStr">
        <is>
          <t>old.tds.mlt2</t>
        </is>
      </c>
      <c r="J15" t="inlineStr">
        <is>
          <t>CDB</t>
        </is>
      </c>
      <c r="N15" t="n">
        <v>8.27768337037037</v>
      </c>
      <c r="O15" t="n">
        <v>3.5993627037037</v>
      </c>
      <c r="P15" t="n">
        <v>11.4012171481481</v>
      </c>
      <c r="Q15" t="n">
        <v>11.9051850880976</v>
      </c>
      <c r="R15" t="n">
        <v>11.1020766474882</v>
      </c>
      <c r="S15" t="n">
        <v>10.2990130140496</v>
      </c>
      <c r="T15" t="n">
        <v>9.22837545326262</v>
      </c>
      <c r="U15" t="n">
        <v>8.608001302500551</v>
      </c>
      <c r="V15" t="n">
        <v>7.83910531171443</v>
      </c>
      <c r="W15" t="n">
        <v>7.36420034295486</v>
      </c>
      <c r="X15" t="n">
        <v>6.80185481307389</v>
      </c>
      <c r="Y15" t="n">
        <v>6.40803836711097</v>
      </c>
      <c r="Z15" t="n">
        <v>6.03846534498879</v>
      </c>
      <c r="AA15" t="n">
        <v>5.69147498895048</v>
      </c>
      <c r="AB15" t="n">
        <v>5.3655203078815</v>
      </c>
      <c r="AC15" t="n">
        <v>5.05916028493535</v>
      </c>
      <c r="AD15" t="n">
        <v>4.27516927755664</v>
      </c>
      <c r="AE15" t="n">
        <v>3.50818027629735</v>
      </c>
      <c r="AF15" t="n">
        <v>2.9283209322994</v>
      </c>
      <c r="AG15" t="n">
        <v>2.72772077083272</v>
      </c>
      <c r="AH15" t="n">
        <v>2.54086241762776</v>
      </c>
      <c r="AI15" t="n">
        <v>2.3668045110579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I15" t="inlineStr">
        <is>
          <t>OLD_MULTI1</t>
        </is>
      </c>
    </row>
    <row r="16">
      <c r="A16" t="inlineStr">
        <is>
          <t>Dominica_2023_May</t>
        </is>
      </c>
      <c r="B16" s="2" t="n"/>
      <c r="C16" s="3" t="inlineStr">
        <is>
          <t>SM.23.127, Sup. 1</t>
        </is>
      </c>
      <c r="D16" s="4" t="inlineStr">
        <is>
          <t>Dominica</t>
        </is>
      </c>
      <c r="E16" s="4" t="inlineStr">
        <is>
          <t>DMA</t>
        </is>
      </c>
      <c r="F16" s="10" t="n">
        <v>45047</v>
      </c>
      <c r="G16" s="4" t="inlineStr">
        <is>
          <t>2018gn</t>
        </is>
      </c>
      <c r="H16" s="4" t="n">
        <v>2022</v>
      </c>
      <c r="I16" s="4" t="inlineStr">
        <is>
          <t>old.tds.mlt.afdb</t>
        </is>
      </c>
      <c r="J16" t="inlineStr">
        <is>
          <t>MULTIRES</t>
        </is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I16" t="inlineStr">
        <is>
          <t>OLD_MULTI2</t>
        </is>
      </c>
    </row>
    <row r="17">
      <c r="A17" t="inlineStr">
        <is>
          <t>Dominica_2023_May</t>
        </is>
      </c>
      <c r="B17" s="2" t="n"/>
      <c r="C17" s="3" t="inlineStr">
        <is>
          <t>SM.23.127, Sup. 1</t>
        </is>
      </c>
      <c r="D17" s="4" t="inlineStr">
        <is>
          <t>Dominica</t>
        </is>
      </c>
      <c r="E17" s="4" t="inlineStr">
        <is>
          <t>DMA</t>
        </is>
      </c>
      <c r="F17" s="10" t="n">
        <v>45047</v>
      </c>
      <c r="G17" s="4" t="inlineStr">
        <is>
          <t>2018gn</t>
        </is>
      </c>
      <c r="H17" s="4" t="n">
        <v>2022</v>
      </c>
      <c r="I17" s="4" t="inlineStr">
        <is>
          <t>old.tds.mlt3</t>
        </is>
      </c>
      <c r="J17" t="inlineStr">
        <is>
          <t>MULTI3</t>
        </is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I17" t="inlineStr">
        <is>
          <t>OLD_MULTI3</t>
        </is>
      </c>
    </row>
    <row r="18">
      <c r="A18" t="inlineStr">
        <is>
          <t>Dominica_2023_May</t>
        </is>
      </c>
      <c r="B18" s="2" t="n"/>
      <c r="C18" s="3" t="inlineStr">
        <is>
          <t>SM.23.127, Sup. 1</t>
        </is>
      </c>
      <c r="D18" s="4" t="inlineStr">
        <is>
          <t>Dominica</t>
        </is>
      </c>
      <c r="E18" s="4" t="inlineStr">
        <is>
          <t>DMA</t>
        </is>
      </c>
      <c r="F18" s="10" t="n">
        <v>45047</v>
      </c>
      <c r="G18" s="4" t="inlineStr">
        <is>
          <t>2018gn</t>
        </is>
      </c>
      <c r="H18" s="4" t="n">
        <v>2022</v>
      </c>
      <c r="I18" s="4" t="inlineStr">
        <is>
          <t>old.tds.mlt.oth</t>
        </is>
      </c>
      <c r="J18" t="inlineStr">
        <is>
          <t>Other Multilaterals</t>
        </is>
      </c>
      <c r="N18" t="n">
        <v>5.38245944444444</v>
      </c>
      <c r="O18" t="n">
        <v>2.44185155555556</v>
      </c>
      <c r="P18" t="n">
        <v>4.33104844444445</v>
      </c>
      <c r="Q18" t="n">
        <v>3.60212283797174</v>
      </c>
      <c r="R18" t="n">
        <v>2.40204342140321</v>
      </c>
      <c r="S18" t="n">
        <v>1.65807800801542</v>
      </c>
      <c r="T18" t="n">
        <v>0.34058778357265</v>
      </c>
      <c r="U18" t="n">
        <v>0.135370011069774</v>
      </c>
      <c r="V18" t="n">
        <v>0.0471680191791677</v>
      </c>
      <c r="W18" t="n">
        <v>0.0291977079318206</v>
      </c>
      <c r="X18" t="n">
        <v>0.0196917288381497</v>
      </c>
      <c r="Y18" t="n">
        <v>0.0143589216175144</v>
      </c>
      <c r="Z18" t="n">
        <v>0.0111318135355507</v>
      </c>
      <c r="AA18" t="n">
        <v>0.00900603053325977</v>
      </c>
      <c r="AB18" t="n">
        <v>0.00748753141317771</v>
      </c>
      <c r="AC18" t="n">
        <v>0.00632845655903225</v>
      </c>
      <c r="AD18" t="n">
        <v>0.00540051068687841</v>
      </c>
      <c r="AE18" t="n">
        <v>0.0046340767983124</v>
      </c>
      <c r="AF18" t="n">
        <v>0.00398882334103456</v>
      </c>
      <c r="AG18" t="n">
        <v>0.00343943552563042</v>
      </c>
      <c r="AH18" t="n">
        <v>0.00296862787154017</v>
      </c>
      <c r="AI18" t="n">
        <v>0.00256142904343282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</row>
    <row r="19">
      <c r="A19" t="inlineStr">
        <is>
          <t>Dominica_2023_May</t>
        </is>
      </c>
      <c r="B19" s="2" t="n"/>
      <c r="C19" s="3" t="inlineStr">
        <is>
          <t>SM.23.127, Sup. 1</t>
        </is>
      </c>
      <c r="D19" s="4" t="inlineStr">
        <is>
          <t>Dominica</t>
        </is>
      </c>
      <c r="E19" s="4" t="inlineStr">
        <is>
          <t>DMA</t>
        </is>
      </c>
      <c r="F19" s="10" t="n">
        <v>45047</v>
      </c>
      <c r="G19" s="4" t="inlineStr">
        <is>
          <t>2018gn</t>
        </is>
      </c>
      <c r="H19" s="4" t="n">
        <v>2022</v>
      </c>
      <c r="I19" s="4" t="inlineStr">
        <is>
          <t>old.tds.mlt.oth1</t>
        </is>
      </c>
      <c r="J19" t="inlineStr">
        <is>
          <t>OTH_MULTI1</t>
        </is>
      </c>
      <c r="N19" t="n">
        <v>5.38245944444444</v>
      </c>
      <c r="O19" t="n">
        <v>2.44185155555556</v>
      </c>
      <c r="P19" t="n">
        <v>4.33104844444445</v>
      </c>
      <c r="Q19" t="n">
        <v>3.60212283797174</v>
      </c>
      <c r="R19" t="n">
        <v>2.40204342140321</v>
      </c>
      <c r="S19" t="n">
        <v>1.65807800801542</v>
      </c>
      <c r="T19" t="n">
        <v>0.34058778357265</v>
      </c>
      <c r="U19" t="n">
        <v>0.135370011069774</v>
      </c>
      <c r="V19" t="n">
        <v>0.0471680191791677</v>
      </c>
      <c r="W19" t="n">
        <v>0.0291977079318206</v>
      </c>
      <c r="X19" t="n">
        <v>0.0196917288381497</v>
      </c>
      <c r="Y19" t="n">
        <v>0.0143589216175144</v>
      </c>
      <c r="Z19" t="n">
        <v>0.0111318135355507</v>
      </c>
      <c r="AA19" t="n">
        <v>0.00900603053325977</v>
      </c>
      <c r="AB19" t="n">
        <v>0.00748753141317771</v>
      </c>
      <c r="AC19" t="n">
        <v>0.00632845655903225</v>
      </c>
      <c r="AD19" t="n">
        <v>0.00540051068687841</v>
      </c>
      <c r="AE19" t="n">
        <v>0.0046340767983124</v>
      </c>
      <c r="AF19" t="n">
        <v>0.00398882334103456</v>
      </c>
      <c r="AG19" t="n">
        <v>0.00343943552563042</v>
      </c>
      <c r="AH19" t="n">
        <v>0.00296862787154017</v>
      </c>
      <c r="AI19" t="n">
        <v>0.00256142904343282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I19" t="inlineStr">
        <is>
          <t>OLD_OTH_MULTI1</t>
        </is>
      </c>
    </row>
    <row r="20">
      <c r="A20" t="inlineStr">
        <is>
          <t>Dominica_2023_May</t>
        </is>
      </c>
      <c r="B20" s="2" t="n"/>
      <c r="C20" s="3" t="inlineStr">
        <is>
          <t>SM.23.127, Sup. 1</t>
        </is>
      </c>
      <c r="D20" s="4" t="inlineStr">
        <is>
          <t>Dominica</t>
        </is>
      </c>
      <c r="E20" s="4" t="inlineStr">
        <is>
          <t>DMA</t>
        </is>
      </c>
      <c r="F20" s="10" t="n">
        <v>45047</v>
      </c>
      <c r="G20" s="4" t="inlineStr">
        <is>
          <t>2018gn</t>
        </is>
      </c>
      <c r="H20" s="4" t="n">
        <v>2022</v>
      </c>
      <c r="I20" s="4" t="inlineStr">
        <is>
          <t>old.tds.mlt.oth2</t>
        </is>
      </c>
      <c r="J20" t="inlineStr">
        <is>
          <t>OTH_MULTI2</t>
        </is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I20" t="inlineStr">
        <is>
          <t>OLD_OTH_MULTI2</t>
        </is>
      </c>
    </row>
    <row r="21">
      <c r="A21" t="inlineStr">
        <is>
          <t>Dominica_2023_May</t>
        </is>
      </c>
      <c r="B21" s="2" t="n"/>
      <c r="C21" s="3" t="inlineStr">
        <is>
          <t>SM.23.127, Sup. 1</t>
        </is>
      </c>
      <c r="D21" s="4" t="inlineStr">
        <is>
          <t>Dominica</t>
        </is>
      </c>
      <c r="E21" s="4" t="inlineStr">
        <is>
          <t>DMA</t>
        </is>
      </c>
      <c r="F21" s="10" t="n">
        <v>45047</v>
      </c>
      <c r="G21" s="4" t="inlineStr">
        <is>
          <t>2018gn</t>
        </is>
      </c>
      <c r="H21" s="4" t="n">
        <v>2022</v>
      </c>
      <c r="I21" s="4" t="inlineStr">
        <is>
          <t>old.tds.mlt.oth3</t>
        </is>
      </c>
      <c r="J21" t="inlineStr">
        <is>
          <t>OTH_MULTI3</t>
        </is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I21" t="inlineStr">
        <is>
          <t>OLD_OTH_MULTI3</t>
        </is>
      </c>
    </row>
    <row r="22">
      <c r="A22" t="inlineStr">
        <is>
          <t>Dominica_2023_May</t>
        </is>
      </c>
      <c r="B22" s="2" t="n"/>
      <c r="C22" s="3" t="inlineStr">
        <is>
          <t>SM.23.127, Sup. 1</t>
        </is>
      </c>
      <c r="D22" s="4" t="inlineStr">
        <is>
          <t>Dominica</t>
        </is>
      </c>
      <c r="E22" s="4" t="inlineStr">
        <is>
          <t>DMA</t>
        </is>
      </c>
      <c r="F22" s="10" t="n">
        <v>45047</v>
      </c>
      <c r="G22" s="4" t="inlineStr">
        <is>
          <t>2018gn</t>
        </is>
      </c>
      <c r="H22" s="4" t="n">
        <v>2022</v>
      </c>
      <c r="I22" s="4" t="inlineStr">
        <is>
          <t>old.tds.blt</t>
        </is>
      </c>
      <c r="J22" t="inlineStr">
        <is>
          <t>Official Bilaterals</t>
        </is>
      </c>
      <c r="N22" t="n">
        <v>4.140268856528149</v>
      </c>
      <c r="O22" t="n">
        <v>3.289058948382651</v>
      </c>
      <c r="P22" t="n">
        <v>8.674274410607531</v>
      </c>
      <c r="Q22" t="n">
        <v>6.572083227667795</v>
      </c>
      <c r="R22" t="n">
        <v>5.442404305071969</v>
      </c>
      <c r="S22" t="n">
        <v>4.551109564587362</v>
      </c>
      <c r="T22" t="n">
        <v>3.844657253228994</v>
      </c>
      <c r="U22" t="n">
        <v>3.285790250606254</v>
      </c>
      <c r="V22" t="n">
        <v>2.738839716920053</v>
      </c>
      <c r="W22" t="n">
        <v>2.355973797836032</v>
      </c>
      <c r="X22" t="n">
        <v>2.042886008495027</v>
      </c>
      <c r="Y22" t="n">
        <v>1.783196248238937</v>
      </c>
      <c r="Z22" t="n">
        <v>1.564036463892303</v>
      </c>
      <c r="AA22" t="n">
        <v>1.374412114199007</v>
      </c>
      <c r="AB22" t="n">
        <v>1.225940617129655</v>
      </c>
      <c r="AC22" t="n">
        <v>1.100346247000801</v>
      </c>
      <c r="AD22" t="n">
        <v>0.9931809360916287</v>
      </c>
      <c r="AE22" t="n">
        <v>0.901316547297207</v>
      </c>
      <c r="AF22" t="n">
        <v>-1.177213079670177</v>
      </c>
      <c r="AG22" t="n">
        <v>-1.243875638578546</v>
      </c>
      <c r="AH22" t="n">
        <v>0.6985907866117659</v>
      </c>
      <c r="AI22" t="n">
        <v>0.6483011372040003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I22" t="inlineStr">
        <is>
          <t>OLD_OB</t>
        </is>
      </c>
    </row>
    <row r="23">
      <c r="A23" t="inlineStr">
        <is>
          <t>Dominica_2023_May</t>
        </is>
      </c>
      <c r="B23" s="2" t="n"/>
      <c r="C23" s="3" t="inlineStr">
        <is>
          <t>SM.23.127, Sup. 1</t>
        </is>
      </c>
      <c r="D23" s="4" t="inlineStr">
        <is>
          <t>Dominica</t>
        </is>
      </c>
      <c r="E23" s="4" t="inlineStr">
        <is>
          <t>DMA</t>
        </is>
      </c>
      <c r="F23" s="10" t="n">
        <v>45047</v>
      </c>
      <c r="G23" s="4" t="inlineStr">
        <is>
          <t>2018gn</t>
        </is>
      </c>
      <c r="H23" s="4" t="n">
        <v>2022</v>
      </c>
      <c r="I23" s="4" t="inlineStr">
        <is>
          <t>old.tds.pc</t>
        </is>
      </c>
      <c r="J23" t="inlineStr">
        <is>
          <t xml:space="preserve">   Paris Club</t>
        </is>
      </c>
      <c r="N23" t="n">
        <v>1.58636577777778</v>
      </c>
      <c r="O23" t="n">
        <v>1.09498322222222</v>
      </c>
      <c r="P23" t="n">
        <v>3.58803185185185</v>
      </c>
      <c r="Q23" t="n">
        <v>2.7186550146926</v>
      </c>
      <c r="R23" t="n">
        <v>2.05992741156748</v>
      </c>
      <c r="S23" t="n">
        <v>1.56080889925156</v>
      </c>
      <c r="T23" t="n">
        <v>1.18262634222102</v>
      </c>
      <c r="U23" t="n">
        <v>0.896077070028068</v>
      </c>
      <c r="V23" t="n">
        <v>0.678958422253732</v>
      </c>
      <c r="W23" t="n">
        <v>0.514447422624974</v>
      </c>
      <c r="X23" t="n">
        <v>0.389797286506852</v>
      </c>
      <c r="Y23" t="n">
        <v>0.295349763427367</v>
      </c>
      <c r="Z23" t="n">
        <v>0.223786788097789</v>
      </c>
      <c r="AA23" t="n">
        <v>0.169563455700686</v>
      </c>
      <c r="AB23" t="n">
        <v>0.128478386742808</v>
      </c>
      <c r="AC23" t="n">
        <v>0.0973481921079284</v>
      </c>
      <c r="AD23" t="n">
        <v>0.07376081492720481</v>
      </c>
      <c r="AE23" t="n">
        <v>0.0558886374869026</v>
      </c>
      <c r="AF23" t="n">
        <v>0.042346872160036</v>
      </c>
      <c r="AG23" t="n">
        <v>0.032086264084693</v>
      </c>
      <c r="AH23" t="n">
        <v>0.0243117918844608</v>
      </c>
      <c r="AI23" t="n">
        <v>0.0184210671293236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I23" t="inlineStr">
        <is>
          <t>OLD_PC_ALL</t>
        </is>
      </c>
    </row>
    <row r="24">
      <c r="A24" t="inlineStr">
        <is>
          <t>Dominica_2023_May</t>
        </is>
      </c>
      <c r="B24" s="2" t="n"/>
      <c r="C24" s="3" t="inlineStr">
        <is>
          <t>SM.23.127, Sup. 1</t>
        </is>
      </c>
      <c r="D24" s="4" t="inlineStr">
        <is>
          <t>Dominica</t>
        </is>
      </c>
      <c r="E24" s="4" t="inlineStr">
        <is>
          <t>DMA</t>
        </is>
      </c>
      <c r="F24" s="10" t="n">
        <v>45047</v>
      </c>
      <c r="G24" s="4" t="inlineStr">
        <is>
          <t>2018gn</t>
        </is>
      </c>
      <c r="H24" s="4" t="n">
        <v>2022</v>
      </c>
      <c r="I24" s="4" t="inlineStr">
        <is>
          <t>old.tds.pc1</t>
        </is>
      </c>
      <c r="J24" t="inlineStr">
        <is>
          <t>Export Credit Agencies</t>
        </is>
      </c>
      <c r="N24" t="n">
        <v>1.58636577777778</v>
      </c>
      <c r="O24" t="n">
        <v>1.09498322222222</v>
      </c>
      <c r="P24" t="n">
        <v>3.58803185185185</v>
      </c>
      <c r="Q24" t="n">
        <v>2.7186550146926</v>
      </c>
      <c r="R24" t="n">
        <v>2.05992741156748</v>
      </c>
      <c r="S24" t="n">
        <v>1.56080889925156</v>
      </c>
      <c r="T24" t="n">
        <v>1.18262634222102</v>
      </c>
      <c r="U24" t="n">
        <v>0.896077070028068</v>
      </c>
      <c r="V24" t="n">
        <v>0.678958422253732</v>
      </c>
      <c r="W24" t="n">
        <v>0.514447422624974</v>
      </c>
      <c r="X24" t="n">
        <v>0.389797286506852</v>
      </c>
      <c r="Y24" t="n">
        <v>0.295349763427367</v>
      </c>
      <c r="Z24" t="n">
        <v>0.223786788097789</v>
      </c>
      <c r="AA24" t="n">
        <v>0.169563455700686</v>
      </c>
      <c r="AB24" t="n">
        <v>0.128478386742808</v>
      </c>
      <c r="AC24" t="n">
        <v>0.0973481921079284</v>
      </c>
      <c r="AD24" t="n">
        <v>0.07376081492720481</v>
      </c>
      <c r="AE24" t="n">
        <v>0.0558886374869026</v>
      </c>
      <c r="AF24" t="n">
        <v>0.042346872160036</v>
      </c>
      <c r="AG24" t="n">
        <v>0.032086264084693</v>
      </c>
      <c r="AH24" t="n">
        <v>0.0243117918844608</v>
      </c>
      <c r="AI24" t="n">
        <v>0.0184210671293236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I24" t="inlineStr">
        <is>
          <t>OLD_PC1</t>
        </is>
      </c>
    </row>
    <row r="25">
      <c r="A25" t="inlineStr">
        <is>
          <t>Dominica_2023_May</t>
        </is>
      </c>
      <c r="B25" s="2" t="n"/>
      <c r="C25" s="3" t="inlineStr">
        <is>
          <t>SM.23.127, Sup. 1</t>
        </is>
      </c>
      <c r="D25" s="4" t="inlineStr">
        <is>
          <t>Dominica</t>
        </is>
      </c>
      <c r="E25" s="4" t="inlineStr">
        <is>
          <t>DMA</t>
        </is>
      </c>
      <c r="F25" s="10" t="n">
        <v>45047</v>
      </c>
      <c r="G25" s="4" t="inlineStr">
        <is>
          <t>2018gn</t>
        </is>
      </c>
      <c r="H25" s="4" t="n">
        <v>2022</v>
      </c>
      <c r="I25" s="4" t="inlineStr">
        <is>
          <t>old.tds.pc2</t>
        </is>
      </c>
      <c r="J25" t="inlineStr">
        <is>
          <t>PC2</t>
        </is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I25" t="inlineStr">
        <is>
          <t>OLD_PC2</t>
        </is>
      </c>
    </row>
    <row r="26">
      <c r="A26" t="inlineStr">
        <is>
          <t>Dominica_2023_May</t>
        </is>
      </c>
      <c r="B26" s="2" t="n"/>
      <c r="C26" s="3" t="inlineStr">
        <is>
          <t>SM.23.127, Sup. 1</t>
        </is>
      </c>
      <c r="D26" s="4" t="inlineStr">
        <is>
          <t>Dominica</t>
        </is>
      </c>
      <c r="E26" s="4" t="inlineStr">
        <is>
          <t>DMA</t>
        </is>
      </c>
      <c r="F26" s="10" t="n">
        <v>45047</v>
      </c>
      <c r="G26" s="4" t="inlineStr">
        <is>
          <t>2018gn</t>
        </is>
      </c>
      <c r="H26" s="4" t="n">
        <v>2022</v>
      </c>
      <c r="I26" s="4" t="inlineStr">
        <is>
          <t>old.tds.pc3</t>
        </is>
      </c>
      <c r="J26" t="inlineStr">
        <is>
          <t>PC3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I26" t="inlineStr">
        <is>
          <t>OLD_PC3</t>
        </is>
      </c>
    </row>
    <row r="27">
      <c r="A27" t="inlineStr">
        <is>
          <t>Dominica_2023_May</t>
        </is>
      </c>
      <c r="B27" s="2" t="n"/>
      <c r="C27" s="3" t="inlineStr">
        <is>
          <t>SM.23.127, Sup. 1</t>
        </is>
      </c>
      <c r="D27" s="4" t="inlineStr">
        <is>
          <t>Dominica</t>
        </is>
      </c>
      <c r="E27" s="4" t="inlineStr">
        <is>
          <t>DMA</t>
        </is>
      </c>
      <c r="F27" s="10" t="n">
        <v>45047</v>
      </c>
      <c r="G27" s="4" t="inlineStr">
        <is>
          <t>2018gn</t>
        </is>
      </c>
      <c r="H27" s="4" t="n">
        <v>2022</v>
      </c>
      <c r="I27" s="4" t="inlineStr">
        <is>
          <t>old.tds.pc4</t>
        </is>
      </c>
      <c r="J27" t="inlineStr">
        <is>
          <t>PC4</t>
        </is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I27" t="inlineStr">
        <is>
          <t>OLD_PC4</t>
        </is>
      </c>
    </row>
    <row r="28">
      <c r="A28" t="inlineStr">
        <is>
          <t>Dominica_2023_May</t>
        </is>
      </c>
      <c r="B28" s="2" t="n"/>
      <c r="C28" s="3" t="inlineStr">
        <is>
          <t>SM.23.127, Sup. 1</t>
        </is>
      </c>
      <c r="D28" s="4" t="inlineStr">
        <is>
          <t>Dominica</t>
        </is>
      </c>
      <c r="E28" s="4" t="inlineStr">
        <is>
          <t>DMA</t>
        </is>
      </c>
      <c r="F28" s="10" t="n">
        <v>45047</v>
      </c>
      <c r="G28" s="4" t="inlineStr">
        <is>
          <t>2018gn</t>
        </is>
      </c>
      <c r="H28" s="4" t="n">
        <v>2022</v>
      </c>
      <c r="I28" s="4" t="inlineStr">
        <is>
          <t>old.tds.pc5</t>
        </is>
      </c>
      <c r="J28" t="inlineStr">
        <is>
          <t>PC5</t>
        </is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I28" t="inlineStr">
        <is>
          <t>OLD_PC5</t>
        </is>
      </c>
    </row>
    <row r="29">
      <c r="A29" t="inlineStr">
        <is>
          <t>Dominica_2023_May</t>
        </is>
      </c>
      <c r="B29" s="2" t="n"/>
      <c r="C29" s="3" t="inlineStr">
        <is>
          <t>SM.23.127, Sup. 1</t>
        </is>
      </c>
      <c r="D29" s="4" t="inlineStr">
        <is>
          <t>Dominica</t>
        </is>
      </c>
      <c r="E29" s="4" t="inlineStr">
        <is>
          <t>DMA</t>
        </is>
      </c>
      <c r="F29" s="10" t="n">
        <v>45047</v>
      </c>
      <c r="G29" s="4" t="inlineStr">
        <is>
          <t>2018gn</t>
        </is>
      </c>
      <c r="H29" s="4" t="n">
        <v>2022</v>
      </c>
      <c r="I29" s="4" t="inlineStr">
        <is>
          <t>old.tds.npc</t>
        </is>
      </c>
      <c r="J29" t="inlineStr">
        <is>
          <t xml:space="preserve">   Non-Paris Club</t>
        </is>
      </c>
      <c r="N29" t="n">
        <v>2.553903078750369</v>
      </c>
      <c r="O29" t="n">
        <v>2.194075726160432</v>
      </c>
      <c r="P29" t="n">
        <v>5.086242558755681</v>
      </c>
      <c r="Q29" t="n">
        <v>3.853428212975194</v>
      </c>
      <c r="R29" t="n">
        <v>3.382476893504489</v>
      </c>
      <c r="S29" t="n">
        <v>2.990300665335802</v>
      </c>
      <c r="T29" t="n">
        <v>2.662030911007974</v>
      </c>
      <c r="U29" t="n">
        <v>2.389713180578186</v>
      </c>
      <c r="V29" t="n">
        <v>2.059881294666321</v>
      </c>
      <c r="W29" t="n">
        <v>1.841526375211058</v>
      </c>
      <c r="X29" t="n">
        <v>1.653088721988174</v>
      </c>
      <c r="Y29" t="n">
        <v>1.48784648481157</v>
      </c>
      <c r="Z29" t="n">
        <v>1.340249675794514</v>
      </c>
      <c r="AA29" t="n">
        <v>1.204848658498321</v>
      </c>
      <c r="AB29" t="n">
        <v>1.097462230386847</v>
      </c>
      <c r="AC29" t="n">
        <v>1.002998054892872</v>
      </c>
      <c r="AD29" t="n">
        <v>0.919420121164424</v>
      </c>
      <c r="AE29" t="n">
        <v>0.8454279098103044</v>
      </c>
      <c r="AF29" t="n">
        <v>-1.219559951830213</v>
      </c>
      <c r="AG29" t="n">
        <v>-1.275961902663239</v>
      </c>
      <c r="AH29" t="n">
        <v>0.6742789947273051</v>
      </c>
      <c r="AI29" t="n">
        <v>0.6298800700746767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I29" t="inlineStr">
        <is>
          <t>OLD_NPC_ALL</t>
        </is>
      </c>
    </row>
    <row r="30">
      <c r="A30" t="inlineStr">
        <is>
          <t>Dominica_2023_May</t>
        </is>
      </c>
      <c r="B30" s="2" t="n"/>
      <c r="C30" s="3" t="inlineStr">
        <is>
          <t>SM.23.127, Sup. 1</t>
        </is>
      </c>
      <c r="D30" s="4" t="inlineStr">
        <is>
          <t>Dominica</t>
        </is>
      </c>
      <c r="E30" s="4" t="inlineStr">
        <is>
          <t>DMA</t>
        </is>
      </c>
      <c r="F30" s="10" t="n">
        <v>45047</v>
      </c>
      <c r="G30" s="4" t="inlineStr">
        <is>
          <t>2018gn</t>
        </is>
      </c>
      <c r="H30" s="4" t="n">
        <v>2022</v>
      </c>
      <c r="I30" s="6" t="inlineStr">
        <is>
          <t>old.tds.npc.eximbk</t>
        </is>
      </c>
      <c r="J30" t="inlineStr">
        <is>
          <t>NPC2</t>
        </is>
      </c>
      <c r="N30" t="n">
        <v>0.0974182222222222</v>
      </c>
      <c r="O30" t="n">
        <v>0.025729962962963</v>
      </c>
      <c r="P30" t="n">
        <v>0.0502312962962963</v>
      </c>
      <c r="Q30" t="n">
        <v>0.0390673083430259</v>
      </c>
      <c r="R30" t="n">
        <v>0.0303845350151077</v>
      </c>
      <c r="S30" t="n">
        <v>0.0236315222942436</v>
      </c>
      <c r="T30" t="n">
        <v>0.0183793777217805</v>
      </c>
      <c r="U30" t="n">
        <v>0.0142945308911465</v>
      </c>
      <c r="V30" t="n">
        <v>0.0111175479655003</v>
      </c>
      <c r="W30" t="n">
        <v>0.008646654703565839</v>
      </c>
      <c r="X30" t="n">
        <v>0.00672492151998851</v>
      </c>
      <c r="Y30" t="n">
        <v>0.00523029668703599</v>
      </c>
      <c r="Z30" t="n">
        <v>0.00406785467356152</v>
      </c>
      <c r="AA30" t="n">
        <v>0.00316376730334081</v>
      </c>
      <c r="AB30" t="n">
        <v>0.00246061483335266</v>
      </c>
      <c r="AC30" t="n">
        <v>0.00191373915259877</v>
      </c>
      <c r="AD30" t="n">
        <v>0.00148840748846471</v>
      </c>
      <c r="AE30" t="n">
        <v>0.00115760648399208</v>
      </c>
      <c r="AF30" t="n">
        <v>0.000900326545093346</v>
      </c>
      <c r="AG30" t="n">
        <v>0.000700227494411017</v>
      </c>
      <c r="AH30" t="n">
        <v>0.000544600785794109</v>
      </c>
      <c r="AI30" t="n">
        <v>0.000423562368308648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I30" t="inlineStr">
        <is>
          <t>OLD_NPC1</t>
        </is>
      </c>
    </row>
    <row r="31">
      <c r="A31" t="inlineStr">
        <is>
          <t>Dominica_2023_May</t>
        </is>
      </c>
      <c r="B31" s="2" t="n"/>
      <c r="C31" s="3" t="inlineStr">
        <is>
          <t>SM.23.127, Sup. 1</t>
        </is>
      </c>
      <c r="D31" s="4" t="inlineStr">
        <is>
          <t>Dominica</t>
        </is>
      </c>
      <c r="E31" s="4" t="inlineStr">
        <is>
          <t>DMA</t>
        </is>
      </c>
      <c r="F31" s="10" t="n">
        <v>45047</v>
      </c>
      <c r="G31" s="4" t="inlineStr">
        <is>
          <t>2018gn</t>
        </is>
      </c>
      <c r="H31" s="4" t="n">
        <v>2022</v>
      </c>
      <c r="I31" s="4" t="inlineStr">
        <is>
          <t>old.tds.npc2</t>
        </is>
      </c>
      <c r="J31" t="inlineStr">
        <is>
          <t>NPC2</t>
        </is>
      </c>
      <c r="N31" t="n">
        <v>0.342404555555556</v>
      </c>
      <c r="O31" t="n">
        <v>0.162514592592593</v>
      </c>
      <c r="P31" t="n">
        <v>0.302746296296296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I31" t="inlineStr">
        <is>
          <t>OLD_NPC2</t>
        </is>
      </c>
    </row>
    <row r="32">
      <c r="A32" t="inlineStr">
        <is>
          <t>Dominica_2023_May</t>
        </is>
      </c>
      <c r="B32" s="2" t="n"/>
      <c r="C32" s="3" t="inlineStr">
        <is>
          <t>SM.23.127, Sup. 1</t>
        </is>
      </c>
      <c r="D32" s="4" t="inlineStr">
        <is>
          <t>Dominica</t>
        </is>
      </c>
      <c r="E32" s="4" t="inlineStr">
        <is>
          <t>DMA</t>
        </is>
      </c>
      <c r="F32" s="10" t="n">
        <v>45047</v>
      </c>
      <c r="G32" s="4" t="inlineStr">
        <is>
          <t>2018gn</t>
        </is>
      </c>
      <c r="H32" s="4" t="n">
        <v>2022</v>
      </c>
      <c r="I32" s="4" t="inlineStr">
        <is>
          <t>old.tds.npc3</t>
        </is>
      </c>
      <c r="J32" t="inlineStr">
        <is>
          <t>NPC3</t>
        </is>
      </c>
      <c r="N32" t="n">
        <v>1.79198581481481</v>
      </c>
      <c r="O32" t="n">
        <v>1.90011344444444</v>
      </c>
      <c r="P32" t="n">
        <v>3.75526959259259</v>
      </c>
      <c r="Q32" t="n">
        <v>3.20879543783812</v>
      </c>
      <c r="R32" t="n">
        <v>2.74184526783396</v>
      </c>
      <c r="S32" t="n">
        <v>2.34284659722915</v>
      </c>
      <c r="T32" t="n">
        <v>2.00191099131003</v>
      </c>
      <c r="U32" t="n">
        <v>1.7105889996672</v>
      </c>
      <c r="V32" t="n">
        <v>1.4616607523932</v>
      </c>
      <c r="W32" t="n">
        <v>1.24895702912991</v>
      </c>
      <c r="X32" t="n">
        <v>1.06720636649714</v>
      </c>
      <c r="Y32" t="n">
        <v>0.911904414746323</v>
      </c>
      <c r="Z32" t="n">
        <v>0.779202305888854</v>
      </c>
      <c r="AA32" t="n">
        <v>0.665811266711992</v>
      </c>
      <c r="AB32" t="n">
        <v>0.568921112694783</v>
      </c>
      <c r="AC32" t="n">
        <v>0.486130602848268</v>
      </c>
      <c r="AD32" t="n">
        <v>0.415387929455176</v>
      </c>
      <c r="AE32" t="n">
        <v>0.354939867858749</v>
      </c>
      <c r="AF32" t="n">
        <v>0.303288326073473</v>
      </c>
      <c r="AG32" t="n">
        <v>0.25915321738119</v>
      </c>
      <c r="AH32" t="n">
        <v>0.221440735779433</v>
      </c>
      <c r="AI32" t="n">
        <v>0.189216248048386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I32" t="inlineStr">
        <is>
          <t>OLD_NPC3</t>
        </is>
      </c>
    </row>
    <row r="33">
      <c r="A33" t="inlineStr">
        <is>
          <t>Dominica_2023_May</t>
        </is>
      </c>
      <c r="B33" s="2" t="n"/>
      <c r="C33" s="3" t="inlineStr">
        <is>
          <t>SM.23.127, Sup. 1</t>
        </is>
      </c>
      <c r="D33" s="4" t="inlineStr">
        <is>
          <t>Dominica</t>
        </is>
      </c>
      <c r="E33" s="4" t="inlineStr">
        <is>
          <t>DMA</t>
        </is>
      </c>
      <c r="F33" s="10" t="n">
        <v>45047</v>
      </c>
      <c r="G33" s="4" t="inlineStr">
        <is>
          <t>2018gn</t>
        </is>
      </c>
      <c r="H33" s="4" t="n">
        <v>2022</v>
      </c>
      <c r="I33" s="4" t="inlineStr">
        <is>
          <t>old.tds.npc4</t>
        </is>
      </c>
      <c r="J33" t="inlineStr">
        <is>
          <t>NPC4</t>
        </is>
      </c>
      <c r="N33" t="n">
        <v>0.000494486157779438</v>
      </c>
      <c r="O33" t="n">
        <v>0.0004944669011755</v>
      </c>
      <c r="P33" t="n">
        <v>0.000494447644571562</v>
      </c>
      <c r="Q33" t="n">
        <v>0.000494428387967623</v>
      </c>
      <c r="R33" t="n">
        <v>0.000494409131363685</v>
      </c>
      <c r="S33" t="n">
        <v>0.000494389874759747</v>
      </c>
      <c r="T33" t="n">
        <v>0.000494370618155808</v>
      </c>
      <c r="U33" t="n">
        <v>0.00049435136155187</v>
      </c>
      <c r="V33" t="n">
        <v>0.000494332104947932</v>
      </c>
      <c r="W33" t="n">
        <v>0.000494312848343994</v>
      </c>
      <c r="X33" t="n">
        <v>0.000494293591740055</v>
      </c>
      <c r="Y33" t="n">
        <v>0.0004942743351361171</v>
      </c>
      <c r="Z33" t="n">
        <v>0.000492348674742291</v>
      </c>
      <c r="AA33" t="n">
        <v>0.000492348674742291</v>
      </c>
      <c r="AB33" t="n">
        <v>0.000492348674742291</v>
      </c>
      <c r="AC33" t="n">
        <v>0.000492348674742291</v>
      </c>
      <c r="AD33" t="n">
        <v>0.000492348674742291</v>
      </c>
      <c r="AE33" t="n">
        <v>0.000492348674742291</v>
      </c>
      <c r="AF33" t="n">
        <v>0.000533564174841036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I33" t="inlineStr">
        <is>
          <t>OLD_NPC4</t>
        </is>
      </c>
    </row>
    <row r="34">
      <c r="A34" t="inlineStr">
        <is>
          <t>Dominica_2023_May</t>
        </is>
      </c>
      <c r="B34" s="2" t="n"/>
      <c r="C34" s="3" t="inlineStr">
        <is>
          <t>SM.23.127, Sup. 1</t>
        </is>
      </c>
      <c r="D34" s="4" t="inlineStr">
        <is>
          <t>Dominica</t>
        </is>
      </c>
      <c r="E34" s="4" t="inlineStr">
        <is>
          <t>DMA</t>
        </is>
      </c>
      <c r="F34" s="10" t="n">
        <v>45047</v>
      </c>
      <c r="G34" s="4" t="inlineStr">
        <is>
          <t>2018gn</t>
        </is>
      </c>
      <c r="H34" s="4" t="n">
        <v>2022</v>
      </c>
      <c r="I34" s="4" t="inlineStr">
        <is>
          <t>old.tds.npc5</t>
        </is>
      </c>
      <c r="J34" t="inlineStr">
        <is>
          <t>NPC5</t>
        </is>
      </c>
      <c r="N34" t="n">
        <v>0.321600000000001</v>
      </c>
      <c r="O34" t="n">
        <v>0.10522325925926</v>
      </c>
      <c r="P34" t="n">
        <v>0.977500925925927</v>
      </c>
      <c r="Q34" t="n">
        <v>0.605071038406081</v>
      </c>
      <c r="R34" t="n">
        <v>0.609752681524058</v>
      </c>
      <c r="S34" t="n">
        <v>0.623328155937649</v>
      </c>
      <c r="T34" t="n">
        <v>0.641246171358007</v>
      </c>
      <c r="U34" t="n">
        <v>0.664335298658288</v>
      </c>
      <c r="V34" t="n">
        <v>0.586608662202672</v>
      </c>
      <c r="W34" t="n">
        <v>0.583428378529238</v>
      </c>
      <c r="X34" t="n">
        <v>0.578663140379306</v>
      </c>
      <c r="Y34" t="n">
        <v>0.5702174990430749</v>
      </c>
      <c r="Z34" t="n">
        <v>0.556487166557356</v>
      </c>
      <c r="AA34" t="n">
        <v>0.535381275808246</v>
      </c>
      <c r="AB34" t="n">
        <v>0.525588154183969</v>
      </c>
      <c r="AC34" t="n">
        <v>0.514461364217263</v>
      </c>
      <c r="AD34" t="n">
        <v>0.502051435546041</v>
      </c>
      <c r="AE34" t="n">
        <v>0.488838086792821</v>
      </c>
      <c r="AF34" t="n">
        <v>-1.52428216862362</v>
      </c>
      <c r="AG34" t="n">
        <v>-1.53581534753884</v>
      </c>
      <c r="AH34" t="n">
        <v>0.452293658162078</v>
      </c>
      <c r="AI34" t="n">
        <v>0.440240259657982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I34" t="inlineStr">
        <is>
          <t>OLD_NPC5</t>
        </is>
      </c>
    </row>
    <row r="35">
      <c r="A35" t="inlineStr">
        <is>
          <t>Dominica_2023_May</t>
        </is>
      </c>
      <c r="B35" s="2" t="n"/>
      <c r="C35" s="3" t="inlineStr">
        <is>
          <t>SM.23.127, Sup. 1</t>
        </is>
      </c>
      <c r="D35" s="4" t="inlineStr">
        <is>
          <t>Dominica</t>
        </is>
      </c>
      <c r="E35" s="4" t="inlineStr">
        <is>
          <t>DMA</t>
        </is>
      </c>
      <c r="F35" s="10" t="n">
        <v>45047</v>
      </c>
      <c r="G35" s="4" t="inlineStr">
        <is>
          <t>2018gn</t>
        </is>
      </c>
      <c r="H35" s="4" t="n">
        <v>2022</v>
      </c>
      <c r="I35" s="4" t="inlineStr">
        <is>
          <t>old.tds.prvt</t>
        </is>
      </c>
      <c r="J35" t="inlineStr">
        <is>
          <t>Commercial</t>
        </is>
      </c>
      <c r="N35" t="n">
        <v>4.87146819259007</v>
      </c>
      <c r="O35" t="n">
        <v>3.64651556561577</v>
      </c>
      <c r="P35" t="n">
        <v>5.05071934604886</v>
      </c>
      <c r="Q35" t="n">
        <v>5.61054802267405</v>
      </c>
      <c r="R35" t="n">
        <v>4.61719000030747</v>
      </c>
      <c r="S35" t="n">
        <v>4.39762033694653</v>
      </c>
      <c r="T35" t="n">
        <v>4.25484111590757</v>
      </c>
      <c r="U35" t="n">
        <v>4.39355735797973</v>
      </c>
      <c r="V35" t="n">
        <v>4.26500515278471</v>
      </c>
      <c r="W35" t="n">
        <v>4.00487572640636</v>
      </c>
      <c r="X35" t="n">
        <v>3.8908826560656</v>
      </c>
      <c r="Y35" t="n">
        <v>3.79752443598605</v>
      </c>
      <c r="Z35" t="n">
        <v>3.82896891299429</v>
      </c>
      <c r="AA35" t="n">
        <v>2.02493094299751</v>
      </c>
      <c r="AB35" t="n">
        <v>0.57017038217058</v>
      </c>
      <c r="AC35" t="n">
        <v>0.537826132962544</v>
      </c>
      <c r="AD35" t="n">
        <v>0.507316686980956</v>
      </c>
      <c r="AE35" t="n">
        <v>0.478537960719096</v>
      </c>
      <c r="AF35" t="n">
        <v>0.451391775050734</v>
      </c>
      <c r="AG35" t="n">
        <v>0.425785520290327</v>
      </c>
      <c r="AH35" t="n">
        <v>0.401631840253465</v>
      </c>
      <c r="AI35" t="n">
        <v>0.378848334239724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I35" t="inlineStr">
        <is>
          <t>OLD_COM_ALL</t>
        </is>
      </c>
    </row>
    <row r="36">
      <c r="A36" t="inlineStr">
        <is>
          <t>Dominica_2023_May</t>
        </is>
      </c>
      <c r="B36" s="2" t="n"/>
      <c r="C36" s="3" t="inlineStr">
        <is>
          <t>SM.23.127, Sup. 1</t>
        </is>
      </c>
      <c r="D36" s="4" t="inlineStr">
        <is>
          <t>Dominica</t>
        </is>
      </c>
      <c r="E36" s="4" t="inlineStr">
        <is>
          <t>DMA</t>
        </is>
      </c>
      <c r="F36" s="10" t="n">
        <v>45047</v>
      </c>
      <c r="G36" s="4" t="inlineStr">
        <is>
          <t>2018gn</t>
        </is>
      </c>
      <c r="H36" s="4" t="n">
        <v>2022</v>
      </c>
      <c r="I36" s="4" t="inlineStr">
        <is>
          <t>old.tds.prvt.bnd</t>
        </is>
      </c>
      <c r="J36" t="inlineStr">
        <is>
          <t>Eurobond</t>
        </is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I36" t="inlineStr">
        <is>
          <t>OLD_COM1</t>
        </is>
      </c>
    </row>
    <row r="37">
      <c r="A37" t="inlineStr">
        <is>
          <t>Dominica_2023_May</t>
        </is>
      </c>
      <c r="B37" s="2" t="n"/>
      <c r="C37" s="3" t="inlineStr">
        <is>
          <t>SM.23.127, Sup. 1</t>
        </is>
      </c>
      <c r="D37" s="4" t="inlineStr">
        <is>
          <t>Dominica</t>
        </is>
      </c>
      <c r="E37" s="4" t="inlineStr">
        <is>
          <t>DMA</t>
        </is>
      </c>
      <c r="F37" s="10" t="n">
        <v>45047</v>
      </c>
      <c r="G37" s="4" t="inlineStr">
        <is>
          <t>2018gn</t>
        </is>
      </c>
      <c r="H37" s="4" t="n">
        <v>2022</v>
      </c>
      <c r="I37" s="4" t="inlineStr">
        <is>
          <t>old.tds.prvt.cmbk</t>
        </is>
      </c>
      <c r="J37" t="inlineStr">
        <is>
          <t>Commecial Bank</t>
        </is>
      </c>
      <c r="N37" t="n">
        <v>4.87146819259007</v>
      </c>
      <c r="O37" t="n">
        <v>3.64651556561577</v>
      </c>
      <c r="P37" t="n">
        <v>5.05071934604886</v>
      </c>
      <c r="Q37" t="n">
        <v>5.61054802267405</v>
      </c>
      <c r="R37" t="n">
        <v>4.61719000030747</v>
      </c>
      <c r="S37" t="n">
        <v>4.39762033694653</v>
      </c>
      <c r="T37" t="n">
        <v>4.25484111590757</v>
      </c>
      <c r="U37" t="n">
        <v>4.39355735797973</v>
      </c>
      <c r="V37" t="n">
        <v>4.26500515278471</v>
      </c>
      <c r="W37" t="n">
        <v>4.00487572640636</v>
      </c>
      <c r="X37" t="n">
        <v>3.8908826560656</v>
      </c>
      <c r="Y37" t="n">
        <v>3.79752443598605</v>
      </c>
      <c r="Z37" t="n">
        <v>3.82896891299429</v>
      </c>
      <c r="AA37" t="n">
        <v>2.02493094299751</v>
      </c>
      <c r="AB37" t="n">
        <v>0.57017038217058</v>
      </c>
      <c r="AC37" t="n">
        <v>0.537826132962544</v>
      </c>
      <c r="AD37" t="n">
        <v>0.507316686980956</v>
      </c>
      <c r="AE37" t="n">
        <v>0.478537960719096</v>
      </c>
      <c r="AF37" t="n">
        <v>0.451391775050734</v>
      </c>
      <c r="AG37" t="n">
        <v>0.425785520290327</v>
      </c>
      <c r="AH37" t="n">
        <v>0.401631840253465</v>
      </c>
      <c r="AI37" t="n">
        <v>0.378848334239724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I37" t="inlineStr">
        <is>
          <t>OLD_COM2</t>
        </is>
      </c>
    </row>
    <row r="38">
      <c r="A38" t="inlineStr">
        <is>
          <t>Dominica_2023_May</t>
        </is>
      </c>
      <c r="B38" s="2" t="n"/>
      <c r="C38" s="3" t="inlineStr">
        <is>
          <t>SM.23.127, Sup. 1</t>
        </is>
      </c>
      <c r="D38" s="4" t="inlineStr">
        <is>
          <t>Dominica</t>
        </is>
      </c>
      <c r="E38" s="4" t="inlineStr">
        <is>
          <t>DMA</t>
        </is>
      </c>
      <c r="F38" s="10" t="n">
        <v>45047</v>
      </c>
      <c r="G38" s="4" t="inlineStr">
        <is>
          <t>2018gn</t>
        </is>
      </c>
      <c r="H38" s="4" t="n">
        <v>2022</v>
      </c>
      <c r="I38" s="4" t="inlineStr">
        <is>
          <t>old.tds.prvt.com3</t>
        </is>
      </c>
      <c r="J38" t="inlineStr">
        <is>
          <t>COM3</t>
        </is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I38" t="inlineStr">
        <is>
          <t>OLD_COM3</t>
        </is>
      </c>
    </row>
    <row r="39">
      <c r="A39" t="inlineStr">
        <is>
          <t>Dominica_2023_May</t>
        </is>
      </c>
      <c r="B39" s="2" t="n"/>
      <c r="C39" s="3" t="inlineStr">
        <is>
          <t>SM.23.127, Sup. 1</t>
        </is>
      </c>
      <c r="D39" s="4" t="inlineStr">
        <is>
          <t>Dominica</t>
        </is>
      </c>
      <c r="E39" s="4" t="inlineStr">
        <is>
          <t>DMA</t>
        </is>
      </c>
      <c r="F39" s="10" t="n">
        <v>45047</v>
      </c>
      <c r="G39" s="4" t="inlineStr">
        <is>
          <t>2018gn</t>
        </is>
      </c>
      <c r="H39" s="4" t="n">
        <v>2022</v>
      </c>
      <c r="I39" s="4" t="inlineStr">
        <is>
          <t>old.tds.prvt.com4</t>
        </is>
      </c>
      <c r="J39" t="inlineStr">
        <is>
          <t>COM4</t>
        </is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0</v>
      </c>
      <c r="BD39" t="n">
        <v>0</v>
      </c>
      <c r="BE39" t="n">
        <v>0</v>
      </c>
      <c r="BF39" t="n">
        <v>0</v>
      </c>
      <c r="BG39" t="n">
        <v>0</v>
      </c>
      <c r="BI39" t="inlineStr">
        <is>
          <t>OLD_COM4</t>
        </is>
      </c>
    </row>
    <row r="40">
      <c r="A40" t="inlineStr">
        <is>
          <t>Dominica_2023_May</t>
        </is>
      </c>
      <c r="B40" s="2" t="n"/>
      <c r="C40" s="3" t="inlineStr">
        <is>
          <t>SM.23.127, Sup. 1</t>
        </is>
      </c>
      <c r="D40" s="4" t="inlineStr">
        <is>
          <t>Dominica</t>
        </is>
      </c>
      <c r="E40" s="4" t="inlineStr">
        <is>
          <t>DMA</t>
        </is>
      </c>
      <c r="F40" s="10" t="n">
        <v>45047</v>
      </c>
      <c r="G40" s="4" t="inlineStr">
        <is>
          <t>2018gn</t>
        </is>
      </c>
      <c r="H40" s="4" t="n">
        <v>2022</v>
      </c>
      <c r="I40" s="4" t="inlineStr">
        <is>
          <t>old.tds.prvt.com5</t>
        </is>
      </c>
      <c r="J40" t="inlineStr">
        <is>
          <t>COM5</t>
        </is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I40" t="inlineStr">
        <is>
          <t>OLD_COM5</t>
        </is>
      </c>
    </row>
    <row r="41">
      <c r="A41" t="inlineStr">
        <is>
          <t>Dominica_2023_May</t>
        </is>
      </c>
      <c r="B41" s="2" t="n"/>
      <c r="C41" s="3" t="inlineStr">
        <is>
          <t>SM.23.127, Sup. 1</t>
        </is>
      </c>
      <c r="D41" s="4" t="inlineStr">
        <is>
          <t>Dominica</t>
        </is>
      </c>
      <c r="E41" s="4" t="inlineStr">
        <is>
          <t>DMA</t>
        </is>
      </c>
      <c r="F41" s="10" t="n">
        <v>45047</v>
      </c>
      <c r="G41" s="4" t="inlineStr">
        <is>
          <t>2018gn</t>
        </is>
      </c>
      <c r="H41" s="4" t="n">
        <v>2022</v>
      </c>
      <c r="I41" s="5" t="n"/>
    </row>
    <row r="42">
      <c r="A42" t="inlineStr">
        <is>
          <t>Dominica_2023_May</t>
        </is>
      </c>
      <c r="B42" s="2" t="n"/>
      <c r="C42" s="3" t="inlineStr">
        <is>
          <t>SM.23.127, Sup. 1</t>
        </is>
      </c>
      <c r="D42" s="4" t="inlineStr">
        <is>
          <t>Dominica</t>
        </is>
      </c>
      <c r="E42" s="4" t="inlineStr">
        <is>
          <t>DMA</t>
        </is>
      </c>
      <c r="F42" s="10" t="n">
        <v>45047</v>
      </c>
      <c r="G42" s="4" t="inlineStr">
        <is>
          <t>2018gn</t>
        </is>
      </c>
      <c r="H42" s="4" t="n">
        <v>2022</v>
      </c>
      <c r="I42" s="4" t="inlineStr">
        <is>
          <t>old.tds.exc.lcl.iss</t>
        </is>
      </c>
      <c r="J42" t="inlineStr">
        <is>
          <t>Total external debt (excluding locally-issued debt)</t>
        </is>
      </c>
      <c r="N42" t="n">
        <v>26.76410856763673</v>
      </c>
      <c r="O42" t="n">
        <v>14.92018955103546</v>
      </c>
      <c r="P42" t="n">
        <v>33.61785953443412</v>
      </c>
      <c r="Q42" t="n">
        <v>32.44030906684368</v>
      </c>
      <c r="R42" t="n">
        <v>28.15478560815923</v>
      </c>
      <c r="S42" t="n">
        <v>25.35031711875787</v>
      </c>
      <c r="T42" t="n">
        <v>21.97794816812981</v>
      </c>
      <c r="U42" t="n">
        <v>20.60770962119953</v>
      </c>
      <c r="V42" t="n">
        <v>18.96017193177536</v>
      </c>
      <c r="W42" t="n">
        <v>17.7180562091795</v>
      </c>
      <c r="X42" t="n">
        <v>16.62078334938877</v>
      </c>
      <c r="Y42" t="n">
        <v>15.77743538049518</v>
      </c>
      <c r="Z42" t="n">
        <v>15.13230985886969</v>
      </c>
      <c r="AA42" t="n">
        <v>12.71087255408127</v>
      </c>
      <c r="AB42" t="n">
        <v>10.70692448896036</v>
      </c>
      <c r="AC42" t="n">
        <v>10.17315394839658</v>
      </c>
      <c r="AD42" t="n">
        <v>9.186736075578576</v>
      </c>
      <c r="AE42" t="n">
        <v>8.238601239414226</v>
      </c>
      <c r="AF42" t="n">
        <v>5.496408460011594</v>
      </c>
      <c r="AG42" t="n">
        <v>5.150371117415419</v>
      </c>
      <c r="AH42" t="n">
        <v>6.831828939250098</v>
      </c>
      <c r="AI42" t="n">
        <v>6.537585520127508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</row>
    <row r="43">
      <c r="A43" t="inlineStr">
        <is>
          <t>Dominica_2023_May</t>
        </is>
      </c>
      <c r="B43" s="2" t="n"/>
      <c r="C43" s="3" t="inlineStr">
        <is>
          <t>SM.23.127, Sup. 1</t>
        </is>
      </c>
      <c r="D43" s="4" t="inlineStr">
        <is>
          <t>Dominica</t>
        </is>
      </c>
      <c r="E43" s="4" t="inlineStr">
        <is>
          <t>DMA</t>
        </is>
      </c>
      <c r="F43" s="10" t="n">
        <v>45047</v>
      </c>
      <c r="G43" s="4" t="inlineStr">
        <is>
          <t>2018gn</t>
        </is>
      </c>
      <c r="H43" s="4" t="n">
        <v>2022</v>
      </c>
      <c r="I43" s="7" t="inlineStr">
        <is>
          <t>old.tds.exc.lcl.iss.amt</t>
        </is>
      </c>
      <c r="J43" t="inlineStr">
        <is>
          <t xml:space="preserve">    of which: principal</t>
        </is>
      </c>
      <c r="N43" t="n">
        <v>18.08511343189878</v>
      </c>
      <c r="O43" t="n">
        <v>11.30507166039381</v>
      </c>
      <c r="P43" t="n">
        <v>25.52684566039381</v>
      </c>
      <c r="Q43" t="n">
        <v>24.02525239648941</v>
      </c>
      <c r="R43" t="n">
        <v>20.28400716957863</v>
      </c>
      <c r="S43" t="n">
        <v>18.12359417877467</v>
      </c>
      <c r="T43" t="n">
        <v>15.52355638777615</v>
      </c>
      <c r="U43" t="n">
        <v>14.10181460319574</v>
      </c>
      <c r="V43" t="n">
        <v>11.78633907808611</v>
      </c>
      <c r="W43" t="n">
        <v>10.07618443951311</v>
      </c>
      <c r="X43" t="n">
        <v>9.055553412936296</v>
      </c>
      <c r="Y43" t="n">
        <v>7.171263440603221</v>
      </c>
      <c r="Z43" t="n">
        <v>6.684669853832629</v>
      </c>
      <c r="AA43" t="n">
        <v>4.528248749954777</v>
      </c>
      <c r="AB43" t="n">
        <v>3.220158742823185</v>
      </c>
      <c r="AC43" t="n">
        <v>2.85359112755711</v>
      </c>
      <c r="AD43" t="n">
        <v>3.355123842892851</v>
      </c>
      <c r="AE43" t="n">
        <v>2.558198452789518</v>
      </c>
      <c r="AF43" t="n">
        <v>1.947452258222592</v>
      </c>
      <c r="AG43" t="n">
        <v>1.699930696176925</v>
      </c>
      <c r="AH43" t="n">
        <v>1.510915782135444</v>
      </c>
      <c r="AI43" t="n">
        <v>1.338173772322963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</row>
    <row r="44">
      <c r="A44" t="inlineStr">
        <is>
          <t>Dominica_2023_May</t>
        </is>
      </c>
      <c r="B44" s="2" t="n"/>
      <c r="C44" s="3" t="inlineStr">
        <is>
          <t>SM.23.127, Sup. 1</t>
        </is>
      </c>
      <c r="D44" s="4" t="inlineStr">
        <is>
          <t>Dominica</t>
        </is>
      </c>
      <c r="E44" s="4" t="inlineStr">
        <is>
          <t>DMA</t>
        </is>
      </c>
      <c r="F44" s="10" t="n">
        <v>45047</v>
      </c>
      <c r="G44" s="4" t="inlineStr">
        <is>
          <t>2018gn</t>
        </is>
      </c>
      <c r="H44" s="4" t="n">
        <v>2022</v>
      </c>
      <c r="I44" s="4" t="inlineStr">
        <is>
          <t>old.tds.exc.lcl.iss.int</t>
        </is>
      </c>
      <c r="J44" t="inlineStr">
        <is>
          <t xml:space="preserve">    of which: interest</t>
        </is>
      </c>
      <c r="N44" t="n">
        <v>8.678995135737956</v>
      </c>
      <c r="O44" t="n">
        <v>3.615117890641649</v>
      </c>
      <c r="P44" t="n">
        <v>8.091013874040303</v>
      </c>
      <c r="Q44" t="n">
        <v>8.415056670354275</v>
      </c>
      <c r="R44" t="n">
        <v>7.870778438580597</v>
      </c>
      <c r="S44" t="n">
        <v>7.226722939983205</v>
      </c>
      <c r="T44" t="n">
        <v>6.454391780353665</v>
      </c>
      <c r="U44" t="n">
        <v>6.505895018003793</v>
      </c>
      <c r="V44" t="n">
        <v>7.173832853689253</v>
      </c>
      <c r="W44" t="n">
        <v>7.641871769666395</v>
      </c>
      <c r="X44" t="n">
        <v>7.56522993645247</v>
      </c>
      <c r="Y44" t="n">
        <v>8.606171939891958</v>
      </c>
      <c r="Z44" t="n">
        <v>8.447640005037066</v>
      </c>
      <c r="AA44" t="n">
        <v>8.182623804126489</v>
      </c>
      <c r="AB44" t="n">
        <v>7.486765746137178</v>
      </c>
      <c r="AC44" t="n">
        <v>7.319562820839468</v>
      </c>
      <c r="AD44" t="n">
        <v>5.831612232685725</v>
      </c>
      <c r="AE44" t="n">
        <v>5.680402786624708</v>
      </c>
      <c r="AF44" t="n">
        <v>3.548956201789002</v>
      </c>
      <c r="AG44" t="n">
        <v>3.450440421238494</v>
      </c>
      <c r="AH44" t="n">
        <v>5.320913157114654</v>
      </c>
      <c r="AI44" t="n">
        <v>5.199411747804545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</row>
    <row r="45">
      <c r="A45" t="inlineStr">
        <is>
          <t>Dominica_2023_May</t>
        </is>
      </c>
      <c r="B45" s="2" t="n"/>
      <c r="C45" s="3" t="inlineStr">
        <is>
          <t>SM.23.127, Sup. 1</t>
        </is>
      </c>
      <c r="D45" s="4" t="inlineStr">
        <is>
          <t>Dominica</t>
        </is>
      </c>
      <c r="E45" s="4" t="inlineStr">
        <is>
          <t>DMA</t>
        </is>
      </c>
      <c r="F45" s="10" t="n">
        <v>45047</v>
      </c>
      <c r="G45" s="4" t="inlineStr">
        <is>
          <t>2018gn</t>
        </is>
      </c>
      <c r="H45" s="4" t="n">
        <v>2022</v>
      </c>
      <c r="I45" s="5" t="n"/>
      <c r="J45" t="inlineStr">
        <is>
          <t>(hide) Evolution of debt (excluding locally-issued debt)</t>
        </is>
      </c>
      <c r="N45" t="n">
        <v>407.075642519048</v>
      </c>
      <c r="O45" t="n">
        <v>395.7705708586542</v>
      </c>
      <c r="P45" t="n">
        <v>370.2437251982604</v>
      </c>
      <c r="Q45" t="n">
        <v>346.218472801771</v>
      </c>
      <c r="R45" t="n">
        <v>325.9344656321924</v>
      </c>
      <c r="S45" t="n">
        <v>307.8108714534177</v>
      </c>
      <c r="T45" t="n">
        <v>292.2873150656416</v>
      </c>
      <c r="U45" t="n">
        <v>278.1855004624458</v>
      </c>
      <c r="V45" t="n">
        <v>266.3991613843597</v>
      </c>
      <c r="W45" t="n">
        <v>256.3229769448466</v>
      </c>
      <c r="X45" t="n">
        <v>247.2674235319103</v>
      </c>
      <c r="Y45" t="n">
        <v>240.0961600913071</v>
      </c>
      <c r="Z45" t="n">
        <v>233.4114902374745</v>
      </c>
      <c r="AA45" t="n">
        <v>228.8832414875197</v>
      </c>
      <c r="AB45" t="n">
        <v>225.6630827446966</v>
      </c>
      <c r="AC45" t="n">
        <v>222.8094916171395</v>
      </c>
      <c r="AD45" t="n">
        <v>219.4543677742466</v>
      </c>
      <c r="AE45" t="n">
        <v>216.8961693214571</v>
      </c>
      <c r="AF45" t="n">
        <v>214.9487170632345</v>
      </c>
      <c r="AG45" t="n">
        <v>213.2487863670576</v>
      </c>
      <c r="AH45" t="n">
        <v>211.7378705849221</v>
      </c>
      <c r="AI45" t="n">
        <v>210.3996968125992</v>
      </c>
      <c r="AJ45" t="n">
        <v>210.3996968125992</v>
      </c>
      <c r="AK45" t="n">
        <v>210.3996968125992</v>
      </c>
      <c r="AL45" t="n">
        <v>210.3996968125992</v>
      </c>
      <c r="AM45" t="n">
        <v>210.3996968125992</v>
      </c>
      <c r="AN45" t="n">
        <v>210.3996968125992</v>
      </c>
      <c r="AO45" t="n">
        <v>210.3996968125992</v>
      </c>
      <c r="AP45" t="n">
        <v>210.3996968125992</v>
      </c>
      <c r="AQ45" t="n">
        <v>210.3996968125992</v>
      </c>
      <c r="AR45" t="n">
        <v>210.3996968125992</v>
      </c>
      <c r="AS45" t="n">
        <v>210.3996968125992</v>
      </c>
      <c r="AT45" t="n">
        <v>210.3996968125992</v>
      </c>
      <c r="AU45" t="n">
        <v>210.3996968125992</v>
      </c>
      <c r="AV45" t="n">
        <v>210.3996968125992</v>
      </c>
      <c r="AW45" t="n">
        <v>210.3996968125992</v>
      </c>
      <c r="AX45" t="n">
        <v>210.3996968125992</v>
      </c>
      <c r="AY45" t="n">
        <v>210.3996968125992</v>
      </c>
      <c r="AZ45" t="n">
        <v>210.3996968125992</v>
      </c>
      <c r="BA45" t="n">
        <v>210.3996968125992</v>
      </c>
      <c r="BB45" t="n">
        <v>210.3996968125992</v>
      </c>
      <c r="BC45" t="n">
        <v>210.3996968125992</v>
      </c>
      <c r="BD45" t="n">
        <v>210.3996968125992</v>
      </c>
      <c r="BE45" t="n">
        <v>210.3996968125992</v>
      </c>
      <c r="BF45" t="n">
        <v>210.3996968125992</v>
      </c>
      <c r="BG45" t="n">
        <v>210.3996968125992</v>
      </c>
    </row>
    <row r="46">
      <c r="A46" t="inlineStr">
        <is>
          <t>Dominica_2023_May</t>
        </is>
      </c>
      <c r="B46" s="2" t="n"/>
      <c r="C46" s="3" t="inlineStr">
        <is>
          <t>SM.23.127, Sup. 1</t>
        </is>
      </c>
      <c r="D46" s="4" t="inlineStr">
        <is>
          <t>Dominica</t>
        </is>
      </c>
      <c r="E46" s="4" t="inlineStr">
        <is>
          <t>DMA</t>
        </is>
      </c>
      <c r="F46" s="10" t="n">
        <v>45047</v>
      </c>
      <c r="G46" s="4" t="inlineStr">
        <is>
          <t>2018gn</t>
        </is>
      </c>
      <c r="H46" s="4" t="n">
        <v>2022</v>
      </c>
      <c r="I46" s="5" t="n"/>
      <c r="J46" t="inlineStr">
        <is>
          <t>check (outstanding as of end-2021 - total debt services)</t>
        </is>
      </c>
      <c r="N46" t="n">
        <v>210.3996968125991</v>
      </c>
    </row>
    <row r="47">
      <c r="A47" t="inlineStr">
        <is>
          <t>Dominica_2023_May</t>
        </is>
      </c>
      <c r="B47" s="2" t="n"/>
      <c r="C47" s="3" t="inlineStr">
        <is>
          <t>SM.23.127, Sup. 1</t>
        </is>
      </c>
      <c r="D47" s="4" t="inlineStr">
        <is>
          <t>Dominica</t>
        </is>
      </c>
      <c r="E47" s="4" t="inlineStr">
        <is>
          <t>DMA</t>
        </is>
      </c>
      <c r="F47" s="10" t="n">
        <v>45047</v>
      </c>
      <c r="G47" s="4" t="inlineStr">
        <is>
          <t>2018gn</t>
        </is>
      </c>
      <c r="H47" s="4" t="n">
        <v>2022</v>
      </c>
      <c r="I47" s="5" t="n"/>
    </row>
    <row r="48">
      <c r="A48" t="inlineStr">
        <is>
          <t>Dominica_2023_May</t>
        </is>
      </c>
      <c r="B48" s="2" t="n"/>
      <c r="C48" s="3" t="inlineStr">
        <is>
          <t>SM.23.127, Sup. 1</t>
        </is>
      </c>
      <c r="D48" s="4" t="inlineStr">
        <is>
          <t>Dominica</t>
        </is>
      </c>
      <c r="E48" s="4" t="inlineStr">
        <is>
          <t>DMA</t>
        </is>
      </c>
      <c r="F48" s="10" t="n">
        <v>45047</v>
      </c>
      <c r="G48" s="4" t="inlineStr">
        <is>
          <t>2018gn</t>
        </is>
      </c>
      <c r="H48" s="4" t="n">
        <v>2022</v>
      </c>
      <c r="I48" s="5" t="n"/>
      <c r="J48" t="inlineStr">
        <is>
          <t>Locally-issued debt</t>
        </is>
      </c>
    </row>
    <row r="49">
      <c r="A49" t="inlineStr">
        <is>
          <t>Dominica_2023_May</t>
        </is>
      </c>
      <c r="B49" s="2" t="n"/>
      <c r="C49" s="3" t="inlineStr">
        <is>
          <t>SM.23.127, Sup. 1</t>
        </is>
      </c>
      <c r="D49" s="4" t="inlineStr">
        <is>
          <t>Dominica</t>
        </is>
      </c>
      <c r="E49" s="4" t="inlineStr">
        <is>
          <t>DMA</t>
        </is>
      </c>
      <c r="F49" s="10" t="n">
        <v>45047</v>
      </c>
      <c r="G49" s="4" t="inlineStr">
        <is>
          <t>2018gn</t>
        </is>
      </c>
      <c r="H49" s="4" t="n">
        <v>2022</v>
      </c>
      <c r="I49" s="4" t="inlineStr">
        <is>
          <t>old.tds.lcl.nres</t>
        </is>
      </c>
      <c r="J49" t="inlineStr">
        <is>
          <t>Locally-issued debt held by non-residents</t>
        </is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BI49" t="inlineStr">
        <is>
          <t>OLD_LC_NR_ALL</t>
        </is>
      </c>
    </row>
    <row r="50">
      <c r="A50" t="inlineStr">
        <is>
          <t>Dominica_2023_May</t>
        </is>
      </c>
      <c r="B50" s="2" t="n"/>
      <c r="C50" s="3" t="inlineStr">
        <is>
          <t>SM.23.127, Sup. 1</t>
        </is>
      </c>
      <c r="D50" s="4" t="inlineStr">
        <is>
          <t>Dominica</t>
        </is>
      </c>
      <c r="E50" s="4" t="inlineStr">
        <is>
          <t>DMA</t>
        </is>
      </c>
      <c r="F50" s="10" t="n">
        <v>45047</v>
      </c>
      <c r="G50" s="4" t="inlineStr">
        <is>
          <t>2018gn</t>
        </is>
      </c>
      <c r="H50" s="4" t="n">
        <v>2022</v>
      </c>
      <c r="I50" s="4" t="inlineStr">
        <is>
          <t>old.tds.lcl.nres.lc</t>
        </is>
      </c>
      <c r="J50" t="inlineStr">
        <is>
          <t>Denominated in local currency (LC)</t>
        </is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</row>
    <row r="51">
      <c r="A51" t="inlineStr">
        <is>
          <t>Dominica_2023_May</t>
        </is>
      </c>
      <c r="B51" s="2" t="n"/>
      <c r="C51" s="3" t="inlineStr">
        <is>
          <t>SM.23.127, Sup. 1</t>
        </is>
      </c>
      <c r="D51" s="4" t="inlineStr">
        <is>
          <t>Dominica</t>
        </is>
      </c>
      <c r="E51" s="4" t="inlineStr">
        <is>
          <t>DMA</t>
        </is>
      </c>
      <c r="F51" s="10" t="n">
        <v>45047</v>
      </c>
      <c r="G51" s="4" t="inlineStr">
        <is>
          <t>2018gn</t>
        </is>
      </c>
      <c r="H51" s="4" t="n">
        <v>2022</v>
      </c>
      <c r="I51" s="4" t="inlineStr">
        <is>
          <t>old.tds.lcl.nres.fx</t>
        </is>
      </c>
      <c r="J51" t="inlineStr">
        <is>
          <t>Denominated in foreign currency (FX)</t>
        </is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</row>
    <row r="52">
      <c r="A52" t="inlineStr">
        <is>
          <t>Dominica_2023_May</t>
        </is>
      </c>
      <c r="B52" s="2" t="n"/>
      <c r="C52" s="3" t="inlineStr">
        <is>
          <t>SM.23.127, Sup. 1</t>
        </is>
      </c>
      <c r="D52" s="4" t="inlineStr">
        <is>
          <t>Dominica</t>
        </is>
      </c>
      <c r="E52" s="4" t="inlineStr">
        <is>
          <t>DMA</t>
        </is>
      </c>
      <c r="F52" s="10" t="n">
        <v>45047</v>
      </c>
      <c r="G52" s="4" t="inlineStr">
        <is>
          <t>2018gn</t>
        </is>
      </c>
      <c r="H52" s="4" t="n">
        <v>2022</v>
      </c>
      <c r="I52" s="5" t="n"/>
      <c r="J52" t="inlineStr">
        <is>
          <t>Locally-issued debt held by residents</t>
        </is>
      </c>
    </row>
    <row r="53">
      <c r="A53" t="inlineStr">
        <is>
          <t>Dominica_2023_May</t>
        </is>
      </c>
      <c r="B53" s="2" t="n"/>
      <c r="C53" s="3" t="inlineStr">
        <is>
          <t>SM.23.127, Sup. 1</t>
        </is>
      </c>
      <c r="D53" s="4" t="inlineStr">
        <is>
          <t>Dominica</t>
        </is>
      </c>
      <c r="E53" s="4" t="inlineStr">
        <is>
          <t>DMA</t>
        </is>
      </c>
      <c r="F53" s="10" t="n">
        <v>45047</v>
      </c>
      <c r="G53" s="4" t="inlineStr">
        <is>
          <t>2018gn</t>
        </is>
      </c>
      <c r="H53" s="4" t="n">
        <v>2022</v>
      </c>
      <c r="I53" s="4" t="inlineStr">
        <is>
          <t>old.tds.lcl.fx</t>
        </is>
      </c>
      <c r="J53" t="inlineStr">
        <is>
          <t>Denominated in foreign currency (FX)</t>
        </is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</row>
    <row r="54">
      <c r="A54" t="inlineStr">
        <is>
          <t>Dominica_2023_May</t>
        </is>
      </c>
      <c r="B54" s="2" t="n"/>
      <c r="C54" s="3" t="inlineStr">
        <is>
          <t>SM.23.127, Sup. 1</t>
        </is>
      </c>
      <c r="D54" s="4" t="inlineStr">
        <is>
          <t>Dominica</t>
        </is>
      </c>
      <c r="E54" s="4" t="inlineStr">
        <is>
          <t>DMA</t>
        </is>
      </c>
      <c r="F54" s="10" t="n">
        <v>45047</v>
      </c>
      <c r="G54" s="4" t="inlineStr">
        <is>
          <t>2018gn</t>
        </is>
      </c>
      <c r="H54" s="4" t="n">
        <v>2022</v>
      </c>
      <c r="I54" s="5" t="n"/>
      <c r="J54" t="inlineStr">
        <is>
          <t>If the Breakdown is not available insert total debt service here</t>
        </is>
      </c>
    </row>
    <row r="55">
      <c r="A55" t="inlineStr">
        <is>
          <t>Dominica_2023_May</t>
        </is>
      </c>
      <c r="B55" s="2" t="n"/>
      <c r="C55" s="3" t="inlineStr">
        <is>
          <t>SM.23.127, Sup. 1</t>
        </is>
      </c>
      <c r="D55" s="4" t="inlineStr">
        <is>
          <t>Dominica</t>
        </is>
      </c>
      <c r="E55" s="4" t="inlineStr">
        <is>
          <t>DMA</t>
        </is>
      </c>
      <c r="F55" s="10" t="n">
        <v>45047</v>
      </c>
      <c r="G55" s="4" t="inlineStr">
        <is>
          <t>2018gn</t>
        </is>
      </c>
      <c r="H55" s="4" t="n">
        <v>2022</v>
      </c>
      <c r="I55" s="4" t="inlineStr">
        <is>
          <t>old.tds.lcl.incl.dom</t>
        </is>
      </c>
      <c r="J55" t="inlineStr">
        <is>
          <t>Total locally-issued debt service</t>
        </is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</row>
    <row r="56">
      <c r="A56" t="inlineStr">
        <is>
          <t>Dominica_2023_May</t>
        </is>
      </c>
      <c r="B56" s="2" t="n"/>
      <c r="C56" s="3" t="inlineStr">
        <is>
          <t>SM.23.127, Sup. 1</t>
        </is>
      </c>
      <c r="D56" s="4" t="inlineStr">
        <is>
          <t>Dominica</t>
        </is>
      </c>
      <c r="E56" s="4" t="inlineStr">
        <is>
          <t>DMA</t>
        </is>
      </c>
      <c r="F56" s="10" t="n">
        <v>45047</v>
      </c>
      <c r="G56" s="4" t="inlineStr">
        <is>
          <t>2018gn</t>
        </is>
      </c>
      <c r="H56" s="4" t="n">
        <v>2022</v>
      </c>
      <c r="I56" s="4" t="inlineStr">
        <is>
          <t>old.tds.lcl.incl.dom.amt</t>
        </is>
      </c>
      <c r="J56" t="inlineStr">
        <is>
          <t xml:space="preserve">    of which: principal</t>
        </is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</row>
    <row r="57">
      <c r="A57" t="inlineStr">
        <is>
          <t>Dominica_2023_May</t>
        </is>
      </c>
      <c r="B57" s="2" t="n"/>
      <c r="C57" s="3" t="inlineStr">
        <is>
          <t>SM.23.127, Sup. 1</t>
        </is>
      </c>
      <c r="D57" s="4" t="inlineStr">
        <is>
          <t>Dominica</t>
        </is>
      </c>
      <c r="E57" s="4" t="inlineStr">
        <is>
          <t>DMA</t>
        </is>
      </c>
      <c r="F57" s="10" t="n">
        <v>45047</v>
      </c>
      <c r="G57" s="4" t="inlineStr">
        <is>
          <t>2018gn</t>
        </is>
      </c>
      <c r="H57" s="4" t="n">
        <v>2022</v>
      </c>
      <c r="I57" s="4" t="inlineStr">
        <is>
          <t>old.tds.lcl.incl.dom.int</t>
        </is>
      </c>
      <c r="J57" t="inlineStr">
        <is>
          <t xml:space="preserve">    of which: interest</t>
        </is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</row>
    <row r="58">
      <c r="A58" t="inlineStr">
        <is>
          <t>Dominica_2023_May</t>
        </is>
      </c>
      <c r="B58" s="2" t="n"/>
      <c r="C58" s="3" t="inlineStr">
        <is>
          <t>SM.23.127, Sup. 1</t>
        </is>
      </c>
      <c r="D58" s="4" t="inlineStr">
        <is>
          <t>Dominica</t>
        </is>
      </c>
      <c r="E58" s="4" t="inlineStr">
        <is>
          <t>DMA</t>
        </is>
      </c>
      <c r="F58" s="10" t="n">
        <v>45047</v>
      </c>
      <c r="G58" s="4" t="inlineStr">
        <is>
          <t>2018gn</t>
        </is>
      </c>
      <c r="H58" s="4" t="n">
        <v>2022</v>
      </c>
      <c r="I58" s="4" t="inlineStr">
        <is>
          <t>dbt.evol</t>
        </is>
      </c>
      <c r="J58" t="inlineStr">
        <is>
          <t>Evolution of debt</t>
        </is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</row>
    <row r="59">
      <c r="A59" t="inlineStr">
        <is>
          <t>Dominica_2023_May</t>
        </is>
      </c>
      <c r="B59" s="2" t="n"/>
      <c r="C59" s="3" t="inlineStr">
        <is>
          <t>SM.23.127, Sup. 1</t>
        </is>
      </c>
      <c r="D59" s="4" t="inlineStr">
        <is>
          <t>Dominica</t>
        </is>
      </c>
      <c r="E59" s="4" t="inlineStr">
        <is>
          <t>DMA</t>
        </is>
      </c>
      <c r="F59" s="10" t="n">
        <v>45047</v>
      </c>
      <c r="G59" s="4" t="inlineStr">
        <is>
          <t>2018gn</t>
        </is>
      </c>
      <c r="H59" s="4" t="n">
        <v>2022</v>
      </c>
      <c r="I59" s="5" t="n"/>
      <c r="J59" t="inlineStr">
        <is>
          <t>Please check line 168 for domestic debt consistency</t>
        </is>
      </c>
    </row>
    <row r="60">
      <c r="A60" t="inlineStr">
        <is>
          <t>Dominica_2023_May</t>
        </is>
      </c>
      <c r="B60" s="2" t="n"/>
      <c r="C60" s="3" t="inlineStr">
        <is>
          <t>SM.23.127, Sup. 1</t>
        </is>
      </c>
      <c r="D60" s="4" t="inlineStr">
        <is>
          <t>Dominica</t>
        </is>
      </c>
      <c r="E60" s="4" t="inlineStr">
        <is>
          <t>DMA</t>
        </is>
      </c>
      <c r="F60" s="10" t="n">
        <v>45047</v>
      </c>
      <c r="G60" s="4" t="inlineStr">
        <is>
          <t>2018gn</t>
        </is>
      </c>
      <c r="H60" s="4" t="n">
        <v>2022</v>
      </c>
      <c r="I60" s="5" t="n"/>
      <c r="O60" t="n">
        <v>30.5236934830633</v>
      </c>
      <c r="P60" t="n">
        <v>68.9224832830633</v>
      </c>
      <c r="Q60" t="n">
        <v>64.86818147052141</v>
      </c>
      <c r="R60" t="n">
        <v>54.7668193578623</v>
      </c>
      <c r="S60" t="n">
        <v>48.9337042826916</v>
      </c>
      <c r="T60" t="n">
        <v>41.9136022469956</v>
      </c>
      <c r="U60" t="n">
        <v>42.08316088716607</v>
      </c>
      <c r="V60" t="n">
        <v>37.79206556093843</v>
      </c>
      <c r="W60" t="n">
        <v>35.33781744829746</v>
      </c>
      <c r="X60" t="n">
        <v>34.84809883311382</v>
      </c>
      <c r="Y60" t="n">
        <v>32.4772454880065</v>
      </c>
      <c r="Z60" t="n">
        <v>36.3350339106352</v>
      </c>
      <c r="AA60" t="n">
        <v>35.9079929627782</v>
      </c>
      <c r="AB60" t="n">
        <v>39.32125317819271</v>
      </c>
      <c r="AC60" t="n">
        <v>45.36324937044134</v>
      </c>
      <c r="AD60" t="n">
        <v>96.3681852498754</v>
      </c>
      <c r="AE60" t="n">
        <v>100.061685801056</v>
      </c>
      <c r="AF60" t="n">
        <v>104.3878806147408</v>
      </c>
      <c r="AG60" t="n">
        <v>108.1683308486244</v>
      </c>
      <c r="AH60" t="n">
        <v>109.9510724070479</v>
      </c>
      <c r="AI60" t="n">
        <v>3.613069185272</v>
      </c>
    </row>
    <row r="61">
      <c r="A61" t="inlineStr">
        <is>
          <t>Dominica_2023_May</t>
        </is>
      </c>
      <c r="B61" s="2" t="n"/>
      <c r="C61" s="3" t="inlineStr">
        <is>
          <t>SM.23.127, Sup. 1</t>
        </is>
      </c>
      <c r="D61" s="4" t="inlineStr">
        <is>
          <t>Dominica</t>
        </is>
      </c>
      <c r="E61" s="4" t="inlineStr">
        <is>
          <t>DMA</t>
        </is>
      </c>
      <c r="F61" s="10" t="n">
        <v>45047</v>
      </c>
      <c r="G61" s="4" t="inlineStr">
        <is>
          <t>2018gn</t>
        </is>
      </c>
      <c r="H61" s="4" t="n">
        <v>2022</v>
      </c>
      <c r="I61" s="4" t="inlineStr">
        <is>
          <t>old.tds.inc.lcl.iss</t>
        </is>
      </c>
      <c r="J61" t="inlineStr">
        <is>
          <t>Total external debt (including locally-issued debt)</t>
        </is>
      </c>
      <c r="N61" t="n">
        <v>26.76410856763673</v>
      </c>
      <c r="O61" t="n">
        <v>14.92018955103546</v>
      </c>
      <c r="P61" t="n">
        <v>33.61785953443412</v>
      </c>
      <c r="Q61" t="n">
        <v>32.44030906684368</v>
      </c>
      <c r="R61" t="n">
        <v>28.15478560815923</v>
      </c>
      <c r="S61" t="n">
        <v>25.35031711875787</v>
      </c>
      <c r="T61" t="n">
        <v>21.97794816812981</v>
      </c>
      <c r="U61" t="n">
        <v>20.60770962119953</v>
      </c>
      <c r="V61" t="n">
        <v>18.96017193177536</v>
      </c>
      <c r="W61" t="n">
        <v>17.7180562091795</v>
      </c>
      <c r="X61" t="n">
        <v>16.62078334938877</v>
      </c>
      <c r="Y61" t="n">
        <v>15.77743538049518</v>
      </c>
      <c r="Z61" t="n">
        <v>15.13230985886969</v>
      </c>
      <c r="AA61" t="n">
        <v>12.71087255408127</v>
      </c>
      <c r="AB61" t="n">
        <v>10.70692448896036</v>
      </c>
      <c r="AC61" t="n">
        <v>10.17315394839658</v>
      </c>
      <c r="AD61" t="n">
        <v>9.186736075578576</v>
      </c>
      <c r="AE61" t="n">
        <v>8.238601239414226</v>
      </c>
      <c r="AF61" t="n">
        <v>5.496408460011594</v>
      </c>
      <c r="AG61" t="n">
        <v>5.150371117415419</v>
      </c>
      <c r="AH61" t="n">
        <v>6.831828939250098</v>
      </c>
      <c r="AI61" t="n">
        <v>6.537585520127508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  <c r="BI61" t="inlineStr">
        <is>
          <t>OLD_TOTAL</t>
        </is>
      </c>
    </row>
    <row r="62">
      <c r="A62" t="inlineStr">
        <is>
          <t>Dominica_2023_May</t>
        </is>
      </c>
      <c r="B62" s="2" t="n"/>
      <c r="C62" s="3" t="inlineStr">
        <is>
          <t>SM.23.127, Sup. 1</t>
        </is>
      </c>
      <c r="D62" s="4" t="inlineStr">
        <is>
          <t>Dominica</t>
        </is>
      </c>
      <c r="E62" s="4" t="inlineStr">
        <is>
          <t>DMA</t>
        </is>
      </c>
      <c r="F62" s="10" t="n">
        <v>45047</v>
      </c>
      <c r="G62" s="4" t="inlineStr">
        <is>
          <t>2018gn</t>
        </is>
      </c>
      <c r="H62" s="4" t="n">
        <v>2022</v>
      </c>
      <c r="I62" s="4" t="inlineStr">
        <is>
          <t>old.tds.inc.lcl.iss.amt</t>
        </is>
      </c>
      <c r="J62" t="inlineStr">
        <is>
          <t xml:space="preserve">    of which: principal</t>
        </is>
      </c>
      <c r="N62" t="n">
        <v>18.08511343189878</v>
      </c>
      <c r="O62" t="n">
        <v>11.30507166039381</v>
      </c>
      <c r="P62" t="n">
        <v>25.52684566039381</v>
      </c>
      <c r="Q62" t="n">
        <v>24.02525239648941</v>
      </c>
      <c r="R62" t="n">
        <v>20.28400716957863</v>
      </c>
      <c r="S62" t="n">
        <v>18.12359417877467</v>
      </c>
      <c r="T62" t="n">
        <v>15.52355638777615</v>
      </c>
      <c r="U62" t="n">
        <v>14.10181460319574</v>
      </c>
      <c r="V62" t="n">
        <v>11.78633907808611</v>
      </c>
      <c r="W62" t="n">
        <v>10.07618443951311</v>
      </c>
      <c r="X62" t="n">
        <v>9.055553412936296</v>
      </c>
      <c r="Y62" t="n">
        <v>7.171263440603221</v>
      </c>
      <c r="Z62" t="n">
        <v>6.684669853832629</v>
      </c>
      <c r="AA62" t="n">
        <v>4.528248749954777</v>
      </c>
      <c r="AB62" t="n">
        <v>3.220158742823185</v>
      </c>
      <c r="AC62" t="n">
        <v>2.85359112755711</v>
      </c>
      <c r="AD62" t="n">
        <v>3.355123842892851</v>
      </c>
      <c r="AE62" t="n">
        <v>2.558198452789518</v>
      </c>
      <c r="AF62" t="n">
        <v>1.947452258222592</v>
      </c>
      <c r="AG62" t="n">
        <v>1.699930696176925</v>
      </c>
      <c r="AH62" t="n">
        <v>1.510915782135444</v>
      </c>
      <c r="AI62" t="n">
        <v>1.338173772322963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I62" t="inlineStr">
        <is>
          <t>OLD_TOTAL_P</t>
        </is>
      </c>
    </row>
    <row r="63">
      <c r="A63" t="inlineStr">
        <is>
          <t>Dominica_2023_May</t>
        </is>
      </c>
      <c r="B63" s="2" t="n"/>
      <c r="C63" s="3" t="inlineStr">
        <is>
          <t>SM.23.127, Sup. 1</t>
        </is>
      </c>
      <c r="D63" s="4" t="inlineStr">
        <is>
          <t>Dominica</t>
        </is>
      </c>
      <c r="E63" s="4" t="inlineStr">
        <is>
          <t>DMA</t>
        </is>
      </c>
      <c r="F63" s="10" t="n">
        <v>45047</v>
      </c>
      <c r="G63" s="4" t="inlineStr">
        <is>
          <t>2018gn</t>
        </is>
      </c>
      <c r="H63" s="4" t="n">
        <v>2022</v>
      </c>
      <c r="I63" s="4" t="inlineStr">
        <is>
          <t>old.tds.inc.lcl.iss.int</t>
        </is>
      </c>
      <c r="J63" t="inlineStr">
        <is>
          <t xml:space="preserve">    of which: interest</t>
        </is>
      </c>
      <c r="N63" t="n">
        <v>8.678995135737956</v>
      </c>
      <c r="O63" t="n">
        <v>3.615117890641649</v>
      </c>
      <c r="P63" t="n">
        <v>8.091013874040303</v>
      </c>
      <c r="Q63" t="n">
        <v>8.415056670354275</v>
      </c>
      <c r="R63" t="n">
        <v>7.870778438580597</v>
      </c>
      <c r="S63" t="n">
        <v>7.226722939983205</v>
      </c>
      <c r="T63" t="n">
        <v>6.454391780353665</v>
      </c>
      <c r="U63" t="n">
        <v>6.505895018003793</v>
      </c>
      <c r="V63" t="n">
        <v>7.173832853689253</v>
      </c>
      <c r="W63" t="n">
        <v>7.641871769666395</v>
      </c>
      <c r="X63" t="n">
        <v>7.56522993645247</v>
      </c>
      <c r="Y63" t="n">
        <v>8.606171939891958</v>
      </c>
      <c r="Z63" t="n">
        <v>8.447640005037066</v>
      </c>
      <c r="AA63" t="n">
        <v>8.182623804126489</v>
      </c>
      <c r="AB63" t="n">
        <v>7.486765746137178</v>
      </c>
      <c r="AC63" t="n">
        <v>7.319562820839468</v>
      </c>
      <c r="AD63" t="n">
        <v>5.831612232685725</v>
      </c>
      <c r="AE63" t="n">
        <v>5.680402786624708</v>
      </c>
      <c r="AF63" t="n">
        <v>3.548956201789002</v>
      </c>
      <c r="AG63" t="n">
        <v>3.450440421238494</v>
      </c>
      <c r="AH63" t="n">
        <v>5.320913157114654</v>
      </c>
      <c r="AI63" t="n">
        <v>5.199411747804545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I63" t="inlineStr">
        <is>
          <t>OLD_TOTAL_I</t>
        </is>
      </c>
    </row>
    <row r="64">
      <c r="A64" t="inlineStr">
        <is>
          <t>Dominica_2023_May</t>
        </is>
      </c>
      <c r="B64" s="2" t="n"/>
      <c r="C64" s="3" t="inlineStr">
        <is>
          <t>SM.23.127, Sup. 1</t>
        </is>
      </c>
      <c r="D64" s="4" t="inlineStr">
        <is>
          <t>Dominica</t>
        </is>
      </c>
      <c r="E64" s="4" t="inlineStr">
        <is>
          <t>DMA</t>
        </is>
      </c>
      <c r="F64" s="10" t="n">
        <v>45047</v>
      </c>
      <c r="G64" s="4" t="inlineStr">
        <is>
          <t>2018gn</t>
        </is>
      </c>
      <c r="H64" s="4" t="n">
        <v>2022</v>
      </c>
      <c r="I64" s="5" t="n"/>
    </row>
    <row r="65">
      <c r="A65" t="inlineStr">
        <is>
          <t>Dominica_2023_May</t>
        </is>
      </c>
      <c r="B65" s="2" t="n"/>
      <c r="C65" s="3" t="inlineStr">
        <is>
          <t>SM.23.127, Sup. 1</t>
        </is>
      </c>
      <c r="D65" s="4" t="inlineStr">
        <is>
          <t>Dominica</t>
        </is>
      </c>
      <c r="E65" s="4" t="inlineStr">
        <is>
          <t>DMA</t>
        </is>
      </c>
      <c r="F65" s="10" t="n">
        <v>45047</v>
      </c>
      <c r="G65" s="4" t="inlineStr">
        <is>
          <t>2018gn</t>
        </is>
      </c>
      <c r="H65" s="4" t="n">
        <v>2022</v>
      </c>
      <c r="I65" s="4" t="inlineStr">
        <is>
          <t>out.arr</t>
        </is>
      </c>
      <c r="J65" t="inlineStr">
        <is>
          <t>2. Stock of outstanding arrears</t>
        </is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I65" t="inlineStr">
        <is>
          <t>OLD_ARREARS</t>
        </is>
      </c>
    </row>
    <row r="66">
      <c r="A66" t="inlineStr">
        <is>
          <t>Dominica_2023_May</t>
        </is>
      </c>
      <c r="B66" s="2" t="n"/>
      <c r="C66" s="3" t="inlineStr">
        <is>
          <t>SM.23.127, Sup. 1</t>
        </is>
      </c>
      <c r="D66" s="4" t="inlineStr">
        <is>
          <t>Dominica</t>
        </is>
      </c>
      <c r="E66" s="4" t="inlineStr">
        <is>
          <t>DMA</t>
        </is>
      </c>
      <c r="F66" s="10" t="n">
        <v>45047</v>
      </c>
      <c r="G66" s="4" t="inlineStr">
        <is>
          <t>2018gn</t>
        </is>
      </c>
      <c r="H66" s="4" t="n">
        <v>2022</v>
      </c>
      <c r="I66" s="5" t="n"/>
    </row>
    <row r="67">
      <c r="A67" t="inlineStr">
        <is>
          <t>Dominica_2023_May</t>
        </is>
      </c>
      <c r="B67" s="2" t="n"/>
      <c r="C67" s="3" t="inlineStr">
        <is>
          <t>SM.23.127, Sup. 1</t>
        </is>
      </c>
      <c r="D67" s="4" t="inlineStr">
        <is>
          <t>Dominica</t>
        </is>
      </c>
      <c r="E67" s="4" t="inlineStr">
        <is>
          <t>DMA</t>
        </is>
      </c>
      <c r="F67" s="10" t="n">
        <v>45047</v>
      </c>
      <c r="G67" s="4" t="inlineStr">
        <is>
          <t>2018gn</t>
        </is>
      </c>
      <c r="H67" s="4" t="n">
        <v>2022</v>
      </c>
      <c r="I67" s="4" t="inlineStr">
        <is>
          <t>old.mlt.dbt.evol.exc.arr</t>
        </is>
      </c>
      <c r="J67" t="inlineStr">
        <is>
          <t>Evolution of old MLT debt, excluding arrears (nominal)</t>
        </is>
      </c>
      <c r="N67" t="n">
        <v>407.075642519048</v>
      </c>
      <c r="O67" t="n">
        <v>395.7705708586542</v>
      </c>
      <c r="P67" t="n">
        <v>370.2437251982604</v>
      </c>
      <c r="Q67" t="n">
        <v>346.218472801771</v>
      </c>
      <c r="R67" t="n">
        <v>325.9344656321924</v>
      </c>
      <c r="S67" t="n">
        <v>307.8108714534177</v>
      </c>
      <c r="T67" t="n">
        <v>292.2873150656416</v>
      </c>
      <c r="U67" t="n">
        <v>278.1855004624458</v>
      </c>
      <c r="V67" t="n">
        <v>266.3991613843597</v>
      </c>
      <c r="W67" t="n">
        <v>256.3229769448466</v>
      </c>
      <c r="X67" t="n">
        <v>247.2674235319103</v>
      </c>
      <c r="Y67" t="n">
        <v>240.0961600913071</v>
      </c>
      <c r="Z67" t="n">
        <v>233.4114902374745</v>
      </c>
      <c r="AA67" t="n">
        <v>228.8832414875197</v>
      </c>
      <c r="AB67" t="n">
        <v>225.6630827446966</v>
      </c>
      <c r="AC67" t="n">
        <v>222.8094916171395</v>
      </c>
      <c r="AD67" t="n">
        <v>219.4543677742466</v>
      </c>
      <c r="AE67" t="n">
        <v>216.8961693214571</v>
      </c>
      <c r="AF67" t="n">
        <v>214.9487170632345</v>
      </c>
      <c r="AG67" t="n">
        <v>213.2487863670576</v>
      </c>
      <c r="AH67" t="n">
        <v>211.7378705849221</v>
      </c>
      <c r="AI67" t="n">
        <v>210.3996968125992</v>
      </c>
      <c r="AJ67" t="n">
        <v>210.3996968125992</v>
      </c>
      <c r="AK67" t="n">
        <v>210.3996968125992</v>
      </c>
      <c r="AL67" t="n">
        <v>210.3996968125992</v>
      </c>
      <c r="AM67" t="n">
        <v>210.3996968125992</v>
      </c>
      <c r="AN67" t="n">
        <v>210.3996968125992</v>
      </c>
      <c r="AO67" t="n">
        <v>210.3996968125992</v>
      </c>
      <c r="AP67" t="n">
        <v>210.3996968125992</v>
      </c>
      <c r="AQ67" t="n">
        <v>210.3996968125992</v>
      </c>
      <c r="AR67" t="n">
        <v>210.3996968125992</v>
      </c>
      <c r="AS67" t="n">
        <v>210.3996968125992</v>
      </c>
      <c r="AT67" t="n">
        <v>210.3996968125992</v>
      </c>
      <c r="AU67" t="n">
        <v>210.3996968125992</v>
      </c>
      <c r="AV67" t="n">
        <v>210.3996968125992</v>
      </c>
      <c r="AW67" t="n">
        <v>210.3996968125992</v>
      </c>
      <c r="AX67" t="n">
        <v>210.3996968125992</v>
      </c>
      <c r="AY67" t="n">
        <v>210.3996968125992</v>
      </c>
      <c r="AZ67" t="n">
        <v>210.3996968125992</v>
      </c>
      <c r="BA67" t="n">
        <v>210.3996968125992</v>
      </c>
      <c r="BB67" t="n">
        <v>210.3996968125992</v>
      </c>
      <c r="BC67" t="n">
        <v>210.3996968125992</v>
      </c>
      <c r="BD67" t="n">
        <v>210.3996968125992</v>
      </c>
      <c r="BE67" t="n">
        <v>210.3996968125992</v>
      </c>
      <c r="BF67" t="n">
        <v>210.3996968125992</v>
      </c>
      <c r="BG67" t="n">
        <v>210.3996968125992</v>
      </c>
      <c r="BI67" t="inlineStr">
        <is>
          <t>OLD_MLT_CHG</t>
        </is>
      </c>
    </row>
    <row r="68">
      <c r="A68" t="inlineStr">
        <is>
          <t>Dominica_2023_May</t>
        </is>
      </c>
      <c r="B68" s="2" t="n"/>
      <c r="C68" s="3" t="inlineStr">
        <is>
          <t>SM.23.127, Sup. 1</t>
        </is>
      </c>
      <c r="D68" s="4" t="inlineStr">
        <is>
          <t>Dominica</t>
        </is>
      </c>
      <c r="E68" s="4" t="inlineStr">
        <is>
          <t>DMA</t>
        </is>
      </c>
      <c r="F68" s="10" t="n">
        <v>45047</v>
      </c>
      <c r="G68" s="4" t="inlineStr">
        <is>
          <t>2018gn</t>
        </is>
      </c>
      <c r="H68" s="4" t="n">
        <v>2022</v>
      </c>
      <c r="I68" s="5" t="n"/>
    </row>
    <row r="69">
      <c r="A69" t="inlineStr">
        <is>
          <t>Dominica_2023_May</t>
        </is>
      </c>
      <c r="B69" s="2" t="n"/>
      <c r="C69" s="3" t="inlineStr">
        <is>
          <t>SM.23.127, Sup. 1</t>
        </is>
      </c>
      <c r="D69" s="4" t="inlineStr">
        <is>
          <t>Dominica</t>
        </is>
      </c>
      <c r="E69" s="4" t="inlineStr">
        <is>
          <t>DMA</t>
        </is>
      </c>
      <c r="F69" s="10" t="n">
        <v>45047</v>
      </c>
      <c r="G69" s="4" t="inlineStr">
        <is>
          <t>2018gn</t>
        </is>
      </c>
      <c r="H69" s="4" t="n">
        <v>2022</v>
      </c>
      <c r="I69" s="5" t="n"/>
    </row>
    <row r="70">
      <c r="A70" t="inlineStr">
        <is>
          <t>Dominica_2023_May</t>
        </is>
      </c>
      <c r="B70" s="2" t="n"/>
      <c r="C70" s="3" t="inlineStr">
        <is>
          <t>SM.23.127, Sup. 1</t>
        </is>
      </c>
      <c r="D70" s="4" t="inlineStr">
        <is>
          <t>Dominica</t>
        </is>
      </c>
      <c r="E70" s="4" t="inlineStr">
        <is>
          <t>DMA</t>
        </is>
      </c>
      <c r="F70" s="10" t="n">
        <v>45047</v>
      </c>
      <c r="G70" s="4" t="inlineStr">
        <is>
          <t>2018gn</t>
        </is>
      </c>
      <c r="H70" s="4" t="n">
        <v>2022</v>
      </c>
      <c r="I70" s="5" t="n"/>
      <c r="J70" t="inlineStr">
        <is>
          <t>3. NEW MLT DEBT: Disbursements (including for refinancing/clearance of arrears)</t>
        </is>
      </c>
    </row>
    <row r="71">
      <c r="A71" t="inlineStr">
        <is>
          <t>Dominica_2023_May</t>
        </is>
      </c>
      <c r="B71" s="2" t="n"/>
      <c r="C71" s="3" t="inlineStr">
        <is>
          <t>SM.23.127, Sup. 1</t>
        </is>
      </c>
      <c r="D71" s="4" t="inlineStr">
        <is>
          <t>Dominica</t>
        </is>
      </c>
      <c r="E71" s="4" t="inlineStr">
        <is>
          <t>DMA</t>
        </is>
      </c>
      <c r="F71" s="10" t="n">
        <v>45047</v>
      </c>
      <c r="G71" s="4" t="inlineStr">
        <is>
          <t>2018gn</t>
        </is>
      </c>
      <c r="H71" s="4" t="n">
        <v>2022</v>
      </c>
      <c r="I71" s="4" t="inlineStr">
        <is>
          <t>new.dis.mlt</t>
        </is>
      </c>
      <c r="J71" t="inlineStr">
        <is>
          <t>Multilaterals</t>
        </is>
      </c>
      <c r="O71" t="n">
        <v>20.5185185185185</v>
      </c>
      <c r="P71" t="n">
        <v>31.4501076296296</v>
      </c>
      <c r="Q71" t="n">
        <v>42.3805050059774</v>
      </c>
      <c r="R71" t="n">
        <v>40.5763997233391</v>
      </c>
      <c r="S71" t="n">
        <v>37.17988460304</v>
      </c>
      <c r="T71" t="n">
        <v>39.5600141162469</v>
      </c>
      <c r="U71" t="n">
        <v>41.4224436904058</v>
      </c>
      <c r="V71" t="n">
        <v>43.3504198037509</v>
      </c>
      <c r="W71" t="n">
        <v>27.15109268578329</v>
      </c>
      <c r="X71" t="n">
        <v>102.0700801854746</v>
      </c>
      <c r="Y71" t="n">
        <v>10.96065594433922</v>
      </c>
      <c r="Z71" t="n">
        <v>5.70173319698646</v>
      </c>
      <c r="AA71" t="n">
        <v>3.87775757687262</v>
      </c>
      <c r="AB71" t="n">
        <v>2.76968656194869</v>
      </c>
      <c r="AC71" t="n">
        <v>1.960502575795155</v>
      </c>
      <c r="AD71" t="n">
        <v>1.752219597704527</v>
      </c>
      <c r="AE71" t="n">
        <v>1.733278734088102</v>
      </c>
      <c r="AF71" t="n">
        <v>1.775296494903622</v>
      </c>
      <c r="AG71" t="n">
        <v>1.838277016430549</v>
      </c>
      <c r="AH71" t="n">
        <v>1.909815018470311</v>
      </c>
      <c r="AI71" t="n">
        <v>1.986119213414664</v>
      </c>
      <c r="BI71" t="inlineStr">
        <is>
          <t>NEW_ML</t>
        </is>
      </c>
    </row>
    <row r="72">
      <c r="A72" t="inlineStr">
        <is>
          <t>Dominica_2023_May</t>
        </is>
      </c>
      <c r="B72" s="2" t="n"/>
      <c r="C72" s="3" t="inlineStr">
        <is>
          <t>SM.23.127, Sup. 1</t>
        </is>
      </c>
      <c r="D72" s="4" t="inlineStr">
        <is>
          <t>Dominica</t>
        </is>
      </c>
      <c r="E72" s="4" t="inlineStr">
        <is>
          <t>DMA</t>
        </is>
      </c>
      <c r="F72" s="10" t="n">
        <v>45047</v>
      </c>
      <c r="G72" s="4" t="inlineStr">
        <is>
          <t>2018gn</t>
        </is>
      </c>
      <c r="H72" s="4" t="n">
        <v>2022</v>
      </c>
      <c r="I72" s="4" t="inlineStr">
        <is>
          <t>new.dis.mlt.imf</t>
        </is>
      </c>
      <c r="J72" t="inlineStr">
        <is>
          <t>IMF</t>
        </is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81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-3.7037037037037e-07</v>
      </c>
      <c r="BI72" t="inlineStr">
        <is>
          <t>NEW_IMF</t>
        </is>
      </c>
    </row>
    <row r="73">
      <c r="A73" t="inlineStr">
        <is>
          <t>Dominica_2023_May</t>
        </is>
      </c>
      <c r="B73" s="2" t="n"/>
      <c r="C73" s="3" t="inlineStr">
        <is>
          <t>SM.23.127, Sup. 1</t>
        </is>
      </c>
      <c r="D73" s="4" t="inlineStr">
        <is>
          <t>Dominica</t>
        </is>
      </c>
      <c r="E73" s="4" t="inlineStr">
        <is>
          <t>DMA</t>
        </is>
      </c>
      <c r="F73" s="10" t="n">
        <v>45047</v>
      </c>
      <c r="G73" s="4" t="inlineStr">
        <is>
          <t>2018gn</t>
        </is>
      </c>
      <c r="H73" s="4" t="n">
        <v>2022</v>
      </c>
      <c r="I73" s="4" t="inlineStr">
        <is>
          <t>new.dis.mlt.ida.reg</t>
        </is>
      </c>
      <c r="J73" t="inlineStr">
        <is>
          <t>IDA - small economy</t>
        </is>
      </c>
      <c r="O73" t="n">
        <v>16.5185185185185</v>
      </c>
      <c r="P73" t="n">
        <v>19.820478</v>
      </c>
      <c r="Q73" t="n">
        <v>29.9728590740741</v>
      </c>
      <c r="R73" t="n">
        <v>27.4747591388889</v>
      </c>
      <c r="S73" t="n">
        <v>23.4466536828704</v>
      </c>
      <c r="T73" t="n">
        <v>25.1786874739583</v>
      </c>
      <c r="U73" t="n">
        <v>26.3640645077533</v>
      </c>
      <c r="V73" t="n">
        <v>27.591159823557</v>
      </c>
      <c r="W73" t="n">
        <v>17.2808046858369</v>
      </c>
      <c r="X73" t="n">
        <v>10.7943691973865</v>
      </c>
      <c r="Y73" t="n">
        <v>5.61523097526179</v>
      </c>
      <c r="Z73" t="n">
        <v>2.9210431403909</v>
      </c>
      <c r="AA73" t="n">
        <v>2.4312426158397</v>
      </c>
      <c r="AB73" t="n">
        <v>1.26473240315702</v>
      </c>
      <c r="AC73" t="n">
        <v>0.394748275924625</v>
      </c>
      <c r="AD73" t="n">
        <v>0.123208831335777</v>
      </c>
      <c r="AE73" t="n">
        <v>0.0384559402661619</v>
      </c>
      <c r="AF73" t="n">
        <v>0.0120028680227015</v>
      </c>
      <c r="AG73" t="n">
        <v>0.00374633515064925</v>
      </c>
      <c r="AH73" t="n">
        <v>0.00116930612204059</v>
      </c>
      <c r="AI73" t="n">
        <v>0.000364593454824143</v>
      </c>
      <c r="BI73" t="inlineStr">
        <is>
          <t>NEW_IDA</t>
        </is>
      </c>
    </row>
    <row r="74">
      <c r="A74" t="inlineStr">
        <is>
          <t>Dominica_2023_May</t>
        </is>
      </c>
      <c r="B74" s="2" t="n"/>
      <c r="C74" s="3" t="inlineStr">
        <is>
          <t>SM.23.127, Sup. 1</t>
        </is>
      </c>
      <c r="D74" s="4" t="inlineStr">
        <is>
          <t>Dominica</t>
        </is>
      </c>
      <c r="E74" s="4" t="inlineStr">
        <is>
          <t>DMA</t>
        </is>
      </c>
      <c r="F74" s="10" t="n">
        <v>45047</v>
      </c>
      <c r="G74" s="4" t="inlineStr">
        <is>
          <t>2018gn</t>
        </is>
      </c>
      <c r="H74" s="4" t="n">
        <v>2022</v>
      </c>
      <c r="I74" s="4" t="inlineStr">
        <is>
          <t>new.dis.mlt.ida.bld</t>
        </is>
      </c>
      <c r="J74" t="inlineStr">
        <is>
          <t>IDA - small economy</t>
        </is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BI74" t="inlineStr">
        <is>
          <t>NEW_IDA_REG</t>
        </is>
      </c>
    </row>
    <row r="75">
      <c r="A75" t="inlineStr">
        <is>
          <t>Dominica_2023_May</t>
        </is>
      </c>
      <c r="B75" s="2" t="n"/>
      <c r="C75" s="3" t="inlineStr">
        <is>
          <t>SM.23.127, Sup. 1</t>
        </is>
      </c>
      <c r="D75" s="4" t="inlineStr">
        <is>
          <t>Dominica</t>
        </is>
      </c>
      <c r="E75" s="4" t="inlineStr">
        <is>
          <t>DMA</t>
        </is>
      </c>
      <c r="F75" s="10" t="n">
        <v>45047</v>
      </c>
      <c r="G75" s="4" t="inlineStr">
        <is>
          <t>2018gn</t>
        </is>
      </c>
      <c r="H75" s="4" t="n">
        <v>2022</v>
      </c>
      <c r="I75" s="4" t="inlineStr">
        <is>
          <t>new.dis.mlt.afdb</t>
        </is>
      </c>
      <c r="J75" t="inlineStr">
        <is>
          <t>CDB</t>
        </is>
      </c>
      <c r="O75" t="n">
        <v>4</v>
      </c>
      <c r="P75" t="n">
        <v>11.6296296296296</v>
      </c>
      <c r="Q75" t="n">
        <v>12.4076459319033</v>
      </c>
      <c r="R75" t="n">
        <v>13.1016405844502</v>
      </c>
      <c r="S75" t="n">
        <v>13.7332309201696</v>
      </c>
      <c r="T75" t="n">
        <v>14.3813266422886</v>
      </c>
      <c r="U75" t="n">
        <v>15.0583791826525</v>
      </c>
      <c r="V75" t="n">
        <v>15.7592599801939</v>
      </c>
      <c r="W75" t="n">
        <v>9.87028799994639</v>
      </c>
      <c r="X75" t="n">
        <v>10.2757109880881</v>
      </c>
      <c r="Y75" t="n">
        <v>5.34542496907743</v>
      </c>
      <c r="Z75" t="n">
        <v>2.78069005659556</v>
      </c>
      <c r="AA75" t="n">
        <v>1.44651496103292</v>
      </c>
      <c r="AB75" t="n">
        <v>1.50495415879167</v>
      </c>
      <c r="AC75" t="n">
        <v>1.56575429987053</v>
      </c>
      <c r="AD75" t="n">
        <v>1.62901076636875</v>
      </c>
      <c r="AE75" t="n">
        <v>1.69482279382194</v>
      </c>
      <c r="AF75" t="n">
        <v>1.76329362688092</v>
      </c>
      <c r="AG75" t="n">
        <v>1.8345306812799</v>
      </c>
      <c r="AH75" t="n">
        <v>1.90864571234827</v>
      </c>
      <c r="AI75" t="n">
        <v>1.98575499033021</v>
      </c>
      <c r="BI75" t="inlineStr">
        <is>
          <t>NEW_OTHERS1</t>
        </is>
      </c>
    </row>
    <row r="76">
      <c r="A76" t="inlineStr">
        <is>
          <t>Dominica_2023_May</t>
        </is>
      </c>
      <c r="B76" s="2" t="n"/>
      <c r="C76" s="3" t="inlineStr">
        <is>
          <t>SM.23.127, Sup. 1</t>
        </is>
      </c>
      <c r="D76" s="4" t="inlineStr">
        <is>
          <t>Dominica</t>
        </is>
      </c>
      <c r="E76" s="4" t="inlineStr">
        <is>
          <t>DMA</t>
        </is>
      </c>
      <c r="F76" s="10" t="n">
        <v>45047</v>
      </c>
      <c r="G76" s="4" t="inlineStr">
        <is>
          <t>2018gn</t>
        </is>
      </c>
      <c r="H76" s="4" t="n">
        <v>2022</v>
      </c>
      <c r="I76" s="4" t="inlineStr">
        <is>
          <t>new.dis.mlt2</t>
        </is>
      </c>
      <c r="J76" t="inlineStr">
        <is>
          <t>MULTIRES</t>
        </is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BI76" t="inlineStr">
        <is>
          <t>NEW_OTHERS2</t>
        </is>
      </c>
    </row>
    <row r="77">
      <c r="A77" t="inlineStr">
        <is>
          <t>Dominica_2023_May</t>
        </is>
      </c>
      <c r="B77" s="2" t="n"/>
      <c r="C77" s="3" t="inlineStr">
        <is>
          <t>SM.23.127, Sup. 1</t>
        </is>
      </c>
      <c r="D77" s="4" t="inlineStr">
        <is>
          <t>Dominica</t>
        </is>
      </c>
      <c r="E77" s="4" t="inlineStr">
        <is>
          <t>DMA</t>
        </is>
      </c>
      <c r="F77" s="10" t="n">
        <v>45047</v>
      </c>
      <c r="G77" s="4" t="inlineStr">
        <is>
          <t>2018gn</t>
        </is>
      </c>
      <c r="H77" s="4" t="n">
        <v>2022</v>
      </c>
      <c r="I77" s="4" t="inlineStr">
        <is>
          <t>new.dis.mlt3</t>
        </is>
      </c>
      <c r="J77" t="inlineStr">
        <is>
          <t>MULTI3</t>
        </is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</row>
    <row r="78">
      <c r="A78" t="inlineStr">
        <is>
          <t>Dominica_2023_May</t>
        </is>
      </c>
      <c r="B78" s="2" t="n"/>
      <c r="C78" s="3" t="inlineStr">
        <is>
          <t>SM.23.127, Sup. 1</t>
        </is>
      </c>
      <c r="D78" s="4" t="inlineStr">
        <is>
          <t>Dominica</t>
        </is>
      </c>
      <c r="E78" s="4" t="inlineStr">
        <is>
          <t>DMA</t>
        </is>
      </c>
      <c r="F78" s="10" t="n">
        <v>45047</v>
      </c>
      <c r="G78" s="4" t="inlineStr">
        <is>
          <t>2018gn</t>
        </is>
      </c>
      <c r="H78" s="4" t="n">
        <v>2022</v>
      </c>
      <c r="I78" s="4" t="inlineStr">
        <is>
          <t>new.dis.mlt.oth</t>
        </is>
      </c>
      <c r="J78" t="inlineStr">
        <is>
          <t>Other Multilaterals</t>
        </is>
      </c>
      <c r="O78" t="n">
        <v>3.80757488892977</v>
      </c>
      <c r="P78" t="n">
        <v>4.53037695084438</v>
      </c>
      <c r="Q78" t="n">
        <v>4.47130213942568</v>
      </c>
      <c r="R78" t="n">
        <v>4.11586801704401</v>
      </c>
      <c r="S78" t="n">
        <v>4.24636262521037</v>
      </c>
      <c r="T78" t="n">
        <v>4.23423915447896</v>
      </c>
      <c r="U78" t="n">
        <v>4.31957200758884</v>
      </c>
      <c r="V78" t="n">
        <v>4.27741101893777</v>
      </c>
      <c r="W78" t="n">
        <v>4.23863279484022</v>
      </c>
      <c r="X78" t="n">
        <v>4.26318575039942</v>
      </c>
      <c r="Y78" t="n">
        <v>4.26655037543716</v>
      </c>
      <c r="Z78" t="n">
        <v>4.27303187623282</v>
      </c>
      <c r="AA78" t="n">
        <v>4.26373925524475</v>
      </c>
      <c r="AB78" t="n">
        <v>4.26101645646852</v>
      </c>
      <c r="AC78" t="n">
        <v>4.26550089143577</v>
      </c>
      <c r="AD78" t="n">
        <v>4.26596777096382</v>
      </c>
      <c r="AE78" t="n">
        <v>4.26585125006913</v>
      </c>
      <c r="AF78" t="n">
        <v>4.2644151248364</v>
      </c>
      <c r="AG78" t="n">
        <v>4.26455029875463</v>
      </c>
      <c r="AH78" t="n">
        <v>4.26525706721198</v>
      </c>
      <c r="AI78" t="n">
        <v>4.26520830236721</v>
      </c>
    </row>
    <row r="79">
      <c r="A79" t="inlineStr">
        <is>
          <t>Dominica_2023_May</t>
        </is>
      </c>
      <c r="B79" s="2" t="n"/>
      <c r="C79" s="3" t="inlineStr">
        <is>
          <t>SM.23.127, Sup. 1</t>
        </is>
      </c>
      <c r="D79" s="4" t="inlineStr">
        <is>
          <t>Dominica</t>
        </is>
      </c>
      <c r="E79" s="4" t="inlineStr">
        <is>
          <t>DMA</t>
        </is>
      </c>
      <c r="F79" s="10" t="n">
        <v>45047</v>
      </c>
      <c r="G79" s="4" t="inlineStr">
        <is>
          <t>2018gn</t>
        </is>
      </c>
      <c r="H79" s="4" t="n">
        <v>2022</v>
      </c>
      <c r="I79" s="4" t="inlineStr">
        <is>
          <t>new.dis.mlt.oth1</t>
        </is>
      </c>
      <c r="J79" t="inlineStr">
        <is>
          <t>OTH_MULTI1</t>
        </is>
      </c>
      <c r="O79" t="n">
        <v>3.80757488892977</v>
      </c>
      <c r="P79" t="n">
        <v>4.53037695084438</v>
      </c>
      <c r="Q79" t="n">
        <v>4.47130213942568</v>
      </c>
      <c r="R79" t="n">
        <v>4.11586801704401</v>
      </c>
      <c r="S79" t="n">
        <v>4.24636262521037</v>
      </c>
      <c r="T79" t="n">
        <v>4.23423915447896</v>
      </c>
      <c r="U79" t="n">
        <v>4.31957200758884</v>
      </c>
      <c r="V79" t="n">
        <v>4.27741101893777</v>
      </c>
      <c r="W79" t="n">
        <v>4.23863279484022</v>
      </c>
      <c r="X79" t="n">
        <v>4.26318575039942</v>
      </c>
      <c r="Y79" t="n">
        <v>4.26655037543716</v>
      </c>
      <c r="Z79" t="n">
        <v>4.27303187623282</v>
      </c>
      <c r="AA79" t="n">
        <v>4.26373925524475</v>
      </c>
      <c r="AB79" t="n">
        <v>4.26101645646852</v>
      </c>
      <c r="AC79" t="n">
        <v>4.26550089143577</v>
      </c>
      <c r="AD79" t="n">
        <v>4.26596777096382</v>
      </c>
      <c r="AE79" t="n">
        <v>4.26585125006913</v>
      </c>
      <c r="AF79" t="n">
        <v>4.2644151248364</v>
      </c>
      <c r="AG79" t="n">
        <v>4.26455029875463</v>
      </c>
      <c r="AH79" t="n">
        <v>4.26525706721198</v>
      </c>
      <c r="AI79" t="n">
        <v>4.26520830236721</v>
      </c>
    </row>
    <row r="80">
      <c r="A80" t="inlineStr">
        <is>
          <t>Dominica_2023_May</t>
        </is>
      </c>
      <c r="B80" s="2" t="n"/>
      <c r="C80" s="3" t="inlineStr">
        <is>
          <t>SM.23.127, Sup. 1</t>
        </is>
      </c>
      <c r="D80" s="4" t="inlineStr">
        <is>
          <t>Dominica</t>
        </is>
      </c>
      <c r="E80" s="4" t="inlineStr">
        <is>
          <t>DMA</t>
        </is>
      </c>
      <c r="F80" s="10" t="n">
        <v>45047</v>
      </c>
      <c r="G80" s="4" t="inlineStr">
        <is>
          <t>2018gn</t>
        </is>
      </c>
      <c r="H80" s="4" t="n">
        <v>2022</v>
      </c>
      <c r="I80" s="4" t="inlineStr">
        <is>
          <t>new.dis.mlt.oth2</t>
        </is>
      </c>
      <c r="J80" t="inlineStr">
        <is>
          <t>OTH_MULTI2</t>
        </is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</row>
    <row r="81">
      <c r="A81" t="inlineStr">
        <is>
          <t>Dominica_2023_May</t>
        </is>
      </c>
      <c r="B81" s="2" t="n"/>
      <c r="C81" s="3" t="inlineStr">
        <is>
          <t>SM.23.127, Sup. 1</t>
        </is>
      </c>
      <c r="D81" s="4" t="inlineStr">
        <is>
          <t>Dominica</t>
        </is>
      </c>
      <c r="E81" s="4" t="inlineStr">
        <is>
          <t>DMA</t>
        </is>
      </c>
      <c r="F81" s="10" t="n">
        <v>45047</v>
      </c>
      <c r="G81" s="4" t="inlineStr">
        <is>
          <t>2018gn</t>
        </is>
      </c>
      <c r="H81" s="4" t="n">
        <v>2022</v>
      </c>
      <c r="I81" s="4" t="inlineStr">
        <is>
          <t>new.dis.mlt.oth3</t>
        </is>
      </c>
      <c r="J81" t="inlineStr">
        <is>
          <t>OTH_MULTI3</t>
        </is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</row>
    <row r="82">
      <c r="A82" t="inlineStr">
        <is>
          <t>Dominica_2023_May</t>
        </is>
      </c>
      <c r="B82" s="2" t="n"/>
      <c r="C82" s="3" t="inlineStr">
        <is>
          <t>SM.23.127, Sup. 1</t>
        </is>
      </c>
      <c r="D82" s="4" t="inlineStr">
        <is>
          <t>Dominica</t>
        </is>
      </c>
      <c r="E82" s="4" t="inlineStr">
        <is>
          <t>DMA</t>
        </is>
      </c>
      <c r="F82" s="10" t="n">
        <v>45047</v>
      </c>
      <c r="G82" s="4" t="inlineStr">
        <is>
          <t>2018gn</t>
        </is>
      </c>
      <c r="H82" s="4" t="n">
        <v>2022</v>
      </c>
      <c r="I82" s="4" t="inlineStr">
        <is>
          <t>new.dis.blt</t>
        </is>
      </c>
      <c r="J82" t="inlineStr">
        <is>
          <t>Official Bilaterals</t>
        </is>
      </c>
      <c r="O82" t="n">
        <v>0</v>
      </c>
      <c r="P82" t="n">
        <v>0</v>
      </c>
      <c r="Q82" t="n">
        <v>0</v>
      </c>
      <c r="R82" t="n">
        <v>0</v>
      </c>
      <c r="S82" t="n">
        <v>4.06819332997302</v>
      </c>
      <c r="T82" t="n">
        <v>5.38591242256415</v>
      </c>
      <c r="U82" t="n">
        <v>4.69400041450792</v>
      </c>
      <c r="V82" t="n">
        <v>4.26007333164553</v>
      </c>
      <c r="W82" t="n">
        <v>3.89896796572633</v>
      </c>
      <c r="X82" t="n">
        <v>3.53332630571518</v>
      </c>
      <c r="Y82" t="n">
        <v>3.33052743632542</v>
      </c>
      <c r="Z82" t="n">
        <v>0.987227761609449</v>
      </c>
      <c r="AA82" t="n">
        <v>1.70880492643116</v>
      </c>
      <c r="AB82" t="n">
        <v>2.2151136060707</v>
      </c>
      <c r="AC82" t="n">
        <v>2.57981395419167</v>
      </c>
      <c r="AD82" t="n">
        <v>2.85121906163552</v>
      </c>
      <c r="AE82" t="n">
        <v>3.06236587408103</v>
      </c>
      <c r="AF82" t="n">
        <v>0</v>
      </c>
      <c r="AG82" t="n">
        <v>0</v>
      </c>
      <c r="AH82" t="n">
        <v>0</v>
      </c>
      <c r="AI82" t="n">
        <v>0</v>
      </c>
      <c r="BI82" t="inlineStr">
        <is>
          <t>NEW_OB</t>
        </is>
      </c>
    </row>
    <row r="83">
      <c r="A83" t="inlineStr">
        <is>
          <t>Dominica_2023_May</t>
        </is>
      </c>
      <c r="B83" s="2" t="n"/>
      <c r="C83" s="3" t="inlineStr">
        <is>
          <t>SM.23.127, Sup. 1</t>
        </is>
      </c>
      <c r="D83" s="4" t="inlineStr">
        <is>
          <t>Dominica</t>
        </is>
      </c>
      <c r="E83" s="4" t="inlineStr">
        <is>
          <t>DMA</t>
        </is>
      </c>
      <c r="F83" s="10" t="n">
        <v>45047</v>
      </c>
      <c r="G83" s="4" t="inlineStr">
        <is>
          <t>2018gn</t>
        </is>
      </c>
      <c r="H83" s="4" t="n">
        <v>2022</v>
      </c>
      <c r="I83" s="4" t="inlineStr">
        <is>
          <t>new.dis.pc</t>
        </is>
      </c>
      <c r="J83" t="inlineStr">
        <is>
          <t xml:space="preserve">   Paris Club</t>
        </is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BI83" t="inlineStr">
        <is>
          <t>NEW_PC_ALL</t>
        </is>
      </c>
    </row>
    <row r="84">
      <c r="A84" t="inlineStr">
        <is>
          <t>Dominica_2023_May</t>
        </is>
      </c>
      <c r="B84" s="2" t="n"/>
      <c r="C84" s="3" t="inlineStr">
        <is>
          <t>SM.23.127, Sup. 1</t>
        </is>
      </c>
      <c r="D84" s="4" t="inlineStr">
        <is>
          <t>Dominica</t>
        </is>
      </c>
      <c r="E84" s="4" t="inlineStr">
        <is>
          <t>DMA</t>
        </is>
      </c>
      <c r="F84" s="10" t="n">
        <v>45047</v>
      </c>
      <c r="G84" s="4" t="inlineStr">
        <is>
          <t>2018gn</t>
        </is>
      </c>
      <c r="H84" s="4" t="n">
        <v>2022</v>
      </c>
      <c r="I84" s="4" t="inlineStr">
        <is>
          <t>new.dis.pc1</t>
        </is>
      </c>
      <c r="J84" t="inlineStr">
        <is>
          <t>Export Credit Agencies</t>
        </is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BI84" t="inlineStr">
        <is>
          <t>NEW_PC1</t>
        </is>
      </c>
    </row>
    <row r="85">
      <c r="A85" t="inlineStr">
        <is>
          <t>Dominica_2023_May</t>
        </is>
      </c>
      <c r="B85" s="2" t="n"/>
      <c r="C85" s="3" t="inlineStr">
        <is>
          <t>SM.23.127, Sup. 1</t>
        </is>
      </c>
      <c r="D85" s="4" t="inlineStr">
        <is>
          <t>Dominica</t>
        </is>
      </c>
      <c r="E85" s="4" t="inlineStr">
        <is>
          <t>DMA</t>
        </is>
      </c>
      <c r="F85" s="10" t="n">
        <v>45047</v>
      </c>
      <c r="G85" s="4" t="inlineStr">
        <is>
          <t>2018gn</t>
        </is>
      </c>
      <c r="H85" s="4" t="n">
        <v>2022</v>
      </c>
      <c r="I85" s="4" t="inlineStr">
        <is>
          <t>new.dis.pc2</t>
        </is>
      </c>
      <c r="J85" t="inlineStr">
        <is>
          <t>PC2</t>
        </is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BI85" t="inlineStr">
        <is>
          <t>NEW_PC2</t>
        </is>
      </c>
    </row>
    <row r="86">
      <c r="A86" t="inlineStr">
        <is>
          <t>Dominica_2023_May</t>
        </is>
      </c>
      <c r="B86" s="2" t="n"/>
      <c r="C86" s="3" t="inlineStr">
        <is>
          <t>SM.23.127, Sup. 1</t>
        </is>
      </c>
      <c r="D86" s="4" t="inlineStr">
        <is>
          <t>Dominica</t>
        </is>
      </c>
      <c r="E86" s="4" t="inlineStr">
        <is>
          <t>DMA</t>
        </is>
      </c>
      <c r="F86" s="10" t="n">
        <v>45047</v>
      </c>
      <c r="G86" s="4" t="inlineStr">
        <is>
          <t>2018gn</t>
        </is>
      </c>
      <c r="H86" s="4" t="n">
        <v>2022</v>
      </c>
      <c r="I86" s="4" t="inlineStr">
        <is>
          <t>new.dis.pc3</t>
        </is>
      </c>
      <c r="J86" t="inlineStr">
        <is>
          <t>PC3</t>
        </is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BI86" t="inlineStr">
        <is>
          <t>NEW_PC3</t>
        </is>
      </c>
    </row>
    <row r="87">
      <c r="A87" t="inlineStr">
        <is>
          <t>Dominica_2023_May</t>
        </is>
      </c>
      <c r="B87" s="2" t="n"/>
      <c r="C87" s="3" t="inlineStr">
        <is>
          <t>SM.23.127, Sup. 1</t>
        </is>
      </c>
      <c r="D87" s="4" t="inlineStr">
        <is>
          <t>Dominica</t>
        </is>
      </c>
      <c r="E87" s="4" t="inlineStr">
        <is>
          <t>DMA</t>
        </is>
      </c>
      <c r="F87" s="10" t="n">
        <v>45047</v>
      </c>
      <c r="G87" s="4" t="inlineStr">
        <is>
          <t>2018gn</t>
        </is>
      </c>
      <c r="H87" s="4" t="n">
        <v>2022</v>
      </c>
      <c r="I87" s="4" t="inlineStr">
        <is>
          <t>new.dis.pc4</t>
        </is>
      </c>
      <c r="J87" t="inlineStr">
        <is>
          <t>PC4</t>
        </is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</row>
    <row r="88">
      <c r="A88" t="inlineStr">
        <is>
          <t>Dominica_2023_May</t>
        </is>
      </c>
      <c r="B88" s="2" t="n"/>
      <c r="C88" s="3" t="inlineStr">
        <is>
          <t>SM.23.127, Sup. 1</t>
        </is>
      </c>
      <c r="D88" s="4" t="inlineStr">
        <is>
          <t>Dominica</t>
        </is>
      </c>
      <c r="E88" s="4" t="inlineStr">
        <is>
          <t>DMA</t>
        </is>
      </c>
      <c r="F88" s="10" t="n">
        <v>45047</v>
      </c>
      <c r="G88" s="4" t="inlineStr">
        <is>
          <t>2018gn</t>
        </is>
      </c>
      <c r="H88" s="4" t="n">
        <v>2022</v>
      </c>
      <c r="I88" s="4" t="inlineStr">
        <is>
          <t>new.dis.pc5</t>
        </is>
      </c>
      <c r="J88" t="inlineStr">
        <is>
          <t>PC5</t>
        </is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</row>
    <row r="89">
      <c r="A89" t="inlineStr">
        <is>
          <t>Dominica_2023_May</t>
        </is>
      </c>
      <c r="B89" s="2" t="n"/>
      <c r="C89" s="3" t="inlineStr">
        <is>
          <t>SM.23.127, Sup. 1</t>
        </is>
      </c>
      <c r="D89" s="4" t="inlineStr">
        <is>
          <t>Dominica</t>
        </is>
      </c>
      <c r="E89" s="4" t="inlineStr">
        <is>
          <t>DMA</t>
        </is>
      </c>
      <c r="F89" s="10" t="n">
        <v>45047</v>
      </c>
      <c r="G89" s="4" t="inlineStr">
        <is>
          <t>2018gn</t>
        </is>
      </c>
      <c r="H89" s="4" t="n">
        <v>2022</v>
      </c>
      <c r="I89" s="4" t="inlineStr">
        <is>
          <t>new.dis.npc</t>
        </is>
      </c>
      <c r="J89" t="inlineStr">
        <is>
          <t xml:space="preserve">   Non-Paris Club</t>
        </is>
      </c>
      <c r="O89" t="n">
        <v>0</v>
      </c>
      <c r="P89" t="n">
        <v>0</v>
      </c>
      <c r="Q89" t="n">
        <v>0</v>
      </c>
      <c r="R89" t="n">
        <v>0</v>
      </c>
      <c r="S89" t="n">
        <v>4.06819332997302</v>
      </c>
      <c r="T89" t="n">
        <v>5.38591242256415</v>
      </c>
      <c r="U89" t="n">
        <v>4.69400041450792</v>
      </c>
      <c r="V89" t="n">
        <v>4.26007333164553</v>
      </c>
      <c r="W89" t="n">
        <v>3.89896796572633</v>
      </c>
      <c r="X89" t="n">
        <v>3.53332630571518</v>
      </c>
      <c r="Y89" t="n">
        <v>3.33052743632542</v>
      </c>
      <c r="Z89" t="n">
        <v>0.987227761609449</v>
      </c>
      <c r="AA89" t="n">
        <v>1.70880492643116</v>
      </c>
      <c r="AB89" t="n">
        <v>2.2151136060707</v>
      </c>
      <c r="AC89" t="n">
        <v>2.57981395419167</v>
      </c>
      <c r="AD89" t="n">
        <v>2.85121906163552</v>
      </c>
      <c r="AE89" t="n">
        <v>3.06236587408103</v>
      </c>
      <c r="AF89" t="n">
        <v>0</v>
      </c>
      <c r="AG89" t="n">
        <v>0</v>
      </c>
      <c r="AH89" t="n">
        <v>0</v>
      </c>
      <c r="AI89" t="n">
        <v>0</v>
      </c>
      <c r="BI89" t="inlineStr">
        <is>
          <t>NEW_NPC_ALL</t>
        </is>
      </c>
    </row>
    <row r="90">
      <c r="A90" t="inlineStr">
        <is>
          <t>Dominica_2023_May</t>
        </is>
      </c>
      <c r="B90" s="2" t="n"/>
      <c r="C90" s="3" t="inlineStr">
        <is>
          <t>SM.23.127, Sup. 1</t>
        </is>
      </c>
      <c r="D90" s="4" t="inlineStr">
        <is>
          <t>Dominica</t>
        </is>
      </c>
      <c r="E90" s="4" t="inlineStr">
        <is>
          <t>DMA</t>
        </is>
      </c>
      <c r="F90" s="10" t="n">
        <v>45047</v>
      </c>
      <c r="G90" s="4" t="inlineStr">
        <is>
          <t>2018gn</t>
        </is>
      </c>
      <c r="H90" s="4" t="n">
        <v>2022</v>
      </c>
      <c r="I90" s="4" t="inlineStr">
        <is>
          <t>new.dis.npc.eximbk</t>
        </is>
      </c>
      <c r="J90" t="inlineStr">
        <is>
          <t>NPC2</t>
        </is>
      </c>
      <c r="O90" t="n">
        <v>0</v>
      </c>
      <c r="P90" t="n">
        <v>0</v>
      </c>
      <c r="Q90" t="n">
        <v>0</v>
      </c>
      <c r="R90" t="n">
        <v>0</v>
      </c>
      <c r="S90" t="n">
        <v>4.06819332997302</v>
      </c>
      <c r="T90" t="n">
        <v>5.38591242256415</v>
      </c>
      <c r="U90" t="n">
        <v>4.69400041450792</v>
      </c>
      <c r="V90" t="n">
        <v>4.26007333164553</v>
      </c>
      <c r="W90" t="n">
        <v>3.89896796572633</v>
      </c>
      <c r="X90" t="n">
        <v>3.53332630571518</v>
      </c>
      <c r="Y90" t="n">
        <v>3.33052743632542</v>
      </c>
      <c r="Z90" t="n">
        <v>0.987227761609449</v>
      </c>
      <c r="AA90" t="n">
        <v>1.70880492643116</v>
      </c>
      <c r="AB90" t="n">
        <v>2.2151136060707</v>
      </c>
      <c r="AC90" t="n">
        <v>2.57981395419167</v>
      </c>
      <c r="AD90" t="n">
        <v>2.85121906163552</v>
      </c>
      <c r="AE90" t="n">
        <v>3.06236587408103</v>
      </c>
      <c r="AF90" t="n">
        <v>0</v>
      </c>
      <c r="AG90" t="n">
        <v>0</v>
      </c>
      <c r="AH90" t="n">
        <v>0</v>
      </c>
      <c r="AI90" t="n">
        <v>0</v>
      </c>
      <c r="BI90" t="inlineStr">
        <is>
          <t>NEW_NPC1</t>
        </is>
      </c>
    </row>
    <row r="91">
      <c r="A91" t="inlineStr">
        <is>
          <t>Dominica_2023_May</t>
        </is>
      </c>
      <c r="B91" s="2" t="n"/>
      <c r="C91" s="3" t="inlineStr">
        <is>
          <t>SM.23.127, Sup. 1</t>
        </is>
      </c>
      <c r="D91" s="4" t="inlineStr">
        <is>
          <t>Dominica</t>
        </is>
      </c>
      <c r="E91" s="4" t="inlineStr">
        <is>
          <t>DMA</t>
        </is>
      </c>
      <c r="F91" s="10" t="n">
        <v>45047</v>
      </c>
      <c r="G91" s="4" t="inlineStr">
        <is>
          <t>2018gn</t>
        </is>
      </c>
      <c r="H91" s="4" t="n">
        <v>2022</v>
      </c>
      <c r="I91" s="4" t="inlineStr">
        <is>
          <t>new.dis.npc2</t>
        </is>
      </c>
      <c r="J91" t="inlineStr">
        <is>
          <t>NPC2</t>
        </is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BI91" t="inlineStr">
        <is>
          <t>NEW_NPC2</t>
        </is>
      </c>
    </row>
    <row r="92">
      <c r="A92" t="inlineStr">
        <is>
          <t>Dominica_2023_May</t>
        </is>
      </c>
      <c r="B92" s="2" t="n"/>
      <c r="C92" s="3" t="inlineStr">
        <is>
          <t>SM.23.127, Sup. 1</t>
        </is>
      </c>
      <c r="D92" s="4" t="inlineStr">
        <is>
          <t>Dominica</t>
        </is>
      </c>
      <c r="E92" s="4" t="inlineStr">
        <is>
          <t>DMA</t>
        </is>
      </c>
      <c r="F92" s="10" t="n">
        <v>45047</v>
      </c>
      <c r="G92" s="4" t="inlineStr">
        <is>
          <t>2018gn</t>
        </is>
      </c>
      <c r="H92" s="4" t="n">
        <v>2022</v>
      </c>
      <c r="I92" s="4" t="inlineStr">
        <is>
          <t>new.dis.npc3</t>
        </is>
      </c>
      <c r="J92" t="inlineStr">
        <is>
          <t>NPC3</t>
        </is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BI92" t="inlineStr">
        <is>
          <t>NEW_NPC3</t>
        </is>
      </c>
    </row>
    <row r="93">
      <c r="A93" t="inlineStr">
        <is>
          <t>Dominica_2023_May</t>
        </is>
      </c>
      <c r="B93" s="2" t="n"/>
      <c r="C93" s="3" t="inlineStr">
        <is>
          <t>SM.23.127, Sup. 1</t>
        </is>
      </c>
      <c r="D93" s="4" t="inlineStr">
        <is>
          <t>Dominica</t>
        </is>
      </c>
      <c r="E93" s="4" t="inlineStr">
        <is>
          <t>DMA</t>
        </is>
      </c>
      <c r="F93" s="10" t="n">
        <v>45047</v>
      </c>
      <c r="G93" s="4" t="inlineStr">
        <is>
          <t>2018gn</t>
        </is>
      </c>
      <c r="H93" s="4" t="n">
        <v>2022</v>
      </c>
      <c r="I93" s="4" t="inlineStr">
        <is>
          <t>new.dis.npc4</t>
        </is>
      </c>
      <c r="J93" t="inlineStr">
        <is>
          <t>NPC4</t>
        </is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</row>
    <row r="94">
      <c r="A94" t="inlineStr">
        <is>
          <t>Dominica_2023_May</t>
        </is>
      </c>
      <c r="B94" s="2" t="n"/>
      <c r="C94" s="3" t="inlineStr">
        <is>
          <t>SM.23.127, Sup. 1</t>
        </is>
      </c>
      <c r="D94" s="4" t="inlineStr">
        <is>
          <t>Dominica</t>
        </is>
      </c>
      <c r="E94" s="4" t="inlineStr">
        <is>
          <t>DMA</t>
        </is>
      </c>
      <c r="F94" s="10" t="n">
        <v>45047</v>
      </c>
      <c r="G94" s="4" t="inlineStr">
        <is>
          <t>2018gn</t>
        </is>
      </c>
      <c r="H94" s="4" t="n">
        <v>2022</v>
      </c>
      <c r="I94" s="4" t="inlineStr">
        <is>
          <t>new.dis.npc5</t>
        </is>
      </c>
      <c r="J94" t="inlineStr">
        <is>
          <t>NPC5</t>
        </is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</row>
    <row r="95">
      <c r="A95" t="inlineStr">
        <is>
          <t>Dominica_2023_May</t>
        </is>
      </c>
      <c r="B95" s="2" t="n"/>
      <c r="C95" s="3" t="inlineStr">
        <is>
          <t>SM.23.127, Sup. 1</t>
        </is>
      </c>
      <c r="D95" s="4" t="inlineStr">
        <is>
          <t>Dominica</t>
        </is>
      </c>
      <c r="E95" s="4" t="inlineStr">
        <is>
          <t>DMA</t>
        </is>
      </c>
      <c r="F95" s="10" t="n">
        <v>45047</v>
      </c>
      <c r="G95" s="4" t="inlineStr">
        <is>
          <t>2018gn</t>
        </is>
      </c>
      <c r="H95" s="4" t="n">
        <v>2022</v>
      </c>
      <c r="I95" s="4" t="inlineStr">
        <is>
          <t>new.dis.prvt</t>
        </is>
      </c>
      <c r="J95" t="inlineStr">
        <is>
          <t>Commercial</t>
        </is>
      </c>
      <c r="O95" t="n">
        <v>0</v>
      </c>
      <c r="P95" t="n">
        <v>0</v>
      </c>
      <c r="Q95" t="n">
        <v>0</v>
      </c>
      <c r="R95" t="n">
        <v>3.81286650279468</v>
      </c>
      <c r="S95" t="n">
        <v>5.45372019787327</v>
      </c>
      <c r="T95" t="n">
        <v>5.38803443854121</v>
      </c>
      <c r="U95" t="n">
        <v>5.99462469986993</v>
      </c>
      <c r="V95" t="n">
        <v>6.84553947589991</v>
      </c>
      <c r="W95" t="n">
        <v>7.42080945113443</v>
      </c>
      <c r="X95" t="n">
        <v>7.84369355051343</v>
      </c>
      <c r="Y95" t="n">
        <v>8.420952424755651</v>
      </c>
      <c r="Z95" t="n">
        <v>2.71965353852068</v>
      </c>
      <c r="AA95" t="n">
        <v>4.90379106069888</v>
      </c>
      <c r="AB95" t="n">
        <v>5.80118127926005</v>
      </c>
      <c r="AC95" t="n">
        <v>6.17217402639004</v>
      </c>
      <c r="AD95" t="n">
        <v>6.50154473838926</v>
      </c>
      <c r="AE95" t="n">
        <v>6.81263570907088</v>
      </c>
      <c r="AF95" t="n">
        <v>0</v>
      </c>
      <c r="AG95" t="n">
        <v>0</v>
      </c>
      <c r="AH95" t="n">
        <v>0</v>
      </c>
      <c r="AI95" t="n">
        <v>0</v>
      </c>
      <c r="BI95" t="inlineStr">
        <is>
          <t>NEW_COM_ALL</t>
        </is>
      </c>
    </row>
    <row r="96">
      <c r="A96" t="inlineStr">
        <is>
          <t>Dominica_2023_May</t>
        </is>
      </c>
      <c r="B96" s="2" t="n"/>
      <c r="C96" s="3" t="inlineStr">
        <is>
          <t>SM.23.127, Sup. 1</t>
        </is>
      </c>
      <c r="D96" s="4" t="inlineStr">
        <is>
          <t>Dominica</t>
        </is>
      </c>
      <c r="E96" s="4" t="inlineStr">
        <is>
          <t>DMA</t>
        </is>
      </c>
      <c r="F96" s="10" t="n">
        <v>45047</v>
      </c>
      <c r="G96" s="4" t="inlineStr">
        <is>
          <t>2018gn</t>
        </is>
      </c>
      <c r="H96" s="4" t="n">
        <v>2022</v>
      </c>
      <c r="I96" s="4" t="inlineStr">
        <is>
          <t>new.dis.prvt.bnd</t>
        </is>
      </c>
      <c r="J96" t="inlineStr">
        <is>
          <t>Eurobond</t>
        </is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BI96" t="inlineStr">
        <is>
          <t>NEW_COM1</t>
        </is>
      </c>
    </row>
    <row r="97">
      <c r="A97" t="inlineStr">
        <is>
          <t>Dominica_2023_May</t>
        </is>
      </c>
      <c r="B97" s="2" t="n"/>
      <c r="C97" s="3" t="inlineStr">
        <is>
          <t>SM.23.127, Sup. 1</t>
        </is>
      </c>
      <c r="D97" s="4" t="inlineStr">
        <is>
          <t>Dominica</t>
        </is>
      </c>
      <c r="E97" s="4" t="inlineStr">
        <is>
          <t>DMA</t>
        </is>
      </c>
      <c r="F97" s="10" t="n">
        <v>45047</v>
      </c>
      <c r="G97" s="4" t="inlineStr">
        <is>
          <t>2018gn</t>
        </is>
      </c>
      <c r="H97" s="4" t="n">
        <v>2022</v>
      </c>
      <c r="I97" s="4" t="inlineStr">
        <is>
          <t>new.dis.prvt.cmbk</t>
        </is>
      </c>
      <c r="J97" t="inlineStr">
        <is>
          <t>Commecial Bank</t>
        </is>
      </c>
      <c r="O97" t="n">
        <v>0</v>
      </c>
      <c r="P97" t="n">
        <v>0</v>
      </c>
      <c r="Q97" t="n">
        <v>0</v>
      </c>
      <c r="R97" t="n">
        <v>3.81286650279468</v>
      </c>
      <c r="S97" t="n">
        <v>5.45372019787327</v>
      </c>
      <c r="T97" t="n">
        <v>5.38803443854121</v>
      </c>
      <c r="U97" t="n">
        <v>5.99462469986993</v>
      </c>
      <c r="V97" t="n">
        <v>6.84553947589991</v>
      </c>
      <c r="W97" t="n">
        <v>7.42080945113443</v>
      </c>
      <c r="X97" t="n">
        <v>7.84369355051343</v>
      </c>
      <c r="Y97" t="n">
        <v>8.420952424755651</v>
      </c>
      <c r="Z97" t="n">
        <v>2.71965353852068</v>
      </c>
      <c r="AA97" t="n">
        <v>4.90379106069888</v>
      </c>
      <c r="AB97" t="n">
        <v>5.80118127926005</v>
      </c>
      <c r="AC97" t="n">
        <v>6.17217402639004</v>
      </c>
      <c r="AD97" t="n">
        <v>6.50154473838926</v>
      </c>
      <c r="AE97" t="n">
        <v>6.81263570907088</v>
      </c>
      <c r="AF97" t="n">
        <v>0</v>
      </c>
      <c r="AG97" t="n">
        <v>0</v>
      </c>
      <c r="AH97" t="n">
        <v>0</v>
      </c>
      <c r="AI97" t="n">
        <v>0</v>
      </c>
      <c r="BI97" t="inlineStr">
        <is>
          <t>NEW_COM2</t>
        </is>
      </c>
    </row>
    <row r="98">
      <c r="A98" t="inlineStr">
        <is>
          <t>Dominica_2023_May</t>
        </is>
      </c>
      <c r="B98" s="2" t="n"/>
      <c r="C98" s="3" t="inlineStr">
        <is>
          <t>SM.23.127, Sup. 1</t>
        </is>
      </c>
      <c r="D98" s="4" t="inlineStr">
        <is>
          <t>Dominica</t>
        </is>
      </c>
      <c r="E98" s="4" t="inlineStr">
        <is>
          <t>DMA</t>
        </is>
      </c>
      <c r="F98" s="10" t="n">
        <v>45047</v>
      </c>
      <c r="G98" s="4" t="inlineStr">
        <is>
          <t>2018gn</t>
        </is>
      </c>
      <c r="H98" s="4" t="n">
        <v>2022</v>
      </c>
      <c r="I98" s="4" t="inlineStr">
        <is>
          <t>new.dis.prvt.com3</t>
        </is>
      </c>
      <c r="J98" t="inlineStr">
        <is>
          <t>COM3</t>
        </is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BI98" t="inlineStr">
        <is>
          <t>NEW_COM3</t>
        </is>
      </c>
    </row>
    <row r="99">
      <c r="A99" t="inlineStr">
        <is>
          <t>Dominica_2023_May</t>
        </is>
      </c>
      <c r="B99" s="2" t="n"/>
      <c r="C99" s="3" t="inlineStr">
        <is>
          <t>SM.23.127, Sup. 1</t>
        </is>
      </c>
      <c r="D99" s="4" t="inlineStr">
        <is>
          <t>Dominica</t>
        </is>
      </c>
      <c r="E99" s="4" t="inlineStr">
        <is>
          <t>DMA</t>
        </is>
      </c>
      <c r="F99" s="10" t="n">
        <v>45047</v>
      </c>
      <c r="G99" s="4" t="inlineStr">
        <is>
          <t>2018gn</t>
        </is>
      </c>
      <c r="H99" s="4" t="n">
        <v>2022</v>
      </c>
      <c r="I99" s="4" t="inlineStr">
        <is>
          <t>new.dis.prvt.com4</t>
        </is>
      </c>
      <c r="J99" t="inlineStr">
        <is>
          <t>COM4</t>
        </is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</row>
    <row r="100">
      <c r="A100" t="inlineStr">
        <is>
          <t>Dominica_2023_May</t>
        </is>
      </c>
      <c r="B100" s="2" t="n"/>
      <c r="C100" s="3" t="inlineStr">
        <is>
          <t>SM.23.127, Sup. 1</t>
        </is>
      </c>
      <c r="D100" s="4" t="inlineStr">
        <is>
          <t>Dominica</t>
        </is>
      </c>
      <c r="E100" s="4" t="inlineStr">
        <is>
          <t>DMA</t>
        </is>
      </c>
      <c r="F100" s="10" t="n">
        <v>45047</v>
      </c>
      <c r="G100" s="4" t="inlineStr">
        <is>
          <t>2018gn</t>
        </is>
      </c>
      <c r="H100" s="4" t="n">
        <v>2022</v>
      </c>
      <c r="I100" s="4" t="inlineStr">
        <is>
          <t>new.dis.prvt.com5</t>
        </is>
      </c>
      <c r="J100" t="inlineStr">
        <is>
          <t>COM5</t>
        </is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</row>
    <row r="101">
      <c r="A101" t="inlineStr">
        <is>
          <t>Dominica_2023_May</t>
        </is>
      </c>
      <c r="B101" s="2" t="n"/>
      <c r="C101" s="3" t="inlineStr">
        <is>
          <t>SM.23.127, Sup. 1</t>
        </is>
      </c>
      <c r="D101" s="4" t="inlineStr">
        <is>
          <t>Dominica</t>
        </is>
      </c>
      <c r="E101" s="4" t="inlineStr">
        <is>
          <t>DMA</t>
        </is>
      </c>
      <c r="F101" s="10" t="n">
        <v>45047</v>
      </c>
      <c r="G101" s="4" t="inlineStr">
        <is>
          <t>2018gn</t>
        </is>
      </c>
      <c r="H101" s="4" t="n">
        <v>2022</v>
      </c>
      <c r="I101" s="4" t="inlineStr">
        <is>
          <t>new.dis.lcl.nres</t>
        </is>
      </c>
      <c r="J101" t="inlineStr">
        <is>
          <t>Locally-issued debt held by non-residents</t>
        </is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</row>
    <row r="102">
      <c r="A102" t="inlineStr">
        <is>
          <t>Dominica_2023_May</t>
        </is>
      </c>
      <c r="B102" s="2" t="n"/>
      <c r="C102" s="3" t="inlineStr">
        <is>
          <t>SM.23.127, Sup. 1</t>
        </is>
      </c>
      <c r="D102" s="4" t="inlineStr">
        <is>
          <t>Dominica</t>
        </is>
      </c>
      <c r="E102" s="4" t="inlineStr">
        <is>
          <t>DMA</t>
        </is>
      </c>
      <c r="F102" s="10" t="n">
        <v>45047</v>
      </c>
      <c r="G102" s="4" t="inlineStr">
        <is>
          <t>2018gn</t>
        </is>
      </c>
      <c r="H102" s="4" t="n">
        <v>2022</v>
      </c>
      <c r="I102" s="4" t="inlineStr">
        <is>
          <t>new.dis.lcl.nres.lc</t>
        </is>
      </c>
      <c r="J102" t="inlineStr">
        <is>
          <t>Denominated in local currency (LC)</t>
        </is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</row>
    <row r="103">
      <c r="A103" t="inlineStr">
        <is>
          <t>Dominica_2023_May</t>
        </is>
      </c>
      <c r="B103" s="2" t="n"/>
      <c r="C103" s="3" t="inlineStr">
        <is>
          <t>SM.23.127, Sup. 1</t>
        </is>
      </c>
      <c r="D103" s="4" t="inlineStr">
        <is>
          <t>Dominica</t>
        </is>
      </c>
      <c r="E103" s="4" t="inlineStr">
        <is>
          <t>DMA</t>
        </is>
      </c>
      <c r="F103" s="10" t="n">
        <v>45047</v>
      </c>
      <c r="G103" s="4" t="inlineStr">
        <is>
          <t>2018gn</t>
        </is>
      </c>
      <c r="H103" s="4" t="n">
        <v>2022</v>
      </c>
      <c r="I103" s="4" t="inlineStr">
        <is>
          <t>new.dis.lcl.nres.bnd.1to3.lc</t>
        </is>
      </c>
      <c r="J103" t="inlineStr">
        <is>
          <t>Bonds (1 to 3 years)-LC</t>
        </is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</row>
    <row r="104">
      <c r="A104" t="inlineStr">
        <is>
          <t>Dominica_2023_May</t>
        </is>
      </c>
      <c r="B104" s="2" t="n"/>
      <c r="C104" s="3" t="inlineStr">
        <is>
          <t>SM.23.127, Sup. 1</t>
        </is>
      </c>
      <c r="D104" s="4" t="inlineStr">
        <is>
          <t>Dominica</t>
        </is>
      </c>
      <c r="E104" s="4" t="inlineStr">
        <is>
          <t>DMA</t>
        </is>
      </c>
      <c r="F104" s="10" t="n">
        <v>45047</v>
      </c>
      <c r="G104" s="4" t="inlineStr">
        <is>
          <t>2018gn</t>
        </is>
      </c>
      <c r="H104" s="4" t="n">
        <v>2022</v>
      </c>
      <c r="I104" s="4" t="inlineStr">
        <is>
          <t>new.dis.lcl.nres.bnd.4to7.lc</t>
        </is>
      </c>
      <c r="J104" t="inlineStr">
        <is>
          <t>Bonds (4 to 7 years)-LC</t>
        </is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</row>
    <row r="105">
      <c r="A105" t="inlineStr">
        <is>
          <t>Dominica_2023_May</t>
        </is>
      </c>
      <c r="B105" s="2" t="n"/>
      <c r="C105" s="3" t="inlineStr">
        <is>
          <t>SM.23.127, Sup. 1</t>
        </is>
      </c>
      <c r="D105" s="4" t="inlineStr">
        <is>
          <t>Dominica</t>
        </is>
      </c>
      <c r="E105" s="4" t="inlineStr">
        <is>
          <t>DMA</t>
        </is>
      </c>
      <c r="F105" s="10" t="n">
        <v>45047</v>
      </c>
      <c r="G105" s="4" t="inlineStr">
        <is>
          <t>2018gn</t>
        </is>
      </c>
      <c r="H105" s="4" t="n">
        <v>2022</v>
      </c>
      <c r="I105" s="4" t="inlineStr">
        <is>
          <t>new.dis.lcl.nres.bnd.byd7.lc</t>
        </is>
      </c>
      <c r="J105" t="inlineStr">
        <is>
          <t>Bonds (beyond 7 years)-LC</t>
        </is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</row>
    <row r="106">
      <c r="A106" t="inlineStr">
        <is>
          <t>Dominica_2023_May</t>
        </is>
      </c>
      <c r="B106" s="2" t="n"/>
      <c r="C106" s="3" t="inlineStr">
        <is>
          <t>SM.23.127, Sup. 1</t>
        </is>
      </c>
      <c r="D106" s="4" t="inlineStr">
        <is>
          <t>Dominica</t>
        </is>
      </c>
      <c r="E106" s="4" t="inlineStr">
        <is>
          <t>DMA</t>
        </is>
      </c>
      <c r="F106" s="10" t="n">
        <v>45047</v>
      </c>
      <c r="G106" s="4" t="inlineStr">
        <is>
          <t>2018gn</t>
        </is>
      </c>
      <c r="H106" s="4" t="n">
        <v>2022</v>
      </c>
      <c r="I106" s="4" t="inlineStr">
        <is>
          <t>new.dis.lcl.nres.fx</t>
        </is>
      </c>
      <c r="J106" t="inlineStr">
        <is>
          <t>Denominated in foreign currency (FX)</t>
        </is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</row>
    <row r="107">
      <c r="A107" t="inlineStr">
        <is>
          <t>Dominica_2023_May</t>
        </is>
      </c>
      <c r="B107" s="2" t="n"/>
      <c r="C107" s="3" t="inlineStr">
        <is>
          <t>SM.23.127, Sup. 1</t>
        </is>
      </c>
      <c r="D107" s="4" t="inlineStr">
        <is>
          <t>Dominica</t>
        </is>
      </c>
      <c r="E107" s="4" t="inlineStr">
        <is>
          <t>DMA</t>
        </is>
      </c>
      <c r="F107" s="10" t="n">
        <v>45047</v>
      </c>
      <c r="G107" s="4" t="inlineStr">
        <is>
          <t>2018gn</t>
        </is>
      </c>
      <c r="H107" s="4" t="n">
        <v>2022</v>
      </c>
      <c r="I107" s="4" t="inlineStr">
        <is>
          <t>new.dis.lcl.nres.bnd.1to3.fx</t>
        </is>
      </c>
      <c r="J107" t="inlineStr">
        <is>
          <t>Bonds (1 to 3 years)-FX</t>
        </is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</row>
    <row r="108">
      <c r="A108" t="inlineStr">
        <is>
          <t>Dominica_2023_May</t>
        </is>
      </c>
      <c r="B108" s="2" t="n"/>
      <c r="C108" s="3" t="inlineStr">
        <is>
          <t>SM.23.127, Sup. 1</t>
        </is>
      </c>
      <c r="D108" s="4" t="inlineStr">
        <is>
          <t>Dominica</t>
        </is>
      </c>
      <c r="E108" s="4" t="inlineStr">
        <is>
          <t>DMA</t>
        </is>
      </c>
      <c r="F108" s="10" t="n">
        <v>45047</v>
      </c>
      <c r="G108" s="4" t="inlineStr">
        <is>
          <t>2018gn</t>
        </is>
      </c>
      <c r="H108" s="4" t="n">
        <v>2022</v>
      </c>
      <c r="I108" s="4" t="inlineStr">
        <is>
          <t>new.dis.lcl.nres.bnd.4to7.fx</t>
        </is>
      </c>
      <c r="J108" t="inlineStr">
        <is>
          <t>Bonds (4 to 7 years)-FX</t>
        </is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</row>
    <row r="109">
      <c r="A109" t="inlineStr">
        <is>
          <t>Dominica_2023_May</t>
        </is>
      </c>
      <c r="B109" s="2" t="n"/>
      <c r="C109" s="3" t="inlineStr">
        <is>
          <t>SM.23.127, Sup. 1</t>
        </is>
      </c>
      <c r="D109" s="4" t="inlineStr">
        <is>
          <t>Dominica</t>
        </is>
      </c>
      <c r="E109" s="4" t="inlineStr">
        <is>
          <t>DMA</t>
        </is>
      </c>
      <c r="F109" s="10" t="n">
        <v>45047</v>
      </c>
      <c r="G109" s="4" t="inlineStr">
        <is>
          <t>2018gn</t>
        </is>
      </c>
      <c r="H109" s="4" t="n">
        <v>2022</v>
      </c>
      <c r="I109" s="4" t="inlineStr">
        <is>
          <t>new.dis.lcl.nres.bnd.byd7.fx</t>
        </is>
      </c>
      <c r="J109" t="inlineStr">
        <is>
          <t>Bonds (beyond 7 years)-FX</t>
        </is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</row>
    <row r="110">
      <c r="A110" t="inlineStr">
        <is>
          <t>Dominica_2023_May</t>
        </is>
      </c>
      <c r="B110" s="2" t="n"/>
      <c r="C110" s="3" t="inlineStr">
        <is>
          <t>SM.23.127, Sup. 1</t>
        </is>
      </c>
      <c r="D110" s="4" t="inlineStr">
        <is>
          <t>Dominica</t>
        </is>
      </c>
      <c r="E110" s="4" t="inlineStr">
        <is>
          <t>DMA</t>
        </is>
      </c>
      <c r="F110" s="10" t="n">
        <v>45047</v>
      </c>
      <c r="G110" s="4" t="inlineStr">
        <is>
          <t>2018gn</t>
        </is>
      </c>
      <c r="H110" s="4" t="n">
        <v>2022</v>
      </c>
      <c r="I110" s="5" t="n"/>
      <c r="J110" t="inlineStr">
        <is>
          <t>Locally-issued debt held by residents</t>
        </is>
      </c>
    </row>
    <row r="111">
      <c r="A111" t="inlineStr">
        <is>
          <t>Dominica_2023_May</t>
        </is>
      </c>
      <c r="B111" s="2" t="n"/>
      <c r="C111" s="3" t="inlineStr">
        <is>
          <t>SM.23.127, Sup. 1</t>
        </is>
      </c>
      <c r="D111" s="4" t="inlineStr">
        <is>
          <t>Dominica</t>
        </is>
      </c>
      <c r="E111" s="4" t="inlineStr">
        <is>
          <t>DMA</t>
        </is>
      </c>
      <c r="F111" s="10" t="n">
        <v>45047</v>
      </c>
      <c r="G111" s="4" t="inlineStr">
        <is>
          <t>2018gn</t>
        </is>
      </c>
      <c r="H111" s="4" t="n">
        <v>2022</v>
      </c>
      <c r="I111" s="4" t="inlineStr">
        <is>
          <t>new.dis.lcl.fx</t>
        </is>
      </c>
      <c r="J111" t="inlineStr">
        <is>
          <t>Denominated in foreign currency (FX)</t>
        </is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</row>
    <row r="112">
      <c r="A112" t="inlineStr">
        <is>
          <t>Dominica_2023_May</t>
        </is>
      </c>
      <c r="B112" s="2" t="n"/>
      <c r="C112" s="3" t="inlineStr">
        <is>
          <t>SM.23.127, Sup. 1</t>
        </is>
      </c>
      <c r="D112" s="4" t="inlineStr">
        <is>
          <t>Dominica</t>
        </is>
      </c>
      <c r="E112" s="4" t="inlineStr">
        <is>
          <t>DMA</t>
        </is>
      </c>
      <c r="F112" s="10" t="n">
        <v>45047</v>
      </c>
      <c r="G112" s="4" t="inlineStr">
        <is>
          <t>2018gn</t>
        </is>
      </c>
      <c r="H112" s="4" t="n">
        <v>2022</v>
      </c>
      <c r="I112" s="4" t="inlineStr">
        <is>
          <t>new.dis.lcl.fx.bnd.1to3.fx</t>
        </is>
      </c>
      <c r="J112" t="inlineStr">
        <is>
          <t>Bonds (1 to 3 years)-FX</t>
        </is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</row>
    <row r="113">
      <c r="A113" t="inlineStr">
        <is>
          <t>Dominica_2023_May</t>
        </is>
      </c>
      <c r="B113" s="2" t="n"/>
      <c r="C113" s="3" t="inlineStr">
        <is>
          <t>SM.23.127, Sup. 1</t>
        </is>
      </c>
      <c r="D113" s="4" t="inlineStr">
        <is>
          <t>Dominica</t>
        </is>
      </c>
      <c r="E113" s="4" t="inlineStr">
        <is>
          <t>DMA</t>
        </is>
      </c>
      <c r="F113" s="10" t="n">
        <v>45047</v>
      </c>
      <c r="G113" s="4" t="inlineStr">
        <is>
          <t>2018gn</t>
        </is>
      </c>
      <c r="H113" s="4" t="n">
        <v>2022</v>
      </c>
      <c r="I113" s="4" t="inlineStr">
        <is>
          <t>new.dis.lcl.fx.bnd.4to7.fx</t>
        </is>
      </c>
      <c r="J113" t="inlineStr">
        <is>
          <t>Bonds (4 to 7 years)-FX</t>
        </is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</row>
    <row r="114">
      <c r="A114" t="inlineStr">
        <is>
          <t>Dominica_2023_May</t>
        </is>
      </c>
      <c r="B114" s="2" t="n"/>
      <c r="C114" s="3" t="inlineStr">
        <is>
          <t>SM.23.127, Sup. 1</t>
        </is>
      </c>
      <c r="D114" s="4" t="inlineStr">
        <is>
          <t>Dominica</t>
        </is>
      </c>
      <c r="E114" s="4" t="inlineStr">
        <is>
          <t>DMA</t>
        </is>
      </c>
      <c r="F114" s="10" t="n">
        <v>45047</v>
      </c>
      <c r="G114" s="4" t="inlineStr">
        <is>
          <t>2018gn</t>
        </is>
      </c>
      <c r="H114" s="4" t="n">
        <v>2022</v>
      </c>
      <c r="I114" s="4" t="inlineStr">
        <is>
          <t>new.dis.lcl.fx.bnd.byd7.fx</t>
        </is>
      </c>
      <c r="J114" t="inlineStr">
        <is>
          <t>Bonds (beyond 7 years)-FX</t>
        </is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</row>
    <row r="115">
      <c r="A115" t="inlineStr">
        <is>
          <t>Dominica_2023_May</t>
        </is>
      </c>
      <c r="B115" s="2" t="n"/>
      <c r="C115" s="3" t="inlineStr">
        <is>
          <t>SM.23.127, Sup. 1</t>
        </is>
      </c>
      <c r="D115" s="4" t="inlineStr">
        <is>
          <t>Dominica</t>
        </is>
      </c>
      <c r="E115" s="4" t="inlineStr">
        <is>
          <t>DMA</t>
        </is>
      </c>
      <c r="F115" s="10" t="n">
        <v>45047</v>
      </c>
      <c r="G115" s="4" t="inlineStr">
        <is>
          <t>2018gn</t>
        </is>
      </c>
      <c r="H115" s="4" t="n">
        <v>2022</v>
      </c>
      <c r="I115" s="5" t="n"/>
    </row>
    <row r="116">
      <c r="A116" t="inlineStr">
        <is>
          <t>Dominica_2023_May</t>
        </is>
      </c>
      <c r="B116" s="2" t="n"/>
      <c r="C116" s="3" t="inlineStr">
        <is>
          <t>SM.23.127, Sup. 1</t>
        </is>
      </c>
      <c r="D116" s="4" t="inlineStr">
        <is>
          <t>Dominica</t>
        </is>
      </c>
      <c r="E116" s="4" t="inlineStr">
        <is>
          <t>DMA</t>
        </is>
      </c>
      <c r="F116" s="10" t="n">
        <v>45047</v>
      </c>
      <c r="G116" s="4" t="inlineStr">
        <is>
          <t>2018gn</t>
        </is>
      </c>
      <c r="H116" s="4" t="n">
        <v>2022</v>
      </c>
      <c r="I116" s="4" t="inlineStr">
        <is>
          <t>def.ext.dom.curres</t>
        </is>
      </c>
      <c r="J116" t="inlineStr">
        <is>
          <t>Definition of external/domestic debt</t>
        </is>
      </c>
      <c r="L116" t="inlineStr">
        <is>
          <t>Residency-based</t>
        </is>
      </c>
    </row>
    <row r="117">
      <c r="A117" t="inlineStr">
        <is>
          <t>Dominica_2023_May</t>
        </is>
      </c>
      <c r="B117" s="2" t="n"/>
      <c r="C117" s="3" t="inlineStr">
        <is>
          <t>SM.23.127, Sup. 1</t>
        </is>
      </c>
      <c r="D117" s="4" t="inlineStr">
        <is>
          <t>Dominica</t>
        </is>
      </c>
      <c r="E117" s="4" t="inlineStr">
        <is>
          <t>DMA</t>
        </is>
      </c>
      <c r="F117" s="10" t="n">
        <v>45047</v>
      </c>
      <c r="G117" s="4" t="inlineStr">
        <is>
          <t>2018gn</t>
        </is>
      </c>
      <c r="H117" s="4" t="n">
        <v>2022</v>
      </c>
      <c r="I117" s="5" t="n"/>
    </row>
    <row r="118">
      <c r="A118" t="inlineStr">
        <is>
          <t>Dominica_2023_May</t>
        </is>
      </c>
      <c r="B118" s="2" t="n"/>
      <c r="C118" s="3" t="inlineStr">
        <is>
          <t>SM.23.127, Sup. 1</t>
        </is>
      </c>
      <c r="D118" s="4" t="inlineStr">
        <is>
          <t>Dominica</t>
        </is>
      </c>
      <c r="E118" s="4" t="inlineStr">
        <is>
          <t>DMA</t>
        </is>
      </c>
      <c r="F118" s="10" t="n">
        <v>45047</v>
      </c>
      <c r="G118" s="4" t="inlineStr">
        <is>
          <t>2018gn</t>
        </is>
      </c>
      <c r="H118" s="4" t="n">
        <v>2022</v>
      </c>
      <c r="I118" s="4" t="inlineStr">
        <is>
          <t>new.tot.pub.ext.dis.mlt</t>
        </is>
      </c>
      <c r="J118" t="inlineStr">
        <is>
          <t>Total new public external MLT disbursements</t>
        </is>
      </c>
      <c r="O118" t="n">
        <v>24.32609340744827</v>
      </c>
      <c r="P118" t="n">
        <v>35.98048458047398</v>
      </c>
      <c r="Q118" t="n">
        <v>46.85180714540308</v>
      </c>
      <c r="R118" t="n">
        <v>48.50513424317779</v>
      </c>
      <c r="S118" t="n">
        <v>50.94816075609667</v>
      </c>
      <c r="T118" t="n">
        <v>54.56820013183122</v>
      </c>
      <c r="U118" t="n">
        <v>56.43064081237249</v>
      </c>
      <c r="V118" t="n">
        <v>58.73344363023411</v>
      </c>
      <c r="W118" t="n">
        <v>42.70950289748427</v>
      </c>
      <c r="X118" t="n">
        <v>117.7102857921026</v>
      </c>
      <c r="Y118" t="n">
        <v>26.97868618085745</v>
      </c>
      <c r="Z118" t="n">
        <v>13.68164637334941</v>
      </c>
      <c r="AA118" t="n">
        <v>14.75409281924741</v>
      </c>
      <c r="AB118" t="n">
        <v>15.04699790374796</v>
      </c>
      <c r="AC118" t="n">
        <v>14.97799144781263</v>
      </c>
      <c r="AD118" t="n">
        <v>15.37095116869313</v>
      </c>
      <c r="AE118" t="n">
        <v>15.87413156730914</v>
      </c>
      <c r="AF118" t="n">
        <v>6.039711619740022</v>
      </c>
      <c r="AG118" t="n">
        <v>6.102827315185179</v>
      </c>
      <c r="AH118" t="n">
        <v>6.175072085682291</v>
      </c>
      <c r="AI118" t="n">
        <v>6.251327515781874</v>
      </c>
      <c r="BI118" t="inlineStr">
        <is>
          <t>NEW_MLT_ALL</t>
        </is>
      </c>
    </row>
    <row r="119">
      <c r="A119" t="inlineStr">
        <is>
          <t>Dominica_2023_May</t>
        </is>
      </c>
      <c r="B119" s="2" t="n"/>
      <c r="C119" s="3" t="inlineStr">
        <is>
          <t>SM.23.127, Sup. 1</t>
        </is>
      </c>
      <c r="D119" s="4" t="inlineStr">
        <is>
          <t>Dominica</t>
        </is>
      </c>
      <c r="E119" s="4" t="inlineStr">
        <is>
          <t>DMA</t>
        </is>
      </c>
      <c r="F119" s="10" t="n">
        <v>45047</v>
      </c>
      <c r="G119" s="4" t="inlineStr">
        <is>
          <t>2018gn</t>
        </is>
      </c>
      <c r="H119" s="4" t="n">
        <v>2022</v>
      </c>
      <c r="I119" s="4" t="inlineStr">
        <is>
          <t>new.tot.pub.dis</t>
        </is>
      </c>
      <c r="J119" t="inlineStr">
        <is>
          <t>Total public new (external and domestic) ST&amp;MLT disbursements</t>
        </is>
      </c>
      <c r="O119" t="n">
        <v>39.67597159035303</v>
      </c>
      <c r="P119" t="n">
        <v>79.92084151282742</v>
      </c>
      <c r="Q119" t="n">
        <v>73.76238322278493</v>
      </c>
      <c r="R119" t="n">
        <v>82.02943615793623</v>
      </c>
      <c r="S119" t="n">
        <v>85.42292774675958</v>
      </c>
      <c r="T119" t="n">
        <v>88.46694903182544</v>
      </c>
      <c r="U119" t="n">
        <v>93.26851899953871</v>
      </c>
      <c r="V119" t="n">
        <v>88.92150335998622</v>
      </c>
      <c r="W119" t="n">
        <v>79.22679535555592</v>
      </c>
      <c r="X119" t="n">
        <v>67.71123797210279</v>
      </c>
      <c r="Y119" t="n">
        <v>38.55298236497197</v>
      </c>
      <c r="Z119" t="n">
        <v>24.4984831901826</v>
      </c>
      <c r="AA119" t="n">
        <v>17.62645361415018</v>
      </c>
      <c r="AB119" t="n">
        <v>11.3649841060994</v>
      </c>
      <c r="AC119" t="n">
        <v>4.40310877885617</v>
      </c>
      <c r="AD119" t="n">
        <v>29.39320622531059</v>
      </c>
      <c r="AE119" t="n">
        <v>29.87756491359574</v>
      </c>
      <c r="AF119" t="n">
        <v>30.73787421347849</v>
      </c>
      <c r="AG119" t="n">
        <v>38.21358947156902</v>
      </c>
      <c r="AH119" t="n">
        <v>43.70177777326038</v>
      </c>
      <c r="AI119" t="n">
        <v>36.49260311140475</v>
      </c>
    </row>
    <row r="120">
      <c r="A120" t="inlineStr">
        <is>
          <t>Dominica_2023_May</t>
        </is>
      </c>
      <c r="B120" s="2" t="n"/>
      <c r="C120" s="3" t="inlineStr">
        <is>
          <t>SM.23.127, Sup. 1</t>
        </is>
      </c>
      <c r="D120" s="4" t="inlineStr">
        <is>
          <t>Dominica</t>
        </is>
      </c>
      <c r="E120" s="4" t="inlineStr">
        <is>
          <t>DMA</t>
        </is>
      </c>
      <c r="F120" s="10" t="n">
        <v>45047</v>
      </c>
      <c r="G120" s="4" t="inlineStr">
        <is>
          <t>2018gn</t>
        </is>
      </c>
      <c r="H120" s="4" t="n">
        <v>2022</v>
      </c>
      <c r="I120" s="5" t="n"/>
    </row>
    <row r="121">
      <c r="A121" t="inlineStr">
        <is>
          <t>Dominica_2023_May</t>
        </is>
      </c>
      <c r="B121" s="2" t="n"/>
      <c r="C121" s="3" t="inlineStr">
        <is>
          <t>SM.23.127, Sup. 1</t>
        </is>
      </c>
      <c r="D121" s="4" t="inlineStr">
        <is>
          <t>Dominica</t>
        </is>
      </c>
      <c r="E121" s="4" t="inlineStr">
        <is>
          <t>DMA</t>
        </is>
      </c>
      <c r="F121" s="10" t="n">
        <v>45047</v>
      </c>
      <c r="G121" s="4" t="inlineStr">
        <is>
          <t>2018gn</t>
        </is>
      </c>
      <c r="H121" s="4" t="n">
        <v>2022</v>
      </c>
      <c r="I121" s="5" t="n"/>
      <c r="J121" t="inlineStr">
        <is>
          <t>Shares of marginal debt</t>
        </is>
      </c>
      <c r="M121" t="inlineStr">
        <is>
          <t>Average</t>
        </is>
      </c>
    </row>
    <row r="122">
      <c r="A122" t="inlineStr">
        <is>
          <t>Dominica_2023_May</t>
        </is>
      </c>
      <c r="B122" s="2" t="n"/>
      <c r="C122" s="3" t="inlineStr">
        <is>
          <t>SM.23.127, Sup. 1</t>
        </is>
      </c>
      <c r="D122" s="4" t="inlineStr">
        <is>
          <t>Dominica</t>
        </is>
      </c>
      <c r="E122" s="4" t="inlineStr">
        <is>
          <t>DMA</t>
        </is>
      </c>
      <c r="F122" s="10" t="n">
        <v>45047</v>
      </c>
      <c r="G122" s="4" t="inlineStr">
        <is>
          <t>2018gn</t>
        </is>
      </c>
      <c r="H122" s="4" t="n">
        <v>2022</v>
      </c>
      <c r="I122" s="4" t="inlineStr">
        <is>
          <t>shr.ext.ppg.mlt</t>
        </is>
      </c>
      <c r="J122" t="inlineStr">
        <is>
          <t>External PPG medium and long-term</t>
        </is>
      </c>
      <c r="L122" t="n">
        <v>0.7488486327103483</v>
      </c>
      <c r="M122" t="n">
        <v>0.7488486327103483</v>
      </c>
      <c r="O122" t="n">
        <v>0.6131190348307189</v>
      </c>
      <c r="P122" t="n">
        <v>0.4502015231496161</v>
      </c>
      <c r="Q122" t="n">
        <v>0.6351720904122133</v>
      </c>
      <c r="R122" t="n">
        <v>0.5913137589997318</v>
      </c>
      <c r="S122" t="n">
        <v>0.5964225542249613</v>
      </c>
      <c r="T122" t="n">
        <v>0.6168201879800405</v>
      </c>
      <c r="U122" t="n">
        <v>0.6050341682025806</v>
      </c>
      <c r="V122" t="n">
        <v>0.6605088916733673</v>
      </c>
      <c r="W122" t="n">
        <v>0.5390790162067206</v>
      </c>
      <c r="X122" t="n">
        <v>1.738415797989096</v>
      </c>
      <c r="Y122" t="n">
        <v>0.6997820797741819</v>
      </c>
      <c r="Z122" t="n">
        <v>0.5584691210120357</v>
      </c>
      <c r="AA122" t="n">
        <v>0.8370426145962285</v>
      </c>
      <c r="AB122" t="n">
        <v>1.323978789875516</v>
      </c>
      <c r="AC122" t="n">
        <v>3.401685536305007</v>
      </c>
      <c r="AD122" t="n">
        <v>0.5229423102355246</v>
      </c>
      <c r="AE122" t="n">
        <v>0.5313060690593845</v>
      </c>
      <c r="AF122" t="n">
        <v>0.1964908691405738</v>
      </c>
      <c r="AG122" t="n">
        <v>0.1597030637419103</v>
      </c>
      <c r="AH122" t="n">
        <v>0.1413002491047539</v>
      </c>
      <c r="AI122" t="n">
        <v>0.1713039625235229</v>
      </c>
    </row>
    <row r="123">
      <c r="A123" t="inlineStr">
        <is>
          <t>Dominica_2023_May</t>
        </is>
      </c>
      <c r="B123" s="2" t="n"/>
      <c r="C123" s="3" t="inlineStr">
        <is>
          <t>SM.23.127, Sup. 1</t>
        </is>
      </c>
      <c r="D123" s="4" t="inlineStr">
        <is>
          <t>Dominica</t>
        </is>
      </c>
      <c r="E123" s="4" t="inlineStr">
        <is>
          <t>DMA</t>
        </is>
      </c>
      <c r="F123" s="10" t="n">
        <v>45047</v>
      </c>
      <c r="G123" s="4" t="inlineStr">
        <is>
          <t>2018gn</t>
        </is>
      </c>
      <c r="H123" s="4" t="n">
        <v>2022</v>
      </c>
      <c r="I123" s="4" t="inlineStr">
        <is>
          <t>shr.dom.mlt</t>
        </is>
      </c>
      <c r="J123" t="inlineStr">
        <is>
          <t>Domestic medium and long-term</t>
        </is>
      </c>
      <c r="L123" t="n">
        <v>0.2511513672896517</v>
      </c>
      <c r="M123" t="n">
        <v>0.2511513672896517</v>
      </c>
      <c r="O123" t="n">
        <v>0.3868809651692811</v>
      </c>
      <c r="P123" t="n">
        <v>0.5497984768503837</v>
      </c>
      <c r="Q123" t="n">
        <v>0.3648279095877866</v>
      </c>
      <c r="R123" t="n">
        <v>0.4086862410002682</v>
      </c>
      <c r="S123" t="n">
        <v>0.4035774457750387</v>
      </c>
      <c r="T123" t="n">
        <v>0.3831798120199595</v>
      </c>
      <c r="U123" t="n">
        <v>0.3949658317974193</v>
      </c>
      <c r="V123" t="n">
        <v>0.3394911083266327</v>
      </c>
      <c r="W123" t="n">
        <v>0.4609209837932793</v>
      </c>
      <c r="X123" t="n">
        <v>-0.7384157979890958</v>
      </c>
      <c r="Y123" t="n">
        <v>0.3002179202258181</v>
      </c>
      <c r="Z123" t="n">
        <v>0.4415308789879642</v>
      </c>
      <c r="AA123" t="n">
        <v>0.1629573854037715</v>
      </c>
      <c r="AB123" t="n">
        <v>-0.3239787898755164</v>
      </c>
      <c r="AC123" t="n">
        <v>-2.401685536305007</v>
      </c>
      <c r="AD123" t="n">
        <v>0.4770576897644753</v>
      </c>
      <c r="AE123" t="n">
        <v>0.4686939309406156</v>
      </c>
      <c r="AF123" t="n">
        <v>0.8035091308594261</v>
      </c>
      <c r="AG123" t="n">
        <v>0.8402969362580897</v>
      </c>
      <c r="AH123" t="n">
        <v>0.8586997508952461</v>
      </c>
      <c r="AI123" t="n">
        <v>0.8286960374764771</v>
      </c>
    </row>
    <row r="124">
      <c r="A124" t="inlineStr">
        <is>
          <t>Dominica_2023_May</t>
        </is>
      </c>
      <c r="B124" s="2" t="n"/>
      <c r="C124" s="3" t="inlineStr">
        <is>
          <t>SM.23.127, Sup. 1</t>
        </is>
      </c>
      <c r="D124" s="4" t="inlineStr">
        <is>
          <t>Dominica</t>
        </is>
      </c>
      <c r="E124" s="4" t="inlineStr">
        <is>
          <t>DMA</t>
        </is>
      </c>
      <c r="F124" s="10" t="n">
        <v>45047</v>
      </c>
      <c r="G124" s="4" t="inlineStr">
        <is>
          <t>2018gn</t>
        </is>
      </c>
      <c r="H124" s="4" t="n">
        <v>2022</v>
      </c>
      <c r="I124" s="4" t="inlineStr">
        <is>
          <t>shr.dom.sht.trm</t>
        </is>
      </c>
      <c r="J124" t="inlineStr">
        <is>
          <t>Domestic short-term</t>
        </is>
      </c>
      <c r="L124" t="n">
        <v>0</v>
      </c>
      <c r="M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</row>
    <row r="125">
      <c r="A125" t="inlineStr">
        <is>
          <t>Dominica_2023_May</t>
        </is>
      </c>
      <c r="B125" s="2" t="n"/>
      <c r="C125" s="3" t="inlineStr">
        <is>
          <t>SM.23.127, Sup. 1</t>
        </is>
      </c>
      <c r="D125" s="4" t="inlineStr">
        <is>
          <t>Dominica</t>
        </is>
      </c>
      <c r="E125" s="4" t="inlineStr">
        <is>
          <t>DMA</t>
        </is>
      </c>
      <c r="F125" s="10" t="n">
        <v>45047</v>
      </c>
      <c r="G125" s="4" t="inlineStr">
        <is>
          <t>2018gn</t>
        </is>
      </c>
      <c r="H125" s="4" t="n">
        <v>2022</v>
      </c>
      <c r="I125" s="5" t="n"/>
    </row>
    <row r="126">
      <c r="A126" t="inlineStr">
        <is>
          <t>Dominica_2023_May</t>
        </is>
      </c>
      <c r="B126" s="2" t="n"/>
      <c r="C126" s="3" t="inlineStr">
        <is>
          <t>SM.23.127, Sup. 1</t>
        </is>
      </c>
      <c r="D126" s="4" t="inlineStr">
        <is>
          <t>Dominica</t>
        </is>
      </c>
      <c r="E126" s="4" t="inlineStr">
        <is>
          <t>DMA</t>
        </is>
      </c>
      <c r="F126" s="10" t="n">
        <v>45047</v>
      </c>
      <c r="G126" s="4" t="inlineStr">
        <is>
          <t>2018gn</t>
        </is>
      </c>
      <c r="H126" s="4" t="n">
        <v>2022</v>
      </c>
      <c r="I126" s="5" t="n"/>
      <c r="J126" t="inlineStr">
        <is>
          <t>Terms of residual financing under stress tests</t>
        </is>
      </c>
    </row>
    <row r="127">
      <c r="A127" t="inlineStr">
        <is>
          <t>Dominica_2023_May</t>
        </is>
      </c>
      <c r="B127" s="2" t="n"/>
      <c r="C127" s="3" t="inlineStr">
        <is>
          <t>SM.23.127, Sup. 1</t>
        </is>
      </c>
      <c r="D127" s="4" t="inlineStr">
        <is>
          <t>Dominica</t>
        </is>
      </c>
      <c r="E127" s="4" t="inlineStr">
        <is>
          <t>DMA</t>
        </is>
      </c>
      <c r="F127" s="10" t="n">
        <v>45047</v>
      </c>
      <c r="G127" s="4" t="inlineStr">
        <is>
          <t>2018gn</t>
        </is>
      </c>
      <c r="H127" s="4" t="n">
        <v>2022</v>
      </c>
      <c r="I127" s="4" t="inlineStr">
        <is>
          <t>rsdl.ndr.strs.tst.avg.int.rat</t>
        </is>
      </c>
      <c r="J127" t="inlineStr">
        <is>
          <t>Average interest rate on new debt</t>
        </is>
      </c>
      <c r="L127" t="n">
        <v>1.618923536858104</v>
      </c>
      <c r="M127" t="n">
        <v>1.618923536858104</v>
      </c>
      <c r="O127" t="n">
        <v>1.436781402061537</v>
      </c>
      <c r="P127" t="n">
        <v>1.639073613169817</v>
      </c>
      <c r="Q127" t="n">
        <v>1.576367723763356</v>
      </c>
      <c r="R127" t="n">
        <v>1.713117081945591</v>
      </c>
      <c r="S127" t="n">
        <v>1.736571786508048</v>
      </c>
      <c r="T127" t="n">
        <v>1.712123320825855</v>
      </c>
      <c r="U127" t="n">
        <v>1.732922631579163</v>
      </c>
      <c r="V127" t="n">
        <v>1.755462935298687</v>
      </c>
      <c r="W127" t="n">
        <v>1.790072301944234</v>
      </c>
      <c r="X127" t="n">
        <v>0.7671317148525422</v>
      </c>
      <c r="Y127" t="n">
        <v>1.948534393490316</v>
      </c>
      <c r="Z127" t="n">
        <v>1.74232797795268</v>
      </c>
      <c r="AA127" t="n">
        <v>1.824701561687277</v>
      </c>
      <c r="AB127" t="n">
        <v>1.906081121887417</v>
      </c>
      <c r="AC127" t="n">
        <v>1.947142456759616</v>
      </c>
      <c r="AD127" t="n">
        <v>1.964868696966116</v>
      </c>
      <c r="AE127" t="n">
        <v>1.976242992287926</v>
      </c>
      <c r="AF127" t="n">
        <v>1.438481406084374</v>
      </c>
      <c r="AG127" t="n">
        <v>1.451076993267095</v>
      </c>
      <c r="AH127" t="n">
        <v>1.463686242768809</v>
      </c>
      <c r="AI127" t="n">
        <v>1.476496366878945</v>
      </c>
      <c r="BI127" t="inlineStr">
        <is>
          <t>NEW_IR_AVG</t>
        </is>
      </c>
    </row>
    <row r="128">
      <c r="A128" t="inlineStr">
        <is>
          <t>Dominica_2023_May</t>
        </is>
      </c>
      <c r="B128" s="2" t="n"/>
      <c r="C128" s="3" t="inlineStr">
        <is>
          <t>SM.23.127, Sup. 1</t>
        </is>
      </c>
      <c r="D128" s="4" t="inlineStr">
        <is>
          <t>Dominica</t>
        </is>
      </c>
      <c r="E128" s="4" t="inlineStr">
        <is>
          <t>DMA</t>
        </is>
      </c>
      <c r="F128" s="10" t="n">
        <v>45047</v>
      </c>
      <c r="G128" s="4" t="inlineStr">
        <is>
          <t>2018gn</t>
        </is>
      </c>
      <c r="H128" s="4" t="n">
        <v>2022</v>
      </c>
      <c r="I128" s="4" t="inlineStr">
        <is>
          <t>rsdl.ndr.strs.tst.avg.grc.prd</t>
        </is>
      </c>
      <c r="J128" t="inlineStr">
        <is>
          <t>Average grace period on new debt</t>
        </is>
      </c>
      <c r="L128" t="n">
        <v>7</v>
      </c>
      <c r="M128" t="n">
        <v>7.975824456249777</v>
      </c>
      <c r="O128" t="n">
        <v>9.217388746899255</v>
      </c>
      <c r="P128" t="n">
        <v>9.370439697565534</v>
      </c>
      <c r="Q128" t="n">
        <v>9.522825008056879</v>
      </c>
      <c r="R128" t="n">
        <v>8.789653795846897</v>
      </c>
      <c r="S128" t="n">
        <v>8.113573084320835</v>
      </c>
      <c r="T128" t="n">
        <v>8.131125783437026</v>
      </c>
      <c r="U128" t="n">
        <v>8.139058717083387</v>
      </c>
      <c r="V128" t="n">
        <v>8.107674101119745</v>
      </c>
      <c r="W128" t="n">
        <v>7.309823563389104</v>
      </c>
      <c r="X128" t="n">
        <v>5.561819493766302</v>
      </c>
      <c r="Y128" t="n">
        <v>5.47068702726258</v>
      </c>
      <c r="Z128" t="n">
        <v>6.089810238143049</v>
      </c>
      <c r="AA128" t="n">
        <v>4.652288522108337</v>
      </c>
      <c r="AB128" t="n">
        <v>3.992657958516673</v>
      </c>
      <c r="AC128" t="n">
        <v>3.594046649956543</v>
      </c>
      <c r="AD128" t="n">
        <v>3.455097186712183</v>
      </c>
      <c r="AE128" t="n">
        <v>3.400115006781505</v>
      </c>
      <c r="AF128" t="n">
        <v>6.469686474020791</v>
      </c>
      <c r="AG128" t="n">
        <v>6.506086377257071</v>
      </c>
      <c r="AH128" t="n">
        <v>6.546390869588767</v>
      </c>
      <c r="AI128" t="n">
        <v>6.588558253243769</v>
      </c>
      <c r="BI128" t="inlineStr">
        <is>
          <t>NEW_GP_AVG</t>
        </is>
      </c>
    </row>
    <row r="129">
      <c r="A129" t="inlineStr">
        <is>
          <t>Dominica_2023_May</t>
        </is>
      </c>
      <c r="B129" s="2" t="n"/>
      <c r="C129" s="3" t="inlineStr">
        <is>
          <t>SM.23.127, Sup. 1</t>
        </is>
      </c>
      <c r="D129" s="4" t="inlineStr">
        <is>
          <t>Dominica</t>
        </is>
      </c>
      <c r="E129" s="4" t="inlineStr">
        <is>
          <t>DMA</t>
        </is>
      </c>
      <c r="F129" s="10" t="n">
        <v>45047</v>
      </c>
      <c r="G129" s="4" t="inlineStr">
        <is>
          <t>2018gn</t>
        </is>
      </c>
      <c r="H129" s="4" t="n">
        <v>2022</v>
      </c>
      <c r="I129" s="4" t="inlineStr">
        <is>
          <t>rsdl.ndr.strs.tst.avg.matrty</t>
        </is>
      </c>
      <c r="J129" t="inlineStr">
        <is>
          <t>Average maturity of new debt</t>
        </is>
      </c>
      <c r="L129" t="n">
        <v>30</v>
      </c>
      <c r="M129" t="n">
        <v>30.69905597211673</v>
      </c>
      <c r="O129" t="n">
        <v>35.96829021221844</v>
      </c>
      <c r="P129" t="n">
        <v>33.89257213972762</v>
      </c>
      <c r="Q129" t="n">
        <v>35.07323784424281</v>
      </c>
      <c r="R129" t="n">
        <v>32.82021536581519</v>
      </c>
      <c r="S129" t="n">
        <v>31.85924759014412</v>
      </c>
      <c r="T129" t="n">
        <v>32.20998468494517</v>
      </c>
      <c r="U129" t="n">
        <v>31.98478843356052</v>
      </c>
      <c r="V129" t="n">
        <v>31.72185774739092</v>
      </c>
      <c r="W129" t="n">
        <v>30.31967056712566</v>
      </c>
      <c r="X129" t="n">
        <v>15.69200288108038</v>
      </c>
      <c r="Y129" t="n">
        <v>26.14774822703319</v>
      </c>
      <c r="Z129" t="n">
        <v>27.91921138427168</v>
      </c>
      <c r="AA129" t="n">
        <v>25.76919163019193</v>
      </c>
      <c r="AB129" t="n">
        <v>24.19292919566375</v>
      </c>
      <c r="AC129" t="n">
        <v>23.28921478168806</v>
      </c>
      <c r="AD129" t="n">
        <v>22.99766410851536</v>
      </c>
      <c r="AE129" t="n">
        <v>22.87956600542989</v>
      </c>
      <c r="AF129" t="n">
        <v>28.56012339632999</v>
      </c>
      <c r="AG129" t="n">
        <v>28.50312165442358</v>
      </c>
      <c r="AH129" t="n">
        <v>28.4564495169828</v>
      </c>
      <c r="AI129" t="n">
        <v>28.41231777016341</v>
      </c>
      <c r="BI129" t="inlineStr">
        <is>
          <t>NEW_M_AVG</t>
        </is>
      </c>
    </row>
    <row r="130">
      <c r="A130" t="inlineStr">
        <is>
          <t>Dominica_2023_May</t>
        </is>
      </c>
      <c r="B130" s="2" t="n"/>
      <c r="C130" s="3" t="inlineStr">
        <is>
          <t>SM.23.127, Sup. 1</t>
        </is>
      </c>
      <c r="D130" s="4" t="inlineStr">
        <is>
          <t>Dominica</t>
        </is>
      </c>
      <c r="E130" s="4" t="inlineStr">
        <is>
          <t>DMA</t>
        </is>
      </c>
      <c r="F130" s="10" t="n">
        <v>45047</v>
      </c>
      <c r="G130" s="4" t="inlineStr">
        <is>
          <t>2018gn</t>
        </is>
      </c>
      <c r="H130" s="4" t="n">
        <v>2022</v>
      </c>
      <c r="I130" s="5" t="n"/>
    </row>
    <row r="131">
      <c r="A131" t="inlineStr">
        <is>
          <t>Dominica_2023_May</t>
        </is>
      </c>
      <c r="B131" s="2" t="n"/>
      <c r="C131" s="3" t="inlineStr">
        <is>
          <t>SM.23.127, Sup. 1</t>
        </is>
      </c>
      <c r="D131" s="4" t="inlineStr">
        <is>
          <t>Dominica</t>
        </is>
      </c>
      <c r="E131" s="4" t="inlineStr">
        <is>
          <t>DMA</t>
        </is>
      </c>
      <c r="F131" s="10" t="n">
        <v>45047</v>
      </c>
      <c r="G131" s="4" t="inlineStr">
        <is>
          <t>2018gn</t>
        </is>
      </c>
      <c r="H131" s="4" t="n">
        <v>2022</v>
      </c>
      <c r="I131" s="4" t="inlineStr">
        <is>
          <t>rsdl.ndr.strs.tst.avg.grc.prd.rnd</t>
        </is>
      </c>
      <c r="J131" t="inlineStr">
        <is>
          <t>Average grace period on new debt (rounded down)</t>
        </is>
      </c>
      <c r="M131" t="n">
        <v>7</v>
      </c>
      <c r="O131" t="n">
        <v>9</v>
      </c>
      <c r="P131" t="n">
        <v>9</v>
      </c>
      <c r="Q131" t="n">
        <v>9</v>
      </c>
      <c r="R131" t="n">
        <v>8</v>
      </c>
      <c r="S131" t="n">
        <v>8</v>
      </c>
      <c r="T131" t="n">
        <v>8</v>
      </c>
      <c r="U131" t="n">
        <v>8</v>
      </c>
      <c r="V131" t="n">
        <v>8</v>
      </c>
      <c r="W131" t="n">
        <v>7</v>
      </c>
      <c r="X131" t="n">
        <v>5</v>
      </c>
      <c r="Y131" t="n">
        <v>5</v>
      </c>
      <c r="Z131" t="n">
        <v>6</v>
      </c>
      <c r="AA131" t="n">
        <v>4</v>
      </c>
      <c r="AB131" t="n">
        <v>3</v>
      </c>
      <c r="AC131" t="n">
        <v>3</v>
      </c>
      <c r="AD131" t="n">
        <v>3</v>
      </c>
      <c r="AE131" t="n">
        <v>3</v>
      </c>
      <c r="AF131" t="n">
        <v>6</v>
      </c>
      <c r="AG131" t="n">
        <v>6</v>
      </c>
      <c r="AH131" t="n">
        <v>6</v>
      </c>
      <c r="AI131" t="n">
        <v>6</v>
      </c>
      <c r="BI131" t="inlineStr">
        <is>
          <t>NEW_GP_AVG_R</t>
        </is>
      </c>
    </row>
    <row r="132">
      <c r="A132" t="inlineStr">
        <is>
          <t>Dominica_2023_May</t>
        </is>
      </c>
      <c r="B132" s="2" t="n"/>
      <c r="C132" s="3" t="inlineStr">
        <is>
          <t>SM.23.127, Sup. 1</t>
        </is>
      </c>
      <c r="D132" s="4" t="inlineStr">
        <is>
          <t>Dominica</t>
        </is>
      </c>
      <c r="E132" s="4" t="inlineStr">
        <is>
          <t>DMA</t>
        </is>
      </c>
      <c r="F132" s="10" t="n">
        <v>45047</v>
      </c>
      <c r="G132" s="4" t="inlineStr">
        <is>
          <t>2018gn</t>
        </is>
      </c>
      <c r="H132" s="4" t="n">
        <v>2022</v>
      </c>
      <c r="I132" s="4" t="inlineStr">
        <is>
          <t>rsdl.ndr.strs.tst.avg.matrty.rnd</t>
        </is>
      </c>
      <c r="J132" t="inlineStr">
        <is>
          <t>Average maturity of new debt (rounded down)</t>
        </is>
      </c>
      <c r="M132" t="n">
        <v>30</v>
      </c>
      <c r="O132" t="n">
        <v>35</v>
      </c>
      <c r="P132" t="n">
        <v>33</v>
      </c>
      <c r="Q132" t="n">
        <v>35</v>
      </c>
      <c r="R132" t="n">
        <v>32</v>
      </c>
      <c r="S132" t="n">
        <v>31</v>
      </c>
      <c r="T132" t="n">
        <v>32</v>
      </c>
      <c r="U132" t="n">
        <v>31</v>
      </c>
      <c r="V132" t="n">
        <v>31</v>
      </c>
      <c r="W132" t="n">
        <v>30</v>
      </c>
      <c r="X132" t="n">
        <v>15</v>
      </c>
      <c r="Y132" t="n">
        <v>26</v>
      </c>
      <c r="Z132" t="n">
        <v>27</v>
      </c>
      <c r="AA132" t="n">
        <v>25</v>
      </c>
      <c r="AB132" t="n">
        <v>24</v>
      </c>
      <c r="AC132" t="n">
        <v>23</v>
      </c>
      <c r="AD132" t="n">
        <v>22</v>
      </c>
      <c r="AE132" t="n">
        <v>22</v>
      </c>
      <c r="AF132" t="n">
        <v>28</v>
      </c>
      <c r="AG132" t="n">
        <v>28</v>
      </c>
      <c r="AH132" t="n">
        <v>28</v>
      </c>
      <c r="AI132" t="n">
        <v>28</v>
      </c>
      <c r="BI132" t="inlineStr">
        <is>
          <t>NEW_M_AVG_R</t>
        </is>
      </c>
    </row>
    <row r="133">
      <c r="A133" t="inlineStr">
        <is>
          <t>Dominica_2023_May</t>
        </is>
      </c>
      <c r="B133" s="2" t="n"/>
      <c r="C133" s="3" t="inlineStr">
        <is>
          <t>SM.23.127, Sup. 1</t>
        </is>
      </c>
      <c r="D133" s="4" t="inlineStr">
        <is>
          <t>Dominica</t>
        </is>
      </c>
      <c r="E133" s="4" t="inlineStr">
        <is>
          <t>DMA</t>
        </is>
      </c>
      <c r="F133" s="10" t="n">
        <v>45047</v>
      </c>
      <c r="G133" s="4" t="inlineStr">
        <is>
          <t>2018gn</t>
        </is>
      </c>
      <c r="H133" s="4" t="n">
        <v>2022</v>
      </c>
      <c r="I133" s="5" t="n"/>
    </row>
    <row r="134">
      <c r="A134" t="inlineStr">
        <is>
          <t>Dominica_2023_May</t>
        </is>
      </c>
      <c r="B134" s="2" t="n"/>
      <c r="C134" s="3" t="inlineStr">
        <is>
          <t>SM.23.127, Sup. 1</t>
        </is>
      </c>
      <c r="D134" s="4" t="inlineStr">
        <is>
          <t>Dominica</t>
        </is>
      </c>
      <c r="E134" s="4" t="inlineStr">
        <is>
          <t>DMA</t>
        </is>
      </c>
      <c r="F134" s="10" t="n">
        <v>45047</v>
      </c>
      <c r="G134" s="4" t="inlineStr">
        <is>
          <t>2018gn</t>
        </is>
      </c>
      <c r="H134" s="4" t="n">
        <v>2022</v>
      </c>
      <c r="I134" s="5" t="n"/>
      <c r="J134" t="inlineStr">
        <is>
          <t>New debt: Debt service</t>
        </is>
      </c>
    </row>
    <row r="135">
      <c r="A135" t="inlineStr">
        <is>
          <t>Dominica_2023_May</t>
        </is>
      </c>
      <c r="B135" s="2" t="n"/>
      <c r="C135" s="3" t="inlineStr">
        <is>
          <t>SM.23.127, Sup. 1</t>
        </is>
      </c>
      <c r="D135" s="4" t="inlineStr">
        <is>
          <t>Dominica</t>
        </is>
      </c>
      <c r="E135" s="4" t="inlineStr">
        <is>
          <t>DMA</t>
        </is>
      </c>
      <c r="F135" s="10" t="n">
        <v>45047</v>
      </c>
      <c r="G135" s="4" t="inlineStr">
        <is>
          <t>2018gn</t>
        </is>
      </c>
      <c r="H135" s="4" t="n">
        <v>2022</v>
      </c>
      <c r="I135" s="5" t="n"/>
    </row>
    <row r="136">
      <c r="A136" t="inlineStr">
        <is>
          <t>Dominica_2023_May</t>
        </is>
      </c>
      <c r="B136" s="2" t="n"/>
      <c r="C136" s="3" t="inlineStr">
        <is>
          <t>SM.23.127, Sup. 1</t>
        </is>
      </c>
      <c r="D136" s="4" t="inlineStr">
        <is>
          <t>Dominica</t>
        </is>
      </c>
      <c r="E136" s="4" t="inlineStr">
        <is>
          <t>DMA</t>
        </is>
      </c>
      <c r="F136" s="10" t="n">
        <v>45047</v>
      </c>
      <c r="G136" s="4" t="inlineStr">
        <is>
          <t>2018gn</t>
        </is>
      </c>
      <c r="H136" s="4" t="n">
        <v>2022</v>
      </c>
      <c r="I136" s="4" t="inlineStr">
        <is>
          <t>new.tds</t>
        </is>
      </c>
      <c r="J136" t="inlineStr">
        <is>
          <t>Total new debt service</t>
        </is>
      </c>
      <c r="O136" t="n">
        <v>0</v>
      </c>
      <c r="P136" t="n">
        <v>0.3495127859263346</v>
      </c>
      <c r="Q136" t="n">
        <v>0.9392594145755183</v>
      </c>
      <c r="R136" t="n">
        <v>1.677816180415506</v>
      </c>
      <c r="S136" t="n">
        <v>2.855390148282814</v>
      </c>
      <c r="T136" t="n">
        <v>4.225882176380884</v>
      </c>
      <c r="U136" t="n">
        <v>5.777851272533885</v>
      </c>
      <c r="V136" t="n">
        <v>7.441773637925099</v>
      </c>
      <c r="W136" t="n">
        <v>9.216217226007398</v>
      </c>
      <c r="X136" t="n">
        <v>10.7423920155816</v>
      </c>
      <c r="Y136" t="n">
        <v>12.55276083716635</v>
      </c>
      <c r="Z136" t="n">
        <v>14.87142351744139</v>
      </c>
      <c r="AA136" t="n">
        <v>16.94638899637195</v>
      </c>
      <c r="AB136" t="n">
        <v>19.58803645001615</v>
      </c>
      <c r="AC136" t="n">
        <v>22.22995935159829</v>
      </c>
      <c r="AD136" t="n">
        <v>40.60982777818344</v>
      </c>
      <c r="AE136" t="n">
        <v>42.6933880666429</v>
      </c>
      <c r="AF136" t="n">
        <v>44.7966026708497</v>
      </c>
      <c r="AG136" t="n">
        <v>46.06552363050693</v>
      </c>
      <c r="AH136" t="n">
        <v>46.51326546832003</v>
      </c>
      <c r="AI136" t="n">
        <v>30.52442963405722</v>
      </c>
      <c r="BI136" t="inlineStr">
        <is>
          <t>NEW_DS_TOT</t>
        </is>
      </c>
    </row>
    <row r="137">
      <c r="A137" t="inlineStr">
        <is>
          <t>Dominica_2023_May</t>
        </is>
      </c>
      <c r="B137" s="2" t="n"/>
      <c r="C137" s="3" t="inlineStr">
        <is>
          <t>SM.23.127, Sup. 1</t>
        </is>
      </c>
      <c r="D137" s="4" t="inlineStr">
        <is>
          <t>Dominica</t>
        </is>
      </c>
      <c r="E137" s="4" t="inlineStr">
        <is>
          <t>DMA</t>
        </is>
      </c>
      <c r="F137" s="10" t="n">
        <v>45047</v>
      </c>
      <c r="G137" s="4" t="inlineStr">
        <is>
          <t>2018gn</t>
        </is>
      </c>
      <c r="H137" s="4" t="n">
        <v>2022</v>
      </c>
      <c r="I137" s="5" t="n"/>
    </row>
    <row r="138">
      <c r="A138" t="inlineStr">
        <is>
          <t>Dominica_2023_May</t>
        </is>
      </c>
      <c r="B138" s="2" t="n"/>
      <c r="C138" s="3" t="inlineStr">
        <is>
          <t>SM.23.127, Sup. 1</t>
        </is>
      </c>
      <c r="D138" s="4" t="inlineStr">
        <is>
          <t>Dominica</t>
        </is>
      </c>
      <c r="E138" s="4" t="inlineStr">
        <is>
          <t>DMA</t>
        </is>
      </c>
      <c r="F138" s="10" t="n">
        <v>45047</v>
      </c>
      <c r="G138" s="4" t="inlineStr">
        <is>
          <t>2018gn</t>
        </is>
      </c>
      <c r="H138" s="4" t="n">
        <v>2022</v>
      </c>
      <c r="I138" s="4" t="inlineStr">
        <is>
          <t>new.int</t>
        </is>
      </c>
      <c r="J138" t="inlineStr">
        <is>
          <t>Interest</t>
        </is>
      </c>
      <c r="M138" t="n">
        <v>26</v>
      </c>
      <c r="O138" t="n">
        <v>0</v>
      </c>
      <c r="P138" t="n">
        <v>0.3495127859263346</v>
      </c>
      <c r="Q138" t="n">
        <v>0.9392594145755183</v>
      </c>
      <c r="R138" t="n">
        <v>1.677816180415506</v>
      </c>
      <c r="S138" t="n">
        <v>2.508765920756025</v>
      </c>
      <c r="T138" t="n">
        <v>3.383465203592888</v>
      </c>
      <c r="U138" t="n">
        <v>4.293309991594043</v>
      </c>
      <c r="V138" t="n">
        <v>5.231051397145125</v>
      </c>
      <c r="W138" t="n">
        <v>6.204321129114042</v>
      </c>
      <c r="X138" t="n">
        <v>6.891242156994261</v>
      </c>
      <c r="Y138" t="n">
        <v>7.695414837767159</v>
      </c>
      <c r="Z138" t="n">
        <v>8.098673404372095</v>
      </c>
      <c r="AA138" t="n">
        <v>8.175381093445912</v>
      </c>
      <c r="AB138" t="n">
        <v>8.244768089804996</v>
      </c>
      <c r="AC138" t="n">
        <v>8.282347008621564</v>
      </c>
      <c r="AD138" t="n">
        <v>8.273031158159478</v>
      </c>
      <c r="AE138" t="n">
        <v>8.191702889411676</v>
      </c>
      <c r="AF138" t="n">
        <v>8.081876923612723</v>
      </c>
      <c r="AG138" t="n">
        <v>7.703109567934078</v>
      </c>
      <c r="AH138" t="n">
        <v>7.30156184043773</v>
      </c>
      <c r="AI138" t="n">
        <v>6.893689125314238</v>
      </c>
      <c r="BI138" t="inlineStr">
        <is>
          <t>NEW_DS_I</t>
        </is>
      </c>
    </row>
    <row r="139">
      <c r="A139" t="inlineStr">
        <is>
          <t>Dominica_2023_May</t>
        </is>
      </c>
      <c r="B139" s="2" t="n"/>
      <c r="C139" s="3" t="inlineStr">
        <is>
          <t>SM.23.127, Sup. 1</t>
        </is>
      </c>
      <c r="D139" s="4" t="inlineStr">
        <is>
          <t>Dominica</t>
        </is>
      </c>
      <c r="E139" s="4" t="inlineStr">
        <is>
          <t>DMA</t>
        </is>
      </c>
      <c r="F139" s="10" t="n">
        <v>45047</v>
      </c>
      <c r="G139" s="4" t="inlineStr">
        <is>
          <t>2018gn</t>
        </is>
      </c>
      <c r="H139" s="4" t="n">
        <v>2022</v>
      </c>
      <c r="I139" s="4" t="inlineStr">
        <is>
          <t>new.int.mlt</t>
        </is>
      </c>
      <c r="J139" t="inlineStr">
        <is>
          <t>Multilaterals</t>
        </is>
      </c>
      <c r="M139" t="inlineStr">
        <is>
          <t>"PV_Base" line no.</t>
        </is>
      </c>
      <c r="O139" t="n">
        <v>0</v>
      </c>
      <c r="P139" t="n">
        <v>0.3114370370370368</v>
      </c>
      <c r="Q139" t="n">
        <v>0.8558798961777768</v>
      </c>
      <c r="R139" t="n">
        <v>1.549723640623508</v>
      </c>
      <c r="S139" t="n">
        <v>2.228941572212541</v>
      </c>
      <c r="T139" t="n">
        <v>2.872389512357522</v>
      </c>
      <c r="U139" t="n">
        <v>3.554209878081403</v>
      </c>
      <c r="V139" t="n">
        <v>4.268129383346958</v>
      </c>
      <c r="W139" t="n">
        <v>5.015277728593336</v>
      </c>
      <c r="X139" t="n">
        <v>5.483229228570707</v>
      </c>
      <c r="Y139" t="n">
        <v>6.080789928999456</v>
      </c>
      <c r="Z139" t="n">
        <v>6.286300509709744</v>
      </c>
      <c r="AA139" t="n">
        <v>6.379492545420401</v>
      </c>
      <c r="AB139" t="n">
        <v>6.405221303698355</v>
      </c>
      <c r="AC139" t="n">
        <v>6.384011881439829</v>
      </c>
      <c r="AD139" t="n">
        <v>6.319628034339689</v>
      </c>
      <c r="AE139" t="n">
        <v>6.179957270239628</v>
      </c>
      <c r="AF139" t="n">
        <v>6.006135185427502</v>
      </c>
      <c r="AG139" t="n">
        <v>5.797340305956072</v>
      </c>
      <c r="AH139" t="n">
        <v>5.552183007732148</v>
      </c>
      <c r="AI139" t="n">
        <v>5.285021975980832</v>
      </c>
      <c r="BI139" t="inlineStr">
        <is>
          <t>NEW_DS_ML</t>
        </is>
      </c>
    </row>
    <row r="140">
      <c r="A140" t="inlineStr">
        <is>
          <t>Dominica_2023_May</t>
        </is>
      </c>
      <c r="B140" s="2" t="n"/>
      <c r="C140" s="3" t="inlineStr">
        <is>
          <t>SM.23.127, Sup. 1</t>
        </is>
      </c>
      <c r="D140" s="4" t="inlineStr">
        <is>
          <t>Dominica</t>
        </is>
      </c>
      <c r="E140" s="4" t="inlineStr">
        <is>
          <t>DMA</t>
        </is>
      </c>
      <c r="F140" s="10" t="n">
        <v>45047</v>
      </c>
      <c r="G140" s="4" t="inlineStr">
        <is>
          <t>2018gn</t>
        </is>
      </c>
      <c r="H140" s="4" t="n">
        <v>2022</v>
      </c>
      <c r="I140" s="4" t="inlineStr">
        <is>
          <t>new.int.mlt.imf</t>
        </is>
      </c>
      <c r="J140" t="inlineStr">
        <is>
          <t>IMF</t>
        </is>
      </c>
      <c r="M140" t="n">
        <v>26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0.2025</v>
      </c>
      <c r="Z140" t="n">
        <v>0.2025</v>
      </c>
      <c r="AA140" t="n">
        <v>0.2025</v>
      </c>
      <c r="AB140" t="n">
        <v>0.2025</v>
      </c>
      <c r="AC140" t="n">
        <v>0.2025</v>
      </c>
      <c r="AD140" t="n">
        <v>0.2025</v>
      </c>
      <c r="AE140" t="n">
        <v>0.162</v>
      </c>
      <c r="AF140" t="n">
        <v>0.1215</v>
      </c>
      <c r="AG140" t="n">
        <v>0.08099999999999997</v>
      </c>
      <c r="AH140" t="n">
        <v>0.04049999999999998</v>
      </c>
      <c r="AI140" t="n">
        <v>0</v>
      </c>
    </row>
    <row r="141">
      <c r="A141" t="inlineStr">
        <is>
          <t>Dominica_2023_May</t>
        </is>
      </c>
      <c r="B141" s="2" t="n"/>
      <c r="C141" s="3" t="inlineStr">
        <is>
          <t>SM.23.127, Sup. 1</t>
        </is>
      </c>
      <c r="D141" s="4" t="inlineStr">
        <is>
          <t>Dominica</t>
        </is>
      </c>
      <c r="E141" s="4" t="inlineStr">
        <is>
          <t>DMA</t>
        </is>
      </c>
      <c r="F141" s="10" t="n">
        <v>45047</v>
      </c>
      <c r="G141" s="4" t="inlineStr">
        <is>
          <t>2018gn</t>
        </is>
      </c>
      <c r="H141" s="4" t="n">
        <v>2022</v>
      </c>
      <c r="I141" s="4" t="inlineStr">
        <is>
          <t>new.int.mlt.ida.reg</t>
        </is>
      </c>
      <c r="J141" t="inlineStr">
        <is>
          <t>IDA - small economy</t>
        </is>
      </c>
      <c r="M141" t="n">
        <v>60</v>
      </c>
      <c r="O141" t="n">
        <v>0</v>
      </c>
      <c r="P141" t="n">
        <v>0.2114370370370368</v>
      </c>
      <c r="Q141" t="n">
        <v>0.4651391554370368</v>
      </c>
      <c r="R141" t="n">
        <v>0.8487917515851853</v>
      </c>
      <c r="S141" t="n">
        <v>1.200468668562963</v>
      </c>
      <c r="T141" t="n">
        <v>1.500585835703704</v>
      </c>
      <c r="U141" t="n">
        <v>1.822873035370371</v>
      </c>
      <c r="V141" t="n">
        <v>2.160333061069613</v>
      </c>
      <c r="W141" t="n">
        <v>2.513499906811143</v>
      </c>
      <c r="X141" t="n">
        <v>2.734694206789855</v>
      </c>
      <c r="Y141" t="n">
        <v>2.872862132516402</v>
      </c>
      <c r="Z141" t="n">
        <v>2.944737088999753</v>
      </c>
      <c r="AA141" t="n">
        <v>2.975078539962189</v>
      </c>
      <c r="AB141" t="n">
        <v>2.990693806930369</v>
      </c>
      <c r="AC141" t="n">
        <v>2.978589323304605</v>
      </c>
      <c r="AD141" t="n">
        <v>2.943626478951008</v>
      </c>
      <c r="AE141" t="n">
        <v>2.895184024135316</v>
      </c>
      <c r="AF141" t="n">
        <v>2.834913825658377</v>
      </c>
      <c r="AG141" t="n">
        <v>2.763056360333414</v>
      </c>
      <c r="AH141" t="n">
        <v>2.679320983196305</v>
      </c>
      <c r="AI141" t="n">
        <v>2.588179476755005</v>
      </c>
    </row>
    <row r="142">
      <c r="A142" t="inlineStr">
        <is>
          <t>Dominica_2023_May</t>
        </is>
      </c>
      <c r="B142" s="2" t="n"/>
      <c r="C142" s="3" t="inlineStr">
        <is>
          <t>SM.23.127, Sup. 1</t>
        </is>
      </c>
      <c r="D142" s="4" t="inlineStr">
        <is>
          <t>Dominica</t>
        </is>
      </c>
      <c r="E142" s="4" t="inlineStr">
        <is>
          <t>DMA</t>
        </is>
      </c>
      <c r="F142" s="10" t="n">
        <v>45047</v>
      </c>
      <c r="G142" s="4" t="inlineStr">
        <is>
          <t>2018gn</t>
        </is>
      </c>
      <c r="H142" s="4" t="n">
        <v>2022</v>
      </c>
      <c r="I142" s="4" t="inlineStr">
        <is>
          <t>new.int.mlt.ida.bld</t>
        </is>
      </c>
      <c r="J142" t="inlineStr">
        <is>
          <t>IDA - small economy</t>
        </is>
      </c>
      <c r="M142" t="n">
        <v>86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</row>
    <row r="143">
      <c r="A143" t="inlineStr">
        <is>
          <t>Dominica_2023_May</t>
        </is>
      </c>
      <c r="B143" s="2" t="n"/>
      <c r="C143" s="3" t="inlineStr">
        <is>
          <t>SM.23.127, Sup. 1</t>
        </is>
      </c>
      <c r="D143" s="4" t="inlineStr">
        <is>
          <t>Dominica</t>
        </is>
      </c>
      <c r="E143" s="4" t="inlineStr">
        <is>
          <t>DMA</t>
        </is>
      </c>
      <c r="F143" s="10" t="n">
        <v>45047</v>
      </c>
      <c r="G143" s="4" t="inlineStr">
        <is>
          <t>2018gn</t>
        </is>
      </c>
      <c r="H143" s="4" t="n">
        <v>2022</v>
      </c>
      <c r="I143" s="4" t="inlineStr">
        <is>
          <t>new.int.mlt.afdb</t>
        </is>
      </c>
      <c r="J143" t="inlineStr">
        <is>
          <t>CDB</t>
        </is>
      </c>
      <c r="M143" t="n">
        <v>111</v>
      </c>
      <c r="O143" t="n">
        <v>0</v>
      </c>
      <c r="P143" t="n">
        <v>0.1</v>
      </c>
      <c r="Q143" t="n">
        <v>0.39074074074074</v>
      </c>
      <c r="R143" t="n">
        <v>0.7009318890383226</v>
      </c>
      <c r="S143" t="n">
        <v>1.028472903649578</v>
      </c>
      <c r="T143" t="n">
        <v>1.371803676653818</v>
      </c>
      <c r="U143" t="n">
        <v>1.731336842711033</v>
      </c>
      <c r="V143" t="n">
        <v>2.107796322277345</v>
      </c>
      <c r="W143" t="n">
        <v>2.501777821782193</v>
      </c>
      <c r="X143" t="n">
        <v>2.748535021780853</v>
      </c>
      <c r="Y143" t="n">
        <v>3.005427796483055</v>
      </c>
      <c r="Z143" t="n">
        <v>3.139063420709991</v>
      </c>
      <c r="AA143" t="n">
        <v>3.201914005458212</v>
      </c>
      <c r="AB143" t="n">
        <v>3.212027496767986</v>
      </c>
      <c r="AC143" t="n">
        <v>3.202922558135223</v>
      </c>
      <c r="AD143" t="n">
        <v>3.173501555388681</v>
      </c>
      <c r="AE143" t="n">
        <v>3.122773246104312</v>
      </c>
      <c r="AF143" t="n">
        <v>3.049721359769125</v>
      </c>
      <c r="AG143" t="n">
        <v>2.953283945622658</v>
      </c>
      <c r="AH143" t="n">
        <v>2.832362024535843</v>
      </c>
      <c r="AI143" t="n">
        <v>2.696842499225827</v>
      </c>
    </row>
    <row r="144">
      <c r="A144" t="inlineStr">
        <is>
          <t>Dominica_2023_May</t>
        </is>
      </c>
      <c r="B144" s="2" t="n"/>
      <c r="C144" s="3" t="inlineStr">
        <is>
          <t>SM.23.127, Sup. 1</t>
        </is>
      </c>
      <c r="D144" s="4" t="inlineStr">
        <is>
          <t>Dominica</t>
        </is>
      </c>
      <c r="E144" s="4" t="inlineStr">
        <is>
          <t>DMA</t>
        </is>
      </c>
      <c r="F144" s="10" t="n">
        <v>45047</v>
      </c>
      <c r="G144" s="4" t="inlineStr">
        <is>
          <t>2018gn</t>
        </is>
      </c>
      <c r="H144" s="4" t="n">
        <v>2022</v>
      </c>
      <c r="I144" s="4" t="inlineStr">
        <is>
          <t>new.int.mlt2</t>
        </is>
      </c>
      <c r="J144" t="inlineStr">
        <is>
          <t>MULTIRES</t>
        </is>
      </c>
      <c r="M144" t="n">
        <v>137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</row>
    <row r="145">
      <c r="A145" t="inlineStr">
        <is>
          <t>Dominica_2023_May</t>
        </is>
      </c>
      <c r="B145" s="2" t="n"/>
      <c r="C145" s="3" t="inlineStr">
        <is>
          <t>SM.23.127, Sup. 1</t>
        </is>
      </c>
      <c r="D145" s="4" t="inlineStr">
        <is>
          <t>Dominica</t>
        </is>
      </c>
      <c r="E145" s="4" t="inlineStr">
        <is>
          <t>DMA</t>
        </is>
      </c>
      <c r="F145" s="10" t="n">
        <v>45047</v>
      </c>
      <c r="G145" s="4" t="inlineStr">
        <is>
          <t>2018gn</t>
        </is>
      </c>
      <c r="H145" s="4" t="n">
        <v>2022</v>
      </c>
      <c r="I145" s="4" t="inlineStr">
        <is>
          <t>new.int.mlt3</t>
        </is>
      </c>
      <c r="J145" t="inlineStr">
        <is>
          <t>MULTI3</t>
        </is>
      </c>
      <c r="M145" t="n">
        <v>163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</row>
    <row r="146">
      <c r="A146" t="inlineStr">
        <is>
          <t>Dominica_2023_May</t>
        </is>
      </c>
      <c r="B146" s="2" t="n"/>
      <c r="C146" s="3" t="inlineStr">
        <is>
          <t>SM.23.127, Sup. 1</t>
        </is>
      </c>
      <c r="D146" s="4" t="inlineStr">
        <is>
          <t>Dominica</t>
        </is>
      </c>
      <c r="E146" s="4" t="inlineStr">
        <is>
          <t>DMA</t>
        </is>
      </c>
      <c r="F146" s="10" t="n">
        <v>45047</v>
      </c>
      <c r="G146" s="4" t="inlineStr">
        <is>
          <t>2018gn</t>
        </is>
      </c>
      <c r="H146" s="4" t="n">
        <v>2022</v>
      </c>
      <c r="I146" s="4" t="inlineStr">
        <is>
          <t>new.int.mlt.oth</t>
        </is>
      </c>
      <c r="J146" t="inlineStr">
        <is>
          <t>Other Multilaterals</t>
        </is>
      </c>
      <c r="O146" t="n">
        <v>0</v>
      </c>
      <c r="P146" t="n">
        <v>0.0380757488892977</v>
      </c>
      <c r="Q146" t="n">
        <v>0.08337951839774149</v>
      </c>
      <c r="R146" t="n">
        <v>0.1280925397919983</v>
      </c>
      <c r="S146" t="n">
        <v>0.1692512199624384</v>
      </c>
      <c r="T146" t="n">
        <v>0.2117148462145421</v>
      </c>
      <c r="U146" t="n">
        <v>0.2540572377593317</v>
      </c>
      <c r="V146" t="n">
        <v>0.2957299278796482</v>
      </c>
      <c r="W146" t="n">
        <v>0.3351688573331162</v>
      </c>
      <c r="X146" t="n">
        <v>0.3724314836898385</v>
      </c>
      <c r="Y146" t="n">
        <v>0.4082932923953352</v>
      </c>
      <c r="Z146" t="n">
        <v>0.4424902023011251</v>
      </c>
      <c r="AA146" t="n">
        <v>0.4750582315530801</v>
      </c>
      <c r="AB146" t="n">
        <v>0.5058055057921188</v>
      </c>
      <c r="AC146" t="n">
        <v>0.53481458763582</v>
      </c>
      <c r="AD146" t="n">
        <v>0.5621730607112577</v>
      </c>
      <c r="AE146" t="n">
        <v>0.5878309282818162</v>
      </c>
      <c r="AF146" t="n">
        <v>0.6117810104932528</v>
      </c>
      <c r="AG146" t="n">
        <v>0.6340075187018691</v>
      </c>
      <c r="AH146" t="n">
        <v>0.6545298829475698</v>
      </c>
      <c r="AI146" t="n">
        <v>0.6733549082952566</v>
      </c>
    </row>
    <row r="147">
      <c r="A147" t="inlineStr">
        <is>
          <t>Dominica_2023_May</t>
        </is>
      </c>
      <c r="B147" s="2" t="n"/>
      <c r="C147" s="3" t="inlineStr">
        <is>
          <t>SM.23.127, Sup. 1</t>
        </is>
      </c>
      <c r="D147" s="4" t="inlineStr">
        <is>
          <t>Dominica</t>
        </is>
      </c>
      <c r="E147" s="4" t="inlineStr">
        <is>
          <t>DMA</t>
        </is>
      </c>
      <c r="F147" s="10" t="n">
        <v>45047</v>
      </c>
      <c r="G147" s="4" t="inlineStr">
        <is>
          <t>2018gn</t>
        </is>
      </c>
      <c r="H147" s="4" t="n">
        <v>2022</v>
      </c>
      <c r="I147" s="4" t="inlineStr">
        <is>
          <t>new.int.mlt.oth1</t>
        </is>
      </c>
      <c r="J147" t="inlineStr">
        <is>
          <t>OTH_MULTI1</t>
        </is>
      </c>
      <c r="M147" t="n">
        <v>189</v>
      </c>
      <c r="O147" t="n">
        <v>0</v>
      </c>
      <c r="P147" t="n">
        <v>0.0380757488892977</v>
      </c>
      <c r="Q147" t="n">
        <v>0.08337951839774149</v>
      </c>
      <c r="R147" t="n">
        <v>0.1280925397919983</v>
      </c>
      <c r="S147" t="n">
        <v>0.1692512199624384</v>
      </c>
      <c r="T147" t="n">
        <v>0.2117148462145421</v>
      </c>
      <c r="U147" t="n">
        <v>0.2540572377593317</v>
      </c>
      <c r="V147" t="n">
        <v>0.2957299278796482</v>
      </c>
      <c r="W147" t="n">
        <v>0.3351688573331162</v>
      </c>
      <c r="X147" t="n">
        <v>0.3724314836898385</v>
      </c>
      <c r="Y147" t="n">
        <v>0.4082932923953352</v>
      </c>
      <c r="Z147" t="n">
        <v>0.4424902023011251</v>
      </c>
      <c r="AA147" t="n">
        <v>0.4750582315530801</v>
      </c>
      <c r="AB147" t="n">
        <v>0.5058055057921188</v>
      </c>
      <c r="AC147" t="n">
        <v>0.53481458763582</v>
      </c>
      <c r="AD147" t="n">
        <v>0.5621730607112577</v>
      </c>
      <c r="AE147" t="n">
        <v>0.5878309282818162</v>
      </c>
      <c r="AF147" t="n">
        <v>0.6117810104932528</v>
      </c>
      <c r="AG147" t="n">
        <v>0.6340075187018691</v>
      </c>
      <c r="AH147" t="n">
        <v>0.6545298829475698</v>
      </c>
      <c r="AI147" t="n">
        <v>0.6733549082952566</v>
      </c>
    </row>
    <row r="148">
      <c r="A148" t="inlineStr">
        <is>
          <t>Dominica_2023_May</t>
        </is>
      </c>
      <c r="B148" s="2" t="n"/>
      <c r="C148" s="3" t="inlineStr">
        <is>
          <t>SM.23.127, Sup. 1</t>
        </is>
      </c>
      <c r="D148" s="4" t="inlineStr">
        <is>
          <t>Dominica</t>
        </is>
      </c>
      <c r="E148" s="4" t="inlineStr">
        <is>
          <t>DMA</t>
        </is>
      </c>
      <c r="F148" s="10" t="n">
        <v>45047</v>
      </c>
      <c r="G148" s="4" t="inlineStr">
        <is>
          <t>2018gn</t>
        </is>
      </c>
      <c r="H148" s="4" t="n">
        <v>2022</v>
      </c>
      <c r="I148" s="4" t="inlineStr">
        <is>
          <t>new.int.mlt.oth2</t>
        </is>
      </c>
      <c r="J148" t="inlineStr">
        <is>
          <t>OTH_MULTI2</t>
        </is>
      </c>
      <c r="M148" t="n">
        <v>215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</row>
    <row r="149">
      <c r="A149" t="inlineStr">
        <is>
          <t>Dominica_2023_May</t>
        </is>
      </c>
      <c r="B149" s="2" t="n"/>
      <c r="C149" s="3" t="inlineStr">
        <is>
          <t>SM.23.127, Sup. 1</t>
        </is>
      </c>
      <c r="D149" s="4" t="inlineStr">
        <is>
          <t>Dominica</t>
        </is>
      </c>
      <c r="E149" s="4" t="inlineStr">
        <is>
          <t>DMA</t>
        </is>
      </c>
      <c r="F149" s="10" t="n">
        <v>45047</v>
      </c>
      <c r="G149" s="4" t="inlineStr">
        <is>
          <t>2018gn</t>
        </is>
      </c>
      <c r="H149" s="4" t="n">
        <v>2022</v>
      </c>
      <c r="I149" s="4" t="inlineStr">
        <is>
          <t>new.int.mlt.oth3</t>
        </is>
      </c>
      <c r="J149" t="inlineStr">
        <is>
          <t>OTH_MULTI3</t>
        </is>
      </c>
      <c r="M149" t="n">
        <v>241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</row>
    <row r="150">
      <c r="A150" t="inlineStr">
        <is>
          <t>Dominica_2023_May</t>
        </is>
      </c>
      <c r="B150" s="2" t="n"/>
      <c r="C150" s="3" t="inlineStr">
        <is>
          <t>SM.23.127, Sup. 1</t>
        </is>
      </c>
      <c r="D150" s="4" t="inlineStr">
        <is>
          <t>Dominica</t>
        </is>
      </c>
      <c r="E150" s="4" t="inlineStr">
        <is>
          <t>DMA</t>
        </is>
      </c>
      <c r="F150" s="10" t="n">
        <v>45047</v>
      </c>
      <c r="G150" s="4" t="inlineStr">
        <is>
          <t>2018gn</t>
        </is>
      </c>
      <c r="H150" s="4" t="n">
        <v>2022</v>
      </c>
      <c r="I150" s="4" t="inlineStr">
        <is>
          <t>new.int.blt</t>
        </is>
      </c>
      <c r="J150" t="inlineStr">
        <is>
          <t>Official Bilaterals</t>
        </is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0.0406819332997302</v>
      </c>
      <c r="U150" t="n">
        <v>0.0945410575253717</v>
      </c>
      <c r="V150" t="n">
        <v>0.1414810616704509</v>
      </c>
      <c r="W150" t="n">
        <v>0.1840817949869062</v>
      </c>
      <c r="X150" t="n">
        <v>0.2230714746441695</v>
      </c>
      <c r="Y150" t="n">
        <v>0.2584047377013213</v>
      </c>
      <c r="Z150" t="n">
        <v>0.2904772262070079</v>
      </c>
      <c r="AA150" t="n">
        <v>0.2974846232920305</v>
      </c>
      <c r="AB150" t="n">
        <v>0.3102853676572375</v>
      </c>
      <c r="AC150" t="n">
        <v>0.32685826750622</v>
      </c>
      <c r="AD150" t="n">
        <v>0.3458966653922528</v>
      </c>
      <c r="AE150" t="n">
        <v>0.3665784094115982</v>
      </c>
      <c r="AF150" t="n">
        <v>0.3883623708171184</v>
      </c>
      <c r="AG150" t="n">
        <v>0.3792235135540678</v>
      </c>
      <c r="AH150" t="n">
        <v>0.3695668366163411</v>
      </c>
      <c r="AI150" t="n">
        <v>0.3592389131313202</v>
      </c>
      <c r="BI150" t="inlineStr">
        <is>
          <t>NEW_DS_I_OB</t>
        </is>
      </c>
    </row>
    <row r="151">
      <c r="A151" t="inlineStr">
        <is>
          <t>Dominica_2023_May</t>
        </is>
      </c>
      <c r="B151" s="2" t="n"/>
      <c r="C151" s="3" t="inlineStr">
        <is>
          <t>SM.23.127, Sup. 1</t>
        </is>
      </c>
      <c r="D151" s="4" t="inlineStr">
        <is>
          <t>Dominica</t>
        </is>
      </c>
      <c r="E151" s="4" t="inlineStr">
        <is>
          <t>DMA</t>
        </is>
      </c>
      <c r="F151" s="10" t="n">
        <v>45047</v>
      </c>
      <c r="G151" s="4" t="inlineStr">
        <is>
          <t>2018gn</t>
        </is>
      </c>
      <c r="H151" s="4" t="n">
        <v>2022</v>
      </c>
      <c r="I151" s="4" t="inlineStr">
        <is>
          <t>new.int.pc</t>
        </is>
      </c>
      <c r="J151" t="inlineStr">
        <is>
          <t xml:space="preserve">   Paris Club</t>
        </is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</row>
    <row r="152">
      <c r="A152" t="inlineStr">
        <is>
          <t>Dominica_2023_May</t>
        </is>
      </c>
      <c r="B152" s="2" t="n"/>
      <c r="C152" s="3" t="inlineStr">
        <is>
          <t>SM.23.127, Sup. 1</t>
        </is>
      </c>
      <c r="D152" s="4" t="inlineStr">
        <is>
          <t>Dominica</t>
        </is>
      </c>
      <c r="E152" s="4" t="inlineStr">
        <is>
          <t>DMA</t>
        </is>
      </c>
      <c r="F152" s="10" t="n">
        <v>45047</v>
      </c>
      <c r="G152" s="4" t="inlineStr">
        <is>
          <t>2018gn</t>
        </is>
      </c>
      <c r="H152" s="4" t="n">
        <v>2022</v>
      </c>
      <c r="I152" s="4" t="inlineStr">
        <is>
          <t>new.int.pc1</t>
        </is>
      </c>
      <c r="J152" t="inlineStr">
        <is>
          <t>Export Credit Agencies</t>
        </is>
      </c>
      <c r="M152" t="n">
        <v>267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</row>
    <row r="153">
      <c r="A153" t="inlineStr">
        <is>
          <t>Dominica_2023_May</t>
        </is>
      </c>
      <c r="B153" s="2" t="n"/>
      <c r="C153" s="3" t="inlineStr">
        <is>
          <t>SM.23.127, Sup. 1</t>
        </is>
      </c>
      <c r="D153" s="4" t="inlineStr">
        <is>
          <t>Dominica</t>
        </is>
      </c>
      <c r="E153" s="4" t="inlineStr">
        <is>
          <t>DMA</t>
        </is>
      </c>
      <c r="F153" s="10" t="n">
        <v>45047</v>
      </c>
      <c r="G153" s="4" t="inlineStr">
        <is>
          <t>2018gn</t>
        </is>
      </c>
      <c r="H153" s="4" t="n">
        <v>2022</v>
      </c>
      <c r="I153" s="4" t="inlineStr">
        <is>
          <t>new.int.pc2</t>
        </is>
      </c>
      <c r="J153" t="inlineStr">
        <is>
          <t>PC2</t>
        </is>
      </c>
      <c r="M153" t="n">
        <v>293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</row>
    <row r="154">
      <c r="A154" t="inlineStr">
        <is>
          <t>Dominica_2023_May</t>
        </is>
      </c>
      <c r="B154" s="2" t="n"/>
      <c r="C154" s="3" t="inlineStr">
        <is>
          <t>SM.23.127, Sup. 1</t>
        </is>
      </c>
      <c r="D154" s="4" t="inlineStr">
        <is>
          <t>Dominica</t>
        </is>
      </c>
      <c r="E154" s="4" t="inlineStr">
        <is>
          <t>DMA</t>
        </is>
      </c>
      <c r="F154" s="10" t="n">
        <v>45047</v>
      </c>
      <c r="G154" s="4" t="inlineStr">
        <is>
          <t>2018gn</t>
        </is>
      </c>
      <c r="H154" s="4" t="n">
        <v>2022</v>
      </c>
      <c r="I154" s="4" t="inlineStr">
        <is>
          <t>new.int.pc3</t>
        </is>
      </c>
      <c r="J154" t="inlineStr">
        <is>
          <t>PC3</t>
        </is>
      </c>
      <c r="M154" t="n">
        <v>319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</row>
    <row r="155">
      <c r="A155" t="inlineStr">
        <is>
          <t>Dominica_2023_May</t>
        </is>
      </c>
      <c r="B155" s="2" t="n"/>
      <c r="C155" s="3" t="inlineStr">
        <is>
          <t>SM.23.127, Sup. 1</t>
        </is>
      </c>
      <c r="D155" s="4" t="inlineStr">
        <is>
          <t>Dominica</t>
        </is>
      </c>
      <c r="E155" s="4" t="inlineStr">
        <is>
          <t>DMA</t>
        </is>
      </c>
      <c r="F155" s="10" t="n">
        <v>45047</v>
      </c>
      <c r="G155" s="4" t="inlineStr">
        <is>
          <t>2018gn</t>
        </is>
      </c>
      <c r="H155" s="4" t="n">
        <v>2022</v>
      </c>
      <c r="I155" s="4" t="inlineStr">
        <is>
          <t>new.int.pc4</t>
        </is>
      </c>
      <c r="J155" t="inlineStr">
        <is>
          <t>PC4</t>
        </is>
      </c>
      <c r="M155" t="n">
        <v>345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</row>
    <row r="156">
      <c r="A156" t="inlineStr">
        <is>
          <t>Dominica_2023_May</t>
        </is>
      </c>
      <c r="B156" s="2" t="n"/>
      <c r="C156" s="3" t="inlineStr">
        <is>
          <t>SM.23.127, Sup. 1</t>
        </is>
      </c>
      <c r="D156" s="4" t="inlineStr">
        <is>
          <t>Dominica</t>
        </is>
      </c>
      <c r="E156" s="4" t="inlineStr">
        <is>
          <t>DMA</t>
        </is>
      </c>
      <c r="F156" s="10" t="n">
        <v>45047</v>
      </c>
      <c r="G156" s="4" t="inlineStr">
        <is>
          <t>2018gn</t>
        </is>
      </c>
      <c r="H156" s="4" t="n">
        <v>2022</v>
      </c>
      <c r="I156" s="4" t="inlineStr">
        <is>
          <t>new.int.pc5</t>
        </is>
      </c>
      <c r="J156" t="inlineStr">
        <is>
          <t>PC5</t>
        </is>
      </c>
      <c r="M156" t="n">
        <v>371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</row>
    <row r="157">
      <c r="A157" t="inlineStr">
        <is>
          <t>Dominica_2023_May</t>
        </is>
      </c>
      <c r="B157" s="2" t="n"/>
      <c r="C157" s="3" t="inlineStr">
        <is>
          <t>SM.23.127, Sup. 1</t>
        </is>
      </c>
      <c r="D157" s="4" t="inlineStr">
        <is>
          <t>Dominica</t>
        </is>
      </c>
      <c r="E157" s="4" t="inlineStr">
        <is>
          <t>DMA</t>
        </is>
      </c>
      <c r="F157" s="10" t="n">
        <v>45047</v>
      </c>
      <c r="G157" s="4" t="inlineStr">
        <is>
          <t>2018gn</t>
        </is>
      </c>
      <c r="H157" s="4" t="n">
        <v>2022</v>
      </c>
      <c r="I157" s="4" t="inlineStr">
        <is>
          <t>new.int.npc</t>
        </is>
      </c>
      <c r="J157" t="inlineStr">
        <is>
          <t xml:space="preserve">   Non-Paris Club</t>
        </is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0.0406819332997302</v>
      </c>
      <c r="U157" t="n">
        <v>0.0945410575253717</v>
      </c>
      <c r="V157" t="n">
        <v>0.1414810616704509</v>
      </c>
      <c r="W157" t="n">
        <v>0.1840817949869062</v>
      </c>
      <c r="X157" t="n">
        <v>0.2230714746441695</v>
      </c>
      <c r="Y157" t="n">
        <v>0.2584047377013213</v>
      </c>
      <c r="Z157" t="n">
        <v>0.2904772262070079</v>
      </c>
      <c r="AA157" t="n">
        <v>0.2974846232920305</v>
      </c>
      <c r="AB157" t="n">
        <v>0.3102853676572375</v>
      </c>
      <c r="AC157" t="n">
        <v>0.32685826750622</v>
      </c>
      <c r="AD157" t="n">
        <v>0.3458966653922528</v>
      </c>
      <c r="AE157" t="n">
        <v>0.3665784094115982</v>
      </c>
      <c r="AF157" t="n">
        <v>0.3883623708171184</v>
      </c>
      <c r="AG157" t="n">
        <v>0.3792235135540678</v>
      </c>
      <c r="AH157" t="n">
        <v>0.3695668366163411</v>
      </c>
      <c r="AI157" t="n">
        <v>0.3592389131313202</v>
      </c>
    </row>
    <row r="158">
      <c r="A158" t="inlineStr">
        <is>
          <t>Dominica_2023_May</t>
        </is>
      </c>
      <c r="B158" s="2" t="n"/>
      <c r="C158" s="3" t="inlineStr">
        <is>
          <t>SM.23.127, Sup. 1</t>
        </is>
      </c>
      <c r="D158" s="4" t="inlineStr">
        <is>
          <t>Dominica</t>
        </is>
      </c>
      <c r="E158" s="4" t="inlineStr">
        <is>
          <t>DMA</t>
        </is>
      </c>
      <c r="F158" s="10" t="n">
        <v>45047</v>
      </c>
      <c r="G158" s="4" t="inlineStr">
        <is>
          <t>2018gn</t>
        </is>
      </c>
      <c r="H158" s="4" t="n">
        <v>2022</v>
      </c>
      <c r="I158" s="4" t="inlineStr">
        <is>
          <t>new.int.npc.eximbk</t>
        </is>
      </c>
      <c r="J158" t="inlineStr">
        <is>
          <t>NPC2</t>
        </is>
      </c>
      <c r="M158" t="n">
        <v>397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0.0406819332997302</v>
      </c>
      <c r="U158" t="n">
        <v>0.0945410575253717</v>
      </c>
      <c r="V158" t="n">
        <v>0.1414810616704509</v>
      </c>
      <c r="W158" t="n">
        <v>0.1840817949869062</v>
      </c>
      <c r="X158" t="n">
        <v>0.2230714746441695</v>
      </c>
      <c r="Y158" t="n">
        <v>0.2584047377013213</v>
      </c>
      <c r="Z158" t="n">
        <v>0.2904772262070079</v>
      </c>
      <c r="AA158" t="n">
        <v>0.2974846232920305</v>
      </c>
      <c r="AB158" t="n">
        <v>0.3102853676572375</v>
      </c>
      <c r="AC158" t="n">
        <v>0.32685826750622</v>
      </c>
      <c r="AD158" t="n">
        <v>0.3458966653922528</v>
      </c>
      <c r="AE158" t="n">
        <v>0.3665784094115982</v>
      </c>
      <c r="AF158" t="n">
        <v>0.3883623708171184</v>
      </c>
      <c r="AG158" t="n">
        <v>0.3792235135540678</v>
      </c>
      <c r="AH158" t="n">
        <v>0.3695668366163411</v>
      </c>
      <c r="AI158" t="n">
        <v>0.3592389131313202</v>
      </c>
    </row>
    <row r="159">
      <c r="A159" t="inlineStr">
        <is>
          <t>Dominica_2023_May</t>
        </is>
      </c>
      <c r="B159" s="2" t="n"/>
      <c r="C159" s="3" t="inlineStr">
        <is>
          <t>SM.23.127, Sup. 1</t>
        </is>
      </c>
      <c r="D159" s="4" t="inlineStr">
        <is>
          <t>Dominica</t>
        </is>
      </c>
      <c r="E159" s="4" t="inlineStr">
        <is>
          <t>DMA</t>
        </is>
      </c>
      <c r="F159" s="10" t="n">
        <v>45047</v>
      </c>
      <c r="G159" s="4" t="inlineStr">
        <is>
          <t>2018gn</t>
        </is>
      </c>
      <c r="H159" s="4" t="n">
        <v>2022</v>
      </c>
      <c r="I159" s="4" t="inlineStr">
        <is>
          <t>new.int.npc2</t>
        </is>
      </c>
      <c r="J159" t="inlineStr">
        <is>
          <t>NPC2</t>
        </is>
      </c>
      <c r="M159" t="n">
        <v>423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</row>
    <row r="160">
      <c r="A160" t="inlineStr">
        <is>
          <t>Dominica_2023_May</t>
        </is>
      </c>
      <c r="B160" s="2" t="n"/>
      <c r="C160" s="3" t="inlineStr">
        <is>
          <t>SM.23.127, Sup. 1</t>
        </is>
      </c>
      <c r="D160" s="4" t="inlineStr">
        <is>
          <t>Dominica</t>
        </is>
      </c>
      <c r="E160" s="4" t="inlineStr">
        <is>
          <t>DMA</t>
        </is>
      </c>
      <c r="F160" s="10" t="n">
        <v>45047</v>
      </c>
      <c r="G160" s="4" t="inlineStr">
        <is>
          <t>2018gn</t>
        </is>
      </c>
      <c r="H160" s="4" t="n">
        <v>2022</v>
      </c>
      <c r="I160" s="4" t="inlineStr">
        <is>
          <t>new.int.npc3</t>
        </is>
      </c>
      <c r="J160" t="inlineStr">
        <is>
          <t>NPC3</t>
        </is>
      </c>
      <c r="M160" t="n">
        <v>449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</row>
    <row r="161">
      <c r="A161" t="inlineStr">
        <is>
          <t>Dominica_2023_May</t>
        </is>
      </c>
      <c r="B161" s="2" t="n"/>
      <c r="C161" s="3" t="inlineStr">
        <is>
          <t>SM.23.127, Sup. 1</t>
        </is>
      </c>
      <c r="D161" s="4" t="inlineStr">
        <is>
          <t>Dominica</t>
        </is>
      </c>
      <c r="E161" s="4" t="inlineStr">
        <is>
          <t>DMA</t>
        </is>
      </c>
      <c r="F161" s="10" t="n">
        <v>45047</v>
      </c>
      <c r="G161" s="4" t="inlineStr">
        <is>
          <t>2018gn</t>
        </is>
      </c>
      <c r="H161" s="4" t="n">
        <v>2022</v>
      </c>
      <c r="I161" s="4" t="inlineStr">
        <is>
          <t>new.int.npc4</t>
        </is>
      </c>
      <c r="J161" t="inlineStr">
        <is>
          <t>NPC4</t>
        </is>
      </c>
      <c r="M161" t="n">
        <v>475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</row>
    <row r="162">
      <c r="A162" t="inlineStr">
        <is>
          <t>Dominica_2023_May</t>
        </is>
      </c>
      <c r="B162" s="2" t="n"/>
      <c r="C162" s="3" t="inlineStr">
        <is>
          <t>SM.23.127, Sup. 1</t>
        </is>
      </c>
      <c r="D162" s="4" t="inlineStr">
        <is>
          <t>Dominica</t>
        </is>
      </c>
      <c r="E162" s="4" t="inlineStr">
        <is>
          <t>DMA</t>
        </is>
      </c>
      <c r="F162" s="10" t="n">
        <v>45047</v>
      </c>
      <c r="G162" s="4" t="inlineStr">
        <is>
          <t>2018gn</t>
        </is>
      </c>
      <c r="H162" s="4" t="n">
        <v>2022</v>
      </c>
      <c r="I162" s="4" t="inlineStr">
        <is>
          <t>new.int.npc5</t>
        </is>
      </c>
      <c r="J162" t="inlineStr">
        <is>
          <t>NPC5</t>
        </is>
      </c>
      <c r="M162" t="n">
        <v>501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</row>
    <row r="163">
      <c r="A163" t="inlineStr">
        <is>
          <t>Dominica_2023_May</t>
        </is>
      </c>
      <c r="B163" s="2" t="n"/>
      <c r="C163" s="3" t="inlineStr">
        <is>
          <t>SM.23.127, Sup. 1</t>
        </is>
      </c>
      <c r="D163" s="4" t="inlineStr">
        <is>
          <t>Dominica</t>
        </is>
      </c>
      <c r="E163" s="4" t="inlineStr">
        <is>
          <t>DMA</t>
        </is>
      </c>
      <c r="F163" s="10" t="n">
        <v>45047</v>
      </c>
      <c r="G163" s="4" t="inlineStr">
        <is>
          <t>2018gn</t>
        </is>
      </c>
      <c r="H163" s="4" t="n">
        <v>2022</v>
      </c>
      <c r="I163" s="4" t="inlineStr">
        <is>
          <t>new.int.prvt</t>
        </is>
      </c>
      <c r="J163" t="inlineStr">
        <is>
          <t>Commercial</t>
        </is>
      </c>
      <c r="O163" t="n">
        <v>0</v>
      </c>
      <c r="P163" t="n">
        <v>0</v>
      </c>
      <c r="Q163" t="n">
        <v>0</v>
      </c>
      <c r="R163" t="n">
        <v>0</v>
      </c>
      <c r="S163" t="n">
        <v>0.1105731285810457</v>
      </c>
      <c r="T163" t="n">
        <v>0.2586789117210937</v>
      </c>
      <c r="U163" t="n">
        <v>0.3905018182279369</v>
      </c>
      <c r="V163" t="n">
        <v>0.525711024248068</v>
      </c>
      <c r="W163" t="n">
        <v>0.6697927482006842</v>
      </c>
      <c r="X163" t="n">
        <v>0.8125099700895472</v>
      </c>
      <c r="Y163" t="n">
        <v>0.9479268786710467</v>
      </c>
      <c r="Z163" t="n">
        <v>1.079405466154217</v>
      </c>
      <c r="AA163" t="n">
        <v>1.023345693180399</v>
      </c>
      <c r="AB163" t="n">
        <v>1.023455912657286</v>
      </c>
      <c r="AC163" t="n">
        <v>1.036662272039695</v>
      </c>
      <c r="AD163" t="n">
        <v>1.045333397716278</v>
      </c>
      <c r="AE163" t="n">
        <v>1.057336281478634</v>
      </c>
      <c r="AF163" t="n">
        <v>1.07559835687485</v>
      </c>
      <c r="AG163" t="n">
        <v>0.892538229722069</v>
      </c>
      <c r="AH163" t="n">
        <v>0.7252821131416723</v>
      </c>
      <c r="AI163" t="n">
        <v>0.57607332790683</v>
      </c>
      <c r="BI163" t="inlineStr">
        <is>
          <t>NEW_DS_I_COM</t>
        </is>
      </c>
    </row>
    <row r="164">
      <c r="A164" t="inlineStr">
        <is>
          <t>Dominica_2023_May</t>
        </is>
      </c>
      <c r="B164" s="2" t="n"/>
      <c r="C164" s="3" t="inlineStr">
        <is>
          <t>SM.23.127, Sup. 1</t>
        </is>
      </c>
      <c r="D164" s="4" t="inlineStr">
        <is>
          <t>Dominica</t>
        </is>
      </c>
      <c r="E164" s="4" t="inlineStr">
        <is>
          <t>DMA</t>
        </is>
      </c>
      <c r="F164" s="10" t="n">
        <v>45047</v>
      </c>
      <c r="G164" s="4" t="inlineStr">
        <is>
          <t>2018gn</t>
        </is>
      </c>
      <c r="H164" s="4" t="n">
        <v>2022</v>
      </c>
      <c r="I164" s="4" t="inlineStr">
        <is>
          <t>new.int.prvt.bnd</t>
        </is>
      </c>
      <c r="J164" t="inlineStr">
        <is>
          <t>Eurobond</t>
        </is>
      </c>
      <c r="M164" t="n">
        <v>527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</row>
    <row r="165">
      <c r="A165" t="inlineStr">
        <is>
          <t>Dominica_2023_May</t>
        </is>
      </c>
      <c r="B165" s="2" t="n"/>
      <c r="C165" s="3" t="inlineStr">
        <is>
          <t>SM.23.127, Sup. 1</t>
        </is>
      </c>
      <c r="D165" s="4" t="inlineStr">
        <is>
          <t>Dominica</t>
        </is>
      </c>
      <c r="E165" s="4" t="inlineStr">
        <is>
          <t>DMA</t>
        </is>
      </c>
      <c r="F165" s="10" t="n">
        <v>45047</v>
      </c>
      <c r="G165" s="4" t="inlineStr">
        <is>
          <t>2018gn</t>
        </is>
      </c>
      <c r="H165" s="4" t="n">
        <v>2022</v>
      </c>
      <c r="I165" s="4" t="inlineStr">
        <is>
          <t>new.int.prvt.cmbk</t>
        </is>
      </c>
      <c r="J165" t="inlineStr">
        <is>
          <t>Commecial Bank</t>
        </is>
      </c>
      <c r="M165" t="n">
        <v>553</v>
      </c>
      <c r="O165" t="n">
        <v>0</v>
      </c>
      <c r="P165" t="n">
        <v>0</v>
      </c>
      <c r="Q165" t="n">
        <v>0</v>
      </c>
      <c r="R165" t="n">
        <v>0</v>
      </c>
      <c r="S165" t="n">
        <v>0.1105731285810457</v>
      </c>
      <c r="T165" t="n">
        <v>0.2586789117210937</v>
      </c>
      <c r="U165" t="n">
        <v>0.3905018182279369</v>
      </c>
      <c r="V165" t="n">
        <v>0.525711024248068</v>
      </c>
      <c r="W165" t="n">
        <v>0.6697927482006842</v>
      </c>
      <c r="X165" t="n">
        <v>0.8125099700895472</v>
      </c>
      <c r="Y165" t="n">
        <v>0.9479268786710467</v>
      </c>
      <c r="Z165" t="n">
        <v>1.079405466154217</v>
      </c>
      <c r="AA165" t="n">
        <v>1.023345693180399</v>
      </c>
      <c r="AB165" t="n">
        <v>1.023455912657286</v>
      </c>
      <c r="AC165" t="n">
        <v>1.036662272039695</v>
      </c>
      <c r="AD165" t="n">
        <v>1.045333397716278</v>
      </c>
      <c r="AE165" t="n">
        <v>1.057336281478634</v>
      </c>
      <c r="AF165" t="n">
        <v>1.07559835687485</v>
      </c>
      <c r="AG165" t="n">
        <v>0.892538229722069</v>
      </c>
      <c r="AH165" t="n">
        <v>0.7252821131416723</v>
      </c>
      <c r="AI165" t="n">
        <v>0.57607332790683</v>
      </c>
    </row>
    <row r="166">
      <c r="A166" t="inlineStr">
        <is>
          <t>Dominica_2023_May</t>
        </is>
      </c>
      <c r="B166" s="2" t="n"/>
      <c r="C166" s="3" t="inlineStr">
        <is>
          <t>SM.23.127, Sup. 1</t>
        </is>
      </c>
      <c r="D166" s="4" t="inlineStr">
        <is>
          <t>Dominica</t>
        </is>
      </c>
      <c r="E166" s="4" t="inlineStr">
        <is>
          <t>DMA</t>
        </is>
      </c>
      <c r="F166" s="10" t="n">
        <v>45047</v>
      </c>
      <c r="G166" s="4" t="inlineStr">
        <is>
          <t>2018gn</t>
        </is>
      </c>
      <c r="H166" s="4" t="n">
        <v>2022</v>
      </c>
      <c r="I166" s="4" t="inlineStr">
        <is>
          <t>new.int.prvt.com3</t>
        </is>
      </c>
      <c r="J166" t="inlineStr">
        <is>
          <t>COM3</t>
        </is>
      </c>
      <c r="M166" t="n">
        <v>579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</row>
    <row r="167">
      <c r="A167" t="inlineStr">
        <is>
          <t>Dominica_2023_May</t>
        </is>
      </c>
      <c r="B167" s="2" t="n"/>
      <c r="C167" s="3" t="inlineStr">
        <is>
          <t>SM.23.127, Sup. 1</t>
        </is>
      </c>
      <c r="D167" s="4" t="inlineStr">
        <is>
          <t>Dominica</t>
        </is>
      </c>
      <c r="E167" s="4" t="inlineStr">
        <is>
          <t>DMA</t>
        </is>
      </c>
      <c r="F167" s="10" t="n">
        <v>45047</v>
      </c>
      <c r="G167" s="4" t="inlineStr">
        <is>
          <t>2018gn</t>
        </is>
      </c>
      <c r="H167" s="4" t="n">
        <v>2022</v>
      </c>
      <c r="I167" s="4" t="inlineStr">
        <is>
          <t>new.int.prvt.com4</t>
        </is>
      </c>
      <c r="J167" t="inlineStr">
        <is>
          <t>COM4</t>
        </is>
      </c>
      <c r="M167" t="n">
        <v>605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</row>
    <row r="168">
      <c r="A168" t="inlineStr">
        <is>
          <t>Dominica_2023_May</t>
        </is>
      </c>
      <c r="B168" s="2" t="n"/>
      <c r="C168" s="3" t="inlineStr">
        <is>
          <t>SM.23.127, Sup. 1</t>
        </is>
      </c>
      <c r="D168" s="4" t="inlineStr">
        <is>
          <t>Dominica</t>
        </is>
      </c>
      <c r="E168" s="4" t="inlineStr">
        <is>
          <t>DMA</t>
        </is>
      </c>
      <c r="F168" s="10" t="n">
        <v>45047</v>
      </c>
      <c r="G168" s="4" t="inlineStr">
        <is>
          <t>2018gn</t>
        </is>
      </c>
      <c r="H168" s="4" t="n">
        <v>2022</v>
      </c>
      <c r="I168" s="4" t="inlineStr">
        <is>
          <t>new.int.prvt.com5</t>
        </is>
      </c>
      <c r="J168" t="inlineStr">
        <is>
          <t>COM5</t>
        </is>
      </c>
      <c r="M168" t="n">
        <v>631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</row>
    <row r="169">
      <c r="A169" t="inlineStr">
        <is>
          <t>Dominica_2023_May</t>
        </is>
      </c>
      <c r="B169" s="2" t="n"/>
      <c r="C169" s="3" t="inlineStr">
        <is>
          <t>SM.23.127, Sup. 1</t>
        </is>
      </c>
      <c r="D169" s="4" t="inlineStr">
        <is>
          <t>Dominica</t>
        </is>
      </c>
      <c r="E169" s="4" t="inlineStr">
        <is>
          <t>DMA</t>
        </is>
      </c>
      <c r="F169" s="10" t="n">
        <v>45047</v>
      </c>
      <c r="G169" s="4" t="inlineStr">
        <is>
          <t>2018gn</t>
        </is>
      </c>
      <c r="H169" s="4" t="n">
        <v>2022</v>
      </c>
      <c r="I169" s="4" t="inlineStr">
        <is>
          <t>new.int.lcl.nres</t>
        </is>
      </c>
      <c r="J169" t="inlineStr">
        <is>
          <t>Locally-issued debt held by non-residents</t>
        </is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</row>
    <row r="170">
      <c r="A170" t="inlineStr">
        <is>
          <t>Dominica_2023_May</t>
        </is>
      </c>
      <c r="B170" s="2" t="n"/>
      <c r="C170" s="3" t="inlineStr">
        <is>
          <t>SM.23.127, Sup. 1</t>
        </is>
      </c>
      <c r="D170" s="4" t="inlineStr">
        <is>
          <t>Dominica</t>
        </is>
      </c>
      <c r="E170" s="4" t="inlineStr">
        <is>
          <t>DMA</t>
        </is>
      </c>
      <c r="F170" s="10" t="n">
        <v>45047</v>
      </c>
      <c r="G170" s="4" t="inlineStr">
        <is>
          <t>2018gn</t>
        </is>
      </c>
      <c r="H170" s="4" t="n">
        <v>2022</v>
      </c>
      <c r="I170" s="4" t="inlineStr">
        <is>
          <t>new.int.lcl.nres.lc</t>
        </is>
      </c>
      <c r="J170" t="inlineStr">
        <is>
          <t>Denominated in local currency (LC)</t>
        </is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</row>
    <row r="171">
      <c r="A171" t="inlineStr">
        <is>
          <t>Dominica_2023_May</t>
        </is>
      </c>
      <c r="B171" s="2" t="n"/>
      <c r="C171" s="3" t="inlineStr">
        <is>
          <t>SM.23.127, Sup. 1</t>
        </is>
      </c>
      <c r="D171" s="4" t="inlineStr">
        <is>
          <t>Dominica</t>
        </is>
      </c>
      <c r="E171" s="4" t="inlineStr">
        <is>
          <t>DMA</t>
        </is>
      </c>
      <c r="F171" s="10" t="n">
        <v>45047</v>
      </c>
      <c r="G171" s="4" t="inlineStr">
        <is>
          <t>2018gn</t>
        </is>
      </c>
      <c r="H171" s="4" t="n">
        <v>2022</v>
      </c>
      <c r="I171" s="4" t="inlineStr">
        <is>
          <t>new.int.lcl.nres.bnd.1to3.lc</t>
        </is>
      </c>
      <c r="J171" t="inlineStr">
        <is>
          <t>Bonds (1 to 3 years)-LC</t>
        </is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</row>
    <row r="172">
      <c r="A172" t="inlineStr">
        <is>
          <t>Dominica_2023_May</t>
        </is>
      </c>
      <c r="B172" s="2" t="n"/>
      <c r="C172" s="3" t="inlineStr">
        <is>
          <t>SM.23.127, Sup. 1</t>
        </is>
      </c>
      <c r="D172" s="4" t="inlineStr">
        <is>
          <t>Dominica</t>
        </is>
      </c>
      <c r="E172" s="4" t="inlineStr">
        <is>
          <t>DMA</t>
        </is>
      </c>
      <c r="F172" s="10" t="n">
        <v>45047</v>
      </c>
      <c r="G172" s="4" t="inlineStr">
        <is>
          <t>2018gn</t>
        </is>
      </c>
      <c r="H172" s="4" t="n">
        <v>2022</v>
      </c>
      <c r="I172" s="4" t="inlineStr">
        <is>
          <t>new.int.lcl.nres.bnd.4to7.lc</t>
        </is>
      </c>
      <c r="J172" t="inlineStr">
        <is>
          <t>Bonds (4 to 7 years)-LC</t>
        </is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</row>
    <row r="173">
      <c r="A173" t="inlineStr">
        <is>
          <t>Dominica_2023_May</t>
        </is>
      </c>
      <c r="B173" s="2" t="n"/>
      <c r="C173" s="3" t="inlineStr">
        <is>
          <t>SM.23.127, Sup. 1</t>
        </is>
      </c>
      <c r="D173" s="4" t="inlineStr">
        <is>
          <t>Dominica</t>
        </is>
      </c>
      <c r="E173" s="4" t="inlineStr">
        <is>
          <t>DMA</t>
        </is>
      </c>
      <c r="F173" s="10" t="n">
        <v>45047</v>
      </c>
      <c r="G173" s="4" t="inlineStr">
        <is>
          <t>2018gn</t>
        </is>
      </c>
      <c r="H173" s="4" t="n">
        <v>2022</v>
      </c>
      <c r="I173" s="4" t="inlineStr">
        <is>
          <t>new.int.lcl.nres.bnd.byd7.lc</t>
        </is>
      </c>
      <c r="J173" t="inlineStr">
        <is>
          <t>Bonds (beyond 7 years)-LC</t>
        </is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</row>
    <row r="174">
      <c r="A174" t="inlineStr">
        <is>
          <t>Dominica_2023_May</t>
        </is>
      </c>
      <c r="B174" s="2" t="n"/>
      <c r="C174" s="3" t="inlineStr">
        <is>
          <t>SM.23.127, Sup. 1</t>
        </is>
      </c>
      <c r="D174" s="4" t="inlineStr">
        <is>
          <t>Dominica</t>
        </is>
      </c>
      <c r="E174" s="4" t="inlineStr">
        <is>
          <t>DMA</t>
        </is>
      </c>
      <c r="F174" s="10" t="n">
        <v>45047</v>
      </c>
      <c r="G174" s="4" t="inlineStr">
        <is>
          <t>2018gn</t>
        </is>
      </c>
      <c r="H174" s="4" t="n">
        <v>2022</v>
      </c>
      <c r="I174" s="4" t="inlineStr">
        <is>
          <t>new.int.lcl.nres.fx</t>
        </is>
      </c>
      <c r="J174" t="inlineStr">
        <is>
          <t>Denominated in foreign currency (FX)</t>
        </is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</row>
    <row r="175">
      <c r="A175" t="inlineStr">
        <is>
          <t>Dominica_2023_May</t>
        </is>
      </c>
      <c r="B175" s="2" t="n"/>
      <c r="C175" s="3" t="inlineStr">
        <is>
          <t>SM.23.127, Sup. 1</t>
        </is>
      </c>
      <c r="D175" s="4" t="inlineStr">
        <is>
          <t>Dominica</t>
        </is>
      </c>
      <c r="E175" s="4" t="inlineStr">
        <is>
          <t>DMA</t>
        </is>
      </c>
      <c r="F175" s="10" t="n">
        <v>45047</v>
      </c>
      <c r="G175" s="4" t="inlineStr">
        <is>
          <t>2018gn</t>
        </is>
      </c>
      <c r="H175" s="4" t="n">
        <v>2022</v>
      </c>
      <c r="I175" s="4" t="inlineStr">
        <is>
          <t>new.int.lcl.nres.bnd.1to3.fx</t>
        </is>
      </c>
      <c r="J175" t="inlineStr">
        <is>
          <t>Bonds (1 to 3 years)-FX</t>
        </is>
      </c>
      <c r="M175" t="n">
        <v>657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</row>
    <row r="176">
      <c r="A176" t="inlineStr">
        <is>
          <t>Dominica_2023_May</t>
        </is>
      </c>
      <c r="B176" s="2" t="n"/>
      <c r="C176" s="3" t="inlineStr">
        <is>
          <t>SM.23.127, Sup. 1</t>
        </is>
      </c>
      <c r="D176" s="4" t="inlineStr">
        <is>
          <t>Dominica</t>
        </is>
      </c>
      <c r="E176" s="4" t="inlineStr">
        <is>
          <t>DMA</t>
        </is>
      </c>
      <c r="F176" s="10" t="n">
        <v>45047</v>
      </c>
      <c r="G176" s="4" t="inlineStr">
        <is>
          <t>2018gn</t>
        </is>
      </c>
      <c r="H176" s="4" t="n">
        <v>2022</v>
      </c>
      <c r="I176" s="4" t="inlineStr">
        <is>
          <t>new.int.lcl.nres.bnd.4to7.fx</t>
        </is>
      </c>
      <c r="J176" t="inlineStr">
        <is>
          <t>Bonds (4 to 7 years)-FX</t>
        </is>
      </c>
      <c r="M176" t="n">
        <v>683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</row>
    <row r="177">
      <c r="A177" t="inlineStr">
        <is>
          <t>Dominica_2023_May</t>
        </is>
      </c>
      <c r="B177" s="2" t="n"/>
      <c r="C177" s="3" t="inlineStr">
        <is>
          <t>SM.23.127, Sup. 1</t>
        </is>
      </c>
      <c r="D177" s="4" t="inlineStr">
        <is>
          <t>Dominica</t>
        </is>
      </c>
      <c r="E177" s="4" t="inlineStr">
        <is>
          <t>DMA</t>
        </is>
      </c>
      <c r="F177" s="10" t="n">
        <v>45047</v>
      </c>
      <c r="G177" s="4" t="inlineStr">
        <is>
          <t>2018gn</t>
        </is>
      </c>
      <c r="H177" s="4" t="n">
        <v>2022</v>
      </c>
      <c r="I177" s="4" t="inlineStr">
        <is>
          <t>new.int.lcl.nres.bnd.byd7.fx</t>
        </is>
      </c>
      <c r="J177" t="inlineStr">
        <is>
          <t>Bonds (beyond 7 years)-FX</t>
        </is>
      </c>
      <c r="M177" t="n">
        <v>709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</row>
    <row r="178">
      <c r="A178" t="inlineStr">
        <is>
          <t>Dominica_2023_May</t>
        </is>
      </c>
      <c r="B178" s="2" t="n"/>
      <c r="C178" s="3" t="inlineStr">
        <is>
          <t>SM.23.127, Sup. 1</t>
        </is>
      </c>
      <c r="D178" s="4" t="inlineStr">
        <is>
          <t>Dominica</t>
        </is>
      </c>
      <c r="E178" s="4" t="inlineStr">
        <is>
          <t>DMA</t>
        </is>
      </c>
      <c r="F178" s="10" t="n">
        <v>45047</v>
      </c>
      <c r="G178" s="4" t="inlineStr">
        <is>
          <t>2018gn</t>
        </is>
      </c>
      <c r="H178" s="4" t="n">
        <v>2022</v>
      </c>
      <c r="I178" s="5" t="n"/>
      <c r="J178" t="inlineStr">
        <is>
          <t>Locally-issued debt held by residents</t>
        </is>
      </c>
    </row>
    <row r="179">
      <c r="A179" t="inlineStr">
        <is>
          <t>Dominica_2023_May</t>
        </is>
      </c>
      <c r="B179" s="2" t="n"/>
      <c r="C179" s="3" t="inlineStr">
        <is>
          <t>SM.23.127, Sup. 1</t>
        </is>
      </c>
      <c r="D179" s="4" t="inlineStr">
        <is>
          <t>Dominica</t>
        </is>
      </c>
      <c r="E179" s="4" t="inlineStr">
        <is>
          <t>DMA</t>
        </is>
      </c>
      <c r="F179" s="10" t="n">
        <v>45047</v>
      </c>
      <c r="G179" s="4" t="inlineStr">
        <is>
          <t>2018gn</t>
        </is>
      </c>
      <c r="H179" s="4" t="n">
        <v>2022</v>
      </c>
      <c r="I179" s="4" t="inlineStr">
        <is>
          <t>new.int.lcl.fx</t>
        </is>
      </c>
      <c r="J179" t="inlineStr">
        <is>
          <t>Denominated in foreign currency (FX)</t>
        </is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</row>
    <row r="180">
      <c r="A180" t="inlineStr">
        <is>
          <t>Dominica_2023_May</t>
        </is>
      </c>
      <c r="B180" s="2" t="n"/>
      <c r="C180" s="3" t="inlineStr">
        <is>
          <t>SM.23.127, Sup. 1</t>
        </is>
      </c>
      <c r="D180" s="4" t="inlineStr">
        <is>
          <t>Dominica</t>
        </is>
      </c>
      <c r="E180" s="4" t="inlineStr">
        <is>
          <t>DMA</t>
        </is>
      </c>
      <c r="F180" s="10" t="n">
        <v>45047</v>
      </c>
      <c r="G180" s="4" t="inlineStr">
        <is>
          <t>2018gn</t>
        </is>
      </c>
      <c r="H180" s="4" t="n">
        <v>2022</v>
      </c>
      <c r="I180" s="4" t="inlineStr">
        <is>
          <t>new.int.lcl.fx.bnd.1to3.fx</t>
        </is>
      </c>
      <c r="J180" t="inlineStr">
        <is>
          <t>Bonds (1 to 3 years)-FX</t>
        </is>
      </c>
      <c r="M180" t="n">
        <v>735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</row>
    <row r="181">
      <c r="A181" t="inlineStr">
        <is>
          <t>Dominica_2023_May</t>
        </is>
      </c>
      <c r="B181" s="2" t="n"/>
      <c r="C181" s="3" t="inlineStr">
        <is>
          <t>SM.23.127, Sup. 1</t>
        </is>
      </c>
      <c r="D181" s="4" t="inlineStr">
        <is>
          <t>Dominica</t>
        </is>
      </c>
      <c r="E181" s="4" t="inlineStr">
        <is>
          <t>DMA</t>
        </is>
      </c>
      <c r="F181" s="10" t="n">
        <v>45047</v>
      </c>
      <c r="G181" s="4" t="inlineStr">
        <is>
          <t>2018gn</t>
        </is>
      </c>
      <c r="H181" s="4" t="n">
        <v>2022</v>
      </c>
      <c r="I181" s="4" t="inlineStr">
        <is>
          <t>new.int.lcl.fx.bnd.4to7.fx</t>
        </is>
      </c>
      <c r="J181" t="inlineStr">
        <is>
          <t>Bonds (4 to 7 years)-FX</t>
        </is>
      </c>
      <c r="M181" t="n">
        <v>761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</row>
    <row r="182">
      <c r="A182" t="inlineStr">
        <is>
          <t>Dominica_2023_May</t>
        </is>
      </c>
      <c r="B182" s="2" t="n"/>
      <c r="C182" s="3" t="inlineStr">
        <is>
          <t>SM.23.127, Sup. 1</t>
        </is>
      </c>
      <c r="D182" s="4" t="inlineStr">
        <is>
          <t>Dominica</t>
        </is>
      </c>
      <c r="E182" s="4" t="inlineStr">
        <is>
          <t>DMA</t>
        </is>
      </c>
      <c r="F182" s="10" t="n">
        <v>45047</v>
      </c>
      <c r="G182" s="4" t="inlineStr">
        <is>
          <t>2018gn</t>
        </is>
      </c>
      <c r="H182" s="4" t="n">
        <v>2022</v>
      </c>
      <c r="I182" s="4" t="inlineStr">
        <is>
          <t>new.int.lcl.fx.bnd.byd7.fx</t>
        </is>
      </c>
      <c r="J182" t="inlineStr">
        <is>
          <t>Bonds (beyond 7 years)-FX</t>
        </is>
      </c>
      <c r="M182" t="n">
        <v>787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</row>
    <row r="183">
      <c r="A183" t="inlineStr">
        <is>
          <t>Dominica_2023_May</t>
        </is>
      </c>
      <c r="B183" s="2" t="n"/>
      <c r="C183" s="3" t="inlineStr">
        <is>
          <t>SM.23.127, Sup. 1</t>
        </is>
      </c>
      <c r="D183" s="4" t="inlineStr">
        <is>
          <t>Dominica</t>
        </is>
      </c>
      <c r="E183" s="4" t="inlineStr">
        <is>
          <t>DMA</t>
        </is>
      </c>
      <c r="F183" s="10" t="n">
        <v>45047</v>
      </c>
      <c r="G183" s="4" t="inlineStr">
        <is>
          <t>2018gn</t>
        </is>
      </c>
      <c r="H183" s="4" t="n">
        <v>2022</v>
      </c>
      <c r="I183" s="5" t="n"/>
    </row>
    <row r="184">
      <c r="A184" t="inlineStr">
        <is>
          <t>Dominica_2023_May</t>
        </is>
      </c>
      <c r="B184" s="2" t="n"/>
      <c r="C184" s="3" t="inlineStr">
        <is>
          <t>SM.23.127, Sup. 1</t>
        </is>
      </c>
      <c r="D184" s="4" t="inlineStr">
        <is>
          <t>Dominica</t>
        </is>
      </c>
      <c r="E184" s="4" t="inlineStr">
        <is>
          <t>DMA</t>
        </is>
      </c>
      <c r="F184" s="10" t="n">
        <v>45047</v>
      </c>
      <c r="G184" s="4" t="inlineStr">
        <is>
          <t>2018gn</t>
        </is>
      </c>
      <c r="H184" s="4" t="n">
        <v>2022</v>
      </c>
      <c r="I184" s="4" t="inlineStr">
        <is>
          <t>new.amt</t>
        </is>
      </c>
      <c r="J184" t="inlineStr">
        <is>
          <t>Amortization</t>
        </is>
      </c>
      <c r="M184" t="n">
        <v>1</v>
      </c>
      <c r="O184" t="n">
        <v>0</v>
      </c>
      <c r="P184" t="n">
        <v>0</v>
      </c>
      <c r="Q184" t="n">
        <v>0</v>
      </c>
      <c r="R184" t="n">
        <v>0</v>
      </c>
      <c r="S184" t="n">
        <v>0.3466242275267891</v>
      </c>
      <c r="T184" t="n">
        <v>0.8424169727879955</v>
      </c>
      <c r="U184" t="n">
        <v>1.484541280939842</v>
      </c>
      <c r="V184" t="n">
        <v>2.210722240779974</v>
      </c>
      <c r="W184" t="n">
        <v>3.011896096893357</v>
      </c>
      <c r="X184" t="n">
        <v>3.851149858587338</v>
      </c>
      <c r="Y184" t="n">
        <v>4.857345999399186</v>
      </c>
      <c r="Z184" t="n">
        <v>6.772750113069298</v>
      </c>
      <c r="AA184" t="n">
        <v>8.771007902926035</v>
      </c>
      <c r="AB184" t="n">
        <v>11.34326836021115</v>
      </c>
      <c r="AC184" t="n">
        <v>13.94761234297672</v>
      </c>
      <c r="AD184" t="n">
        <v>32.33679662002396</v>
      </c>
      <c r="AE184" t="n">
        <v>34.50168517723122</v>
      </c>
      <c r="AF184" t="n">
        <v>36.71472574723698</v>
      </c>
      <c r="AG184" t="n">
        <v>38.36241406257285</v>
      </c>
      <c r="AH184" t="n">
        <v>39.2117036278823</v>
      </c>
      <c r="AI184" t="n">
        <v>23.63074050874298</v>
      </c>
      <c r="BI184" t="inlineStr">
        <is>
          <t>NEW_DP_TOT</t>
        </is>
      </c>
    </row>
    <row r="185">
      <c r="A185" t="inlineStr">
        <is>
          <t>Dominica_2023_May</t>
        </is>
      </c>
      <c r="B185" s="2" t="n"/>
      <c r="C185" s="3" t="inlineStr">
        <is>
          <t>SM.23.127, Sup. 1</t>
        </is>
      </c>
      <c r="D185" s="4" t="inlineStr">
        <is>
          <t>Dominica</t>
        </is>
      </c>
      <c r="E185" s="4" t="inlineStr">
        <is>
          <t>DMA</t>
        </is>
      </c>
      <c r="F185" s="10" t="n">
        <v>45047</v>
      </c>
      <c r="G185" s="4" t="inlineStr">
        <is>
          <t>2018gn</t>
        </is>
      </c>
      <c r="H185" s="4" t="n">
        <v>2022</v>
      </c>
      <c r="I185" s="4" t="inlineStr">
        <is>
          <t>new.amt.mlt</t>
        </is>
      </c>
      <c r="J185" t="inlineStr">
        <is>
          <t>Multilaterals</t>
        </is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0.8172839506172833</v>
      </c>
      <c r="AA185" t="n">
        <v>2.25327519259259</v>
      </c>
      <c r="AB185" t="n">
        <v>4.079546890521947</v>
      </c>
      <c r="AC185" t="n">
        <v>5.86881490078159</v>
      </c>
      <c r="AD185" t="n">
        <v>23.76591875155524</v>
      </c>
      <c r="AE185" t="n">
        <v>25.56396344350642</v>
      </c>
      <c r="AF185" t="n">
        <v>27.44665753927504</v>
      </c>
      <c r="AG185" t="n">
        <v>29.41698019873986</v>
      </c>
      <c r="AH185" t="n">
        <v>30.65102622159752</v>
      </c>
      <c r="AI185" t="n">
        <v>15.49588592738294</v>
      </c>
      <c r="BI185" t="inlineStr">
        <is>
          <t>NEW_DP_ML</t>
        </is>
      </c>
    </row>
    <row r="186">
      <c r="A186" t="inlineStr">
        <is>
          <t>Dominica_2023_May</t>
        </is>
      </c>
      <c r="B186" s="2" t="n"/>
      <c r="C186" s="3" t="inlineStr">
        <is>
          <t>SM.23.127, Sup. 1</t>
        </is>
      </c>
      <c r="D186" s="4" t="inlineStr">
        <is>
          <t>Dominica</t>
        </is>
      </c>
      <c r="E186" s="4" t="inlineStr">
        <is>
          <t>DMA</t>
        </is>
      </c>
      <c r="F186" s="10" t="n">
        <v>45047</v>
      </c>
      <c r="G186" s="4" t="inlineStr">
        <is>
          <t>2018gn</t>
        </is>
      </c>
      <c r="H186" s="4" t="n">
        <v>2022</v>
      </c>
      <c r="I186" s="4" t="inlineStr">
        <is>
          <t>new.amt.mlt.imf</t>
        </is>
      </c>
      <c r="J186" t="inlineStr">
        <is>
          <t>IMF</t>
        </is>
      </c>
      <c r="M186" t="n">
        <v>27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16.2</v>
      </c>
      <c r="AE186" t="n">
        <v>16.2</v>
      </c>
      <c r="AF186" t="n">
        <v>16.2</v>
      </c>
      <c r="AG186" t="n">
        <v>16.2</v>
      </c>
      <c r="AH186" t="n">
        <v>16.2</v>
      </c>
      <c r="AI186" t="n">
        <v>0</v>
      </c>
    </row>
    <row r="187">
      <c r="A187" t="inlineStr">
        <is>
          <t>Dominica_2023_May</t>
        </is>
      </c>
      <c r="B187" s="2" t="n"/>
      <c r="C187" s="3" t="inlineStr">
        <is>
          <t>SM.23.127, Sup. 1</t>
        </is>
      </c>
      <c r="D187" s="4" t="inlineStr">
        <is>
          <t>Dominica</t>
        </is>
      </c>
      <c r="E187" s="4" t="inlineStr">
        <is>
          <t>DMA</t>
        </is>
      </c>
      <c r="F187" s="10" t="n">
        <v>45047</v>
      </c>
      <c r="G187" s="4" t="inlineStr">
        <is>
          <t>2018gn</t>
        </is>
      </c>
      <c r="H187" s="4" t="n">
        <v>2022</v>
      </c>
      <c r="I187" s="4" t="inlineStr">
        <is>
          <t>new.amt.mlt.ida.reg</t>
        </is>
      </c>
      <c r="J187" t="inlineStr">
        <is>
          <t>IDA - small economy</t>
        </is>
      </c>
      <c r="M187" t="n">
        <v>61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0.5506172839506167</v>
      </c>
      <c r="AA187" t="n">
        <v>1.211299883950617</v>
      </c>
      <c r="AB187" t="n">
        <v>2.210395186419753</v>
      </c>
      <c r="AC187" t="n">
        <v>3.126220491049383</v>
      </c>
      <c r="AD187" t="n">
        <v>3.90777561381173</v>
      </c>
      <c r="AE187" t="n">
        <v>4.747065196277006</v>
      </c>
      <c r="AF187" t="n">
        <v>5.62586734653545</v>
      </c>
      <c r="AG187" t="n">
        <v>6.54557267398735</v>
      </c>
      <c r="AH187" t="n">
        <v>7.12159949684858</v>
      </c>
      <c r="AI187" t="n">
        <v>7.48141180342813</v>
      </c>
    </row>
    <row r="188">
      <c r="A188" t="inlineStr">
        <is>
          <t>Dominica_2023_May</t>
        </is>
      </c>
      <c r="B188" s="2" t="n"/>
      <c r="C188" s="3" t="inlineStr">
        <is>
          <t>SM.23.127, Sup. 1</t>
        </is>
      </c>
      <c r="D188" s="4" t="inlineStr">
        <is>
          <t>Dominica</t>
        </is>
      </c>
      <c r="E188" s="4" t="inlineStr">
        <is>
          <t>DMA</t>
        </is>
      </c>
      <c r="F188" s="10" t="n">
        <v>45047</v>
      </c>
      <c r="G188" s="4" t="inlineStr">
        <is>
          <t>2018gn</t>
        </is>
      </c>
      <c r="H188" s="4" t="n">
        <v>2022</v>
      </c>
      <c r="I188" s="4" t="inlineStr">
        <is>
          <t>new.amt.mlt.ida.bld</t>
        </is>
      </c>
      <c r="J188" t="inlineStr">
        <is>
          <t>IDA - small economy</t>
        </is>
      </c>
      <c r="M188" t="n">
        <v>87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</row>
    <row r="189">
      <c r="A189" t="inlineStr">
        <is>
          <t>Dominica_2023_May</t>
        </is>
      </c>
      <c r="B189" s="2" t="n"/>
      <c r="C189" s="3" t="inlineStr">
        <is>
          <t>SM.23.127, Sup. 1</t>
        </is>
      </c>
      <c r="D189" s="4" t="inlineStr">
        <is>
          <t>Dominica</t>
        </is>
      </c>
      <c r="E189" s="4" t="inlineStr">
        <is>
          <t>DMA</t>
        </is>
      </c>
      <c r="F189" s="10" t="n">
        <v>45047</v>
      </c>
      <c r="G189" s="4" t="inlineStr">
        <is>
          <t>2018gn</t>
        </is>
      </c>
      <c r="H189" s="4" t="n">
        <v>2022</v>
      </c>
      <c r="I189" s="4" t="inlineStr">
        <is>
          <t>new.amt.mlt.afdb</t>
        </is>
      </c>
      <c r="J189" t="inlineStr">
        <is>
          <t>CDB</t>
        </is>
      </c>
      <c r="M189" t="n">
        <v>112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0.2666666666666667</v>
      </c>
      <c r="AA189" t="n">
        <v>1.041975308641973</v>
      </c>
      <c r="AB189" t="n">
        <v>1.869151704102193</v>
      </c>
      <c r="AC189" t="n">
        <v>2.742594409732207</v>
      </c>
      <c r="AD189" t="n">
        <v>3.658143137743514</v>
      </c>
      <c r="AE189" t="n">
        <v>4.61689824722942</v>
      </c>
      <c r="AF189" t="n">
        <v>5.620790192739587</v>
      </c>
      <c r="AG189" t="n">
        <v>6.671407524752514</v>
      </c>
      <c r="AH189" t="n">
        <v>7.32942672474894</v>
      </c>
      <c r="AI189" t="n">
        <v>8.014474123954813</v>
      </c>
    </row>
    <row r="190">
      <c r="A190" t="inlineStr">
        <is>
          <t>Dominica_2023_May</t>
        </is>
      </c>
      <c r="B190" s="2" t="n"/>
      <c r="C190" s="3" t="inlineStr">
        <is>
          <t>SM.23.127, Sup. 1</t>
        </is>
      </c>
      <c r="D190" s="4" t="inlineStr">
        <is>
          <t>Dominica</t>
        </is>
      </c>
      <c r="E190" s="4" t="inlineStr">
        <is>
          <t>DMA</t>
        </is>
      </c>
      <c r="F190" s="10" t="n">
        <v>45047</v>
      </c>
      <c r="G190" s="4" t="inlineStr">
        <is>
          <t>2018gn</t>
        </is>
      </c>
      <c r="H190" s="4" t="n">
        <v>2022</v>
      </c>
      <c r="I190" s="4" t="inlineStr">
        <is>
          <t>new.amt.mlt2</t>
        </is>
      </c>
      <c r="J190" t="inlineStr">
        <is>
          <t>MULTIRES</t>
        </is>
      </c>
      <c r="M190" t="n">
        <v>138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</row>
    <row r="191">
      <c r="A191" t="inlineStr">
        <is>
          <t>Dominica_2023_May</t>
        </is>
      </c>
      <c r="B191" s="2" t="n"/>
      <c r="C191" s="3" t="inlineStr">
        <is>
          <t>SM.23.127, Sup. 1</t>
        </is>
      </c>
      <c r="D191" s="4" t="inlineStr">
        <is>
          <t>Dominica</t>
        </is>
      </c>
      <c r="E191" s="4" t="inlineStr">
        <is>
          <t>DMA</t>
        </is>
      </c>
      <c r="F191" s="10" t="n">
        <v>45047</v>
      </c>
      <c r="G191" s="4" t="inlineStr">
        <is>
          <t>2018gn</t>
        </is>
      </c>
      <c r="H191" s="4" t="n">
        <v>2022</v>
      </c>
      <c r="I191" s="4" t="inlineStr">
        <is>
          <t>new.amt.mlt3</t>
        </is>
      </c>
      <c r="J191" t="inlineStr">
        <is>
          <t>MULTI3</t>
        </is>
      </c>
      <c r="M191" t="n">
        <v>164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</row>
    <row r="192">
      <c r="A192" t="inlineStr">
        <is>
          <t>Dominica_2023_May</t>
        </is>
      </c>
      <c r="B192" s="2" t="n"/>
      <c r="C192" s="3" t="inlineStr">
        <is>
          <t>SM.23.127, Sup. 1</t>
        </is>
      </c>
      <c r="D192" s="4" t="inlineStr">
        <is>
          <t>Dominica</t>
        </is>
      </c>
      <c r="E192" s="4" t="inlineStr">
        <is>
          <t>DMA</t>
        </is>
      </c>
      <c r="F192" s="10" t="n">
        <v>45047</v>
      </c>
      <c r="G192" s="4" t="inlineStr">
        <is>
          <t>2018gn</t>
        </is>
      </c>
      <c r="H192" s="4" t="n">
        <v>2022</v>
      </c>
      <c r="I192" s="4" t="inlineStr">
        <is>
          <t>new.amt.mlt.oth</t>
        </is>
      </c>
      <c r="J192" t="inlineStr">
        <is>
          <t>Other Multilaterals</t>
        </is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0.1523029955571908</v>
      </c>
      <c r="V192" t="n">
        <v>0.333518073590966</v>
      </c>
      <c r="W192" t="n">
        <v>0.5123701591679931</v>
      </c>
      <c r="X192" t="n">
        <v>0.6770048798497535</v>
      </c>
      <c r="Y192" t="n">
        <v>0.8468593848581684</v>
      </c>
      <c r="Z192" t="n">
        <v>1.016228951037327</v>
      </c>
      <c r="AA192" t="n">
        <v>1.18901183134088</v>
      </c>
      <c r="AB192" t="n">
        <v>1.360108272098391</v>
      </c>
      <c r="AC192" t="n">
        <v>1.529653583892</v>
      </c>
      <c r="AD192" t="n">
        <v>1.700181013907977</v>
      </c>
      <c r="AE192" t="n">
        <v>1.870843028925463</v>
      </c>
      <c r="AF192" t="n">
        <v>2.041764303974776</v>
      </c>
      <c r="AG192" t="n">
        <v>2.212313874184566</v>
      </c>
      <c r="AH192" t="n">
        <v>2.382754532443307</v>
      </c>
      <c r="AI192" t="n">
        <v>2.553374568100738</v>
      </c>
    </row>
    <row r="193">
      <c r="A193" t="inlineStr">
        <is>
          <t>Dominica_2023_May</t>
        </is>
      </c>
      <c r="B193" s="2" t="n"/>
      <c r="C193" s="3" t="inlineStr">
        <is>
          <t>SM.23.127, Sup. 1</t>
        </is>
      </c>
      <c r="D193" s="4" t="inlineStr">
        <is>
          <t>Dominica</t>
        </is>
      </c>
      <c r="E193" s="4" t="inlineStr">
        <is>
          <t>DMA</t>
        </is>
      </c>
      <c r="F193" s="10" t="n">
        <v>45047</v>
      </c>
      <c r="G193" s="4" t="inlineStr">
        <is>
          <t>2018gn</t>
        </is>
      </c>
      <c r="H193" s="4" t="n">
        <v>2022</v>
      </c>
      <c r="I193" s="4" t="inlineStr">
        <is>
          <t>new.amt.mlt.oth1</t>
        </is>
      </c>
      <c r="J193" t="inlineStr">
        <is>
          <t>OTH_MULTI1</t>
        </is>
      </c>
      <c r="M193" t="n">
        <v>190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0.1523029955571908</v>
      </c>
      <c r="V193" t="n">
        <v>0.333518073590966</v>
      </c>
      <c r="W193" t="n">
        <v>0.5123701591679931</v>
      </c>
      <c r="X193" t="n">
        <v>0.6770048798497535</v>
      </c>
      <c r="Y193" t="n">
        <v>0.8468593848581684</v>
      </c>
      <c r="Z193" t="n">
        <v>1.016228951037327</v>
      </c>
      <c r="AA193" t="n">
        <v>1.18901183134088</v>
      </c>
      <c r="AB193" t="n">
        <v>1.360108272098391</v>
      </c>
      <c r="AC193" t="n">
        <v>1.529653583892</v>
      </c>
      <c r="AD193" t="n">
        <v>1.700181013907977</v>
      </c>
      <c r="AE193" t="n">
        <v>1.870843028925463</v>
      </c>
      <c r="AF193" t="n">
        <v>2.041764303974776</v>
      </c>
      <c r="AG193" t="n">
        <v>2.212313874184566</v>
      </c>
      <c r="AH193" t="n">
        <v>2.382754532443307</v>
      </c>
      <c r="AI193" t="n">
        <v>2.553374568100738</v>
      </c>
    </row>
    <row r="194">
      <c r="A194" t="inlineStr">
        <is>
          <t>Dominica_2023_May</t>
        </is>
      </c>
      <c r="B194" s="2" t="n"/>
      <c r="C194" s="3" t="inlineStr">
        <is>
          <t>SM.23.127, Sup. 1</t>
        </is>
      </c>
      <c r="D194" s="4" t="inlineStr">
        <is>
          <t>Dominica</t>
        </is>
      </c>
      <c r="E194" s="4" t="inlineStr">
        <is>
          <t>DMA</t>
        </is>
      </c>
      <c r="F194" s="10" t="n">
        <v>45047</v>
      </c>
      <c r="G194" s="4" t="inlineStr">
        <is>
          <t>2018gn</t>
        </is>
      </c>
      <c r="H194" s="4" t="n">
        <v>2022</v>
      </c>
      <c r="I194" s="4" t="inlineStr">
        <is>
          <t>new.amt.mlt.oth2</t>
        </is>
      </c>
      <c r="J194" t="inlineStr">
        <is>
          <t>OTH_MULTI2</t>
        </is>
      </c>
      <c r="M194" t="n">
        <v>216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</row>
    <row r="195">
      <c r="A195" t="inlineStr">
        <is>
          <t>Dominica_2023_May</t>
        </is>
      </c>
      <c r="B195" s="2" t="n"/>
      <c r="C195" s="3" t="inlineStr">
        <is>
          <t>SM.23.127, Sup. 1</t>
        </is>
      </c>
      <c r="D195" s="4" t="inlineStr">
        <is>
          <t>Dominica</t>
        </is>
      </c>
      <c r="E195" s="4" t="inlineStr">
        <is>
          <t>DMA</t>
        </is>
      </c>
      <c r="F195" s="10" t="n">
        <v>45047</v>
      </c>
      <c r="G195" s="4" t="inlineStr">
        <is>
          <t>2018gn</t>
        </is>
      </c>
      <c r="H195" s="4" t="n">
        <v>2022</v>
      </c>
      <c r="I195" s="4" t="inlineStr">
        <is>
          <t>new.amt.mlt.oth3</t>
        </is>
      </c>
      <c r="J195" t="inlineStr">
        <is>
          <t>OTH_MULTI3</t>
        </is>
      </c>
      <c r="M195" t="n">
        <v>242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</row>
    <row r="196">
      <c r="A196" t="inlineStr">
        <is>
          <t>Dominica_2023_May</t>
        </is>
      </c>
      <c r="B196" s="2" t="n"/>
      <c r="C196" s="3" t="inlineStr">
        <is>
          <t>SM.23.127, Sup. 1</t>
        </is>
      </c>
      <c r="D196" s="4" t="inlineStr">
        <is>
          <t>Dominica</t>
        </is>
      </c>
      <c r="E196" s="4" t="inlineStr">
        <is>
          <t>DMA</t>
        </is>
      </c>
      <c r="F196" s="10" t="n">
        <v>45047</v>
      </c>
      <c r="G196" s="4" t="inlineStr">
        <is>
          <t>2018gn</t>
        </is>
      </c>
      <c r="H196" s="4" t="n">
        <v>2022</v>
      </c>
      <c r="I196" s="4" t="inlineStr">
        <is>
          <t>new.amt.blt</t>
        </is>
      </c>
      <c r="J196" t="inlineStr">
        <is>
          <t>Official Bilaterals</t>
        </is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0.1232785857567582</v>
      </c>
      <c r="Z196" t="n">
        <v>0.286488053107187</v>
      </c>
      <c r="AA196" t="n">
        <v>0.4287304899104573</v>
      </c>
      <c r="AB196" t="n">
        <v>0.5578236211724431</v>
      </c>
      <c r="AC196" t="n">
        <v>0.6759741655883924</v>
      </c>
      <c r="AD196" t="n">
        <v>0.7830446597009736</v>
      </c>
      <c r="AE196" t="n">
        <v>0.8839697335290165</v>
      </c>
      <c r="AF196" t="n">
        <v>0.9138857263050605</v>
      </c>
      <c r="AG196" t="n">
        <v>0.9656676937726714</v>
      </c>
      <c r="AH196" t="n">
        <v>1.032792348502087</v>
      </c>
      <c r="AI196" t="n">
        <v>1.110968528932137</v>
      </c>
      <c r="BI196" t="inlineStr">
        <is>
          <t>NEW_DP_OB</t>
        </is>
      </c>
    </row>
    <row r="197">
      <c r="A197" t="inlineStr">
        <is>
          <t>Dominica_2023_May</t>
        </is>
      </c>
      <c r="B197" s="2" t="n"/>
      <c r="C197" s="3" t="inlineStr">
        <is>
          <t>SM.23.127, Sup. 1</t>
        </is>
      </c>
      <c r="D197" s="4" t="inlineStr">
        <is>
          <t>Dominica</t>
        </is>
      </c>
      <c r="E197" s="4" t="inlineStr">
        <is>
          <t>DMA</t>
        </is>
      </c>
      <c r="F197" s="10" t="n">
        <v>45047</v>
      </c>
      <c r="G197" s="4" t="inlineStr">
        <is>
          <t>2018gn</t>
        </is>
      </c>
      <c r="H197" s="4" t="n">
        <v>2022</v>
      </c>
      <c r="I197" s="4" t="inlineStr">
        <is>
          <t>new.amt.pc</t>
        </is>
      </c>
      <c r="J197" t="inlineStr">
        <is>
          <t xml:space="preserve">   Paris Club</t>
        </is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</row>
    <row r="198">
      <c r="A198" t="inlineStr">
        <is>
          <t>Dominica_2023_May</t>
        </is>
      </c>
      <c r="B198" s="2" t="n"/>
      <c r="C198" s="3" t="inlineStr">
        <is>
          <t>SM.23.127, Sup. 1</t>
        </is>
      </c>
      <c r="D198" s="4" t="inlineStr">
        <is>
          <t>Dominica</t>
        </is>
      </c>
      <c r="E198" s="4" t="inlineStr">
        <is>
          <t>DMA</t>
        </is>
      </c>
      <c r="F198" s="10" t="n">
        <v>45047</v>
      </c>
      <c r="G198" s="4" t="inlineStr">
        <is>
          <t>2018gn</t>
        </is>
      </c>
      <c r="H198" s="4" t="n">
        <v>2022</v>
      </c>
      <c r="I198" s="4" t="inlineStr">
        <is>
          <t>new.amt.pc1</t>
        </is>
      </c>
      <c r="J198" t="inlineStr">
        <is>
          <t>Export Credit Agencies</t>
        </is>
      </c>
      <c r="M198" t="n">
        <v>268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</row>
    <row r="199">
      <c r="A199" t="inlineStr">
        <is>
          <t>Dominica_2023_May</t>
        </is>
      </c>
      <c r="B199" s="2" t="n"/>
      <c r="C199" s="3" t="inlineStr">
        <is>
          <t>SM.23.127, Sup. 1</t>
        </is>
      </c>
      <c r="D199" s="4" t="inlineStr">
        <is>
          <t>Dominica</t>
        </is>
      </c>
      <c r="E199" s="4" t="inlineStr">
        <is>
          <t>DMA</t>
        </is>
      </c>
      <c r="F199" s="10" t="n">
        <v>45047</v>
      </c>
      <c r="G199" s="4" t="inlineStr">
        <is>
          <t>2018gn</t>
        </is>
      </c>
      <c r="H199" s="4" t="n">
        <v>2022</v>
      </c>
      <c r="I199" s="4" t="inlineStr">
        <is>
          <t>new.amt.pc2</t>
        </is>
      </c>
      <c r="J199" t="inlineStr">
        <is>
          <t>PC2</t>
        </is>
      </c>
      <c r="M199" t="n">
        <v>294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</row>
    <row r="200">
      <c r="A200" t="inlineStr">
        <is>
          <t>Dominica_2023_May</t>
        </is>
      </c>
      <c r="B200" s="2" t="n"/>
      <c r="C200" s="3" t="inlineStr">
        <is>
          <t>SM.23.127, Sup. 1</t>
        </is>
      </c>
      <c r="D200" s="4" t="inlineStr">
        <is>
          <t>Dominica</t>
        </is>
      </c>
      <c r="E200" s="4" t="inlineStr">
        <is>
          <t>DMA</t>
        </is>
      </c>
      <c r="F200" s="10" t="n">
        <v>45047</v>
      </c>
      <c r="G200" s="4" t="inlineStr">
        <is>
          <t>2018gn</t>
        </is>
      </c>
      <c r="H200" s="4" t="n">
        <v>2022</v>
      </c>
      <c r="I200" s="4" t="inlineStr">
        <is>
          <t>new.amt.pc3</t>
        </is>
      </c>
      <c r="J200" t="inlineStr">
        <is>
          <t>PC3</t>
        </is>
      </c>
      <c r="M200" t="n">
        <v>320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</row>
    <row r="201">
      <c r="A201" t="inlineStr">
        <is>
          <t>Dominica_2023_May</t>
        </is>
      </c>
      <c r="B201" s="2" t="n"/>
      <c r="C201" s="3" t="inlineStr">
        <is>
          <t>SM.23.127, Sup. 1</t>
        </is>
      </c>
      <c r="D201" s="4" t="inlineStr">
        <is>
          <t>Dominica</t>
        </is>
      </c>
      <c r="E201" s="4" t="inlineStr">
        <is>
          <t>DMA</t>
        </is>
      </c>
      <c r="F201" s="10" t="n">
        <v>45047</v>
      </c>
      <c r="G201" s="4" t="inlineStr">
        <is>
          <t>2018gn</t>
        </is>
      </c>
      <c r="H201" s="4" t="n">
        <v>2022</v>
      </c>
      <c r="I201" s="4" t="inlineStr">
        <is>
          <t>new.amt.pc4</t>
        </is>
      </c>
      <c r="J201" t="inlineStr">
        <is>
          <t>PC4</t>
        </is>
      </c>
      <c r="M201" t="n">
        <v>346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</row>
    <row r="202">
      <c r="A202" t="inlineStr">
        <is>
          <t>Dominica_2023_May</t>
        </is>
      </c>
      <c r="B202" s="2" t="n"/>
      <c r="C202" s="3" t="inlineStr">
        <is>
          <t>SM.23.127, Sup. 1</t>
        </is>
      </c>
      <c r="D202" s="4" t="inlineStr">
        <is>
          <t>Dominica</t>
        </is>
      </c>
      <c r="E202" s="4" t="inlineStr">
        <is>
          <t>DMA</t>
        </is>
      </c>
      <c r="F202" s="10" t="n">
        <v>45047</v>
      </c>
      <c r="G202" s="4" t="inlineStr">
        <is>
          <t>2018gn</t>
        </is>
      </c>
      <c r="H202" s="4" t="n">
        <v>2022</v>
      </c>
      <c r="I202" s="4" t="inlineStr">
        <is>
          <t>new.amt.pc5</t>
        </is>
      </c>
      <c r="J202" t="inlineStr">
        <is>
          <t>PC5</t>
        </is>
      </c>
      <c r="M202" t="n">
        <v>372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</row>
    <row r="203">
      <c r="A203" t="inlineStr">
        <is>
          <t>Dominica_2023_May</t>
        </is>
      </c>
      <c r="B203" s="2" t="n"/>
      <c r="C203" s="3" t="inlineStr">
        <is>
          <t>SM.23.127, Sup. 1</t>
        </is>
      </c>
      <c r="D203" s="4" t="inlineStr">
        <is>
          <t>Dominica</t>
        </is>
      </c>
      <c r="E203" s="4" t="inlineStr">
        <is>
          <t>DMA</t>
        </is>
      </c>
      <c r="F203" s="10" t="n">
        <v>45047</v>
      </c>
      <c r="G203" s="4" t="inlineStr">
        <is>
          <t>2018gn</t>
        </is>
      </c>
      <c r="H203" s="4" t="n">
        <v>2022</v>
      </c>
      <c r="I203" s="4" t="inlineStr">
        <is>
          <t>new.amt.npc</t>
        </is>
      </c>
      <c r="J203" t="inlineStr">
        <is>
          <t xml:space="preserve">   Non-Paris Club</t>
        </is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0.1232785857567582</v>
      </c>
      <c r="Z203" t="n">
        <v>0.286488053107187</v>
      </c>
      <c r="AA203" t="n">
        <v>0.4287304899104573</v>
      </c>
      <c r="AB203" t="n">
        <v>0.5578236211724431</v>
      </c>
      <c r="AC203" t="n">
        <v>0.6759741655883924</v>
      </c>
      <c r="AD203" t="n">
        <v>0.7830446597009736</v>
      </c>
      <c r="AE203" t="n">
        <v>0.8839697335290165</v>
      </c>
      <c r="AF203" t="n">
        <v>0.9138857263050605</v>
      </c>
      <c r="AG203" t="n">
        <v>0.9656676937726714</v>
      </c>
      <c r="AH203" t="n">
        <v>1.032792348502087</v>
      </c>
      <c r="AI203" t="n">
        <v>1.110968528932137</v>
      </c>
    </row>
    <row r="204">
      <c r="A204" t="inlineStr">
        <is>
          <t>Dominica_2023_May</t>
        </is>
      </c>
      <c r="B204" s="2" t="n"/>
      <c r="C204" s="3" t="inlineStr">
        <is>
          <t>SM.23.127, Sup. 1</t>
        </is>
      </c>
      <c r="D204" s="4" t="inlineStr">
        <is>
          <t>Dominica</t>
        </is>
      </c>
      <c r="E204" s="4" t="inlineStr">
        <is>
          <t>DMA</t>
        </is>
      </c>
      <c r="F204" s="10" t="n">
        <v>45047</v>
      </c>
      <c r="G204" s="4" t="inlineStr">
        <is>
          <t>2018gn</t>
        </is>
      </c>
      <c r="H204" s="4" t="n">
        <v>2022</v>
      </c>
      <c r="I204" s="4" t="inlineStr">
        <is>
          <t>new.amt.npc.eximbk</t>
        </is>
      </c>
      <c r="J204" t="inlineStr">
        <is>
          <t>NPC2</t>
        </is>
      </c>
      <c r="M204" t="n">
        <v>398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0.1232785857567582</v>
      </c>
      <c r="Z204" t="n">
        <v>0.286488053107187</v>
      </c>
      <c r="AA204" t="n">
        <v>0.4287304899104573</v>
      </c>
      <c r="AB204" t="n">
        <v>0.5578236211724431</v>
      </c>
      <c r="AC204" t="n">
        <v>0.6759741655883924</v>
      </c>
      <c r="AD204" t="n">
        <v>0.7830446597009736</v>
      </c>
      <c r="AE204" t="n">
        <v>0.8839697335290165</v>
      </c>
      <c r="AF204" t="n">
        <v>0.9138857263050605</v>
      </c>
      <c r="AG204" t="n">
        <v>0.9656676937726714</v>
      </c>
      <c r="AH204" t="n">
        <v>1.032792348502087</v>
      </c>
      <c r="AI204" t="n">
        <v>1.110968528932137</v>
      </c>
    </row>
    <row r="205">
      <c r="A205" t="inlineStr">
        <is>
          <t>Dominica_2023_May</t>
        </is>
      </c>
      <c r="B205" s="2" t="n"/>
      <c r="C205" s="3" t="inlineStr">
        <is>
          <t>SM.23.127, Sup. 1</t>
        </is>
      </c>
      <c r="D205" s="4" t="inlineStr">
        <is>
          <t>Dominica</t>
        </is>
      </c>
      <c r="E205" s="4" t="inlineStr">
        <is>
          <t>DMA</t>
        </is>
      </c>
      <c r="F205" s="10" t="n">
        <v>45047</v>
      </c>
      <c r="G205" s="4" t="inlineStr">
        <is>
          <t>2018gn</t>
        </is>
      </c>
      <c r="H205" s="4" t="n">
        <v>2022</v>
      </c>
      <c r="I205" s="4" t="inlineStr">
        <is>
          <t>new.amt.npc2</t>
        </is>
      </c>
      <c r="J205" t="inlineStr">
        <is>
          <t>NPC2</t>
        </is>
      </c>
      <c r="M205" t="n">
        <v>424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</row>
    <row r="206">
      <c r="A206" t="inlineStr">
        <is>
          <t>Dominica_2023_May</t>
        </is>
      </c>
      <c r="B206" s="2" t="n"/>
      <c r="C206" s="3" t="inlineStr">
        <is>
          <t>SM.23.127, Sup. 1</t>
        </is>
      </c>
      <c r="D206" s="4" t="inlineStr">
        <is>
          <t>Dominica</t>
        </is>
      </c>
      <c r="E206" s="4" t="inlineStr">
        <is>
          <t>DMA</t>
        </is>
      </c>
      <c r="F206" s="10" t="n">
        <v>45047</v>
      </c>
      <c r="G206" s="4" t="inlineStr">
        <is>
          <t>2018gn</t>
        </is>
      </c>
      <c r="H206" s="4" t="n">
        <v>2022</v>
      </c>
      <c r="I206" s="4" t="inlineStr">
        <is>
          <t>new.amt.npc3</t>
        </is>
      </c>
      <c r="J206" t="inlineStr">
        <is>
          <t>NPC3</t>
        </is>
      </c>
      <c r="M206" t="n">
        <v>450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</row>
    <row r="207">
      <c r="A207" t="inlineStr">
        <is>
          <t>Dominica_2023_May</t>
        </is>
      </c>
      <c r="B207" s="2" t="n"/>
      <c r="C207" s="3" t="inlineStr">
        <is>
          <t>SM.23.127, Sup. 1</t>
        </is>
      </c>
      <c r="D207" s="4" t="inlineStr">
        <is>
          <t>Dominica</t>
        </is>
      </c>
      <c r="E207" s="4" t="inlineStr">
        <is>
          <t>DMA</t>
        </is>
      </c>
      <c r="F207" s="10" t="n">
        <v>45047</v>
      </c>
      <c r="G207" s="4" t="inlineStr">
        <is>
          <t>2018gn</t>
        </is>
      </c>
      <c r="H207" s="4" t="n">
        <v>2022</v>
      </c>
      <c r="I207" s="4" t="inlineStr">
        <is>
          <t>new.amt.npc4</t>
        </is>
      </c>
      <c r="J207" t="inlineStr">
        <is>
          <t>NPC4</t>
        </is>
      </c>
      <c r="M207" t="n">
        <v>476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</row>
    <row r="208">
      <c r="A208" t="inlineStr">
        <is>
          <t>Dominica_2023_May</t>
        </is>
      </c>
      <c r="B208" s="2" t="n"/>
      <c r="C208" s="3" t="inlineStr">
        <is>
          <t>SM.23.127, Sup. 1</t>
        </is>
      </c>
      <c r="D208" s="4" t="inlineStr">
        <is>
          <t>Dominica</t>
        </is>
      </c>
      <c r="E208" s="4" t="inlineStr">
        <is>
          <t>DMA</t>
        </is>
      </c>
      <c r="F208" s="10" t="n">
        <v>45047</v>
      </c>
      <c r="G208" s="4" t="inlineStr">
        <is>
          <t>2018gn</t>
        </is>
      </c>
      <c r="H208" s="4" t="n">
        <v>2022</v>
      </c>
      <c r="I208" s="4" t="inlineStr">
        <is>
          <t>new.amt.npc5</t>
        </is>
      </c>
      <c r="J208" t="inlineStr">
        <is>
          <t>NPC5</t>
        </is>
      </c>
      <c r="M208" t="n">
        <v>502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</row>
    <row r="209">
      <c r="A209" t="inlineStr">
        <is>
          <t>Dominica_2023_May</t>
        </is>
      </c>
      <c r="B209" s="2" t="n"/>
      <c r="C209" s="3" t="inlineStr">
        <is>
          <t>SM.23.127, Sup. 1</t>
        </is>
      </c>
      <c r="D209" s="4" t="inlineStr">
        <is>
          <t>Dominica</t>
        </is>
      </c>
      <c r="E209" s="4" t="inlineStr">
        <is>
          <t>DMA</t>
        </is>
      </c>
      <c r="F209" s="10" t="n">
        <v>45047</v>
      </c>
      <c r="G209" s="4" t="inlineStr">
        <is>
          <t>2018gn</t>
        </is>
      </c>
      <c r="H209" s="4" t="n">
        <v>2022</v>
      </c>
      <c r="I209" s="4" t="inlineStr">
        <is>
          <t>new.amt.prvt</t>
        </is>
      </c>
      <c r="J209" t="inlineStr">
        <is>
          <t>Commercial</t>
        </is>
      </c>
      <c r="O209" t="n">
        <v>0</v>
      </c>
      <c r="P209" t="n">
        <v>0</v>
      </c>
      <c r="Q209" t="n">
        <v>0</v>
      </c>
      <c r="R209" t="n">
        <v>0</v>
      </c>
      <c r="S209" t="n">
        <v>0.3466242275267891</v>
      </c>
      <c r="T209" t="n">
        <v>0.8424169727879955</v>
      </c>
      <c r="U209" t="n">
        <v>1.332238285382651</v>
      </c>
      <c r="V209" t="n">
        <v>1.877204167189008</v>
      </c>
      <c r="W209" t="n">
        <v>2.499525937725363</v>
      </c>
      <c r="X209" t="n">
        <v>3.174144978737584</v>
      </c>
      <c r="Y209" t="n">
        <v>3.88720802878426</v>
      </c>
      <c r="Z209" t="n">
        <v>4.6527491583075</v>
      </c>
      <c r="AA209" t="n">
        <v>4.899990389082108</v>
      </c>
      <c r="AB209" t="n">
        <v>5.34578957641837</v>
      </c>
      <c r="AC209" t="n">
        <v>5.873169692714739</v>
      </c>
      <c r="AD209" t="n">
        <v>6.087652194859771</v>
      </c>
      <c r="AE209" t="n">
        <v>6.182908971270316</v>
      </c>
      <c r="AF209" t="n">
        <v>6.312418177682104</v>
      </c>
      <c r="AG209" t="n">
        <v>5.767452295875746</v>
      </c>
      <c r="AH209" t="n">
        <v>5.145130525339391</v>
      </c>
      <c r="AI209" t="n">
        <v>4.47051148432717</v>
      </c>
      <c r="BI209" t="inlineStr">
        <is>
          <t>NEW_DP_COM</t>
        </is>
      </c>
    </row>
    <row r="210">
      <c r="A210" t="inlineStr">
        <is>
          <t>Dominica_2023_May</t>
        </is>
      </c>
      <c r="B210" s="2" t="n"/>
      <c r="C210" s="3" t="inlineStr">
        <is>
          <t>SM.23.127, Sup. 1</t>
        </is>
      </c>
      <c r="D210" s="4" t="inlineStr">
        <is>
          <t>Dominica</t>
        </is>
      </c>
      <c r="E210" s="4" t="inlineStr">
        <is>
          <t>DMA</t>
        </is>
      </c>
      <c r="F210" s="10" t="n">
        <v>45047</v>
      </c>
      <c r="G210" s="4" t="inlineStr">
        <is>
          <t>2018gn</t>
        </is>
      </c>
      <c r="H210" s="4" t="n">
        <v>2022</v>
      </c>
      <c r="I210" s="4" t="inlineStr">
        <is>
          <t>new.amt.prvt.bnd</t>
        </is>
      </c>
      <c r="J210" t="inlineStr">
        <is>
          <t>Eurobond</t>
        </is>
      </c>
      <c r="M210" t="n">
        <v>528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</row>
    <row r="211">
      <c r="A211" t="inlineStr">
        <is>
          <t>Dominica_2023_May</t>
        </is>
      </c>
      <c r="B211" s="2" t="n"/>
      <c r="C211" s="3" t="inlineStr">
        <is>
          <t>SM.23.127, Sup. 1</t>
        </is>
      </c>
      <c r="D211" s="4" t="inlineStr">
        <is>
          <t>Dominica</t>
        </is>
      </c>
      <c r="E211" s="4" t="inlineStr">
        <is>
          <t>DMA</t>
        </is>
      </c>
      <c r="F211" s="10" t="n">
        <v>45047</v>
      </c>
      <c r="G211" s="4" t="inlineStr">
        <is>
          <t>2018gn</t>
        </is>
      </c>
      <c r="H211" s="4" t="n">
        <v>2022</v>
      </c>
      <c r="I211" s="4" t="inlineStr">
        <is>
          <t>new.amt.prvt.cmbk</t>
        </is>
      </c>
      <c r="J211" t="inlineStr">
        <is>
          <t>Commecial Bank</t>
        </is>
      </c>
      <c r="M211" t="n">
        <v>554</v>
      </c>
      <c r="O211" t="n">
        <v>0</v>
      </c>
      <c r="P211" t="n">
        <v>0</v>
      </c>
      <c r="Q211" t="n">
        <v>0</v>
      </c>
      <c r="R211" t="n">
        <v>0</v>
      </c>
      <c r="S211" t="n">
        <v>0.3466242275267891</v>
      </c>
      <c r="T211" t="n">
        <v>0.8424169727879955</v>
      </c>
      <c r="U211" t="n">
        <v>1.332238285382651</v>
      </c>
      <c r="V211" t="n">
        <v>1.877204167189008</v>
      </c>
      <c r="W211" t="n">
        <v>2.499525937725363</v>
      </c>
      <c r="X211" t="n">
        <v>3.174144978737584</v>
      </c>
      <c r="Y211" t="n">
        <v>3.88720802878426</v>
      </c>
      <c r="Z211" t="n">
        <v>4.6527491583075</v>
      </c>
      <c r="AA211" t="n">
        <v>4.899990389082108</v>
      </c>
      <c r="AB211" t="n">
        <v>5.34578957641837</v>
      </c>
      <c r="AC211" t="n">
        <v>5.873169692714739</v>
      </c>
      <c r="AD211" t="n">
        <v>6.087652194859771</v>
      </c>
      <c r="AE211" t="n">
        <v>6.182908971270316</v>
      </c>
      <c r="AF211" t="n">
        <v>6.312418177682104</v>
      </c>
      <c r="AG211" t="n">
        <v>5.767452295875746</v>
      </c>
      <c r="AH211" t="n">
        <v>5.145130525339391</v>
      </c>
      <c r="AI211" t="n">
        <v>4.47051148432717</v>
      </c>
    </row>
    <row r="212">
      <c r="A212" t="inlineStr">
        <is>
          <t>Dominica_2023_May</t>
        </is>
      </c>
      <c r="B212" s="2" t="n"/>
      <c r="C212" s="3" t="inlineStr">
        <is>
          <t>SM.23.127, Sup. 1</t>
        </is>
      </c>
      <c r="D212" s="4" t="inlineStr">
        <is>
          <t>Dominica</t>
        </is>
      </c>
      <c r="E212" s="4" t="inlineStr">
        <is>
          <t>DMA</t>
        </is>
      </c>
      <c r="F212" s="10" t="n">
        <v>45047</v>
      </c>
      <c r="G212" s="4" t="inlineStr">
        <is>
          <t>2018gn</t>
        </is>
      </c>
      <c r="H212" s="4" t="n">
        <v>2022</v>
      </c>
      <c r="I212" s="4" t="inlineStr">
        <is>
          <t>new.amt.prvt.com3</t>
        </is>
      </c>
      <c r="J212" t="inlineStr">
        <is>
          <t>COM3</t>
        </is>
      </c>
      <c r="M212" t="n">
        <v>580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</row>
    <row r="213">
      <c r="A213" t="inlineStr">
        <is>
          <t>Dominica_2023_May</t>
        </is>
      </c>
      <c r="B213" s="2" t="n"/>
      <c r="C213" s="3" t="inlineStr">
        <is>
          <t>SM.23.127, Sup. 1</t>
        </is>
      </c>
      <c r="D213" s="4" t="inlineStr">
        <is>
          <t>Dominica</t>
        </is>
      </c>
      <c r="E213" s="4" t="inlineStr">
        <is>
          <t>DMA</t>
        </is>
      </c>
      <c r="F213" s="10" t="n">
        <v>45047</v>
      </c>
      <c r="G213" s="4" t="inlineStr">
        <is>
          <t>2018gn</t>
        </is>
      </c>
      <c r="H213" s="4" t="n">
        <v>2022</v>
      </c>
      <c r="I213" s="4" t="inlineStr">
        <is>
          <t>new.amt.prvt.com4</t>
        </is>
      </c>
      <c r="J213" t="inlineStr">
        <is>
          <t>COM4</t>
        </is>
      </c>
      <c r="M213" t="n">
        <v>606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</row>
    <row r="214">
      <c r="A214" t="inlineStr">
        <is>
          <t>Dominica_2023_May</t>
        </is>
      </c>
      <c r="B214" s="2" t="n"/>
      <c r="C214" s="3" t="inlineStr">
        <is>
          <t>SM.23.127, Sup. 1</t>
        </is>
      </c>
      <c r="D214" s="4" t="inlineStr">
        <is>
          <t>Dominica</t>
        </is>
      </c>
      <c r="E214" s="4" t="inlineStr">
        <is>
          <t>DMA</t>
        </is>
      </c>
      <c r="F214" s="10" t="n">
        <v>45047</v>
      </c>
      <c r="G214" s="4" t="inlineStr">
        <is>
          <t>2018gn</t>
        </is>
      </c>
      <c r="H214" s="4" t="n">
        <v>2022</v>
      </c>
      <c r="I214" s="4" t="inlineStr">
        <is>
          <t>new.amt.prvt.com5</t>
        </is>
      </c>
      <c r="J214" t="inlineStr">
        <is>
          <t>COM5</t>
        </is>
      </c>
      <c r="M214" t="n">
        <v>632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</row>
    <row r="215">
      <c r="A215" t="inlineStr">
        <is>
          <t>Dominica_2023_May</t>
        </is>
      </c>
      <c r="B215" s="2" t="n"/>
      <c r="C215" s="3" t="inlineStr">
        <is>
          <t>SM.23.127, Sup. 1</t>
        </is>
      </c>
      <c r="D215" s="4" t="inlineStr">
        <is>
          <t>Dominica</t>
        </is>
      </c>
      <c r="E215" s="4" t="inlineStr">
        <is>
          <t>DMA</t>
        </is>
      </c>
      <c r="F215" s="10" t="n">
        <v>45047</v>
      </c>
      <c r="G215" s="4" t="inlineStr">
        <is>
          <t>2018gn</t>
        </is>
      </c>
      <c r="H215" s="4" t="n">
        <v>2022</v>
      </c>
      <c r="I215" s="4" t="inlineStr">
        <is>
          <t>new.amt.lcl.nres</t>
        </is>
      </c>
      <c r="J215" t="inlineStr">
        <is>
          <t>Locally-issued debt held by non-residents</t>
        </is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</row>
    <row r="216">
      <c r="A216" t="inlineStr">
        <is>
          <t>Dominica_2023_May</t>
        </is>
      </c>
      <c r="B216" s="2" t="n"/>
      <c r="C216" s="3" t="inlineStr">
        <is>
          <t>SM.23.127, Sup. 1</t>
        </is>
      </c>
      <c r="D216" s="4" t="inlineStr">
        <is>
          <t>Dominica</t>
        </is>
      </c>
      <c r="E216" s="4" t="inlineStr">
        <is>
          <t>DMA</t>
        </is>
      </c>
      <c r="F216" s="10" t="n">
        <v>45047</v>
      </c>
      <c r="G216" s="4" t="inlineStr">
        <is>
          <t>2018gn</t>
        </is>
      </c>
      <c r="H216" s="4" t="n">
        <v>2022</v>
      </c>
      <c r="I216" s="4" t="inlineStr">
        <is>
          <t>new.amt.lcl.nres.lc</t>
        </is>
      </c>
      <c r="J216" t="inlineStr">
        <is>
          <t>Denominated in local currency (LC)</t>
        </is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</row>
    <row r="217">
      <c r="A217" t="inlineStr">
        <is>
          <t>Dominica_2023_May</t>
        </is>
      </c>
      <c r="B217" s="2" t="n"/>
      <c r="C217" s="3" t="inlineStr">
        <is>
          <t>SM.23.127, Sup. 1</t>
        </is>
      </c>
      <c r="D217" s="4" t="inlineStr">
        <is>
          <t>Dominica</t>
        </is>
      </c>
      <c r="E217" s="4" t="inlineStr">
        <is>
          <t>DMA</t>
        </is>
      </c>
      <c r="F217" s="10" t="n">
        <v>45047</v>
      </c>
      <c r="G217" s="4" t="inlineStr">
        <is>
          <t>2018gn</t>
        </is>
      </c>
      <c r="H217" s="4" t="n">
        <v>2022</v>
      </c>
      <c r="I217" s="4" t="inlineStr">
        <is>
          <t>new.amt.lcl.nres.bnd.1to3.lc</t>
        </is>
      </c>
      <c r="J217" t="inlineStr">
        <is>
          <t>Bonds (1 to 3 years)-LC</t>
        </is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</row>
    <row r="218">
      <c r="A218" t="inlineStr">
        <is>
          <t>Dominica_2023_May</t>
        </is>
      </c>
      <c r="B218" s="2" t="n"/>
      <c r="C218" s="3" t="inlineStr">
        <is>
          <t>SM.23.127, Sup. 1</t>
        </is>
      </c>
      <c r="D218" s="4" t="inlineStr">
        <is>
          <t>Dominica</t>
        </is>
      </c>
      <c r="E218" s="4" t="inlineStr">
        <is>
          <t>DMA</t>
        </is>
      </c>
      <c r="F218" s="10" t="n">
        <v>45047</v>
      </c>
      <c r="G218" s="4" t="inlineStr">
        <is>
          <t>2018gn</t>
        </is>
      </c>
      <c r="H218" s="4" t="n">
        <v>2022</v>
      </c>
      <c r="I218" s="4" t="inlineStr">
        <is>
          <t>new.amt.lcl.nres.bnd.4to7.lc</t>
        </is>
      </c>
      <c r="J218" t="inlineStr">
        <is>
          <t>Bonds (4 to 7 years)-LC</t>
        </is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</row>
    <row r="219">
      <c r="A219" t="inlineStr">
        <is>
          <t>Dominica_2023_May</t>
        </is>
      </c>
      <c r="B219" s="2" t="n"/>
      <c r="C219" s="3" t="inlineStr">
        <is>
          <t>SM.23.127, Sup. 1</t>
        </is>
      </c>
      <c r="D219" s="4" t="inlineStr">
        <is>
          <t>Dominica</t>
        </is>
      </c>
      <c r="E219" s="4" t="inlineStr">
        <is>
          <t>DMA</t>
        </is>
      </c>
      <c r="F219" s="10" t="n">
        <v>45047</v>
      </c>
      <c r="G219" s="4" t="inlineStr">
        <is>
          <t>2018gn</t>
        </is>
      </c>
      <c r="H219" s="4" t="n">
        <v>2022</v>
      </c>
      <c r="I219" s="4" t="inlineStr">
        <is>
          <t>new.amt.lcl.nres.bnd.byd7.lc</t>
        </is>
      </c>
      <c r="J219" t="inlineStr">
        <is>
          <t>Bonds (beyond 7 years)-LC</t>
        </is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</row>
    <row r="220">
      <c r="A220" t="inlineStr">
        <is>
          <t>Dominica_2023_May</t>
        </is>
      </c>
      <c r="B220" s="2" t="n"/>
      <c r="C220" s="3" t="inlineStr">
        <is>
          <t>SM.23.127, Sup. 1</t>
        </is>
      </c>
      <c r="D220" s="4" t="inlineStr">
        <is>
          <t>Dominica</t>
        </is>
      </c>
      <c r="E220" s="4" t="inlineStr">
        <is>
          <t>DMA</t>
        </is>
      </c>
      <c r="F220" s="10" t="n">
        <v>45047</v>
      </c>
      <c r="G220" s="4" t="inlineStr">
        <is>
          <t>2018gn</t>
        </is>
      </c>
      <c r="H220" s="4" t="n">
        <v>2022</v>
      </c>
      <c r="I220" s="4" t="inlineStr">
        <is>
          <t>new.amt.lcl.nres.fx</t>
        </is>
      </c>
      <c r="J220" t="inlineStr">
        <is>
          <t>Denominated in foreign currency (FX)</t>
        </is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</row>
    <row r="221">
      <c r="A221" t="inlineStr">
        <is>
          <t>Dominica_2023_May</t>
        </is>
      </c>
      <c r="B221" s="2" t="n"/>
      <c r="C221" s="3" t="inlineStr">
        <is>
          <t>SM.23.127, Sup. 1</t>
        </is>
      </c>
      <c r="D221" s="4" t="inlineStr">
        <is>
          <t>Dominica</t>
        </is>
      </c>
      <c r="E221" s="4" t="inlineStr">
        <is>
          <t>DMA</t>
        </is>
      </c>
      <c r="F221" s="10" t="n">
        <v>45047</v>
      </c>
      <c r="G221" s="4" t="inlineStr">
        <is>
          <t>2018gn</t>
        </is>
      </c>
      <c r="H221" s="4" t="n">
        <v>2022</v>
      </c>
      <c r="I221" s="4" t="inlineStr">
        <is>
          <t>new.amt.lcl.nres.bnd.1to3.fx</t>
        </is>
      </c>
      <c r="J221" t="inlineStr">
        <is>
          <t>Bonds (1 to 3 years)-FX</t>
        </is>
      </c>
      <c r="M221" t="n">
        <v>658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</row>
    <row r="222">
      <c r="A222" t="inlineStr">
        <is>
          <t>Dominica_2023_May</t>
        </is>
      </c>
      <c r="B222" s="2" t="n"/>
      <c r="C222" s="3" t="inlineStr">
        <is>
          <t>SM.23.127, Sup. 1</t>
        </is>
      </c>
      <c r="D222" s="4" t="inlineStr">
        <is>
          <t>Dominica</t>
        </is>
      </c>
      <c r="E222" s="4" t="inlineStr">
        <is>
          <t>DMA</t>
        </is>
      </c>
      <c r="F222" s="10" t="n">
        <v>45047</v>
      </c>
      <c r="G222" s="4" t="inlineStr">
        <is>
          <t>2018gn</t>
        </is>
      </c>
      <c r="H222" s="4" t="n">
        <v>2022</v>
      </c>
      <c r="I222" s="4" t="inlineStr">
        <is>
          <t>new.amt.lcl.nres.bnd.4to7.fx</t>
        </is>
      </c>
      <c r="J222" t="inlineStr">
        <is>
          <t>Bonds (4 to 7 years)-FX</t>
        </is>
      </c>
      <c r="M222" t="n">
        <v>684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</row>
    <row r="223">
      <c r="A223" t="inlineStr">
        <is>
          <t>Dominica_2023_May</t>
        </is>
      </c>
      <c r="B223" s="2" t="n"/>
      <c r="C223" s="3" t="inlineStr">
        <is>
          <t>SM.23.127, Sup. 1</t>
        </is>
      </c>
      <c r="D223" s="4" t="inlineStr">
        <is>
          <t>Dominica</t>
        </is>
      </c>
      <c r="E223" s="4" t="inlineStr">
        <is>
          <t>DMA</t>
        </is>
      </c>
      <c r="F223" s="10" t="n">
        <v>45047</v>
      </c>
      <c r="G223" s="4" t="inlineStr">
        <is>
          <t>2018gn</t>
        </is>
      </c>
      <c r="H223" s="4" t="n">
        <v>2022</v>
      </c>
      <c r="I223" s="4" t="inlineStr">
        <is>
          <t>new.amt.lcl.nres.bnd.byd7.fx</t>
        </is>
      </c>
      <c r="J223" t="inlineStr">
        <is>
          <t>Bonds (beyond 7 years)-FX</t>
        </is>
      </c>
      <c r="M223" t="n">
        <v>710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</row>
    <row r="224">
      <c r="A224" t="inlineStr">
        <is>
          <t>Dominica_2023_May</t>
        </is>
      </c>
      <c r="B224" s="2" t="n"/>
      <c r="C224" s="3" t="inlineStr">
        <is>
          <t>SM.23.127, Sup. 1</t>
        </is>
      </c>
      <c r="D224" s="4" t="inlineStr">
        <is>
          <t>Dominica</t>
        </is>
      </c>
      <c r="E224" s="4" t="inlineStr">
        <is>
          <t>DMA</t>
        </is>
      </c>
      <c r="F224" s="10" t="n">
        <v>45047</v>
      </c>
      <c r="G224" s="4" t="inlineStr">
        <is>
          <t>2018gn</t>
        </is>
      </c>
      <c r="H224" s="4" t="n">
        <v>2022</v>
      </c>
      <c r="I224" s="5" t="n"/>
      <c r="J224" t="inlineStr">
        <is>
          <t>Locally-issued debt held by non-residents</t>
        </is>
      </c>
    </row>
    <row r="225">
      <c r="A225" t="inlineStr">
        <is>
          <t>Dominica_2023_May</t>
        </is>
      </c>
      <c r="B225" s="2" t="n"/>
      <c r="C225" s="3" t="inlineStr">
        <is>
          <t>SM.23.127, Sup. 1</t>
        </is>
      </c>
      <c r="D225" s="4" t="inlineStr">
        <is>
          <t>Dominica</t>
        </is>
      </c>
      <c r="E225" s="4" t="inlineStr">
        <is>
          <t>DMA</t>
        </is>
      </c>
      <c r="F225" s="10" t="n">
        <v>45047</v>
      </c>
      <c r="G225" s="4" t="inlineStr">
        <is>
          <t>2018gn</t>
        </is>
      </c>
      <c r="H225" s="4" t="n">
        <v>2022</v>
      </c>
      <c r="I225" s="4" t="inlineStr">
        <is>
          <t>new.amt.lcl.fx</t>
        </is>
      </c>
      <c r="J225" t="inlineStr">
        <is>
          <t>Denominated in foreign currency (FX)</t>
        </is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</row>
    <row r="226">
      <c r="A226" t="inlineStr">
        <is>
          <t>Dominica_2023_May</t>
        </is>
      </c>
      <c r="B226" s="2" t="n"/>
      <c r="C226" s="3" t="inlineStr">
        <is>
          <t>SM.23.127, Sup. 1</t>
        </is>
      </c>
      <c r="D226" s="4" t="inlineStr">
        <is>
          <t>Dominica</t>
        </is>
      </c>
      <c r="E226" s="4" t="inlineStr">
        <is>
          <t>DMA</t>
        </is>
      </c>
      <c r="F226" s="10" t="n">
        <v>45047</v>
      </c>
      <c r="G226" s="4" t="inlineStr">
        <is>
          <t>2018gn</t>
        </is>
      </c>
      <c r="H226" s="4" t="n">
        <v>2022</v>
      </c>
      <c r="I226" s="4" t="inlineStr">
        <is>
          <t>new.amt.lcl.fx.bnd.1to3.fx</t>
        </is>
      </c>
      <c r="J226" t="inlineStr">
        <is>
          <t>Bonds (1 to 3 years)-FX</t>
        </is>
      </c>
      <c r="M226" t="n">
        <v>736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</row>
    <row r="227">
      <c r="A227" t="inlineStr">
        <is>
          <t>Dominica_2023_May</t>
        </is>
      </c>
      <c r="B227" s="2" t="n"/>
      <c r="C227" s="3" t="inlineStr">
        <is>
          <t>SM.23.127, Sup. 1</t>
        </is>
      </c>
      <c r="D227" s="4" t="inlineStr">
        <is>
          <t>Dominica</t>
        </is>
      </c>
      <c r="E227" s="4" t="inlineStr">
        <is>
          <t>DMA</t>
        </is>
      </c>
      <c r="F227" s="10" t="n">
        <v>45047</v>
      </c>
      <c r="G227" s="4" t="inlineStr">
        <is>
          <t>2018gn</t>
        </is>
      </c>
      <c r="H227" s="4" t="n">
        <v>2022</v>
      </c>
      <c r="I227" s="4" t="inlineStr">
        <is>
          <t>new.amt.lcl.fx.bnd.4to7.fx</t>
        </is>
      </c>
      <c r="J227" t="inlineStr">
        <is>
          <t>Bonds (4 to 7 years)-FX</t>
        </is>
      </c>
      <c r="M227" t="n">
        <v>762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</row>
    <row r="228">
      <c r="A228" t="inlineStr">
        <is>
          <t>Dominica_2023_May</t>
        </is>
      </c>
      <c r="B228" s="2" t="n"/>
      <c r="C228" s="3" t="inlineStr">
        <is>
          <t>SM.23.127, Sup. 1</t>
        </is>
      </c>
      <c r="D228" s="4" t="inlineStr">
        <is>
          <t>Dominica</t>
        </is>
      </c>
      <c r="E228" s="4" t="inlineStr">
        <is>
          <t>DMA</t>
        </is>
      </c>
      <c r="F228" s="10" t="n">
        <v>45047</v>
      </c>
      <c r="G228" s="4" t="inlineStr">
        <is>
          <t>2018gn</t>
        </is>
      </c>
      <c r="H228" s="4" t="n">
        <v>2022</v>
      </c>
      <c r="I228" s="4" t="inlineStr">
        <is>
          <t>new.amt.lcl.fx.bnd.byd7.fx</t>
        </is>
      </c>
      <c r="J228" t="inlineStr">
        <is>
          <t>Bonds (beyond 7 years)-FX</t>
        </is>
      </c>
      <c r="M228" t="n">
        <v>788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</row>
    <row r="229">
      <c r="A229" t="inlineStr">
        <is>
          <t>Dominica_2023_May</t>
        </is>
      </c>
      <c r="B229" s="2" t="n"/>
      <c r="C229" s="3" t="inlineStr">
        <is>
          <t>SM.23.127, Sup. 1</t>
        </is>
      </c>
      <c r="D229" s="4" t="inlineStr">
        <is>
          <t>Dominica</t>
        </is>
      </c>
      <c r="E229" s="4" t="inlineStr">
        <is>
          <t>DMA</t>
        </is>
      </c>
      <c r="F229" s="10" t="n">
        <v>45047</v>
      </c>
      <c r="G229" s="4" t="inlineStr">
        <is>
          <t>2018gn</t>
        </is>
      </c>
      <c r="H229" s="4" t="n">
        <v>2022</v>
      </c>
      <c r="I229" s="5" t="n"/>
    </row>
    <row r="230">
      <c r="A230" t="inlineStr">
        <is>
          <t>Dominica_2023_May</t>
        </is>
      </c>
      <c r="B230" s="2" t="n"/>
      <c r="C230" s="3" t="inlineStr">
        <is>
          <t>SM.23.127, Sup. 1</t>
        </is>
      </c>
      <c r="D230" s="4" t="inlineStr">
        <is>
          <t>Dominica</t>
        </is>
      </c>
      <c r="E230" s="4" t="inlineStr">
        <is>
          <t>DMA</t>
        </is>
      </c>
      <c r="F230" s="10" t="n">
        <v>45047</v>
      </c>
      <c r="G230" s="4" t="inlineStr">
        <is>
          <t>2018gn</t>
        </is>
      </c>
      <c r="H230" s="4" t="n">
        <v>2022</v>
      </c>
      <c r="I230" s="4" t="inlineStr">
        <is>
          <t>pv.old.dbt.mlg.trm</t>
        </is>
      </c>
      <c r="J230" t="inlineStr">
        <is>
          <t>PV of old MLT debt</t>
        </is>
      </c>
      <c r="N230" t="n">
        <v>232.9941673882417</v>
      </c>
      <c r="O230" t="n">
        <v>229.7236862066183</v>
      </c>
      <c r="P230" t="n">
        <v>207.5920109825151</v>
      </c>
      <c r="Q230" t="n">
        <v>185.5313024647972</v>
      </c>
      <c r="R230" t="n">
        <v>166.6530819798778</v>
      </c>
      <c r="S230" t="n">
        <v>149.6354189601139</v>
      </c>
      <c r="T230" t="n">
        <v>135.1392417399897</v>
      </c>
      <c r="U230" t="n">
        <v>121.2884942057897</v>
      </c>
      <c r="V230" t="n">
        <v>108.3927469843038</v>
      </c>
      <c r="W230" t="n">
        <v>96.0943281243395</v>
      </c>
      <c r="X230" t="n">
        <v>84.27826118116772</v>
      </c>
      <c r="Y230" t="n">
        <v>72.71473885973093</v>
      </c>
      <c r="Z230" t="n">
        <v>61.21816594384777</v>
      </c>
      <c r="AA230" t="n">
        <v>51.56820168695889</v>
      </c>
      <c r="AB230" t="n">
        <v>43.43968728234649</v>
      </c>
      <c r="AC230" t="n">
        <v>35.43851769806723</v>
      </c>
      <c r="AD230" t="n">
        <v>28.02370750739203</v>
      </c>
      <c r="AE230" t="n">
        <v>21.1862916433474</v>
      </c>
      <c r="AF230" t="n">
        <v>16.74919776550317</v>
      </c>
      <c r="AG230" t="n">
        <v>12.43628653636291</v>
      </c>
      <c r="AH230" t="n">
        <v>6.22627192393096</v>
      </c>
      <c r="AI230" t="n">
        <v>0</v>
      </c>
      <c r="BI230" t="inlineStr">
        <is>
          <t>PV_OLD_MLT</t>
        </is>
      </c>
    </row>
    <row r="231">
      <c r="A231" t="inlineStr">
        <is>
          <t>Dominica_2023_May</t>
        </is>
      </c>
      <c r="B231" s="2" t="n"/>
      <c r="C231" s="3" t="inlineStr">
        <is>
          <t>SM.23.127, Sup. 1</t>
        </is>
      </c>
      <c r="D231" s="4" t="inlineStr">
        <is>
          <t>Dominica</t>
        </is>
      </c>
      <c r="E231" s="4" t="inlineStr">
        <is>
          <t>DMA</t>
        </is>
      </c>
      <c r="F231" s="10" t="n">
        <v>45047</v>
      </c>
      <c r="G231" s="4" t="inlineStr">
        <is>
          <t>2018gn</t>
        </is>
      </c>
      <c r="H231" s="4" t="n">
        <v>2022</v>
      </c>
      <c r="I231" s="5" t="n"/>
      <c r="J231" t="inlineStr">
        <is>
          <t>Users can replace PV of old external debt by nominal debt stock when a GE is zero and PV is larger than nominal value (e.g., commercial debt) to cap PV at nominal debt outstanding.</t>
        </is>
      </c>
    </row>
    <row r="232">
      <c r="A232" t="inlineStr">
        <is>
          <t>Dominica_2023_May</t>
        </is>
      </c>
      <c r="B232" s="2" t="n"/>
      <c r="C232" s="3" t="inlineStr">
        <is>
          <t>SM.23.127, Sup. 1</t>
        </is>
      </c>
      <c r="D232" s="4" t="inlineStr">
        <is>
          <t>Dominica</t>
        </is>
      </c>
      <c r="E232" s="4" t="inlineStr">
        <is>
          <t>DMA</t>
        </is>
      </c>
      <c r="F232" s="10" t="n">
        <v>45047</v>
      </c>
      <c r="G232" s="4" t="inlineStr">
        <is>
          <t>2018gn</t>
        </is>
      </c>
      <c r="H232" s="4" t="n">
        <v>2022</v>
      </c>
      <c r="I232" s="4" t="inlineStr">
        <is>
          <t>pv.old.dbt.mlt</t>
        </is>
      </c>
      <c r="J232" t="inlineStr">
        <is>
          <t>Multilaterals</t>
        </is>
      </c>
      <c r="N232" t="n">
        <v>139.8422082292873</v>
      </c>
      <c r="O232" t="n">
        <v>141.2915551592701</v>
      </c>
      <c r="P232" t="n">
        <v>132.7943155839004</v>
      </c>
      <c r="Q232" t="n">
        <v>122.7784763845653</v>
      </c>
      <c r="R232" t="n">
        <v>113.224252322417</v>
      </c>
      <c r="S232" t="n">
        <v>104.1419557293293</v>
      </c>
      <c r="T232" t="n">
        <v>95.81119150037513</v>
      </c>
      <c r="U232" t="n">
        <v>87.80875907385013</v>
      </c>
      <c r="V232" t="n">
        <v>80.29003798465121</v>
      </c>
      <c r="W232" t="n">
        <v>72.97653090687848</v>
      </c>
      <c r="X232" t="n">
        <v>65.95803449623243</v>
      </c>
      <c r="Y232" t="n">
        <v>59.07358044639137</v>
      </c>
      <c r="Z232" t="n">
        <v>52.29908680026338</v>
      </c>
      <c r="AA232" t="n">
        <v>45.61151767392506</v>
      </c>
      <c r="AB232" t="n">
        <v>38.98876759937438</v>
      </c>
      <c r="AC232" t="n">
        <v>32.40955286746889</v>
      </c>
      <c r="AD232" t="n">
        <v>26.34919256902323</v>
      </c>
      <c r="AE232" t="n">
        <v>20.81253954287478</v>
      </c>
      <c r="AF232" t="n">
        <v>15.63492557872852</v>
      </c>
      <c r="AG232" t="n">
        <v>10.45165005748693</v>
      </c>
      <c r="AH232" t="n">
        <v>5.245594875847953</v>
      </c>
      <c r="AI232" t="n">
        <v>0</v>
      </c>
      <c r="BI232" t="inlineStr">
        <is>
          <t>PV_OLD_ML</t>
        </is>
      </c>
    </row>
    <row r="233">
      <c r="A233" t="inlineStr">
        <is>
          <t>Dominica_2023_May</t>
        </is>
      </c>
      <c r="B233" s="2" t="n"/>
      <c r="C233" s="3" t="inlineStr">
        <is>
          <t>SM.23.127, Sup. 1</t>
        </is>
      </c>
      <c r="D233" s="4" t="inlineStr">
        <is>
          <t>Dominica</t>
        </is>
      </c>
      <c r="E233" s="4" t="inlineStr">
        <is>
          <t>DMA</t>
        </is>
      </c>
      <c r="F233" s="10" t="n">
        <v>45047</v>
      </c>
      <c r="G233" s="4" t="inlineStr">
        <is>
          <t>2018gn</t>
        </is>
      </c>
      <c r="H233" s="4" t="n">
        <v>2022</v>
      </c>
      <c r="I233" s="4" t="inlineStr">
        <is>
          <t>pv.old.dbt.mlt.imf</t>
        </is>
      </c>
      <c r="J233" t="inlineStr">
        <is>
          <t>IMF</t>
        </is>
      </c>
      <c r="N233" t="n">
        <v>11.11371485871277</v>
      </c>
      <c r="O233" t="n">
        <v>10.85372837942619</v>
      </c>
      <c r="P233" t="n">
        <v>9.765070353953057</v>
      </c>
      <c r="Q233" t="n">
        <v>8.772226800225107</v>
      </c>
      <c r="R233" t="n">
        <v>7.866150608148357</v>
      </c>
      <c r="S233" t="n">
        <v>7.038616781268836</v>
      </c>
      <c r="T233" t="n">
        <v>6.282146163416947</v>
      </c>
      <c r="U233" t="n">
        <v>5.589936162332954</v>
      </c>
      <c r="V233" t="n">
        <v>4.955797824458219</v>
      </c>
      <c r="W233" t="n">
        <v>4.374098674487159</v>
      </c>
      <c r="X233" t="n">
        <v>3.839710787209877</v>
      </c>
      <c r="Y233" t="n">
        <v>3.347963608139454</v>
      </c>
      <c r="Z233" t="n">
        <v>2.894601083868413</v>
      </c>
      <c r="AA233" t="n">
        <v>2.475742703451508</v>
      </c>
      <c r="AB233" t="n">
        <v>2.087848088743873</v>
      </c>
      <c r="AC233" t="n">
        <v>1.727684804877244</v>
      </c>
      <c r="AD233" t="n">
        <v>1.392299092243244</v>
      </c>
      <c r="AE233" t="n">
        <v>1.078989248754015</v>
      </c>
      <c r="AF233" t="n">
        <v>0.7852814160229129</v>
      </c>
      <c r="AG233" t="n">
        <v>0.5089075456842805</v>
      </c>
      <c r="AH233" t="n">
        <v>0.2477853425626676</v>
      </c>
      <c r="AI233" t="n">
        <v>0</v>
      </c>
    </row>
    <row r="234">
      <c r="A234" t="inlineStr">
        <is>
          <t>Dominica_2023_May</t>
        </is>
      </c>
      <c r="B234" s="2" t="n"/>
      <c r="C234" s="3" t="inlineStr">
        <is>
          <t>SM.23.127, Sup. 1</t>
        </is>
      </c>
      <c r="D234" s="4" t="inlineStr">
        <is>
          <t>Dominica</t>
        </is>
      </c>
      <c r="E234" s="4" t="inlineStr">
        <is>
          <t>DMA</t>
        </is>
      </c>
      <c r="F234" s="10" t="n">
        <v>45047</v>
      </c>
      <c r="G234" s="4" t="inlineStr">
        <is>
          <t>2018gn</t>
        </is>
      </c>
      <c r="H234" s="4" t="n">
        <v>2022</v>
      </c>
      <c r="I234" s="4" t="inlineStr">
        <is>
          <t>pv.old.dbt.mlt.ida.reg</t>
        </is>
      </c>
      <c r="J234" t="inlineStr">
        <is>
          <t>IDA - small economy</t>
        </is>
      </c>
      <c r="N234" t="n">
        <v>37.37598704396596</v>
      </c>
      <c r="O234" t="n">
        <v>38.11705784060871</v>
      </c>
      <c r="P234" t="n">
        <v>37.4936549918984</v>
      </c>
      <c r="Q234" t="n">
        <v>36.09906492248644</v>
      </c>
      <c r="R234" t="n">
        <v>34.6576344668104</v>
      </c>
      <c r="S234" t="n">
        <v>33.16686135227889</v>
      </c>
      <c r="T234" t="n">
        <v>31.62411931465018</v>
      </c>
      <c r="U234" t="n">
        <v>30.02665189059432</v>
      </c>
      <c r="V234" t="n">
        <v>28.37156589993842</v>
      </c>
      <c r="W234" t="n">
        <v>26.65582460207888</v>
      </c>
      <c r="X234" t="n">
        <v>24.87624051026836</v>
      </c>
      <c r="Y234" t="n">
        <v>23.02946784667099</v>
      </c>
      <c r="Z234" t="n">
        <v>21.11199462022379</v>
      </c>
      <c r="AA234" t="n">
        <v>19.1201343084443</v>
      </c>
      <c r="AB234" t="n">
        <v>17.05001712338128</v>
      </c>
      <c r="AC234" t="n">
        <v>14.89758084091531</v>
      </c>
      <c r="AD234" t="n">
        <v>12.65856117157647</v>
      </c>
      <c r="AE234" t="n">
        <v>10.32848164995442</v>
      </c>
      <c r="AF234" t="n">
        <v>7.902643018630344</v>
      </c>
      <c r="AG234" t="n">
        <v>5.376112081356351</v>
      </c>
      <c r="AH234" t="n">
        <v>2.743709998944428</v>
      </c>
      <c r="AI234" t="n">
        <v>0</v>
      </c>
    </row>
    <row r="235">
      <c r="A235" t="inlineStr">
        <is>
          <t>Dominica_2023_May</t>
        </is>
      </c>
      <c r="B235" s="2" t="n"/>
      <c r="C235" s="3" t="inlineStr">
        <is>
          <t>SM.23.127, Sup. 1</t>
        </is>
      </c>
      <c r="D235" s="4" t="inlineStr">
        <is>
          <t>Dominica</t>
        </is>
      </c>
      <c r="E235" s="4" t="inlineStr">
        <is>
          <t>DMA</t>
        </is>
      </c>
      <c r="F235" s="10" t="n">
        <v>45047</v>
      </c>
      <c r="G235" s="4" t="inlineStr">
        <is>
          <t>2018gn</t>
        </is>
      </c>
      <c r="H235" s="4" t="n">
        <v>2022</v>
      </c>
      <c r="I235" s="4" t="inlineStr">
        <is>
          <t>pv.old.dbt.mlt.ida.bld</t>
        </is>
      </c>
      <c r="J235" t="inlineStr">
        <is>
          <t>IDA - small economy</t>
        </is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</row>
    <row r="236">
      <c r="A236" t="inlineStr">
        <is>
          <t>Dominica_2023_May</t>
        </is>
      </c>
      <c r="B236" s="2" t="n"/>
      <c r="C236" s="3" t="inlineStr">
        <is>
          <t>SM.23.127, Sup. 1</t>
        </is>
      </c>
      <c r="D236" s="4" t="inlineStr">
        <is>
          <t>Dominica</t>
        </is>
      </c>
      <c r="E236" s="4" t="inlineStr">
        <is>
          <t>DMA</t>
        </is>
      </c>
      <c r="F236" s="10" t="n">
        <v>45047</v>
      </c>
      <c r="G236" s="4" t="inlineStr">
        <is>
          <t>2018gn</t>
        </is>
      </c>
      <c r="H236" s="4" t="n">
        <v>2022</v>
      </c>
      <c r="I236" s="4" t="inlineStr">
        <is>
          <t>pv.old.dbt.mlt.afdb</t>
        </is>
      </c>
      <c r="J236" t="inlineStr">
        <is>
          <t>CDB</t>
        </is>
      </c>
      <c r="N236" t="n">
        <v>91.35250632660851</v>
      </c>
      <c r="O236" t="n">
        <v>92.32076893923522</v>
      </c>
      <c r="P236" t="n">
        <v>85.53559023804891</v>
      </c>
      <c r="Q236" t="n">
        <v>77.90718466185375</v>
      </c>
      <c r="R236" t="n">
        <v>70.70046724745823</v>
      </c>
      <c r="S236" t="n">
        <v>63.93647759578157</v>
      </c>
      <c r="T236" t="n">
        <v>57.904926022308</v>
      </c>
      <c r="U236" t="n">
        <v>52.19217102092286</v>
      </c>
      <c r="V236" t="n">
        <v>46.96267426025457</v>
      </c>
      <c r="W236" t="n">
        <v>41.94660763031244</v>
      </c>
      <c r="X236" t="n">
        <v>37.24208319875419</v>
      </c>
      <c r="Y236" t="n">
        <v>32.69614899158092</v>
      </c>
      <c r="Z236" t="n">
        <v>28.29249109617118</v>
      </c>
      <c r="AA236" t="n">
        <v>24.01564066202926</v>
      </c>
      <c r="AB236" t="n">
        <v>19.85090238724923</v>
      </c>
      <c r="AC236" t="n">
        <v>15.78428722167634</v>
      </c>
      <c r="AD236" t="n">
        <v>12.29833230520352</v>
      </c>
      <c r="AE236" t="n">
        <v>9.405068644166343</v>
      </c>
      <c r="AF236" t="n">
        <v>6.947001144075259</v>
      </c>
      <c r="AG236" t="n">
        <v>4.566630430446302</v>
      </c>
      <c r="AH236" t="n">
        <v>2.254099534340857</v>
      </c>
      <c r="AI236" t="n">
        <v>0</v>
      </c>
    </row>
    <row r="237">
      <c r="A237" t="inlineStr">
        <is>
          <t>Dominica_2023_May</t>
        </is>
      </c>
      <c r="B237" s="2" t="n"/>
      <c r="C237" s="3" t="inlineStr">
        <is>
          <t>SM.23.127, Sup. 1</t>
        </is>
      </c>
      <c r="D237" s="4" t="inlineStr">
        <is>
          <t>Dominica</t>
        </is>
      </c>
      <c r="E237" s="4" t="inlineStr">
        <is>
          <t>DMA</t>
        </is>
      </c>
      <c r="F237" s="10" t="n">
        <v>45047</v>
      </c>
      <c r="G237" s="4" t="inlineStr">
        <is>
          <t>2018gn</t>
        </is>
      </c>
      <c r="H237" s="4" t="n">
        <v>2022</v>
      </c>
      <c r="I237" s="4" t="inlineStr">
        <is>
          <t>pv.old.dbt.mlt2</t>
        </is>
      </c>
      <c r="J237" t="inlineStr">
        <is>
          <t>MULTIRES</t>
        </is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</row>
    <row r="238">
      <c r="A238" t="inlineStr">
        <is>
          <t>Dominica_2023_May</t>
        </is>
      </c>
      <c r="B238" s="2" t="n"/>
      <c r="C238" s="3" t="inlineStr">
        <is>
          <t>SM.23.127, Sup. 1</t>
        </is>
      </c>
      <c r="D238" s="4" t="inlineStr">
        <is>
          <t>Dominica</t>
        </is>
      </c>
      <c r="E238" s="4" t="inlineStr">
        <is>
          <t>DMA</t>
        </is>
      </c>
      <c r="F238" s="10" t="n">
        <v>45047</v>
      </c>
      <c r="G238" s="4" t="inlineStr">
        <is>
          <t>2018gn</t>
        </is>
      </c>
      <c r="H238" s="4" t="n">
        <v>2022</v>
      </c>
      <c r="I238" s="4" t="inlineStr">
        <is>
          <t>pv.old.dbt.mlt3</t>
        </is>
      </c>
      <c r="J238" t="inlineStr">
        <is>
          <t>MULTI3</t>
        </is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</row>
    <row r="239">
      <c r="A239" t="inlineStr">
        <is>
          <t>Dominica_2023_May</t>
        </is>
      </c>
      <c r="B239" s="2" t="n"/>
      <c r="C239" s="3" t="inlineStr">
        <is>
          <t>SM.23.127, Sup. 1</t>
        </is>
      </c>
      <c r="D239" s="4" t="inlineStr">
        <is>
          <t>Dominica</t>
        </is>
      </c>
      <c r="E239" s="4" t="inlineStr">
        <is>
          <t>DMA</t>
        </is>
      </c>
      <c r="F239" s="10" t="n">
        <v>45047</v>
      </c>
      <c r="G239" s="4" t="inlineStr">
        <is>
          <t>2018gn</t>
        </is>
      </c>
      <c r="H239" s="4" t="n">
        <v>2022</v>
      </c>
      <c r="I239" s="4" t="inlineStr">
        <is>
          <t>pv.old.dbt.mlt.oth</t>
        </is>
      </c>
      <c r="J239" t="inlineStr">
        <is>
          <t>Other Multilaterals</t>
        </is>
      </c>
      <c r="N239" t="n">
        <v>13.08986584327168</v>
      </c>
      <c r="O239" t="n">
        <v>11.3025075798797</v>
      </c>
      <c r="P239" t="n">
        <v>7.536584514429238</v>
      </c>
      <c r="Q239" t="n">
        <v>4.311290902178961</v>
      </c>
      <c r="R239" t="n">
        <v>2.124812025884698</v>
      </c>
      <c r="S239" t="n">
        <v>0.5729746191635134</v>
      </c>
      <c r="T239" t="n">
        <v>0.2610355665490391</v>
      </c>
      <c r="U239" t="n">
        <v>0.1387173338067171</v>
      </c>
      <c r="V239" t="n">
        <v>0.09848518131788529</v>
      </c>
      <c r="W239" t="n">
        <v>0.07421173245195897</v>
      </c>
      <c r="X239" t="n">
        <v>0.05823059023640721</v>
      </c>
      <c r="Y239" t="n">
        <v>0.04678319813071317</v>
      </c>
      <c r="Z239" t="n">
        <v>0.03799054450169813</v>
      </c>
      <c r="AA239" t="n">
        <v>0.03088404119352326</v>
      </c>
      <c r="AB239" t="n">
        <v>0.02494071184002172</v>
      </c>
      <c r="AC239" t="n">
        <v>0.01985929087299056</v>
      </c>
      <c r="AD239" t="n">
        <v>0.01545174472976168</v>
      </c>
      <c r="AE239" t="n">
        <v>0.01159025516793736</v>
      </c>
      <c r="AF239" t="n">
        <v>0.008180944585299674</v>
      </c>
      <c r="AG239" t="n">
        <v>0.005150556288934239</v>
      </c>
      <c r="AH239" t="n">
        <v>0.002439456231840781</v>
      </c>
      <c r="AI239" t="n">
        <v>0</v>
      </c>
    </row>
    <row r="240">
      <c r="A240" t="inlineStr">
        <is>
          <t>Dominica_2023_May</t>
        </is>
      </c>
      <c r="B240" s="2" t="n"/>
      <c r="C240" s="3" t="inlineStr">
        <is>
          <t>SM.23.127, Sup. 1</t>
        </is>
      </c>
      <c r="D240" s="4" t="inlineStr">
        <is>
          <t>Dominica</t>
        </is>
      </c>
      <c r="E240" s="4" t="inlineStr">
        <is>
          <t>DMA</t>
        </is>
      </c>
      <c r="F240" s="10" t="n">
        <v>45047</v>
      </c>
      <c r="G240" s="4" t="inlineStr">
        <is>
          <t>2018gn</t>
        </is>
      </c>
      <c r="H240" s="4" t="n">
        <v>2022</v>
      </c>
      <c r="I240" s="4" t="inlineStr">
        <is>
          <t>pv.old.dbt.mlt.oth1</t>
        </is>
      </c>
      <c r="J240" t="inlineStr">
        <is>
          <t>OTH_MULTI1</t>
        </is>
      </c>
      <c r="N240" t="n">
        <v>13.08986584327168</v>
      </c>
      <c r="O240" t="n">
        <v>11.3025075798797</v>
      </c>
      <c r="P240" t="n">
        <v>7.536584514429238</v>
      </c>
      <c r="Q240" t="n">
        <v>4.311290902178961</v>
      </c>
      <c r="R240" t="n">
        <v>2.124812025884698</v>
      </c>
      <c r="S240" t="n">
        <v>0.5729746191635134</v>
      </c>
      <c r="T240" t="n">
        <v>0.2610355665490391</v>
      </c>
      <c r="U240" t="n">
        <v>0.1387173338067171</v>
      </c>
      <c r="V240" t="n">
        <v>0.09848518131788529</v>
      </c>
      <c r="W240" t="n">
        <v>0.07421173245195897</v>
      </c>
      <c r="X240" t="n">
        <v>0.05823059023640721</v>
      </c>
      <c r="Y240" t="n">
        <v>0.04678319813071317</v>
      </c>
      <c r="Z240" t="n">
        <v>0.03799054450169813</v>
      </c>
      <c r="AA240" t="n">
        <v>0.03088404119352326</v>
      </c>
      <c r="AB240" t="n">
        <v>0.02494071184002172</v>
      </c>
      <c r="AC240" t="n">
        <v>0.01985929087299056</v>
      </c>
      <c r="AD240" t="n">
        <v>0.01545174472976168</v>
      </c>
      <c r="AE240" t="n">
        <v>0.01159025516793736</v>
      </c>
      <c r="AF240" t="n">
        <v>0.008180944585299674</v>
      </c>
      <c r="AG240" t="n">
        <v>0.005150556288934239</v>
      </c>
      <c r="AH240" t="n">
        <v>0.002439456231840781</v>
      </c>
      <c r="AI240" t="n">
        <v>0</v>
      </c>
    </row>
    <row r="241">
      <c r="A241" t="inlineStr">
        <is>
          <t>Dominica_2023_May</t>
        </is>
      </c>
      <c r="B241" s="2" t="n"/>
      <c r="C241" s="3" t="inlineStr">
        <is>
          <t>SM.23.127, Sup. 1</t>
        </is>
      </c>
      <c r="D241" s="4" t="inlineStr">
        <is>
          <t>Dominica</t>
        </is>
      </c>
      <c r="E241" s="4" t="inlineStr">
        <is>
          <t>DMA</t>
        </is>
      </c>
      <c r="F241" s="10" t="n">
        <v>45047</v>
      </c>
      <c r="G241" s="4" t="inlineStr">
        <is>
          <t>2018gn</t>
        </is>
      </c>
      <c r="H241" s="4" t="n">
        <v>2022</v>
      </c>
      <c r="I241" s="4" t="inlineStr">
        <is>
          <t>pv.old.dbt.mlt.oth2</t>
        </is>
      </c>
      <c r="J241" t="inlineStr">
        <is>
          <t>OTH_MULTI2</t>
        </is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</row>
    <row r="242">
      <c r="A242" t="inlineStr">
        <is>
          <t>Dominica_2023_May</t>
        </is>
      </c>
      <c r="B242" s="2" t="n"/>
      <c r="C242" s="3" t="inlineStr">
        <is>
          <t>SM.23.127, Sup. 1</t>
        </is>
      </c>
      <c r="D242" s="4" t="inlineStr">
        <is>
          <t>Dominica</t>
        </is>
      </c>
      <c r="E242" s="4" t="inlineStr">
        <is>
          <t>DMA</t>
        </is>
      </c>
      <c r="F242" s="10" t="n">
        <v>45047</v>
      </c>
      <c r="G242" s="4" t="inlineStr">
        <is>
          <t>2018gn</t>
        </is>
      </c>
      <c r="H242" s="4" t="n">
        <v>2022</v>
      </c>
      <c r="I242" s="4" t="inlineStr">
        <is>
          <t>pv.old.dbt.mlt.oth3</t>
        </is>
      </c>
      <c r="J242" t="inlineStr">
        <is>
          <t>OTH_MULTI3</t>
        </is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</row>
    <row r="243">
      <c r="A243" t="inlineStr">
        <is>
          <t>Dominica_2023_May</t>
        </is>
      </c>
      <c r="B243" s="2" t="n"/>
      <c r="C243" s="3" t="inlineStr">
        <is>
          <t>SM.23.127, Sup. 1</t>
        </is>
      </c>
      <c r="D243" s="4" t="inlineStr">
        <is>
          <t>Dominica</t>
        </is>
      </c>
      <c r="E243" s="4" t="inlineStr">
        <is>
          <t>DMA</t>
        </is>
      </c>
      <c r="F243" s="10" t="n">
        <v>45047</v>
      </c>
      <c r="G243" s="4" t="inlineStr">
        <is>
          <t>2018gn</t>
        </is>
      </c>
      <c r="H243" s="4" t="n">
        <v>2022</v>
      </c>
      <c r="I243" s="4" t="inlineStr">
        <is>
          <t>pv.old.dbt.blt</t>
        </is>
      </c>
      <c r="J243" t="inlineStr">
        <is>
          <t>Official Bilaterals</t>
        </is>
      </c>
      <c r="N243" t="n">
        <v>38.70523231034899</v>
      </c>
      <c r="O243" t="n">
        <v>37.35143497748379</v>
      </c>
      <c r="P243" t="n">
        <v>30.54473231575045</v>
      </c>
      <c r="Q243" t="n">
        <v>25.49988570387018</v>
      </c>
      <c r="R243" t="n">
        <v>21.33247568399172</v>
      </c>
      <c r="S243" t="n">
        <v>17.84798990360395</v>
      </c>
      <c r="T243" t="n">
        <v>14.89573214555515</v>
      </c>
      <c r="U243" t="n">
        <v>12.35472850222666</v>
      </c>
      <c r="V243" t="n">
        <v>10.23362521041794</v>
      </c>
      <c r="W243" t="n">
        <v>8.389332673102805</v>
      </c>
      <c r="X243" t="n">
        <v>6.76591329826292</v>
      </c>
      <c r="Y243" t="n">
        <v>5.321012714937129</v>
      </c>
      <c r="Z243" t="n">
        <v>4.023026886791683</v>
      </c>
      <c r="AA243" t="n">
        <v>2.84976611693226</v>
      </c>
      <c r="AB243" t="n">
        <v>1.766313805649218</v>
      </c>
      <c r="AC243" t="n">
        <v>0.7542832489308781</v>
      </c>
      <c r="AD243" t="n">
        <v>-0.2011835247142071</v>
      </c>
      <c r="AE243" t="n">
        <v>-1.112559248247124</v>
      </c>
      <c r="AF243" t="n">
        <v>0.009025869010696422</v>
      </c>
      <c r="AG243" t="n">
        <v>1.253352801039777</v>
      </c>
      <c r="AH243" t="n">
        <v>0.6174296544800002</v>
      </c>
      <c r="AI243" t="n">
        <v>0</v>
      </c>
      <c r="BI243" t="inlineStr">
        <is>
          <t>PV_OLD_OB</t>
        </is>
      </c>
    </row>
    <row r="244">
      <c r="A244" t="inlineStr">
        <is>
          <t>Dominica_2023_May</t>
        </is>
      </c>
      <c r="B244" s="2" t="n"/>
      <c r="C244" s="3" t="inlineStr">
        <is>
          <t>SM.23.127, Sup. 1</t>
        </is>
      </c>
      <c r="D244" s="4" t="inlineStr">
        <is>
          <t>Dominica</t>
        </is>
      </c>
      <c r="E244" s="4" t="inlineStr">
        <is>
          <t>DMA</t>
        </is>
      </c>
      <c r="F244" s="10" t="n">
        <v>45047</v>
      </c>
      <c r="G244" s="4" t="inlineStr">
        <is>
          <t>2018gn</t>
        </is>
      </c>
      <c r="H244" s="4" t="n">
        <v>2022</v>
      </c>
      <c r="I244" s="4" t="inlineStr">
        <is>
          <t>pv.old.dbt.pc</t>
        </is>
      </c>
      <c r="J244" t="inlineStr">
        <is>
          <t xml:space="preserve">   Paris Club</t>
        </is>
      </c>
      <c r="N244" t="n">
        <v>12.71637498509033</v>
      </c>
      <c r="O244" t="n">
        <v>12.25721051212263</v>
      </c>
      <c r="P244" t="n">
        <v>9.28203918587691</v>
      </c>
      <c r="Q244" t="n">
        <v>7.027486130478155</v>
      </c>
      <c r="R244" t="n">
        <v>5.318933025434587</v>
      </c>
      <c r="S244" t="n">
        <v>4.024070777454756</v>
      </c>
      <c r="T244" t="n">
        <v>3.042647974106473</v>
      </c>
      <c r="U244" t="n">
        <v>2.298703302783729</v>
      </c>
      <c r="V244" t="n">
        <v>1.734680045669183</v>
      </c>
      <c r="W244" t="n">
        <v>1.306966625327669</v>
      </c>
      <c r="X244" t="n">
        <v>0.9825176700871999</v>
      </c>
      <c r="Y244" t="n">
        <v>0.7362937901641933</v>
      </c>
      <c r="Z244" t="n">
        <v>0.5493216915746137</v>
      </c>
      <c r="AA244" t="n">
        <v>0.4072243204526584</v>
      </c>
      <c r="AB244" t="n">
        <v>0.2991071497324834</v>
      </c>
      <c r="AC244" t="n">
        <v>0.2167143151111792</v>
      </c>
      <c r="AD244" t="n">
        <v>0.1537892159395333</v>
      </c>
      <c r="AE244" t="n">
        <v>0.1055900392496074</v>
      </c>
      <c r="AF244" t="n">
        <v>0.0685226690520518</v>
      </c>
      <c r="AG244" t="n">
        <v>0.03986253841996139</v>
      </c>
      <c r="AH244" t="n">
        <v>0.01754387345649867</v>
      </c>
      <c r="AI244" t="n">
        <v>0</v>
      </c>
    </row>
    <row r="245">
      <c r="A245" t="inlineStr">
        <is>
          <t>Dominica_2023_May</t>
        </is>
      </c>
      <c r="B245" s="2" t="n"/>
      <c r="C245" s="3" t="inlineStr">
        <is>
          <t>SM.23.127, Sup. 1</t>
        </is>
      </c>
      <c r="D245" s="4" t="inlineStr">
        <is>
          <t>Dominica</t>
        </is>
      </c>
      <c r="E245" s="4" t="inlineStr">
        <is>
          <t>DMA</t>
        </is>
      </c>
      <c r="F245" s="10" t="n">
        <v>45047</v>
      </c>
      <c r="G245" s="4" t="inlineStr">
        <is>
          <t>2018gn</t>
        </is>
      </c>
      <c r="H245" s="4" t="n">
        <v>2022</v>
      </c>
      <c r="I245" s="4" t="inlineStr">
        <is>
          <t>pv.old.dbt.pc1</t>
        </is>
      </c>
      <c r="J245" t="inlineStr">
        <is>
          <t>Export Credit Agencies</t>
        </is>
      </c>
      <c r="N245" t="n">
        <v>12.71637498509033</v>
      </c>
      <c r="O245" t="n">
        <v>12.25721051212263</v>
      </c>
      <c r="P245" t="n">
        <v>9.28203918587691</v>
      </c>
      <c r="Q245" t="n">
        <v>7.027486130478155</v>
      </c>
      <c r="R245" t="n">
        <v>5.318933025434587</v>
      </c>
      <c r="S245" t="n">
        <v>4.024070777454756</v>
      </c>
      <c r="T245" t="n">
        <v>3.042647974106473</v>
      </c>
      <c r="U245" t="n">
        <v>2.298703302783729</v>
      </c>
      <c r="V245" t="n">
        <v>1.734680045669183</v>
      </c>
      <c r="W245" t="n">
        <v>1.306966625327669</v>
      </c>
      <c r="X245" t="n">
        <v>0.9825176700871999</v>
      </c>
      <c r="Y245" t="n">
        <v>0.7362937901641933</v>
      </c>
      <c r="Z245" t="n">
        <v>0.5493216915746137</v>
      </c>
      <c r="AA245" t="n">
        <v>0.4072243204526584</v>
      </c>
      <c r="AB245" t="n">
        <v>0.2991071497324834</v>
      </c>
      <c r="AC245" t="n">
        <v>0.2167143151111792</v>
      </c>
      <c r="AD245" t="n">
        <v>0.1537892159395333</v>
      </c>
      <c r="AE245" t="n">
        <v>0.1055900392496074</v>
      </c>
      <c r="AF245" t="n">
        <v>0.0685226690520518</v>
      </c>
      <c r="AG245" t="n">
        <v>0.03986253841996139</v>
      </c>
      <c r="AH245" t="n">
        <v>0.01754387345649867</v>
      </c>
      <c r="AI245" t="n">
        <v>0</v>
      </c>
    </row>
    <row r="246">
      <c r="A246" t="inlineStr">
        <is>
          <t>Dominica_2023_May</t>
        </is>
      </c>
      <c r="B246" s="2" t="n"/>
      <c r="C246" s="3" t="inlineStr">
        <is>
          <t>SM.23.127, Sup. 1</t>
        </is>
      </c>
      <c r="D246" s="4" t="inlineStr">
        <is>
          <t>Dominica</t>
        </is>
      </c>
      <c r="E246" s="4" t="inlineStr">
        <is>
          <t>DMA</t>
        </is>
      </c>
      <c r="F246" s="10" t="n">
        <v>45047</v>
      </c>
      <c r="G246" s="4" t="inlineStr">
        <is>
          <t>2018gn</t>
        </is>
      </c>
      <c r="H246" s="4" t="n">
        <v>2022</v>
      </c>
      <c r="I246" s="4" t="inlineStr">
        <is>
          <t>pv.old.dbt.pc2</t>
        </is>
      </c>
      <c r="J246" t="inlineStr">
        <is>
          <t>PC2</t>
        </is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</row>
    <row r="247">
      <c r="A247" t="inlineStr">
        <is>
          <t>Dominica_2023_May</t>
        </is>
      </c>
      <c r="B247" s="2" t="n"/>
      <c r="C247" s="3" t="inlineStr">
        <is>
          <t>SM.23.127, Sup. 1</t>
        </is>
      </c>
      <c r="D247" s="4" t="inlineStr">
        <is>
          <t>Dominica</t>
        </is>
      </c>
      <c r="E247" s="4" t="inlineStr">
        <is>
          <t>DMA</t>
        </is>
      </c>
      <c r="F247" s="10" t="n">
        <v>45047</v>
      </c>
      <c r="G247" s="4" t="inlineStr">
        <is>
          <t>2018gn</t>
        </is>
      </c>
      <c r="H247" s="4" t="n">
        <v>2022</v>
      </c>
      <c r="I247" s="4" t="inlineStr">
        <is>
          <t>pv.old.dbt.pc3</t>
        </is>
      </c>
      <c r="J247" t="inlineStr">
        <is>
          <t>PC3</t>
        </is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</row>
    <row r="248">
      <c r="A248" t="inlineStr">
        <is>
          <t>Dominica_2023_May</t>
        </is>
      </c>
      <c r="B248" s="2" t="n"/>
      <c r="C248" s="3" t="inlineStr">
        <is>
          <t>SM.23.127, Sup. 1</t>
        </is>
      </c>
      <c r="D248" s="4" t="inlineStr">
        <is>
          <t>Dominica</t>
        </is>
      </c>
      <c r="E248" s="4" t="inlineStr">
        <is>
          <t>DMA</t>
        </is>
      </c>
      <c r="F248" s="10" t="n">
        <v>45047</v>
      </c>
      <c r="G248" s="4" t="inlineStr">
        <is>
          <t>2018gn</t>
        </is>
      </c>
      <c r="H248" s="4" t="n">
        <v>2022</v>
      </c>
      <c r="I248" s="4" t="inlineStr">
        <is>
          <t>pv.old.dbt.pc4</t>
        </is>
      </c>
      <c r="J248" t="inlineStr">
        <is>
          <t>PC4</t>
        </is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</row>
    <row r="249">
      <c r="A249" t="inlineStr">
        <is>
          <t>Dominica_2023_May</t>
        </is>
      </c>
      <c r="B249" s="2" t="n"/>
      <c r="C249" s="3" t="inlineStr">
        <is>
          <t>SM.23.127, Sup. 1</t>
        </is>
      </c>
      <c r="D249" s="4" t="inlineStr">
        <is>
          <t>Dominica</t>
        </is>
      </c>
      <c r="E249" s="4" t="inlineStr">
        <is>
          <t>DMA</t>
        </is>
      </c>
      <c r="F249" s="10" t="n">
        <v>45047</v>
      </c>
      <c r="G249" s="4" t="inlineStr">
        <is>
          <t>2018gn</t>
        </is>
      </c>
      <c r="H249" s="4" t="n">
        <v>2022</v>
      </c>
      <c r="I249" s="4" t="inlineStr">
        <is>
          <t>pv.old.dbt.pc5</t>
        </is>
      </c>
      <c r="J249" t="inlineStr">
        <is>
          <t>PC5</t>
        </is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</row>
    <row r="250">
      <c r="A250" t="inlineStr">
        <is>
          <t>Dominica_2023_May</t>
        </is>
      </c>
      <c r="B250" s="2" t="n"/>
      <c r="C250" s="3" t="inlineStr">
        <is>
          <t>SM.23.127, Sup. 1</t>
        </is>
      </c>
      <c r="D250" s="4" t="inlineStr">
        <is>
          <t>Dominica</t>
        </is>
      </c>
      <c r="E250" s="4" t="inlineStr">
        <is>
          <t>DMA</t>
        </is>
      </c>
      <c r="F250" s="10" t="n">
        <v>45047</v>
      </c>
      <c r="G250" s="4" t="inlineStr">
        <is>
          <t>2018gn</t>
        </is>
      </c>
      <c r="H250" s="4" t="n">
        <v>2022</v>
      </c>
      <c r="I250" s="4" t="inlineStr">
        <is>
          <t>pv.old.dbt.npc</t>
        </is>
      </c>
      <c r="J250" t="inlineStr">
        <is>
          <t xml:space="preserve">   Non-Paris Club</t>
        </is>
      </c>
      <c r="N250" t="n">
        <v>25.98885732525866</v>
      </c>
      <c r="O250" t="n">
        <v>25.09422446536116</v>
      </c>
      <c r="P250" t="n">
        <v>21.26269312987354</v>
      </c>
      <c r="Q250" t="n">
        <v>18.47239957339202</v>
      </c>
      <c r="R250" t="n">
        <v>16.01354265855714</v>
      </c>
      <c r="S250" t="n">
        <v>13.82391912614919</v>
      </c>
      <c r="T250" t="n">
        <v>11.85308417144868</v>
      </c>
      <c r="U250" t="n">
        <v>10.05602519944293</v>
      </c>
      <c r="V250" t="n">
        <v>8.498945164748756</v>
      </c>
      <c r="W250" t="n">
        <v>7.082366047775137</v>
      </c>
      <c r="X250" t="n">
        <v>5.78339562817572</v>
      </c>
      <c r="Y250" t="n">
        <v>4.584718924772935</v>
      </c>
      <c r="Z250" t="n">
        <v>3.473705195217069</v>
      </c>
      <c r="AA250" t="n">
        <v>2.442541796479601</v>
      </c>
      <c r="AB250" t="n">
        <v>1.467206655916734</v>
      </c>
      <c r="AC250" t="n">
        <v>0.5375689338196988</v>
      </c>
      <c r="AD250" t="n">
        <v>-0.3549727406537404</v>
      </c>
      <c r="AE250" t="n">
        <v>-1.218149287496731</v>
      </c>
      <c r="AF250" t="n">
        <v>-0.05949680004135538</v>
      </c>
      <c r="AG250" t="n">
        <v>1.213490262619816</v>
      </c>
      <c r="AH250" t="n">
        <v>0.5998857810235015</v>
      </c>
      <c r="AI250" t="n">
        <v>0</v>
      </c>
    </row>
    <row r="251">
      <c r="A251" t="inlineStr">
        <is>
          <t>Dominica_2023_May</t>
        </is>
      </c>
      <c r="B251" s="2" t="n"/>
      <c r="C251" s="3" t="inlineStr">
        <is>
          <t>SM.23.127, Sup. 1</t>
        </is>
      </c>
      <c r="D251" s="4" t="inlineStr">
        <is>
          <t>Dominica</t>
        </is>
      </c>
      <c r="E251" s="4" t="inlineStr">
        <is>
          <t>DMA</t>
        </is>
      </c>
      <c r="F251" s="10" t="n">
        <v>45047</v>
      </c>
      <c r="G251" s="4" t="inlineStr">
        <is>
          <t>2018gn</t>
        </is>
      </c>
      <c r="H251" s="4" t="n">
        <v>2022</v>
      </c>
      <c r="I251" s="4" t="inlineStr">
        <is>
          <t>pv.old.dbt.npc.eximbk</t>
        </is>
      </c>
      <c r="J251" t="inlineStr">
        <is>
          <t>NPC2</t>
        </is>
      </c>
      <c r="N251" t="n">
        <v>0.1997877307570094</v>
      </c>
      <c r="O251" t="n">
        <v>0.1840471543318969</v>
      </c>
      <c r="P251" t="n">
        <v>0.1430182157521954</v>
      </c>
      <c r="Q251" t="n">
        <v>0.1111018181967793</v>
      </c>
      <c r="R251" t="n">
        <v>0.08627237409151062</v>
      </c>
      <c r="S251" t="n">
        <v>0.06695447050184251</v>
      </c>
      <c r="T251" t="n">
        <v>0.05192281630515418</v>
      </c>
      <c r="U251" t="n">
        <v>0.04022442622926538</v>
      </c>
      <c r="V251" t="n">
        <v>0.03111809957522836</v>
      </c>
      <c r="W251" t="n">
        <v>0.02402734985042393</v>
      </c>
      <c r="X251" t="n">
        <v>0.01850379582295663</v>
      </c>
      <c r="Y251" t="n">
        <v>0.01419868892706846</v>
      </c>
      <c r="Z251" t="n">
        <v>0.01084076869986036</v>
      </c>
      <c r="AA251" t="n">
        <v>0.008219039831512573</v>
      </c>
      <c r="AB251" t="n">
        <v>0.006169376989735542</v>
      </c>
      <c r="AC251" t="n">
        <v>0.004564106686623551</v>
      </c>
      <c r="AD251" t="n">
        <v>0.003303904532490017</v>
      </c>
      <c r="AE251" t="n">
        <v>0.002311493275122438</v>
      </c>
      <c r="AF251" t="n">
        <v>0.001526741393785214</v>
      </c>
      <c r="AG251" t="n">
        <v>0.000902850969063458</v>
      </c>
      <c r="AH251" t="n">
        <v>0.0004033927317225219</v>
      </c>
      <c r="AI251" t="n">
        <v>0</v>
      </c>
    </row>
    <row r="252">
      <c r="A252" t="inlineStr">
        <is>
          <t>Dominica_2023_May</t>
        </is>
      </c>
      <c r="B252" s="2" t="n"/>
      <c r="C252" s="3" t="inlineStr">
        <is>
          <t>SM.23.127, Sup. 1</t>
        </is>
      </c>
      <c r="D252" s="4" t="inlineStr">
        <is>
          <t>Dominica</t>
        </is>
      </c>
      <c r="E252" s="4" t="inlineStr">
        <is>
          <t>DMA</t>
        </is>
      </c>
      <c r="F252" s="10" t="n">
        <v>45047</v>
      </c>
      <c r="G252" s="4" t="inlineStr">
        <is>
          <t>2018gn</t>
        </is>
      </c>
      <c r="H252" s="4" t="n">
        <v>2022</v>
      </c>
      <c r="I252" s="4" t="inlineStr">
        <is>
          <t>pv.old.dbt.npc2</t>
        </is>
      </c>
      <c r="J252" t="inlineStr">
        <is>
          <t>NPC2</t>
        </is>
      </c>
      <c r="N252" t="n">
        <v>0.4293756177038718</v>
      </c>
      <c r="O252" t="n">
        <v>0.2883298059964724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</row>
    <row r="253">
      <c r="A253" t="inlineStr">
        <is>
          <t>Dominica_2023_May</t>
        </is>
      </c>
      <c r="B253" s="2" t="n"/>
      <c r="C253" s="3" t="inlineStr">
        <is>
          <t>SM.23.127, Sup. 1</t>
        </is>
      </c>
      <c r="D253" s="4" t="inlineStr">
        <is>
          <t>Dominica</t>
        </is>
      </c>
      <c r="E253" s="4" t="inlineStr">
        <is>
          <t>DMA</t>
        </is>
      </c>
      <c r="F253" s="10" t="n">
        <v>45047</v>
      </c>
      <c r="G253" s="4" t="inlineStr">
        <is>
          <t>2018gn</t>
        </is>
      </c>
      <c r="H253" s="4" t="n">
        <v>2022</v>
      </c>
      <c r="I253" s="4" t="inlineStr">
        <is>
          <t>pv.old.dbt.npc3</t>
        </is>
      </c>
      <c r="J253" t="inlineStr">
        <is>
          <t>NPC3</t>
        </is>
      </c>
      <c r="N253" t="n">
        <v>19.80460898641651</v>
      </c>
      <c r="O253" t="n">
        <v>18.89472599129289</v>
      </c>
      <c r="P253" t="n">
        <v>16.08419269826495</v>
      </c>
      <c r="Q253" t="n">
        <v>13.67960689534008</v>
      </c>
      <c r="R253" t="n">
        <v>11.62174197227312</v>
      </c>
      <c r="S253" t="n">
        <v>9.859982473657626</v>
      </c>
      <c r="T253" t="n">
        <v>8.351070606030483</v>
      </c>
      <c r="U253" t="n">
        <v>7.058035136664806</v>
      </c>
      <c r="V253" t="n">
        <v>5.949276141104847</v>
      </c>
      <c r="W253" t="n">
        <v>4.997782919030181</v>
      </c>
      <c r="X253" t="n">
        <v>4.180465698484549</v>
      </c>
      <c r="Y253" t="n">
        <v>3.477584568662453</v>
      </c>
      <c r="Z253" t="n">
        <v>2.872261491206723</v>
      </c>
      <c r="AA253" t="n">
        <v>2.350063299055067</v>
      </c>
      <c r="AB253" t="n">
        <v>1.898645351313037</v>
      </c>
      <c r="AC253" t="n">
        <v>1.507447016030421</v>
      </c>
      <c r="AD253" t="n">
        <v>1.167431437376766</v>
      </c>
      <c r="AE253" t="n">
        <v>0.8708631413868556</v>
      </c>
      <c r="AF253" t="n">
        <v>0.6111179723827255</v>
      </c>
      <c r="AG253" t="n">
        <v>0.3825206536206718</v>
      </c>
      <c r="AH253" t="n">
        <v>0.1802059505222724</v>
      </c>
      <c r="AI253" t="n">
        <v>0</v>
      </c>
    </row>
    <row r="254">
      <c r="A254" t="inlineStr">
        <is>
          <t>Dominica_2023_May</t>
        </is>
      </c>
      <c r="B254" s="2" t="n"/>
      <c r="C254" s="3" t="inlineStr">
        <is>
          <t>SM.23.127, Sup. 1</t>
        </is>
      </c>
      <c r="D254" s="4" t="inlineStr">
        <is>
          <t>Dominica</t>
        </is>
      </c>
      <c r="E254" s="4" t="inlineStr">
        <is>
          <t>DMA</t>
        </is>
      </c>
      <c r="F254" s="10" t="n">
        <v>45047</v>
      </c>
      <c r="G254" s="4" t="inlineStr">
        <is>
          <t>2018gn</t>
        </is>
      </c>
      <c r="H254" s="4" t="n">
        <v>2022</v>
      </c>
      <c r="I254" s="4" t="inlineStr">
        <is>
          <t>pv.old.dbt.npc4</t>
        </is>
      </c>
      <c r="J254" t="inlineStr">
        <is>
          <t>NPC4</t>
        </is>
      </c>
      <c r="N254" t="n">
        <v>0.005789351277233993</v>
      </c>
      <c r="O254" t="n">
        <v>0.005584351939920193</v>
      </c>
      <c r="P254" t="n">
        <v>0.005369121892344642</v>
      </c>
      <c r="Q254" t="n">
        <v>0.00514314959899425</v>
      </c>
      <c r="R254" t="n">
        <v>0.004905897947580279</v>
      </c>
      <c r="S254" t="n">
        <v>0.004656802970199546</v>
      </c>
      <c r="T254" t="n">
        <v>0.004395272500553716</v>
      </c>
      <c r="U254" t="n">
        <v>0.004120684764029533</v>
      </c>
      <c r="V254" t="n">
        <v>0.003832386897283077</v>
      </c>
      <c r="W254" t="n">
        <v>0.003529693393803237</v>
      </c>
      <c r="X254" t="n">
        <v>0.003211884471753344</v>
      </c>
      <c r="Y254" t="n">
        <v>0.002878204360204894</v>
      </c>
      <c r="Z254" t="n">
        <v>0.002529765903472848</v>
      </c>
      <c r="AA254" t="n">
        <v>0.0021639055239042</v>
      </c>
      <c r="AB254" t="n">
        <v>0.001779752125357119</v>
      </c>
      <c r="AC254" t="n">
        <v>0.001376391056882684</v>
      </c>
      <c r="AD254" t="n">
        <v>0.0009528619349845272</v>
      </c>
      <c r="AE254" t="n">
        <v>0.0005081563569914628</v>
      </c>
      <c r="AF254" t="n">
        <v>0</v>
      </c>
      <c r="AG254" t="n">
        <v>0</v>
      </c>
      <c r="AH254" t="n">
        <v>0</v>
      </c>
      <c r="AI254" t="n">
        <v>0</v>
      </c>
    </row>
    <row r="255">
      <c r="A255" t="inlineStr">
        <is>
          <t>Dominica_2023_May</t>
        </is>
      </c>
      <c r="B255" s="2" t="n"/>
      <c r="C255" s="3" t="inlineStr">
        <is>
          <t>SM.23.127, Sup. 1</t>
        </is>
      </c>
      <c r="D255" s="4" t="inlineStr">
        <is>
          <t>Dominica</t>
        </is>
      </c>
      <c r="E255" s="4" t="inlineStr">
        <is>
          <t>DMA</t>
        </is>
      </c>
      <c r="F255" s="10" t="n">
        <v>45047</v>
      </c>
      <c r="G255" s="4" t="inlineStr">
        <is>
          <t>2018gn</t>
        </is>
      </c>
      <c r="H255" s="4" t="n">
        <v>2022</v>
      </c>
      <c r="I255" s="4" t="inlineStr">
        <is>
          <t>pv.old.dbt.npc5</t>
        </is>
      </c>
      <c r="J255" t="inlineStr">
        <is>
          <t>NPC5</t>
        </is>
      </c>
      <c r="N255" t="n">
        <v>5.549295639104038</v>
      </c>
      <c r="O255" t="n">
        <v>5.721537161799979</v>
      </c>
      <c r="P255" t="n">
        <v>5.030113093964051</v>
      </c>
      <c r="Q255" t="n">
        <v>4.676547710256173</v>
      </c>
      <c r="R255" t="n">
        <v>4.300622414244925</v>
      </c>
      <c r="S255" t="n">
        <v>3.892325379019523</v>
      </c>
      <c r="T255" t="n">
        <v>3.445695476612491</v>
      </c>
      <c r="U255" t="n">
        <v>2.953644951784828</v>
      </c>
      <c r="V255" t="n">
        <v>2.514718537171397</v>
      </c>
      <c r="W255" t="n">
        <v>2.057026085500729</v>
      </c>
      <c r="X255" t="n">
        <v>1.58121424939646</v>
      </c>
      <c r="Y255" t="n">
        <v>1.090057462823208</v>
      </c>
      <c r="Z255" t="n">
        <v>0.5880731694070132</v>
      </c>
      <c r="AA255" t="n">
        <v>0.08209555206911748</v>
      </c>
      <c r="AB255" t="n">
        <v>-0.4393878245113957</v>
      </c>
      <c r="AC255" t="n">
        <v>-0.9758185799542284</v>
      </c>
      <c r="AD255" t="n">
        <v>-1.526660944497981</v>
      </c>
      <c r="AE255" t="n">
        <v>-2.091832078515701</v>
      </c>
      <c r="AF255" t="n">
        <v>-0.672141513817866</v>
      </c>
      <c r="AG255" t="n">
        <v>0.8300667580300806</v>
      </c>
      <c r="AH255" t="n">
        <v>0.4192764377695067</v>
      </c>
      <c r="AI255" t="n">
        <v>0</v>
      </c>
    </row>
    <row r="256">
      <c r="A256" t="inlineStr">
        <is>
          <t>Dominica_2023_May</t>
        </is>
      </c>
      <c r="B256" s="2" t="n"/>
      <c r="C256" s="3" t="inlineStr">
        <is>
          <t>SM.23.127, Sup. 1</t>
        </is>
      </c>
      <c r="D256" s="4" t="inlineStr">
        <is>
          <t>Dominica</t>
        </is>
      </c>
      <c r="E256" s="4" t="inlineStr">
        <is>
          <t>DMA</t>
        </is>
      </c>
      <c r="F256" s="10" t="n">
        <v>45047</v>
      </c>
      <c r="G256" s="4" t="inlineStr">
        <is>
          <t>2018gn</t>
        </is>
      </c>
      <c r="H256" s="4" t="n">
        <v>2022</v>
      </c>
      <c r="I256" s="4" t="inlineStr">
        <is>
          <t>pv.old.dbt.prvt</t>
        </is>
      </c>
      <c r="J256" t="inlineStr">
        <is>
          <t>Commercial</t>
        </is>
      </c>
      <c r="N256" t="n">
        <v>41.35686100533373</v>
      </c>
      <c r="O256" t="n">
        <v>39.77818848998466</v>
      </c>
      <c r="P256" t="n">
        <v>36.71637856843503</v>
      </c>
      <c r="Q256" t="n">
        <v>32.94164947418273</v>
      </c>
      <c r="R256" t="n">
        <v>29.9715419475844</v>
      </c>
      <c r="S256" t="n">
        <v>27.0724987080171</v>
      </c>
      <c r="T256" t="n">
        <v>24.17128252751038</v>
      </c>
      <c r="U256" t="n">
        <v>20.98628929590617</v>
      </c>
      <c r="V256" t="n">
        <v>17.77059860791677</v>
      </c>
      <c r="W256" t="n">
        <v>14.65425281190626</v>
      </c>
      <c r="X256" t="n">
        <v>11.49608279643596</v>
      </c>
      <c r="Y256" t="n">
        <v>8.273362500271711</v>
      </c>
      <c r="Z256" t="n">
        <v>4.858061712291009</v>
      </c>
      <c r="AA256" t="n">
        <v>3.076033854908049</v>
      </c>
      <c r="AB256" t="n">
        <v>2.659665165482872</v>
      </c>
      <c r="AC256" t="n">
        <v>2.254822290794471</v>
      </c>
      <c r="AD256" t="n">
        <v>1.860246718353239</v>
      </c>
      <c r="AE256" t="n">
        <v>1.474721093551805</v>
      </c>
      <c r="AF256" t="n">
        <v>1.097065373178661</v>
      </c>
      <c r="AG256" t="n">
        <v>0.7261331215472674</v>
      </c>
      <c r="AH256" t="n">
        <v>0.3608079373711657</v>
      </c>
      <c r="AI256" t="n">
        <v>0</v>
      </c>
      <c r="BI256" t="inlineStr">
        <is>
          <t>PV_OLD_COM</t>
        </is>
      </c>
    </row>
    <row r="257">
      <c r="A257" t="inlineStr">
        <is>
          <t>Dominica_2023_May</t>
        </is>
      </c>
      <c r="B257" s="2" t="n"/>
      <c r="C257" s="3" t="inlineStr">
        <is>
          <t>SM.23.127, Sup. 1</t>
        </is>
      </c>
      <c r="D257" s="4" t="inlineStr">
        <is>
          <t>Dominica</t>
        </is>
      </c>
      <c r="E257" s="4" t="inlineStr">
        <is>
          <t>DMA</t>
        </is>
      </c>
      <c r="F257" s="10" t="n">
        <v>45047</v>
      </c>
      <c r="G257" s="4" t="inlineStr">
        <is>
          <t>2018gn</t>
        </is>
      </c>
      <c r="H257" s="4" t="n">
        <v>2022</v>
      </c>
      <c r="I257" s="4" t="inlineStr">
        <is>
          <t>pv.old.dbt.prvt.bnd</t>
        </is>
      </c>
      <c r="J257" t="inlineStr">
        <is>
          <t>Eurobond</t>
        </is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</row>
    <row r="258">
      <c r="A258" t="inlineStr">
        <is>
          <t>Dominica_2023_May</t>
        </is>
      </c>
      <c r="B258" s="2" t="n"/>
      <c r="C258" s="3" t="inlineStr">
        <is>
          <t>SM.23.127, Sup. 1</t>
        </is>
      </c>
      <c r="D258" s="4" t="inlineStr">
        <is>
          <t>Dominica</t>
        </is>
      </c>
      <c r="E258" s="4" t="inlineStr">
        <is>
          <t>DMA</t>
        </is>
      </c>
      <c r="F258" s="10" t="n">
        <v>45047</v>
      </c>
      <c r="G258" s="4" t="inlineStr">
        <is>
          <t>2018gn</t>
        </is>
      </c>
      <c r="H258" s="4" t="n">
        <v>2022</v>
      </c>
      <c r="I258" s="4" t="inlineStr">
        <is>
          <t>pv.old.dbt.prvt.cmbk</t>
        </is>
      </c>
      <c r="J258" t="inlineStr">
        <is>
          <t>Commecial Bank</t>
        </is>
      </c>
      <c r="N258" t="n">
        <v>41.35686100533373</v>
      </c>
      <c r="O258" t="n">
        <v>39.77818848998466</v>
      </c>
      <c r="P258" t="n">
        <v>36.71637856843503</v>
      </c>
      <c r="Q258" t="n">
        <v>32.94164947418273</v>
      </c>
      <c r="R258" t="n">
        <v>29.9715419475844</v>
      </c>
      <c r="S258" t="n">
        <v>27.0724987080171</v>
      </c>
      <c r="T258" t="n">
        <v>24.17128252751038</v>
      </c>
      <c r="U258" t="n">
        <v>20.98628929590617</v>
      </c>
      <c r="V258" t="n">
        <v>17.77059860791677</v>
      </c>
      <c r="W258" t="n">
        <v>14.65425281190626</v>
      </c>
      <c r="X258" t="n">
        <v>11.49608279643596</v>
      </c>
      <c r="Y258" t="n">
        <v>8.273362500271711</v>
      </c>
      <c r="Z258" t="n">
        <v>4.858061712291009</v>
      </c>
      <c r="AA258" t="n">
        <v>3.076033854908049</v>
      </c>
      <c r="AB258" t="n">
        <v>2.659665165482872</v>
      </c>
      <c r="AC258" t="n">
        <v>2.254822290794471</v>
      </c>
      <c r="AD258" t="n">
        <v>1.860246718353239</v>
      </c>
      <c r="AE258" t="n">
        <v>1.474721093551805</v>
      </c>
      <c r="AF258" t="n">
        <v>1.097065373178661</v>
      </c>
      <c r="AG258" t="n">
        <v>0.7261331215472674</v>
      </c>
      <c r="AH258" t="n">
        <v>0.3608079373711657</v>
      </c>
      <c r="AI258" t="n">
        <v>0</v>
      </c>
    </row>
    <row r="259">
      <c r="A259" t="inlineStr">
        <is>
          <t>Dominica_2023_May</t>
        </is>
      </c>
      <c r="B259" s="2" t="n"/>
      <c r="C259" s="3" t="inlineStr">
        <is>
          <t>SM.23.127, Sup. 1</t>
        </is>
      </c>
      <c r="D259" s="4" t="inlineStr">
        <is>
          <t>Dominica</t>
        </is>
      </c>
      <c r="E259" s="4" t="inlineStr">
        <is>
          <t>DMA</t>
        </is>
      </c>
      <c r="F259" s="10" t="n">
        <v>45047</v>
      </c>
      <c r="G259" s="4" t="inlineStr">
        <is>
          <t>2018gn</t>
        </is>
      </c>
      <c r="H259" s="4" t="n">
        <v>2022</v>
      </c>
      <c r="I259" s="4" t="inlineStr">
        <is>
          <t>pv.old.dbt.prvt.com3</t>
        </is>
      </c>
      <c r="J259" t="inlineStr">
        <is>
          <t>COM3</t>
        </is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</row>
    <row r="260">
      <c r="A260" t="inlineStr">
        <is>
          <t>Dominica_2023_May</t>
        </is>
      </c>
      <c r="B260" s="2" t="n"/>
      <c r="C260" s="3" t="inlineStr">
        <is>
          <t>SM.23.127, Sup. 1</t>
        </is>
      </c>
      <c r="D260" s="4" t="inlineStr">
        <is>
          <t>Dominica</t>
        </is>
      </c>
      <c r="E260" s="4" t="inlineStr">
        <is>
          <t>DMA</t>
        </is>
      </c>
      <c r="F260" s="10" t="n">
        <v>45047</v>
      </c>
      <c r="G260" s="4" t="inlineStr">
        <is>
          <t>2018gn</t>
        </is>
      </c>
      <c r="H260" s="4" t="n">
        <v>2022</v>
      </c>
      <c r="I260" s="4" t="inlineStr">
        <is>
          <t>pv.old.dbt.prvt.com4</t>
        </is>
      </c>
      <c r="J260" t="inlineStr">
        <is>
          <t>COM4</t>
        </is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</row>
    <row r="261">
      <c r="A261" t="inlineStr">
        <is>
          <t>Dominica_2023_May</t>
        </is>
      </c>
      <c r="B261" s="2" t="n"/>
      <c r="C261" s="3" t="inlineStr">
        <is>
          <t>SM.23.127, Sup. 1</t>
        </is>
      </c>
      <c r="D261" s="4" t="inlineStr">
        <is>
          <t>Dominica</t>
        </is>
      </c>
      <c r="E261" s="4" t="inlineStr">
        <is>
          <t>DMA</t>
        </is>
      </c>
      <c r="F261" s="10" t="n">
        <v>45047</v>
      </c>
      <c r="G261" s="4" t="inlineStr">
        <is>
          <t>2018gn</t>
        </is>
      </c>
      <c r="H261" s="4" t="n">
        <v>2022</v>
      </c>
      <c r="I261" s="4" t="inlineStr">
        <is>
          <t>pv.old.dbt.prvt.com5</t>
        </is>
      </c>
      <c r="J261" t="inlineStr">
        <is>
          <t>COM5</t>
        </is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</row>
    <row r="262">
      <c r="A262" t="inlineStr">
        <is>
          <t>Dominica_2023_May</t>
        </is>
      </c>
      <c r="B262" s="2" t="n"/>
      <c r="C262" s="3" t="inlineStr">
        <is>
          <t>SM.23.127, Sup. 1</t>
        </is>
      </c>
      <c r="D262" s="4" t="inlineStr">
        <is>
          <t>Dominica</t>
        </is>
      </c>
      <c r="E262" s="4" t="inlineStr">
        <is>
          <t>DMA</t>
        </is>
      </c>
      <c r="F262" s="10" t="n">
        <v>45047</v>
      </c>
      <c r="G262" s="4" t="inlineStr">
        <is>
          <t>2018gn</t>
        </is>
      </c>
      <c r="H262" s="4" t="n">
        <v>2022</v>
      </c>
      <c r="I262" s="4" t="inlineStr">
        <is>
          <t>pv.old.dbt.lcl.iss</t>
        </is>
      </c>
      <c r="J262" t="inlineStr">
        <is>
          <t>Locally-issued debt</t>
        </is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</row>
    <row r="263">
      <c r="A263" t="inlineStr">
        <is>
          <t>Dominica_2023_May</t>
        </is>
      </c>
      <c r="B263" s="2" t="n"/>
      <c r="C263" s="3" t="inlineStr">
        <is>
          <t>SM.23.127, Sup. 1</t>
        </is>
      </c>
      <c r="D263" s="4" t="inlineStr">
        <is>
          <t>Dominica</t>
        </is>
      </c>
      <c r="E263" s="4" t="inlineStr">
        <is>
          <t>DMA</t>
        </is>
      </c>
      <c r="F263" s="10" t="n">
        <v>45047</v>
      </c>
      <c r="G263" s="4" t="inlineStr">
        <is>
          <t>2018gn</t>
        </is>
      </c>
      <c r="H263" s="4" t="n">
        <v>2022</v>
      </c>
      <c r="I263" s="5" t="n"/>
      <c r="J263" t="inlineStr">
        <is>
          <t>Assumed that a grant element is zero for old locally-issued debt</t>
        </is>
      </c>
    </row>
    <row r="264">
      <c r="A264" t="inlineStr">
        <is>
          <t>Dominica_2023_May</t>
        </is>
      </c>
      <c r="B264" s="2" t="n"/>
      <c r="C264" s="3" t="inlineStr">
        <is>
          <t>SM.23.127, Sup. 1</t>
        </is>
      </c>
      <c r="D264" s="4" t="inlineStr">
        <is>
          <t>Dominica</t>
        </is>
      </c>
      <c r="E264" s="4" t="inlineStr">
        <is>
          <t>DMA</t>
        </is>
      </c>
      <c r="F264" s="10" t="n">
        <v>45047</v>
      </c>
      <c r="G264" s="4" t="inlineStr">
        <is>
          <t>2018gn</t>
        </is>
      </c>
      <c r="H264" s="4" t="n">
        <v>2022</v>
      </c>
      <c r="I264" s="5" t="n"/>
    </row>
    <row r="265">
      <c r="A265" t="inlineStr">
        <is>
          <t>Dominica_2023_May</t>
        </is>
      </c>
      <c r="B265" s="2" t="n"/>
      <c r="C265" s="3" t="inlineStr">
        <is>
          <t>SM.23.127, Sup. 1</t>
        </is>
      </c>
      <c r="D265" s="4" t="inlineStr">
        <is>
          <t>Dominica</t>
        </is>
      </c>
      <c r="E265" s="4" t="inlineStr">
        <is>
          <t>DMA</t>
        </is>
      </c>
      <c r="F265" s="10" t="n">
        <v>45047</v>
      </c>
      <c r="G265" s="4" t="inlineStr">
        <is>
          <t>2018gn</t>
        </is>
      </c>
      <c r="H265" s="4" t="n">
        <v>2022</v>
      </c>
      <c r="I265" s="4" t="inlineStr">
        <is>
          <t>pv.out.arr</t>
        </is>
      </c>
      <c r="J265" t="inlineStr">
        <is>
          <t>PV of existing arrears</t>
        </is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BI265" t="inlineStr">
        <is>
          <t>PV_ARREARS</t>
        </is>
      </c>
    </row>
    <row r="266">
      <c r="A266" t="inlineStr">
        <is>
          <t>Dominica_2023_May</t>
        </is>
      </c>
      <c r="B266" s="2" t="n"/>
      <c r="C266" s="3" t="inlineStr">
        <is>
          <t>SM.23.127, Sup. 1</t>
        </is>
      </c>
      <c r="D266" s="4" t="inlineStr">
        <is>
          <t>Dominica</t>
        </is>
      </c>
      <c r="E266" s="4" t="inlineStr">
        <is>
          <t>DMA</t>
        </is>
      </c>
      <c r="F266" s="10" t="n">
        <v>45047</v>
      </c>
      <c r="G266" s="4" t="inlineStr">
        <is>
          <t>2018gn</t>
        </is>
      </c>
      <c r="H266" s="4" t="n">
        <v>2022</v>
      </c>
      <c r="I266" s="5" t="n"/>
      <c r="M266" t="n">
        <v>-2</v>
      </c>
    </row>
    <row r="267">
      <c r="A267" t="inlineStr">
        <is>
          <t>Dominica_2023_May</t>
        </is>
      </c>
      <c r="B267" s="2" t="n"/>
      <c r="C267" s="3" t="inlineStr">
        <is>
          <t>SM.23.127, Sup. 1</t>
        </is>
      </c>
      <c r="D267" s="4" t="inlineStr">
        <is>
          <t>Dominica</t>
        </is>
      </c>
      <c r="E267" s="4" t="inlineStr">
        <is>
          <t>DMA</t>
        </is>
      </c>
      <c r="F267" s="10" t="n">
        <v>45047</v>
      </c>
      <c r="G267" s="4" t="inlineStr">
        <is>
          <t>2018gn</t>
        </is>
      </c>
      <c r="H267" s="4" t="n">
        <v>2022</v>
      </c>
      <c r="I267" s="4" t="inlineStr">
        <is>
          <t>pv.new.dbt.mlg.trm</t>
        </is>
      </c>
      <c r="J267" t="inlineStr">
        <is>
          <t>PV of new MLT debt</t>
        </is>
      </c>
      <c r="O267" t="n">
        <v>12.65951641460785</v>
      </c>
      <c r="P267" t="n">
        <v>32.97763889205638</v>
      </c>
      <c r="Q267" t="n">
        <v>58.97772555499486</v>
      </c>
      <c r="R267" t="n">
        <v>88.09279920114191</v>
      </c>
      <c r="S267" t="n">
        <v>119.6521508049245</v>
      </c>
      <c r="T267" t="n">
        <v>153.2868039644036</v>
      </c>
      <c r="U267" t="n">
        <v>188.3290483469804</v>
      </c>
      <c r="V267" t="n">
        <v>225.0523989016678</v>
      </c>
      <c r="W267" t="n">
        <v>253.1468952049436</v>
      </c>
      <c r="X267" t="n">
        <v>334.8495949916641</v>
      </c>
      <c r="Y267" t="n">
        <v>357.0602635243296</v>
      </c>
      <c r="Z267" t="n">
        <v>368.6870318813456</v>
      </c>
      <c r="AA267" t="n">
        <v>379.959307642152</v>
      </c>
      <c r="AB267" t="n">
        <v>389.709968957726</v>
      </c>
      <c r="AC267" t="n">
        <v>397.4629804022871</v>
      </c>
      <c r="AD267" t="n">
        <v>387.5747471623264</v>
      </c>
      <c r="AE267" t="n">
        <v>375.5013470942133</v>
      </c>
      <c r="AF267" t="n">
        <v>353.1014131093779</v>
      </c>
      <c r="AG267" t="n">
        <v>328.3595358787343</v>
      </c>
      <c r="AH267" t="n">
        <v>301.9848124096789</v>
      </c>
      <c r="AI267" t="n">
        <v>290.33471929597</v>
      </c>
      <c r="BI267" t="inlineStr">
        <is>
          <t>PV_NEW_MLT</t>
        </is>
      </c>
    </row>
    <row r="268">
      <c r="A268" t="inlineStr">
        <is>
          <t>Dominica_2023_May</t>
        </is>
      </c>
      <c r="B268" s="2" t="n"/>
      <c r="C268" s="3" t="inlineStr">
        <is>
          <t>SM.23.127, Sup. 1</t>
        </is>
      </c>
      <c r="D268" s="4" t="inlineStr">
        <is>
          <t>Dominica</t>
        </is>
      </c>
      <c r="E268" s="4" t="inlineStr">
        <is>
          <t>DMA</t>
        </is>
      </c>
      <c r="F268" s="10" t="n">
        <v>45047</v>
      </c>
      <c r="G268" s="4" t="inlineStr">
        <is>
          <t>2018gn</t>
        </is>
      </c>
      <c r="H268" s="4" t="n">
        <v>2022</v>
      </c>
      <c r="I268" s="4" t="inlineStr">
        <is>
          <t>pv.new.dbt.mlt</t>
        </is>
      </c>
      <c r="J268" t="inlineStr">
        <is>
          <t>Multilaterals</t>
        </is>
      </c>
      <c r="O268" t="n">
        <v>10.55249897736716</v>
      </c>
      <c r="P268" t="n">
        <v>28.29634817391953</v>
      </c>
      <c r="Q268" t="n">
        <v>51.67144219579234</v>
      </c>
      <c r="R268" t="n">
        <v>74.85094658682279</v>
      </c>
      <c r="S268" t="n">
        <v>97.08178235697764</v>
      </c>
      <c r="T268" t="n">
        <v>121.0500972250907</v>
      </c>
      <c r="U268" t="n">
        <v>146.5701062547341</v>
      </c>
      <c r="V268" t="n">
        <v>173.7237243881696</v>
      </c>
      <c r="W268" t="n">
        <v>192.4846332790841</v>
      </c>
      <c r="X268" t="n">
        <v>265.2365797723422</v>
      </c>
      <c r="Y268" t="n">
        <v>278.8442163043351</v>
      </c>
      <c r="Z268" t="n">
        <v>289.0259586495443</v>
      </c>
      <c r="AA268" t="n">
        <v>297.0087267129435</v>
      </c>
      <c r="AB268" t="n">
        <v>303.0363013183955</v>
      </c>
      <c r="AC268" t="n">
        <v>307.234821858536</v>
      </c>
      <c r="AD268" t="n">
        <v>293.7289892289742</v>
      </c>
      <c r="AE268" t="n">
        <v>277.8968542486373</v>
      </c>
      <c r="AF268" t="n">
        <v>259.6006840829276</v>
      </c>
      <c r="AG268" t="n">
        <v>238.6750772401384</v>
      </c>
      <c r="AH268" t="n">
        <v>215.7658996833878</v>
      </c>
      <c r="AI268" t="n">
        <v>207.1881222545567</v>
      </c>
      <c r="BI268" t="inlineStr">
        <is>
          <t>PV_NEW_ML</t>
        </is>
      </c>
    </row>
    <row r="269">
      <c r="A269" t="inlineStr">
        <is>
          <t>Dominica_2023_May</t>
        </is>
      </c>
      <c r="B269" s="2" t="n"/>
      <c r="C269" s="3" t="inlineStr">
        <is>
          <t>SM.23.127, Sup. 1</t>
        </is>
      </c>
      <c r="D269" s="4" t="inlineStr">
        <is>
          <t>Dominica</t>
        </is>
      </c>
      <c r="E269" s="4" t="inlineStr">
        <is>
          <t>DMA</t>
        </is>
      </c>
      <c r="F269" s="10" t="n">
        <v>45047</v>
      </c>
      <c r="G269" s="4" t="inlineStr">
        <is>
          <t>2018gn</t>
        </is>
      </c>
      <c r="H269" s="4" t="n">
        <v>2022</v>
      </c>
      <c r="I269" s="4" t="inlineStr">
        <is>
          <t>pv.new.dbt.mlt.imf</t>
        </is>
      </c>
      <c r="J269" t="inlineStr">
        <is>
          <t>IMF</t>
        </is>
      </c>
      <c r="M269" t="n">
        <v>24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56.25685459914595</v>
      </c>
      <c r="Y269" t="n">
        <v>58.86719732910325</v>
      </c>
      <c r="Z269" t="n">
        <v>61.60805719555842</v>
      </c>
      <c r="AA269" t="n">
        <v>64.48596005533634</v>
      </c>
      <c r="AB269" t="n">
        <v>67.50775805810315</v>
      </c>
      <c r="AC269" t="n">
        <v>70.68064596100831</v>
      </c>
      <c r="AD269" t="n">
        <v>57.81217825905873</v>
      </c>
      <c r="AE269" t="n">
        <v>44.34078717201167</v>
      </c>
      <c r="AF269" t="n">
        <v>30.23632653061226</v>
      </c>
      <c r="AG269" t="n">
        <v>15.46714285714287</v>
      </c>
      <c r="AH269" t="n">
        <v>1.77635683940025e-14</v>
      </c>
      <c r="AI269" t="n">
        <v>-2.572329699131635e-07</v>
      </c>
    </row>
    <row r="270">
      <c r="A270" t="inlineStr">
        <is>
          <t>Dominica_2023_May</t>
        </is>
      </c>
      <c r="B270" s="2" t="n"/>
      <c r="C270" s="3" t="inlineStr">
        <is>
          <t>SM.23.127, Sup. 1</t>
        </is>
      </c>
      <c r="D270" s="4" t="inlineStr">
        <is>
          <t>Dominica</t>
        </is>
      </c>
      <c r="E270" s="4" t="inlineStr">
        <is>
          <t>DMA</t>
        </is>
      </c>
      <c r="F270" s="10" t="n">
        <v>45047</v>
      </c>
      <c r="G270" s="4" t="inlineStr">
        <is>
          <t>2018gn</t>
        </is>
      </c>
      <c r="H270" s="4" t="n">
        <v>2022</v>
      </c>
      <c r="I270" s="4" t="inlineStr">
        <is>
          <t>pv.new.dbt.mlt.ida.reg</t>
        </is>
      </c>
      <c r="J270" t="inlineStr">
        <is>
          <t>IDA - small economy</t>
        </is>
      </c>
      <c r="M270" t="n">
        <v>58</v>
      </c>
      <c r="O270" t="n">
        <v>7.702871025785834</v>
      </c>
      <c r="P270" t="n">
        <v>17.11920940997642</v>
      </c>
      <c r="Q270" t="n">
        <v>31.48689356917382</v>
      </c>
      <c r="R270" t="n">
        <v>45.02440211265627</v>
      </c>
      <c r="S270" t="n">
        <v>57.00873388884332</v>
      </c>
      <c r="T270" t="n">
        <v>70.09984241503177</v>
      </c>
      <c r="U270" t="n">
        <v>84.07598099078405</v>
      </c>
      <c r="V270" t="n">
        <v>98.98568224935005</v>
      </c>
      <c r="W270" t="n">
        <v>109.4798047114045</v>
      </c>
      <c r="X270" t="n">
        <v>117.2527018854067</v>
      </c>
      <c r="Y270" t="n">
        <v>122.8609542182949</v>
      </c>
      <c r="Z270" t="n">
        <v>126.870780519089</v>
      </c>
      <c r="AA270" t="n">
        <v>130.1616716237306</v>
      </c>
      <c r="AB270" t="n">
        <v>132.0584328164069</v>
      </c>
      <c r="AC270" t="n">
        <v>132.7406225947604</v>
      </c>
      <c r="AD270" t="n">
        <v>132.5837060418242</v>
      </c>
      <c r="AE270" t="n">
        <v>131.5885747939004</v>
      </c>
      <c r="AF270" t="n">
        <v>129.7128195064613</v>
      </c>
      <c r="AG270" t="n">
        <v>126.8915784283719</v>
      </c>
      <c r="AH270" t="n">
        <v>123.4357821374243</v>
      </c>
      <c r="AI270" t="n">
        <v>119.5381499803494</v>
      </c>
    </row>
    <row r="271">
      <c r="A271" t="inlineStr">
        <is>
          <t>Dominica_2023_May</t>
        </is>
      </c>
      <c r="B271" s="2" t="n"/>
      <c r="C271" s="3" t="inlineStr">
        <is>
          <t>SM.23.127, Sup. 1</t>
        </is>
      </c>
      <c r="D271" s="4" t="inlineStr">
        <is>
          <t>Dominica</t>
        </is>
      </c>
      <c r="E271" s="4" t="inlineStr">
        <is>
          <t>DMA</t>
        </is>
      </c>
      <c r="F271" s="10" t="n">
        <v>45047</v>
      </c>
      <c r="G271" s="4" t="inlineStr">
        <is>
          <t>2018gn</t>
        </is>
      </c>
      <c r="H271" s="4" t="n">
        <v>2022</v>
      </c>
      <c r="I271" s="4" t="inlineStr">
        <is>
          <t>pv.new.dbt.mlt.ida.bld</t>
        </is>
      </c>
      <c r="J271" t="inlineStr">
        <is>
          <t>IDA - small economy</t>
        </is>
      </c>
      <c r="M271" t="n">
        <v>84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</row>
    <row r="272">
      <c r="A272" t="inlineStr">
        <is>
          <t>Dominica_2023_May</t>
        </is>
      </c>
      <c r="B272" s="2" t="n"/>
      <c r="C272" s="3" t="inlineStr">
        <is>
          <t>SM.23.127, Sup. 1</t>
        </is>
      </c>
      <c r="D272" s="4" t="inlineStr">
        <is>
          <t>Dominica</t>
        </is>
      </c>
      <c r="E272" s="4" t="inlineStr">
        <is>
          <t>DMA</t>
        </is>
      </c>
      <c r="F272" s="10" t="n">
        <v>45047</v>
      </c>
      <c r="G272" s="4" t="inlineStr">
        <is>
          <t>2018gn</t>
        </is>
      </c>
      <c r="H272" s="4" t="n">
        <v>2022</v>
      </c>
      <c r="I272" s="4" t="inlineStr">
        <is>
          <t>pv.new.dbt.mlt.afdb</t>
        </is>
      </c>
      <c r="J272" t="inlineStr">
        <is>
          <t>CDB</t>
        </is>
      </c>
      <c r="M272" t="n">
        <v>109</v>
      </c>
      <c r="O272" t="n">
        <v>2.849627951581325</v>
      </c>
      <c r="P272" t="n">
        <v>11.17713876394311</v>
      </c>
      <c r="Q272" t="n">
        <v>20.18454862661851</v>
      </c>
      <c r="R272" t="n">
        <v>29.82654447416651</v>
      </c>
      <c r="S272" t="n">
        <v>40.07304846813432</v>
      </c>
      <c r="T272" t="n">
        <v>50.95025481005892</v>
      </c>
      <c r="U272" t="n">
        <v>62.49412526395005</v>
      </c>
      <c r="V272" t="n">
        <v>74.73804213881959</v>
      </c>
      <c r="W272" t="n">
        <v>83.00482856767962</v>
      </c>
      <c r="X272" t="n">
        <v>91.72702328778955</v>
      </c>
      <c r="Y272" t="n">
        <v>97.11606475693694</v>
      </c>
      <c r="Z272" t="n">
        <v>100.5471209348969</v>
      </c>
      <c r="AA272" t="n">
        <v>102.3610950338765</v>
      </c>
      <c r="AB272" t="n">
        <v>103.4701104438855</v>
      </c>
      <c r="AC272" t="n">
        <v>103.8135533027673</v>
      </c>
      <c r="AD272" t="n">
        <v>103.3331049280913</v>
      </c>
      <c r="AE272" t="n">
        <v>101.9674922827252</v>
      </c>
      <c r="AF272" t="n">
        <v>99.651538045854</v>
      </c>
      <c r="AG272" t="n">
        <v>96.31635595462372</v>
      </c>
      <c r="AH272" t="n">
        <v>92.33011754596349</v>
      </c>
      <c r="AI272" t="n">
        <v>87.6499725314403</v>
      </c>
    </row>
    <row r="273">
      <c r="A273" t="inlineStr">
        <is>
          <t>Dominica_2023_May</t>
        </is>
      </c>
      <c r="B273" s="2" t="n"/>
      <c r="C273" s="3" t="inlineStr">
        <is>
          <t>SM.23.127, Sup. 1</t>
        </is>
      </c>
      <c r="D273" s="4" t="inlineStr">
        <is>
          <t>Dominica</t>
        </is>
      </c>
      <c r="E273" s="4" t="inlineStr">
        <is>
          <t>DMA</t>
        </is>
      </c>
      <c r="F273" s="10" t="n">
        <v>45047</v>
      </c>
      <c r="G273" s="4" t="inlineStr">
        <is>
          <t>2018gn</t>
        </is>
      </c>
      <c r="H273" s="4" t="n">
        <v>2022</v>
      </c>
      <c r="I273" s="4" t="inlineStr">
        <is>
          <t>pv.new.dbt.mlt2</t>
        </is>
      </c>
      <c r="J273" t="inlineStr">
        <is>
          <t>MULTIRES</t>
        </is>
      </c>
      <c r="M273" t="n">
        <v>135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</row>
    <row r="274">
      <c r="A274" t="inlineStr">
        <is>
          <t>Dominica_2023_May</t>
        </is>
      </c>
      <c r="B274" s="2" t="n"/>
      <c r="C274" s="3" t="inlineStr">
        <is>
          <t>SM.23.127, Sup. 1</t>
        </is>
      </c>
      <c r="D274" s="4" t="inlineStr">
        <is>
          <t>Dominica</t>
        </is>
      </c>
      <c r="E274" s="4" t="inlineStr">
        <is>
          <t>DMA</t>
        </is>
      </c>
      <c r="F274" s="10" t="n">
        <v>45047</v>
      </c>
      <c r="G274" s="4" t="inlineStr">
        <is>
          <t>2018gn</t>
        </is>
      </c>
      <c r="H274" s="4" t="n">
        <v>2022</v>
      </c>
      <c r="I274" s="4" t="inlineStr">
        <is>
          <t>pv.new.dbt.mlt3</t>
        </is>
      </c>
      <c r="J274" t="inlineStr">
        <is>
          <t>MULTI3</t>
        </is>
      </c>
      <c r="M274" t="n">
        <v>161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</row>
    <row r="275">
      <c r="A275" t="inlineStr">
        <is>
          <t>Dominica_2023_May</t>
        </is>
      </c>
      <c r="B275" s="2" t="n"/>
      <c r="C275" s="3" t="inlineStr">
        <is>
          <t>SM.23.127, Sup. 1</t>
        </is>
      </c>
      <c r="D275" s="4" t="inlineStr">
        <is>
          <t>Dominica</t>
        </is>
      </c>
      <c r="E275" s="4" t="inlineStr">
        <is>
          <t>DMA</t>
        </is>
      </c>
      <c r="F275" s="10" t="n">
        <v>45047</v>
      </c>
      <c r="G275" s="4" t="inlineStr">
        <is>
          <t>2018gn</t>
        </is>
      </c>
      <c r="H275" s="4" t="n">
        <v>2022</v>
      </c>
      <c r="I275" s="4" t="inlineStr">
        <is>
          <t>pv.new.dbt.mlt.oth</t>
        </is>
      </c>
      <c r="J275" t="inlineStr">
        <is>
          <t>Other Multilaterals</t>
        </is>
      </c>
      <c r="O275" t="n">
        <v>2.10701743724069</v>
      </c>
      <c r="P275" t="n">
        <v>4.68129071813685</v>
      </c>
      <c r="Q275" t="n">
        <v>7.306283359202526</v>
      </c>
      <c r="R275" t="n">
        <v>9.821124189689368</v>
      </c>
      <c r="S275" t="n">
        <v>12.49276085873491</v>
      </c>
      <c r="T275" t="n">
        <v>15.24880690718969</v>
      </c>
      <c r="U275" t="n">
        <v>17.99523095386362</v>
      </c>
      <c r="V275" t="n">
        <v>20.63275759005868</v>
      </c>
      <c r="W275" t="n">
        <v>23.16241063631621</v>
      </c>
      <c r="X275" t="n">
        <v>25.6302359840355</v>
      </c>
      <c r="Y275" t="n">
        <v>28.01759818541073</v>
      </c>
      <c r="Z275" t="n">
        <v>30.32434872243534</v>
      </c>
      <c r="AA275" t="n">
        <v>32.53594357094931</v>
      </c>
      <c r="AB275" t="n">
        <v>34.65476771763116</v>
      </c>
      <c r="AC275" t="n">
        <v>36.6834602530143</v>
      </c>
      <c r="AD275" t="n">
        <v>38.61595987161778</v>
      </c>
      <c r="AE275" t="n">
        <v>40.44870010879238</v>
      </c>
      <c r="AF275" t="n">
        <v>42.17741128450666</v>
      </c>
      <c r="AG275" t="n">
        <v>43.7998567424795</v>
      </c>
      <c r="AH275" t="n">
        <v>45.31285255896842</v>
      </c>
      <c r="AI275" t="n">
        <v>46.71202612002194</v>
      </c>
    </row>
    <row r="276">
      <c r="A276" t="inlineStr">
        <is>
          <t>Dominica_2023_May</t>
        </is>
      </c>
      <c r="B276" s="2" t="n"/>
      <c r="C276" s="3" t="inlineStr">
        <is>
          <t>SM.23.127, Sup. 1</t>
        </is>
      </c>
      <c r="D276" s="4" t="inlineStr">
        <is>
          <t>Dominica</t>
        </is>
      </c>
      <c r="E276" s="4" t="inlineStr">
        <is>
          <t>DMA</t>
        </is>
      </c>
      <c r="F276" s="10" t="n">
        <v>45047</v>
      </c>
      <c r="G276" s="4" t="inlineStr">
        <is>
          <t>2018gn</t>
        </is>
      </c>
      <c r="H276" s="4" t="n">
        <v>2022</v>
      </c>
      <c r="I276" s="4" t="inlineStr">
        <is>
          <t>pv.new.dbt.mlt.oth1</t>
        </is>
      </c>
      <c r="J276" t="inlineStr">
        <is>
          <t>OTH_MULTI1</t>
        </is>
      </c>
      <c r="M276" t="n">
        <v>187</v>
      </c>
      <c r="O276" t="n">
        <v>2.10701743724069</v>
      </c>
      <c r="P276" t="n">
        <v>4.68129071813685</v>
      </c>
      <c r="Q276" t="n">
        <v>7.306283359202526</v>
      </c>
      <c r="R276" t="n">
        <v>9.821124189689368</v>
      </c>
      <c r="S276" t="n">
        <v>12.49276085873491</v>
      </c>
      <c r="T276" t="n">
        <v>15.24880690718969</v>
      </c>
      <c r="U276" t="n">
        <v>17.99523095386362</v>
      </c>
      <c r="V276" t="n">
        <v>20.63275759005868</v>
      </c>
      <c r="W276" t="n">
        <v>23.16241063631621</v>
      </c>
      <c r="X276" t="n">
        <v>25.6302359840355</v>
      </c>
      <c r="Y276" t="n">
        <v>28.01759818541073</v>
      </c>
      <c r="Z276" t="n">
        <v>30.32434872243534</v>
      </c>
      <c r="AA276" t="n">
        <v>32.53594357094931</v>
      </c>
      <c r="AB276" t="n">
        <v>34.65476771763116</v>
      </c>
      <c r="AC276" t="n">
        <v>36.6834602530143</v>
      </c>
      <c r="AD276" t="n">
        <v>38.61595987161778</v>
      </c>
      <c r="AE276" t="n">
        <v>40.44870010879238</v>
      </c>
      <c r="AF276" t="n">
        <v>42.17741128450666</v>
      </c>
      <c r="AG276" t="n">
        <v>43.7998567424795</v>
      </c>
      <c r="AH276" t="n">
        <v>45.31285255896842</v>
      </c>
      <c r="AI276" t="n">
        <v>46.71202612002194</v>
      </c>
    </row>
    <row r="277">
      <c r="A277" t="inlineStr">
        <is>
          <t>Dominica_2023_May</t>
        </is>
      </c>
      <c r="B277" s="2" t="n"/>
      <c r="C277" s="3" t="inlineStr">
        <is>
          <t>SM.23.127, Sup. 1</t>
        </is>
      </c>
      <c r="D277" s="4" t="inlineStr">
        <is>
          <t>Dominica</t>
        </is>
      </c>
      <c r="E277" s="4" t="inlineStr">
        <is>
          <t>DMA</t>
        </is>
      </c>
      <c r="F277" s="10" t="n">
        <v>45047</v>
      </c>
      <c r="G277" s="4" t="inlineStr">
        <is>
          <t>2018gn</t>
        </is>
      </c>
      <c r="H277" s="4" t="n">
        <v>2022</v>
      </c>
      <c r="I277" s="4" t="inlineStr">
        <is>
          <t>pv.new.dbt.mlt.oth2</t>
        </is>
      </c>
      <c r="J277" t="inlineStr">
        <is>
          <t>OTH_MULTI2</t>
        </is>
      </c>
      <c r="M277" t="n">
        <v>213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</row>
    <row r="278">
      <c r="A278" t="inlineStr">
        <is>
          <t>Dominica_2023_May</t>
        </is>
      </c>
      <c r="B278" s="2" t="n"/>
      <c r="C278" s="3" t="inlineStr">
        <is>
          <t>SM.23.127, Sup. 1</t>
        </is>
      </c>
      <c r="D278" s="4" t="inlineStr">
        <is>
          <t>Dominica</t>
        </is>
      </c>
      <c r="E278" s="4" t="inlineStr">
        <is>
          <t>DMA</t>
        </is>
      </c>
      <c r="F278" s="10" t="n">
        <v>45047</v>
      </c>
      <c r="G278" s="4" t="inlineStr">
        <is>
          <t>2018gn</t>
        </is>
      </c>
      <c r="H278" s="4" t="n">
        <v>2022</v>
      </c>
      <c r="I278" s="4" t="inlineStr">
        <is>
          <t>pv.new.dbt.mlt.oth3</t>
        </is>
      </c>
      <c r="J278" t="inlineStr">
        <is>
          <t>OTH_MULTI3</t>
        </is>
      </c>
      <c r="M278" t="n">
        <v>239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</row>
    <row r="279">
      <c r="A279" t="inlineStr">
        <is>
          <t>Dominica_2023_May</t>
        </is>
      </c>
      <c r="B279" s="2" t="n"/>
      <c r="C279" s="3" t="inlineStr">
        <is>
          <t>SM.23.127, Sup. 1</t>
        </is>
      </c>
      <c r="D279" s="4" t="inlineStr">
        <is>
          <t>Dominica</t>
        </is>
      </c>
      <c r="E279" s="4" t="inlineStr">
        <is>
          <t>DMA</t>
        </is>
      </c>
      <c r="F279" s="10" t="n">
        <v>45047</v>
      </c>
      <c r="G279" s="4" t="inlineStr">
        <is>
          <t>2018gn</t>
        </is>
      </c>
      <c r="H279" s="4" t="n">
        <v>2022</v>
      </c>
      <c r="I279" s="4" t="inlineStr">
        <is>
          <t>pv.new.dbt.blt</t>
        </is>
      </c>
      <c r="J279" t="inlineStr">
        <is>
          <t>Official Bilaterals</t>
        </is>
      </c>
      <c r="O279" t="n">
        <v>0</v>
      </c>
      <c r="P279" t="n">
        <v>0</v>
      </c>
      <c r="Q279" t="n">
        <v>0</v>
      </c>
      <c r="R279" t="n">
        <v>0</v>
      </c>
      <c r="S279" t="n">
        <v>2.05021322309962</v>
      </c>
      <c r="T279" t="n">
        <v>4.826334997414087</v>
      </c>
      <c r="U279" t="n">
        <v>7.338706652998232</v>
      </c>
      <c r="V279" t="n">
        <v>9.711074299889363</v>
      </c>
      <c r="W279" t="n">
        <v>11.97747635752806</v>
      </c>
      <c r="X279" t="n">
        <v>14.13393948207843</v>
      </c>
      <c r="Y279" t="n">
        <v>16.13741107117621</v>
      </c>
      <c r="Z279" t="n">
        <v>16.86484122855517</v>
      </c>
      <c r="AA279" t="n">
        <v>17.84304024302789</v>
      </c>
      <c r="AB279" t="n">
        <v>18.98341546530735</v>
      </c>
      <c r="AC279" t="n">
        <v>20.22988097570179</v>
      </c>
      <c r="AD279" t="n">
        <v>21.54933862204087</v>
      </c>
      <c r="AE279" t="n">
        <v>22.91957221846182</v>
      </c>
      <c r="AF279" t="n">
        <v>22.76330273226273</v>
      </c>
      <c r="AG279" t="n">
        <v>22.55657666154913</v>
      </c>
      <c r="AH279" t="n">
        <v>22.28204630950816</v>
      </c>
      <c r="AI279" t="n">
        <v>21.92594118292012</v>
      </c>
      <c r="BI279" t="inlineStr">
        <is>
          <t>PV_NEW_OB</t>
        </is>
      </c>
    </row>
    <row r="280">
      <c r="A280" t="inlineStr">
        <is>
          <t>Dominica_2023_May</t>
        </is>
      </c>
      <c r="B280" s="2" t="n"/>
      <c r="C280" s="3" t="inlineStr">
        <is>
          <t>SM.23.127, Sup. 1</t>
        </is>
      </c>
      <c r="D280" s="4" t="inlineStr">
        <is>
          <t>Dominica</t>
        </is>
      </c>
      <c r="E280" s="4" t="inlineStr">
        <is>
          <t>DMA</t>
        </is>
      </c>
      <c r="F280" s="10" t="n">
        <v>45047</v>
      </c>
      <c r="G280" s="4" t="inlineStr">
        <is>
          <t>2018gn</t>
        </is>
      </c>
      <c r="H280" s="4" t="n">
        <v>2022</v>
      </c>
      <c r="I280" s="4" t="inlineStr">
        <is>
          <t>pv.new.dbt.pc</t>
        </is>
      </c>
      <c r="J280" t="inlineStr">
        <is>
          <t xml:space="preserve">   Paris Club</t>
        </is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</row>
    <row r="281">
      <c r="A281" t="inlineStr">
        <is>
          <t>Dominica_2023_May</t>
        </is>
      </c>
      <c r="B281" s="2" t="n"/>
      <c r="C281" s="3" t="inlineStr">
        <is>
          <t>SM.23.127, Sup. 1</t>
        </is>
      </c>
      <c r="D281" s="4" t="inlineStr">
        <is>
          <t>Dominica</t>
        </is>
      </c>
      <c r="E281" s="4" t="inlineStr">
        <is>
          <t>DMA</t>
        </is>
      </c>
      <c r="F281" s="10" t="n">
        <v>45047</v>
      </c>
      <c r="G281" s="4" t="inlineStr">
        <is>
          <t>2018gn</t>
        </is>
      </c>
      <c r="H281" s="4" t="n">
        <v>2022</v>
      </c>
      <c r="I281" s="4" t="inlineStr">
        <is>
          <t>pv.new.dbt.pc1</t>
        </is>
      </c>
      <c r="J281" t="inlineStr">
        <is>
          <t>Export Credit Agencies</t>
        </is>
      </c>
      <c r="M281" t="n">
        <v>265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</row>
    <row r="282">
      <c r="A282" t="inlineStr">
        <is>
          <t>Dominica_2023_May</t>
        </is>
      </c>
      <c r="B282" s="2" t="n"/>
      <c r="C282" s="3" t="inlineStr">
        <is>
          <t>SM.23.127, Sup. 1</t>
        </is>
      </c>
      <c r="D282" s="4" t="inlineStr">
        <is>
          <t>Dominica</t>
        </is>
      </c>
      <c r="E282" s="4" t="inlineStr">
        <is>
          <t>DMA</t>
        </is>
      </c>
      <c r="F282" s="10" t="n">
        <v>45047</v>
      </c>
      <c r="G282" s="4" t="inlineStr">
        <is>
          <t>2018gn</t>
        </is>
      </c>
      <c r="H282" s="4" t="n">
        <v>2022</v>
      </c>
      <c r="I282" s="4" t="inlineStr">
        <is>
          <t>pv.new.dbt.pc2</t>
        </is>
      </c>
      <c r="J282" t="inlineStr">
        <is>
          <t>PC2</t>
        </is>
      </c>
      <c r="M282" t="n">
        <v>291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</row>
    <row r="283">
      <c r="A283" t="inlineStr">
        <is>
          <t>Dominica_2023_May</t>
        </is>
      </c>
      <c r="B283" s="2" t="n"/>
      <c r="C283" s="3" t="inlineStr">
        <is>
          <t>SM.23.127, Sup. 1</t>
        </is>
      </c>
      <c r="D283" s="4" t="inlineStr">
        <is>
          <t>Dominica</t>
        </is>
      </c>
      <c r="E283" s="4" t="inlineStr">
        <is>
          <t>DMA</t>
        </is>
      </c>
      <c r="F283" s="10" t="n">
        <v>45047</v>
      </c>
      <c r="G283" s="4" t="inlineStr">
        <is>
          <t>2018gn</t>
        </is>
      </c>
      <c r="H283" s="4" t="n">
        <v>2022</v>
      </c>
      <c r="I283" s="4" t="inlineStr">
        <is>
          <t>pv.new.dbt.pc3</t>
        </is>
      </c>
      <c r="J283" t="inlineStr">
        <is>
          <t>PC3</t>
        </is>
      </c>
      <c r="M283" t="n">
        <v>317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</row>
    <row r="284">
      <c r="A284" t="inlineStr">
        <is>
          <t>Dominica_2023_May</t>
        </is>
      </c>
      <c r="B284" s="2" t="n"/>
      <c r="C284" s="3" t="inlineStr">
        <is>
          <t>SM.23.127, Sup. 1</t>
        </is>
      </c>
      <c r="D284" s="4" t="inlineStr">
        <is>
          <t>Dominica</t>
        </is>
      </c>
      <c r="E284" s="4" t="inlineStr">
        <is>
          <t>DMA</t>
        </is>
      </c>
      <c r="F284" s="10" t="n">
        <v>45047</v>
      </c>
      <c r="G284" s="4" t="inlineStr">
        <is>
          <t>2018gn</t>
        </is>
      </c>
      <c r="H284" s="4" t="n">
        <v>2022</v>
      </c>
      <c r="I284" s="4" t="inlineStr">
        <is>
          <t>pv.new.dbt.pc4</t>
        </is>
      </c>
      <c r="J284" t="inlineStr">
        <is>
          <t>PC4</t>
        </is>
      </c>
      <c r="M284" t="n">
        <v>343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</row>
    <row r="285">
      <c r="A285" t="inlineStr">
        <is>
          <t>Dominica_2023_May</t>
        </is>
      </c>
      <c r="B285" s="2" t="n"/>
      <c r="C285" s="3" t="inlineStr">
        <is>
          <t>SM.23.127, Sup. 1</t>
        </is>
      </c>
      <c r="D285" s="4" t="inlineStr">
        <is>
          <t>Dominica</t>
        </is>
      </c>
      <c r="E285" s="4" t="inlineStr">
        <is>
          <t>DMA</t>
        </is>
      </c>
      <c r="F285" s="10" t="n">
        <v>45047</v>
      </c>
      <c r="G285" s="4" t="inlineStr">
        <is>
          <t>2018gn</t>
        </is>
      </c>
      <c r="H285" s="4" t="n">
        <v>2022</v>
      </c>
      <c r="I285" s="4" t="inlineStr">
        <is>
          <t>pv.new.dbt.pc5</t>
        </is>
      </c>
      <c r="J285" t="inlineStr">
        <is>
          <t>PC5</t>
        </is>
      </c>
      <c r="M285" t="n">
        <v>369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</row>
    <row r="286">
      <c r="A286" t="inlineStr">
        <is>
          <t>Dominica_2023_May</t>
        </is>
      </c>
      <c r="B286" s="2" t="n"/>
      <c r="C286" s="3" t="inlineStr">
        <is>
          <t>SM.23.127, Sup. 1</t>
        </is>
      </c>
      <c r="D286" s="4" t="inlineStr">
        <is>
          <t>Dominica</t>
        </is>
      </c>
      <c r="E286" s="4" t="inlineStr">
        <is>
          <t>DMA</t>
        </is>
      </c>
      <c r="F286" s="10" t="n">
        <v>45047</v>
      </c>
      <c r="G286" s="4" t="inlineStr">
        <is>
          <t>2018gn</t>
        </is>
      </c>
      <c r="H286" s="4" t="n">
        <v>2022</v>
      </c>
      <c r="I286" s="4" t="inlineStr">
        <is>
          <t>pv.new.dbt.npc</t>
        </is>
      </c>
      <c r="J286" t="inlineStr">
        <is>
          <t xml:space="preserve">   Non-Paris Club</t>
        </is>
      </c>
      <c r="M286" t="n">
        <v>-2</v>
      </c>
      <c r="O286" t="n">
        <v>0</v>
      </c>
      <c r="P286" t="n">
        <v>0</v>
      </c>
      <c r="Q286" t="n">
        <v>0</v>
      </c>
      <c r="R286" t="n">
        <v>0</v>
      </c>
      <c r="S286" t="n">
        <v>2.05021322309962</v>
      </c>
      <c r="T286" t="n">
        <v>4.826334997414087</v>
      </c>
      <c r="U286" t="n">
        <v>7.338706652998232</v>
      </c>
      <c r="V286" t="n">
        <v>9.711074299889363</v>
      </c>
      <c r="W286" t="n">
        <v>11.97747635752806</v>
      </c>
      <c r="X286" t="n">
        <v>14.13393948207843</v>
      </c>
      <c r="Y286" t="n">
        <v>16.13741107117621</v>
      </c>
      <c r="Z286" t="n">
        <v>16.86484122855517</v>
      </c>
      <c r="AA286" t="n">
        <v>17.84304024302789</v>
      </c>
      <c r="AB286" t="n">
        <v>18.98341546530735</v>
      </c>
      <c r="AC286" t="n">
        <v>20.22988097570179</v>
      </c>
      <c r="AD286" t="n">
        <v>21.54933862204087</v>
      </c>
      <c r="AE286" t="n">
        <v>22.91957221846182</v>
      </c>
      <c r="AF286" t="n">
        <v>22.76330273226273</v>
      </c>
      <c r="AG286" t="n">
        <v>22.55657666154913</v>
      </c>
      <c r="AH286" t="n">
        <v>22.28204630950816</v>
      </c>
      <c r="AI286" t="n">
        <v>21.92594118292012</v>
      </c>
    </row>
    <row r="287">
      <c r="A287" t="inlineStr">
        <is>
          <t>Dominica_2023_May</t>
        </is>
      </c>
      <c r="B287" s="2" t="n"/>
      <c r="C287" s="3" t="inlineStr">
        <is>
          <t>SM.23.127, Sup. 1</t>
        </is>
      </c>
      <c r="D287" s="4" t="inlineStr">
        <is>
          <t>Dominica</t>
        </is>
      </c>
      <c r="E287" s="4" t="inlineStr">
        <is>
          <t>DMA</t>
        </is>
      </c>
      <c r="F287" s="10" t="n">
        <v>45047</v>
      </c>
      <c r="G287" s="4" t="inlineStr">
        <is>
          <t>2018gn</t>
        </is>
      </c>
      <c r="H287" s="4" t="n">
        <v>2022</v>
      </c>
      <c r="I287" s="4" t="inlineStr">
        <is>
          <t>pv.new.dbt.npc.eximbk</t>
        </is>
      </c>
      <c r="J287" t="inlineStr">
        <is>
          <t>NPC2</t>
        </is>
      </c>
      <c r="M287" t="n">
        <v>395</v>
      </c>
      <c r="O287" t="n">
        <v>0</v>
      </c>
      <c r="P287" t="n">
        <v>0</v>
      </c>
      <c r="Q287" t="n">
        <v>0</v>
      </c>
      <c r="R287" t="n">
        <v>0</v>
      </c>
      <c r="S287" t="n">
        <v>2.05021322309962</v>
      </c>
      <c r="T287" t="n">
        <v>4.826334997414087</v>
      </c>
      <c r="U287" t="n">
        <v>7.338706652998232</v>
      </c>
      <c r="V287" t="n">
        <v>9.711074299889363</v>
      </c>
      <c r="W287" t="n">
        <v>11.97747635752806</v>
      </c>
      <c r="X287" t="n">
        <v>14.13393948207843</v>
      </c>
      <c r="Y287" t="n">
        <v>16.13741107117621</v>
      </c>
      <c r="Z287" t="n">
        <v>16.86484122855517</v>
      </c>
      <c r="AA287" t="n">
        <v>17.84304024302789</v>
      </c>
      <c r="AB287" t="n">
        <v>18.98341546530735</v>
      </c>
      <c r="AC287" t="n">
        <v>20.22988097570179</v>
      </c>
      <c r="AD287" t="n">
        <v>21.54933862204087</v>
      </c>
      <c r="AE287" t="n">
        <v>22.91957221846182</v>
      </c>
      <c r="AF287" t="n">
        <v>22.76330273226273</v>
      </c>
      <c r="AG287" t="n">
        <v>22.55657666154913</v>
      </c>
      <c r="AH287" t="n">
        <v>22.28204630950816</v>
      </c>
      <c r="AI287" t="n">
        <v>21.92594118292012</v>
      </c>
    </row>
    <row r="288">
      <c r="A288" t="inlineStr">
        <is>
          <t>Dominica_2023_May</t>
        </is>
      </c>
      <c r="B288" s="2" t="n"/>
      <c r="C288" s="3" t="inlineStr">
        <is>
          <t>SM.23.127, Sup. 1</t>
        </is>
      </c>
      <c r="D288" s="4" t="inlineStr">
        <is>
          <t>Dominica</t>
        </is>
      </c>
      <c r="E288" s="4" t="inlineStr">
        <is>
          <t>DMA</t>
        </is>
      </c>
      <c r="F288" s="10" t="n">
        <v>45047</v>
      </c>
      <c r="G288" s="4" t="inlineStr">
        <is>
          <t>2018gn</t>
        </is>
      </c>
      <c r="H288" s="4" t="n">
        <v>2022</v>
      </c>
      <c r="I288" s="4" t="inlineStr">
        <is>
          <t>pv.new.dbt.npc2</t>
        </is>
      </c>
      <c r="J288" t="inlineStr">
        <is>
          <t>NPC2</t>
        </is>
      </c>
      <c r="M288" t="n">
        <v>421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</row>
    <row r="289">
      <c r="A289" t="inlineStr">
        <is>
          <t>Dominica_2023_May</t>
        </is>
      </c>
      <c r="B289" s="2" t="n"/>
      <c r="C289" s="3" t="inlineStr">
        <is>
          <t>SM.23.127, Sup. 1</t>
        </is>
      </c>
      <c r="D289" s="4" t="inlineStr">
        <is>
          <t>Dominica</t>
        </is>
      </c>
      <c r="E289" s="4" t="inlineStr">
        <is>
          <t>DMA</t>
        </is>
      </c>
      <c r="F289" s="10" t="n">
        <v>45047</v>
      </c>
      <c r="G289" s="4" t="inlineStr">
        <is>
          <t>2018gn</t>
        </is>
      </c>
      <c r="H289" s="4" t="n">
        <v>2022</v>
      </c>
      <c r="I289" s="4" t="inlineStr">
        <is>
          <t>pv.new.dbt.npc3</t>
        </is>
      </c>
      <c r="J289" t="inlineStr">
        <is>
          <t>NPC3</t>
        </is>
      </c>
      <c r="M289" t="n">
        <v>447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</row>
    <row r="290">
      <c r="A290" t="inlineStr">
        <is>
          <t>Dominica_2023_May</t>
        </is>
      </c>
      <c r="B290" s="2" t="n"/>
      <c r="C290" s="3" t="inlineStr">
        <is>
          <t>SM.23.127, Sup. 1</t>
        </is>
      </c>
      <c r="D290" s="4" t="inlineStr">
        <is>
          <t>Dominica</t>
        </is>
      </c>
      <c r="E290" s="4" t="inlineStr">
        <is>
          <t>DMA</t>
        </is>
      </c>
      <c r="F290" s="10" t="n">
        <v>45047</v>
      </c>
      <c r="G290" s="4" t="inlineStr">
        <is>
          <t>2018gn</t>
        </is>
      </c>
      <c r="H290" s="4" t="n">
        <v>2022</v>
      </c>
      <c r="I290" s="4" t="inlineStr">
        <is>
          <t>pv.new.dbt.npc4</t>
        </is>
      </c>
      <c r="J290" t="inlineStr">
        <is>
          <t>NPC4</t>
        </is>
      </c>
      <c r="M290" t="n">
        <v>473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</row>
    <row r="291">
      <c r="A291" t="inlineStr">
        <is>
          <t>Dominica_2023_May</t>
        </is>
      </c>
      <c r="B291" s="2" t="n"/>
      <c r="C291" s="3" t="inlineStr">
        <is>
          <t>SM.23.127, Sup. 1</t>
        </is>
      </c>
      <c r="D291" s="4" t="inlineStr">
        <is>
          <t>Dominica</t>
        </is>
      </c>
      <c r="E291" s="4" t="inlineStr">
        <is>
          <t>DMA</t>
        </is>
      </c>
      <c r="F291" s="10" t="n">
        <v>45047</v>
      </c>
      <c r="G291" s="4" t="inlineStr">
        <is>
          <t>2018gn</t>
        </is>
      </c>
      <c r="H291" s="4" t="n">
        <v>2022</v>
      </c>
      <c r="I291" s="4" t="inlineStr">
        <is>
          <t>pv.new.dbt.npc5</t>
        </is>
      </c>
      <c r="J291" t="inlineStr">
        <is>
          <t>NPC5</t>
        </is>
      </c>
      <c r="M291" t="n">
        <v>499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</row>
    <row r="292">
      <c r="A292" t="inlineStr">
        <is>
          <t>Dominica_2023_May</t>
        </is>
      </c>
      <c r="B292" s="2" t="n"/>
      <c r="C292" s="3" t="inlineStr">
        <is>
          <t>SM.23.127, Sup. 1</t>
        </is>
      </c>
      <c r="D292" s="4" t="inlineStr">
        <is>
          <t>Dominica</t>
        </is>
      </c>
      <c r="E292" s="4" t="inlineStr">
        <is>
          <t>DMA</t>
        </is>
      </c>
      <c r="F292" s="10" t="n">
        <v>45047</v>
      </c>
      <c r="G292" s="4" t="inlineStr">
        <is>
          <t>2018gn</t>
        </is>
      </c>
      <c r="H292" s="4" t="n">
        <v>2022</v>
      </c>
      <c r="I292" s="4" t="inlineStr">
        <is>
          <t>pv.new.dbt.prvt</t>
        </is>
      </c>
      <c r="J292" t="inlineStr">
        <is>
          <t>Commercial</t>
        </is>
      </c>
      <c r="O292" t="n">
        <v>0</v>
      </c>
      <c r="P292" t="n">
        <v>0</v>
      </c>
      <c r="Q292" t="n">
        <v>0</v>
      </c>
      <c r="R292" t="n">
        <v>3.420728424629754</v>
      </c>
      <c r="S292" t="n">
        <v>8.02739436611234</v>
      </c>
      <c r="T292" t="n">
        <v>12.16156483470915</v>
      </c>
      <c r="U292" t="n">
        <v>16.42500448538438</v>
      </c>
      <c r="V292" t="n">
        <v>20.9848426235501</v>
      </c>
      <c r="W292" t="n">
        <v>25.52237493201531</v>
      </c>
      <c r="X292" t="n">
        <v>29.84883975320799</v>
      </c>
      <c r="Y292" t="n">
        <v>34.06103796340754</v>
      </c>
      <c r="Z292" t="n">
        <v>32.47188328081081</v>
      </c>
      <c r="AA292" t="n">
        <v>32.57159711523134</v>
      </c>
      <c r="AB292" t="n">
        <v>33.03548445639192</v>
      </c>
      <c r="AC292" t="n">
        <v>33.31481731503506</v>
      </c>
      <c r="AD292" t="n">
        <v>33.68045943969354</v>
      </c>
      <c r="AE292" t="n">
        <v>34.23622051832184</v>
      </c>
      <c r="AF292" t="n">
        <v>28.56001500968098</v>
      </c>
      <c r="AG292" t="n">
        <v>23.32802523456721</v>
      </c>
      <c r="AH292" t="n">
        <v>18.62401385781451</v>
      </c>
      <c r="AI292" t="n">
        <v>14.50862973847124</v>
      </c>
      <c r="BI292" t="inlineStr">
        <is>
          <t>PV_NEW_COM</t>
        </is>
      </c>
    </row>
    <row r="293">
      <c r="A293" t="inlineStr">
        <is>
          <t>Dominica_2023_May</t>
        </is>
      </c>
      <c r="B293" s="2" t="n"/>
      <c r="C293" s="3" t="inlineStr">
        <is>
          <t>SM.23.127, Sup. 1</t>
        </is>
      </c>
      <c r="D293" s="4" t="inlineStr">
        <is>
          <t>Dominica</t>
        </is>
      </c>
      <c r="E293" s="4" t="inlineStr">
        <is>
          <t>DMA</t>
        </is>
      </c>
      <c r="F293" s="10" t="n">
        <v>45047</v>
      </c>
      <c r="G293" s="4" t="inlineStr">
        <is>
          <t>2018gn</t>
        </is>
      </c>
      <c r="H293" s="4" t="n">
        <v>2022</v>
      </c>
      <c r="I293" s="4" t="inlineStr">
        <is>
          <t>pv.new.dbt.prvt.bnd</t>
        </is>
      </c>
      <c r="J293" t="inlineStr">
        <is>
          <t>Eurobond</t>
        </is>
      </c>
      <c r="M293" t="n">
        <v>525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</row>
    <row r="294">
      <c r="A294" t="inlineStr">
        <is>
          <t>Dominica_2023_May</t>
        </is>
      </c>
      <c r="B294" s="2" t="n"/>
      <c r="C294" s="3" t="inlineStr">
        <is>
          <t>SM.23.127, Sup. 1</t>
        </is>
      </c>
      <c r="D294" s="4" t="inlineStr">
        <is>
          <t>Dominica</t>
        </is>
      </c>
      <c r="E294" s="4" t="inlineStr">
        <is>
          <t>DMA</t>
        </is>
      </c>
      <c r="F294" s="10" t="n">
        <v>45047</v>
      </c>
      <c r="G294" s="4" t="inlineStr">
        <is>
          <t>2018gn</t>
        </is>
      </c>
      <c r="H294" s="4" t="n">
        <v>2022</v>
      </c>
      <c r="I294" s="4" t="inlineStr">
        <is>
          <t>pv.new.dbt.prvt.cmbk</t>
        </is>
      </c>
      <c r="J294" t="inlineStr">
        <is>
          <t>Commecial Bank</t>
        </is>
      </c>
      <c r="M294" t="n">
        <v>551</v>
      </c>
      <c r="O294" t="n">
        <v>0</v>
      </c>
      <c r="P294" t="n">
        <v>0</v>
      </c>
      <c r="Q294" t="n">
        <v>0</v>
      </c>
      <c r="R294" t="n">
        <v>3.420728424629754</v>
      </c>
      <c r="S294" t="n">
        <v>8.02739436611234</v>
      </c>
      <c r="T294" t="n">
        <v>12.16156483470915</v>
      </c>
      <c r="U294" t="n">
        <v>16.42500448538438</v>
      </c>
      <c r="V294" t="n">
        <v>20.9848426235501</v>
      </c>
      <c r="W294" t="n">
        <v>25.52237493201531</v>
      </c>
      <c r="X294" t="n">
        <v>29.84883975320799</v>
      </c>
      <c r="Y294" t="n">
        <v>34.06103796340754</v>
      </c>
      <c r="Z294" t="n">
        <v>32.47188328081081</v>
      </c>
      <c r="AA294" t="n">
        <v>32.57159711523134</v>
      </c>
      <c r="AB294" t="n">
        <v>33.03548445639192</v>
      </c>
      <c r="AC294" t="n">
        <v>33.31481731503506</v>
      </c>
      <c r="AD294" t="n">
        <v>33.68045943969354</v>
      </c>
      <c r="AE294" t="n">
        <v>34.23622051832184</v>
      </c>
      <c r="AF294" t="n">
        <v>28.56001500968098</v>
      </c>
      <c r="AG294" t="n">
        <v>23.32802523456721</v>
      </c>
      <c r="AH294" t="n">
        <v>18.62401385781451</v>
      </c>
      <c r="AI294" t="n">
        <v>14.50862973847124</v>
      </c>
    </row>
    <row r="295">
      <c r="A295" t="inlineStr">
        <is>
          <t>Dominica_2023_May</t>
        </is>
      </c>
      <c r="B295" s="2" t="n"/>
      <c r="C295" s="3" t="inlineStr">
        <is>
          <t>SM.23.127, Sup. 1</t>
        </is>
      </c>
      <c r="D295" s="4" t="inlineStr">
        <is>
          <t>Dominica</t>
        </is>
      </c>
      <c r="E295" s="4" t="inlineStr">
        <is>
          <t>DMA</t>
        </is>
      </c>
      <c r="F295" s="10" t="n">
        <v>45047</v>
      </c>
      <c r="G295" s="4" t="inlineStr">
        <is>
          <t>2018gn</t>
        </is>
      </c>
      <c r="H295" s="4" t="n">
        <v>2022</v>
      </c>
      <c r="I295" s="4" t="inlineStr">
        <is>
          <t>pv.new.dbt.prvt.com3</t>
        </is>
      </c>
      <c r="J295" t="inlineStr">
        <is>
          <t>COM3</t>
        </is>
      </c>
      <c r="M295" t="n">
        <v>577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</row>
    <row r="296">
      <c r="A296" t="inlineStr">
        <is>
          <t>Dominica_2023_May</t>
        </is>
      </c>
      <c r="B296" s="2" t="n"/>
      <c r="C296" s="3" t="inlineStr">
        <is>
          <t>SM.23.127, Sup. 1</t>
        </is>
      </c>
      <c r="D296" s="4" t="inlineStr">
        <is>
          <t>Dominica</t>
        </is>
      </c>
      <c r="E296" s="4" t="inlineStr">
        <is>
          <t>DMA</t>
        </is>
      </c>
      <c r="F296" s="10" t="n">
        <v>45047</v>
      </c>
      <c r="G296" s="4" t="inlineStr">
        <is>
          <t>2018gn</t>
        </is>
      </c>
      <c r="H296" s="4" t="n">
        <v>2022</v>
      </c>
      <c r="I296" s="4" t="inlineStr">
        <is>
          <t>pv.new.dbt.prvt.com4</t>
        </is>
      </c>
      <c r="J296" t="inlineStr">
        <is>
          <t>COM4</t>
        </is>
      </c>
      <c r="M296" t="n">
        <v>603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</row>
    <row r="297">
      <c r="A297" t="inlineStr">
        <is>
          <t>Dominica_2023_May</t>
        </is>
      </c>
      <c r="B297" s="2" t="n"/>
      <c r="C297" s="3" t="inlineStr">
        <is>
          <t>SM.23.127, Sup. 1</t>
        </is>
      </c>
      <c r="D297" s="4" t="inlineStr">
        <is>
          <t>Dominica</t>
        </is>
      </c>
      <c r="E297" s="4" t="inlineStr">
        <is>
          <t>DMA</t>
        </is>
      </c>
      <c r="F297" s="10" t="n">
        <v>45047</v>
      </c>
      <c r="G297" s="4" t="inlineStr">
        <is>
          <t>2018gn</t>
        </is>
      </c>
      <c r="H297" s="4" t="n">
        <v>2022</v>
      </c>
      <c r="I297" s="4" t="inlineStr">
        <is>
          <t>pv.new.dbt.prvt.com5</t>
        </is>
      </c>
      <c r="J297" t="inlineStr">
        <is>
          <t>COM5</t>
        </is>
      </c>
      <c r="M297" t="n">
        <v>629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</row>
    <row r="298">
      <c r="A298" t="inlineStr">
        <is>
          <t>Dominica_2023_May</t>
        </is>
      </c>
      <c r="B298" s="2" t="n"/>
      <c r="C298" s="3" t="inlineStr">
        <is>
          <t>SM.23.127, Sup. 1</t>
        </is>
      </c>
      <c r="D298" s="4" t="inlineStr">
        <is>
          <t>Dominica</t>
        </is>
      </c>
      <c r="E298" s="4" t="inlineStr">
        <is>
          <t>DMA</t>
        </is>
      </c>
      <c r="F298" s="10" t="n">
        <v>45047</v>
      </c>
      <c r="G298" s="4" t="inlineStr">
        <is>
          <t>2018gn</t>
        </is>
      </c>
      <c r="H298" s="4" t="n">
        <v>2022</v>
      </c>
      <c r="I298" s="4" t="inlineStr">
        <is>
          <t>pv.new.dbt.lcl.iss.nres</t>
        </is>
      </c>
      <c r="J298" t="inlineStr">
        <is>
          <t>Locally-issued debt held by non-residents</t>
        </is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</row>
    <row r="299">
      <c r="A299" t="inlineStr">
        <is>
          <t>Dominica_2023_May</t>
        </is>
      </c>
      <c r="B299" s="2" t="n"/>
      <c r="C299" s="3" t="inlineStr">
        <is>
          <t>SM.23.127, Sup. 1</t>
        </is>
      </c>
      <c r="D299" s="4" t="inlineStr">
        <is>
          <t>Dominica</t>
        </is>
      </c>
      <c r="E299" s="4" t="inlineStr">
        <is>
          <t>DMA</t>
        </is>
      </c>
      <c r="F299" s="10" t="n">
        <v>45047</v>
      </c>
      <c r="G299" s="4" t="inlineStr">
        <is>
          <t>2018gn</t>
        </is>
      </c>
      <c r="H299" s="4" t="n">
        <v>2022</v>
      </c>
      <c r="I299" s="4" t="inlineStr">
        <is>
          <t>pn.new.dbt.lcl.nres.lc</t>
        </is>
      </c>
      <c r="J299" t="inlineStr">
        <is>
          <t>Denominated in local currency (LC)</t>
        </is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</row>
    <row r="300">
      <c r="A300" t="inlineStr">
        <is>
          <t>Dominica_2023_May</t>
        </is>
      </c>
      <c r="B300" s="2" t="n"/>
      <c r="C300" s="3" t="inlineStr">
        <is>
          <t>SM.23.127, Sup. 1</t>
        </is>
      </c>
      <c r="D300" s="4" t="inlineStr">
        <is>
          <t>Dominica</t>
        </is>
      </c>
      <c r="E300" s="4" t="inlineStr">
        <is>
          <t>DMA</t>
        </is>
      </c>
      <c r="F300" s="10" t="n">
        <v>45047</v>
      </c>
      <c r="G300" s="4" t="inlineStr">
        <is>
          <t>2018gn</t>
        </is>
      </c>
      <c r="H300" s="4" t="n">
        <v>2022</v>
      </c>
      <c r="I300" s="4" t="inlineStr">
        <is>
          <t>pn.new.dbt.lcl.nres.bnd.1to3.lc</t>
        </is>
      </c>
      <c r="J300" t="inlineStr">
        <is>
          <t>Bonds (1 to 3 years)-LC</t>
        </is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</row>
    <row r="301">
      <c r="A301" t="inlineStr">
        <is>
          <t>Dominica_2023_May</t>
        </is>
      </c>
      <c r="B301" s="2" t="n"/>
      <c r="C301" s="3" t="inlineStr">
        <is>
          <t>SM.23.127, Sup. 1</t>
        </is>
      </c>
      <c r="D301" s="4" t="inlineStr">
        <is>
          <t>Dominica</t>
        </is>
      </c>
      <c r="E301" s="4" t="inlineStr">
        <is>
          <t>DMA</t>
        </is>
      </c>
      <c r="F301" s="10" t="n">
        <v>45047</v>
      </c>
      <c r="G301" s="4" t="inlineStr">
        <is>
          <t>2018gn</t>
        </is>
      </c>
      <c r="H301" s="4" t="n">
        <v>2022</v>
      </c>
      <c r="I301" s="4" t="inlineStr">
        <is>
          <t>pn.new.dbt.lcl.nres.bnd.4to7.lc</t>
        </is>
      </c>
      <c r="J301" t="inlineStr">
        <is>
          <t>Bonds (4 to 7 years)-LC</t>
        </is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</row>
    <row r="302">
      <c r="A302" t="inlineStr">
        <is>
          <t>Dominica_2023_May</t>
        </is>
      </c>
      <c r="B302" s="2" t="n"/>
      <c r="C302" s="3" t="inlineStr">
        <is>
          <t>SM.23.127, Sup. 1</t>
        </is>
      </c>
      <c r="D302" s="4" t="inlineStr">
        <is>
          <t>Dominica</t>
        </is>
      </c>
      <c r="E302" s="4" t="inlineStr">
        <is>
          <t>DMA</t>
        </is>
      </c>
      <c r="F302" s="10" t="n">
        <v>45047</v>
      </c>
      <c r="G302" s="4" t="inlineStr">
        <is>
          <t>2018gn</t>
        </is>
      </c>
      <c r="H302" s="4" t="n">
        <v>2022</v>
      </c>
      <c r="I302" s="4" t="inlineStr">
        <is>
          <t>pn.new.dbt.lcl.nres.bnd.byd7.lc</t>
        </is>
      </c>
      <c r="J302" t="inlineStr">
        <is>
          <t>Bonds (beyond 7 years)-LC</t>
        </is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</row>
    <row r="303">
      <c r="A303" t="inlineStr">
        <is>
          <t>Dominica_2023_May</t>
        </is>
      </c>
      <c r="B303" s="2" t="n"/>
      <c r="C303" s="3" t="inlineStr">
        <is>
          <t>SM.23.127, Sup. 1</t>
        </is>
      </c>
      <c r="D303" s="4" t="inlineStr">
        <is>
          <t>Dominica</t>
        </is>
      </c>
      <c r="E303" s="4" t="inlineStr">
        <is>
          <t>DMA</t>
        </is>
      </c>
      <c r="F303" s="10" t="n">
        <v>45047</v>
      </c>
      <c r="G303" s="4" t="inlineStr">
        <is>
          <t>2018gn</t>
        </is>
      </c>
      <c r="H303" s="4" t="n">
        <v>2022</v>
      </c>
      <c r="I303" s="4" t="inlineStr">
        <is>
          <t>pn.new.dbt.lcl.nres.fx</t>
        </is>
      </c>
      <c r="J303" t="inlineStr">
        <is>
          <t>Denominated in foreign currency (FX)</t>
        </is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</row>
    <row r="304">
      <c r="A304" t="inlineStr">
        <is>
          <t>Dominica_2023_May</t>
        </is>
      </c>
      <c r="B304" s="2" t="n"/>
      <c r="C304" s="3" t="inlineStr">
        <is>
          <t>SM.23.127, Sup. 1</t>
        </is>
      </c>
      <c r="D304" s="4" t="inlineStr">
        <is>
          <t>Dominica</t>
        </is>
      </c>
      <c r="E304" s="4" t="inlineStr">
        <is>
          <t>DMA</t>
        </is>
      </c>
      <c r="F304" s="10" t="n">
        <v>45047</v>
      </c>
      <c r="G304" s="4" t="inlineStr">
        <is>
          <t>2018gn</t>
        </is>
      </c>
      <c r="H304" s="4" t="n">
        <v>2022</v>
      </c>
      <c r="I304" s="4" t="inlineStr">
        <is>
          <t>pn.new.dbt.lcl.nres.bnd.1to3.fx</t>
        </is>
      </c>
      <c r="J304" t="inlineStr">
        <is>
          <t>Bonds (1 to 3 years)-FX</t>
        </is>
      </c>
      <c r="M304" t="n">
        <v>655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</row>
    <row r="305">
      <c r="A305" t="inlineStr">
        <is>
          <t>Dominica_2023_May</t>
        </is>
      </c>
      <c r="B305" s="2" t="n"/>
      <c r="C305" s="3" t="inlineStr">
        <is>
          <t>SM.23.127, Sup. 1</t>
        </is>
      </c>
      <c r="D305" s="4" t="inlineStr">
        <is>
          <t>Dominica</t>
        </is>
      </c>
      <c r="E305" s="4" t="inlineStr">
        <is>
          <t>DMA</t>
        </is>
      </c>
      <c r="F305" s="10" t="n">
        <v>45047</v>
      </c>
      <c r="G305" s="4" t="inlineStr">
        <is>
          <t>2018gn</t>
        </is>
      </c>
      <c r="H305" s="4" t="n">
        <v>2022</v>
      </c>
      <c r="I305" s="4" t="inlineStr">
        <is>
          <t>pn.new.dbt.lcl.nres.bnd.4to7.fx</t>
        </is>
      </c>
      <c r="J305" t="inlineStr">
        <is>
          <t>Bonds (4 to 7 years)-FX</t>
        </is>
      </c>
      <c r="M305" t="n">
        <v>681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</row>
    <row r="306">
      <c r="A306" t="inlineStr">
        <is>
          <t>Dominica_2023_May</t>
        </is>
      </c>
      <c r="B306" s="2" t="n"/>
      <c r="C306" s="3" t="inlineStr">
        <is>
          <t>SM.23.127, Sup. 1</t>
        </is>
      </c>
      <c r="D306" s="4" t="inlineStr">
        <is>
          <t>Dominica</t>
        </is>
      </c>
      <c r="E306" s="4" t="inlineStr">
        <is>
          <t>DMA</t>
        </is>
      </c>
      <c r="F306" s="10" t="n">
        <v>45047</v>
      </c>
      <c r="G306" s="4" t="inlineStr">
        <is>
          <t>2018gn</t>
        </is>
      </c>
      <c r="H306" s="4" t="n">
        <v>2022</v>
      </c>
      <c r="I306" s="4" t="inlineStr">
        <is>
          <t>pn.new.dbt.lcl.nres.bnd.byd7.fx</t>
        </is>
      </c>
      <c r="J306" t="inlineStr">
        <is>
          <t>Bonds (beyond 7 years)-FX</t>
        </is>
      </c>
      <c r="M306" t="n">
        <v>707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</row>
    <row r="307">
      <c r="A307" t="inlineStr">
        <is>
          <t>Dominica_2023_May</t>
        </is>
      </c>
      <c r="B307" s="2" t="n"/>
      <c r="C307" s="3" t="inlineStr">
        <is>
          <t>SM.23.127, Sup. 1</t>
        </is>
      </c>
      <c r="D307" s="4" t="inlineStr">
        <is>
          <t>Dominica</t>
        </is>
      </c>
      <c r="E307" s="4" t="inlineStr">
        <is>
          <t>DMA</t>
        </is>
      </c>
      <c r="F307" s="10" t="n">
        <v>45047</v>
      </c>
      <c r="G307" s="4" t="inlineStr">
        <is>
          <t>2018gn</t>
        </is>
      </c>
      <c r="H307" s="4" t="n">
        <v>2022</v>
      </c>
      <c r="I307" s="5" t="n"/>
      <c r="J307" t="inlineStr">
        <is>
          <t>Locally-issued debt held by residents</t>
        </is>
      </c>
    </row>
    <row r="308">
      <c r="A308" t="inlineStr">
        <is>
          <t>Dominica_2023_May</t>
        </is>
      </c>
      <c r="B308" s="2" t="n"/>
      <c r="C308" s="3" t="inlineStr">
        <is>
          <t>SM.23.127, Sup. 1</t>
        </is>
      </c>
      <c r="D308" s="4" t="inlineStr">
        <is>
          <t>Dominica</t>
        </is>
      </c>
      <c r="E308" s="4" t="inlineStr">
        <is>
          <t>DMA</t>
        </is>
      </c>
      <c r="F308" s="10" t="n">
        <v>45047</v>
      </c>
      <c r="G308" s="4" t="inlineStr">
        <is>
          <t>2018gn</t>
        </is>
      </c>
      <c r="H308" s="4" t="n">
        <v>2022</v>
      </c>
      <c r="I308" s="4" t="inlineStr">
        <is>
          <t>pn.new.dbt.lcl.fx</t>
        </is>
      </c>
      <c r="J308" t="inlineStr">
        <is>
          <t>Denominated in foreign currency (FX)</t>
        </is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</row>
    <row r="309">
      <c r="A309" t="inlineStr">
        <is>
          <t>Dominica_2023_May</t>
        </is>
      </c>
      <c r="B309" s="2" t="n"/>
      <c r="C309" s="3" t="inlineStr">
        <is>
          <t>SM.23.127, Sup. 1</t>
        </is>
      </c>
      <c r="D309" s="4" t="inlineStr">
        <is>
          <t>Dominica</t>
        </is>
      </c>
      <c r="E309" s="4" t="inlineStr">
        <is>
          <t>DMA</t>
        </is>
      </c>
      <c r="F309" s="10" t="n">
        <v>45047</v>
      </c>
      <c r="G309" s="4" t="inlineStr">
        <is>
          <t>2018gn</t>
        </is>
      </c>
      <c r="H309" s="4" t="n">
        <v>2022</v>
      </c>
      <c r="I309" s="4" t="inlineStr">
        <is>
          <t>pn.new.dbt.lcl.fx.bnd.1to3.fx</t>
        </is>
      </c>
      <c r="J309" t="inlineStr">
        <is>
          <t>Bonds (1 to 3 years)-FX</t>
        </is>
      </c>
      <c r="M309" t="n">
        <v>733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</row>
    <row r="310">
      <c r="A310" t="inlineStr">
        <is>
          <t>Dominica_2023_May</t>
        </is>
      </c>
      <c r="B310" s="2" t="n"/>
      <c r="C310" s="3" t="inlineStr">
        <is>
          <t>SM.23.127, Sup. 1</t>
        </is>
      </c>
      <c r="D310" s="4" t="inlineStr">
        <is>
          <t>Dominica</t>
        </is>
      </c>
      <c r="E310" s="4" t="inlineStr">
        <is>
          <t>DMA</t>
        </is>
      </c>
      <c r="F310" s="10" t="n">
        <v>45047</v>
      </c>
      <c r="G310" s="4" t="inlineStr">
        <is>
          <t>2018gn</t>
        </is>
      </c>
      <c r="H310" s="4" t="n">
        <v>2022</v>
      </c>
      <c r="I310" s="4" t="inlineStr">
        <is>
          <t>pn.new.dbt.lcl.fx.bnd.4to7.fx</t>
        </is>
      </c>
      <c r="J310" t="inlineStr">
        <is>
          <t>Bonds (4 to 7 years)-FX</t>
        </is>
      </c>
      <c r="M310" t="n">
        <v>759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</row>
    <row r="311">
      <c r="A311" t="inlineStr">
        <is>
          <t>Dominica_2023_May</t>
        </is>
      </c>
      <c r="B311" s="2" t="n"/>
      <c r="C311" s="3" t="inlineStr">
        <is>
          <t>SM.23.127, Sup. 1</t>
        </is>
      </c>
      <c r="D311" s="4" t="inlineStr">
        <is>
          <t>Dominica</t>
        </is>
      </c>
      <c r="E311" s="4" t="inlineStr">
        <is>
          <t>DMA</t>
        </is>
      </c>
      <c r="F311" s="10" t="n">
        <v>45047</v>
      </c>
      <c r="G311" s="4" t="inlineStr">
        <is>
          <t>2018gn</t>
        </is>
      </c>
      <c r="H311" s="4" t="n">
        <v>2022</v>
      </c>
      <c r="I311" s="4" t="inlineStr">
        <is>
          <t>pn.new.dbt.lcl.fx.bnd.byd7.fx</t>
        </is>
      </c>
      <c r="J311" t="inlineStr">
        <is>
          <t>Bonds (beyond 7 years)-FX</t>
        </is>
      </c>
      <c r="M311" t="n">
        <v>785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</row>
    <row r="312">
      <c r="A312" t="inlineStr">
        <is>
          <t>Dominica_2023_May</t>
        </is>
      </c>
      <c r="B312" s="2" t="n"/>
      <c r="C312" s="3" t="inlineStr">
        <is>
          <t>SM.23.127, Sup. 1</t>
        </is>
      </c>
      <c r="D312" s="4" t="inlineStr">
        <is>
          <t>Dominica</t>
        </is>
      </c>
      <c r="E312" s="4" t="inlineStr">
        <is>
          <t>DMA</t>
        </is>
      </c>
      <c r="F312" s="10" t="n">
        <v>45047</v>
      </c>
      <c r="G312" s="4" t="inlineStr">
        <is>
          <t>2018gn</t>
        </is>
      </c>
      <c r="H312" s="4" t="n">
        <v>2022</v>
      </c>
      <c r="I312" s="5" t="n"/>
    </row>
    <row r="313">
      <c r="A313" t="inlineStr">
        <is>
          <t>Dominica_2023_May</t>
        </is>
      </c>
      <c r="B313" s="2" t="n"/>
      <c r="C313" s="3" t="inlineStr">
        <is>
          <t>SM.23.127, Sup. 1</t>
        </is>
      </c>
      <c r="D313" s="4" t="inlineStr">
        <is>
          <t>Dominica</t>
        </is>
      </c>
      <c r="E313" s="4" t="inlineStr">
        <is>
          <t>DMA</t>
        </is>
      </c>
      <c r="F313" s="10" t="n">
        <v>45047</v>
      </c>
      <c r="G313" s="4" t="inlineStr">
        <is>
          <t>2018gn</t>
        </is>
      </c>
      <c r="H313" s="4" t="n">
        <v>2022</v>
      </c>
      <c r="I313" s="4" t="inlineStr">
        <is>
          <t>nom.val.dbt.mlg.trm</t>
        </is>
      </c>
      <c r="J313" t="inlineStr">
        <is>
          <t>Nominal value of new MLT debt</t>
        </is>
      </c>
      <c r="M313" t="n">
        <v>-4</v>
      </c>
      <c r="O313" t="n">
        <v>24.32609340744827</v>
      </c>
      <c r="P313" t="n">
        <v>60.30657798792225</v>
      </c>
      <c r="Q313" t="n">
        <v>107.1583851333253</v>
      </c>
      <c r="R313" t="n">
        <v>155.6635193765031</v>
      </c>
      <c r="S313" t="n">
        <v>206.265055905073</v>
      </c>
      <c r="T313" t="n">
        <v>259.9908390641162</v>
      </c>
      <c r="U313" t="n">
        <v>314.936938595549</v>
      </c>
      <c r="V313" t="n">
        <v>371.459659985003</v>
      </c>
      <c r="W313" t="n">
        <v>411.1572667855939</v>
      </c>
      <c r="X313" t="n">
        <v>525.0164027191092</v>
      </c>
      <c r="Y313" t="n">
        <v>547.1377429005676</v>
      </c>
      <c r="Z313" t="n">
        <v>554.0466391608476</v>
      </c>
      <c r="AA313" t="n">
        <v>560.0297240771689</v>
      </c>
      <c r="AB313" t="n">
        <v>563.7334536207056</v>
      </c>
      <c r="AC313" t="n">
        <v>564.7638327255416</v>
      </c>
      <c r="AD313" t="n">
        <v>547.7979872742108</v>
      </c>
      <c r="AE313" t="n">
        <v>529.1704336642887</v>
      </c>
      <c r="AF313" t="n">
        <v>498.4954195367918</v>
      </c>
      <c r="AG313" t="n">
        <v>466.235832789404</v>
      </c>
      <c r="AH313" t="n">
        <v>433.1992012472041</v>
      </c>
      <c r="AI313" t="n">
        <v>415.819788254243</v>
      </c>
      <c r="BI313" t="inlineStr">
        <is>
          <t>NOM_NEW_MLT</t>
        </is>
      </c>
    </row>
    <row r="314">
      <c r="A314" t="inlineStr">
        <is>
          <t>Dominica_2023_May</t>
        </is>
      </c>
      <c r="B314" s="2" t="n"/>
      <c r="C314" s="3" t="inlineStr">
        <is>
          <t>SM.23.127, Sup. 1</t>
        </is>
      </c>
      <c r="D314" s="4" t="inlineStr">
        <is>
          <t>Dominica</t>
        </is>
      </c>
      <c r="E314" s="4" t="inlineStr">
        <is>
          <t>DMA</t>
        </is>
      </c>
      <c r="F314" s="10" t="n">
        <v>45047</v>
      </c>
      <c r="G314" s="4" t="inlineStr">
        <is>
          <t>2018gn</t>
        </is>
      </c>
      <c r="H314" s="4" t="n">
        <v>2022</v>
      </c>
      <c r="I314" s="4" t="inlineStr">
        <is>
          <t>nom.val.dbt.mlt</t>
        </is>
      </c>
      <c r="J314" t="inlineStr">
        <is>
          <t>Multilaterals</t>
        </is>
      </c>
      <c r="O314" t="n">
        <v>20.5185185185185</v>
      </c>
      <c r="P314" t="n">
        <v>51.9686261481481</v>
      </c>
      <c r="Q314" t="n">
        <v>94.3491311541255</v>
      </c>
      <c r="R314" t="n">
        <v>134.9255308774646</v>
      </c>
      <c r="S314" t="n">
        <v>172.1054154805046</v>
      </c>
      <c r="T314" t="n">
        <v>211.6654295967515</v>
      </c>
      <c r="U314" t="n">
        <v>253.0878732871573</v>
      </c>
      <c r="V314" t="n">
        <v>296.4382930909082</v>
      </c>
      <c r="W314" t="n">
        <v>323.5893857766915</v>
      </c>
      <c r="X314" t="n">
        <v>425.6594659621661</v>
      </c>
      <c r="Y314" t="n">
        <v>436.6201219065053</v>
      </c>
      <c r="Z314" t="n">
        <v>441.5045711528745</v>
      </c>
      <c r="AA314" t="n">
        <v>443.1290535371544</v>
      </c>
      <c r="AB314" t="n">
        <v>441.8191932085812</v>
      </c>
      <c r="AC314" t="n">
        <v>437.9108808835948</v>
      </c>
      <c r="AD314" t="n">
        <v>415.897181729744</v>
      </c>
      <c r="AE314" t="n">
        <v>392.0664970203258</v>
      </c>
      <c r="AF314" t="n">
        <v>366.3951359759543</v>
      </c>
      <c r="AG314" t="n">
        <v>338.816432793645</v>
      </c>
      <c r="AH314" t="n">
        <v>310.0752215905178</v>
      </c>
      <c r="AI314" t="n">
        <v>296.5654548765496</v>
      </c>
      <c r="BI314" t="inlineStr">
        <is>
          <t>NOM_NEW_ML</t>
        </is>
      </c>
    </row>
    <row r="315">
      <c r="A315" t="inlineStr">
        <is>
          <t>Dominica_2023_May</t>
        </is>
      </c>
      <c r="B315" s="2" t="n"/>
      <c r="C315" s="3" t="inlineStr">
        <is>
          <t>SM.23.127, Sup. 1</t>
        </is>
      </c>
      <c r="D315" s="4" t="inlineStr">
        <is>
          <t>Dominica</t>
        </is>
      </c>
      <c r="E315" s="4" t="inlineStr">
        <is>
          <t>DMA</t>
        </is>
      </c>
      <c r="F315" s="10" t="n">
        <v>45047</v>
      </c>
      <c r="G315" s="4" t="inlineStr">
        <is>
          <t>2018gn</t>
        </is>
      </c>
      <c r="H315" s="4" t="n">
        <v>2022</v>
      </c>
      <c r="I315" s="4" t="inlineStr">
        <is>
          <t>nom.val.dbt.mlt.imf</t>
        </is>
      </c>
      <c r="J315" t="inlineStr">
        <is>
          <t>IMF</t>
        </is>
      </c>
      <c r="M315" t="n">
        <v>23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81</v>
      </c>
      <c r="Y315" t="n">
        <v>81</v>
      </c>
      <c r="Z315" t="n">
        <v>81</v>
      </c>
      <c r="AA315" t="n">
        <v>81</v>
      </c>
      <c r="AB315" t="n">
        <v>81</v>
      </c>
      <c r="AC315" t="n">
        <v>81</v>
      </c>
      <c r="AD315" t="n">
        <v>64.8</v>
      </c>
      <c r="AE315" t="n">
        <v>48.59999999999999</v>
      </c>
      <c r="AF315" t="n">
        <v>32.39999999999999</v>
      </c>
      <c r="AG315" t="n">
        <v>16.19999999999999</v>
      </c>
      <c r="AH315" t="n">
        <v>0</v>
      </c>
      <c r="AI315" t="n">
        <v>-3.7037037037037e-07</v>
      </c>
    </row>
    <row r="316">
      <c r="A316" t="inlineStr">
        <is>
          <t>Dominica_2023_May</t>
        </is>
      </c>
      <c r="B316" s="2" t="n"/>
      <c r="C316" s="3" t="inlineStr">
        <is>
          <t>SM.23.127, Sup. 1</t>
        </is>
      </c>
      <c r="D316" s="4" t="inlineStr">
        <is>
          <t>Dominica</t>
        </is>
      </c>
      <c r="E316" s="4" t="inlineStr">
        <is>
          <t>DMA</t>
        </is>
      </c>
      <c r="F316" s="10" t="n">
        <v>45047</v>
      </c>
      <c r="G316" s="4" t="inlineStr">
        <is>
          <t>2018gn</t>
        </is>
      </c>
      <c r="H316" s="4" t="n">
        <v>2022</v>
      </c>
      <c r="I316" s="4" t="inlineStr">
        <is>
          <t>nom.val.dbt.mlt.ida.reg</t>
        </is>
      </c>
      <c r="J316" t="inlineStr">
        <is>
          <t>IDA - small economy</t>
        </is>
      </c>
      <c r="M316" t="n">
        <v>57</v>
      </c>
      <c r="O316" t="n">
        <v>16.5185185185185</v>
      </c>
      <c r="P316" t="n">
        <v>36.3389965185185</v>
      </c>
      <c r="Q316" t="n">
        <v>66.31185559259259</v>
      </c>
      <c r="R316" t="n">
        <v>93.78661473148149</v>
      </c>
      <c r="S316" t="n">
        <v>117.2332684143519</v>
      </c>
      <c r="T316" t="n">
        <v>142.4119558883102</v>
      </c>
      <c r="U316" t="n">
        <v>168.7760203960635</v>
      </c>
      <c r="V316" t="n">
        <v>196.3671802196205</v>
      </c>
      <c r="W316" t="n">
        <v>213.6479849054574</v>
      </c>
      <c r="X316" t="n">
        <v>224.4423541028439</v>
      </c>
      <c r="Y316" t="n">
        <v>230.0575850781057</v>
      </c>
      <c r="Z316" t="n">
        <v>232.428010934546</v>
      </c>
      <c r="AA316" t="n">
        <v>233.647953666435</v>
      </c>
      <c r="AB316" t="n">
        <v>232.7022908831723</v>
      </c>
      <c r="AC316" t="n">
        <v>229.9708186680475</v>
      </c>
      <c r="AD316" t="n">
        <v>226.1862518855716</v>
      </c>
      <c r="AE316" t="n">
        <v>221.4776426295607</v>
      </c>
      <c r="AF316" t="n">
        <v>215.863778151048</v>
      </c>
      <c r="AG316" t="n">
        <v>209.3219518122113</v>
      </c>
      <c r="AH316" t="n">
        <v>202.2015216214847</v>
      </c>
      <c r="AI316" t="n">
        <v>194.7204744115114</v>
      </c>
    </row>
    <row r="317">
      <c r="A317" t="inlineStr">
        <is>
          <t>Dominica_2023_May</t>
        </is>
      </c>
      <c r="B317" s="2" t="n"/>
      <c r="C317" s="3" t="inlineStr">
        <is>
          <t>SM.23.127, Sup. 1</t>
        </is>
      </c>
      <c r="D317" s="4" t="inlineStr">
        <is>
          <t>Dominica</t>
        </is>
      </c>
      <c r="E317" s="4" t="inlineStr">
        <is>
          <t>DMA</t>
        </is>
      </c>
      <c r="F317" s="10" t="n">
        <v>45047</v>
      </c>
      <c r="G317" s="4" t="inlineStr">
        <is>
          <t>2018gn</t>
        </is>
      </c>
      <c r="H317" s="4" t="n">
        <v>2022</v>
      </c>
      <c r="I317" s="4" t="inlineStr">
        <is>
          <t>nom.val.dbt.mlt.ida.bld</t>
        </is>
      </c>
      <c r="J317" t="inlineStr">
        <is>
          <t>IDA - small economy</t>
        </is>
      </c>
      <c r="M317" t="n">
        <v>83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</row>
    <row r="318">
      <c r="A318" t="inlineStr">
        <is>
          <t>Dominica_2023_May</t>
        </is>
      </c>
      <c r="B318" s="2" t="n"/>
      <c r="C318" s="3" t="inlineStr">
        <is>
          <t>SM.23.127, Sup. 1</t>
        </is>
      </c>
      <c r="D318" s="4" t="inlineStr">
        <is>
          <t>Dominica</t>
        </is>
      </c>
      <c r="E318" s="4" t="inlineStr">
        <is>
          <t>DMA</t>
        </is>
      </c>
      <c r="F318" s="10" t="n">
        <v>45047</v>
      </c>
      <c r="G318" s="4" t="inlineStr">
        <is>
          <t>2018gn</t>
        </is>
      </c>
      <c r="H318" s="4" t="n">
        <v>2022</v>
      </c>
      <c r="I318" s="4" t="inlineStr">
        <is>
          <t>nom.val.dbt.mlt.afdb</t>
        </is>
      </c>
      <c r="J318" t="inlineStr">
        <is>
          <t>CDB</t>
        </is>
      </c>
      <c r="M318" t="n">
        <v>108</v>
      </c>
      <c r="O318" t="n">
        <v>4</v>
      </c>
      <c r="P318" t="n">
        <v>15.6296296296296</v>
      </c>
      <c r="Q318" t="n">
        <v>28.0372755615329</v>
      </c>
      <c r="R318" t="n">
        <v>41.1389161459831</v>
      </c>
      <c r="S318" t="n">
        <v>54.87214706615271</v>
      </c>
      <c r="T318" t="n">
        <v>69.25347370844131</v>
      </c>
      <c r="U318" t="n">
        <v>84.31185289109381</v>
      </c>
      <c r="V318" t="n">
        <v>100.0711128712877</v>
      </c>
      <c r="W318" t="n">
        <v>109.9414008712341</v>
      </c>
      <c r="X318" t="n">
        <v>120.2171118593222</v>
      </c>
      <c r="Y318" t="n">
        <v>125.5625368283996</v>
      </c>
      <c r="Z318" t="n">
        <v>128.0765602183285</v>
      </c>
      <c r="AA318" t="n">
        <v>128.4810998707194</v>
      </c>
      <c r="AB318" t="n">
        <v>128.1169023254089</v>
      </c>
      <c r="AC318" t="n">
        <v>126.9400622155472</v>
      </c>
      <c r="AD318" t="n">
        <v>124.9109298441725</v>
      </c>
      <c r="AE318" t="n">
        <v>121.988854390765</v>
      </c>
      <c r="AF318" t="n">
        <v>118.1313578249063</v>
      </c>
      <c r="AG318" t="n">
        <v>113.2944809814337</v>
      </c>
      <c r="AH318" t="n">
        <v>107.8736999690331</v>
      </c>
      <c r="AI318" t="n">
        <v>101.8449808354084</v>
      </c>
    </row>
    <row r="319">
      <c r="A319" t="inlineStr">
        <is>
          <t>Dominica_2023_May</t>
        </is>
      </c>
      <c r="B319" s="2" t="n"/>
      <c r="C319" s="3" t="inlineStr">
        <is>
          <t>SM.23.127, Sup. 1</t>
        </is>
      </c>
      <c r="D319" s="4" t="inlineStr">
        <is>
          <t>Dominica</t>
        </is>
      </c>
      <c r="E319" s="4" t="inlineStr">
        <is>
          <t>DMA</t>
        </is>
      </c>
      <c r="F319" s="10" t="n">
        <v>45047</v>
      </c>
      <c r="G319" s="4" t="inlineStr">
        <is>
          <t>2018gn</t>
        </is>
      </c>
      <c r="H319" s="4" t="n">
        <v>2022</v>
      </c>
      <c r="I319" s="4" t="inlineStr">
        <is>
          <t>nom.val.dbt.mlt2</t>
        </is>
      </c>
      <c r="J319" t="inlineStr">
        <is>
          <t>MULTIRES</t>
        </is>
      </c>
      <c r="M319" t="n">
        <v>134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</row>
    <row r="320">
      <c r="A320" t="inlineStr">
        <is>
          <t>Dominica_2023_May</t>
        </is>
      </c>
      <c r="B320" s="2" t="n"/>
      <c r="C320" s="3" t="inlineStr">
        <is>
          <t>SM.23.127, Sup. 1</t>
        </is>
      </c>
      <c r="D320" s="4" t="inlineStr">
        <is>
          <t>Dominica</t>
        </is>
      </c>
      <c r="E320" s="4" t="inlineStr">
        <is>
          <t>DMA</t>
        </is>
      </c>
      <c r="F320" s="10" t="n">
        <v>45047</v>
      </c>
      <c r="G320" s="4" t="inlineStr">
        <is>
          <t>2018gn</t>
        </is>
      </c>
      <c r="H320" s="4" t="n">
        <v>2022</v>
      </c>
      <c r="I320" s="4" t="inlineStr">
        <is>
          <t>nom.val.dbt.mlt3</t>
        </is>
      </c>
      <c r="J320" t="inlineStr">
        <is>
          <t>MULTI3</t>
        </is>
      </c>
      <c r="M320" t="n">
        <v>160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</row>
    <row r="321">
      <c r="A321" t="inlineStr">
        <is>
          <t>Dominica_2023_May</t>
        </is>
      </c>
      <c r="B321" s="2" t="n"/>
      <c r="C321" s="3" t="inlineStr">
        <is>
          <t>SM.23.127, Sup. 1</t>
        </is>
      </c>
      <c r="D321" s="4" t="inlineStr">
        <is>
          <t>Dominica</t>
        </is>
      </c>
      <c r="E321" s="4" t="inlineStr">
        <is>
          <t>DMA</t>
        </is>
      </c>
      <c r="F321" s="10" t="n">
        <v>45047</v>
      </c>
      <c r="G321" s="4" t="inlineStr">
        <is>
          <t>2018gn</t>
        </is>
      </c>
      <c r="H321" s="4" t="n">
        <v>2022</v>
      </c>
      <c r="I321" s="4" t="inlineStr">
        <is>
          <t>nom.val.dbt.mlt.oth</t>
        </is>
      </c>
      <c r="J321" t="inlineStr">
        <is>
          <t>Other Multilaterals</t>
        </is>
      </c>
      <c r="O321" t="n">
        <v>3.80757488892977</v>
      </c>
      <c r="P321" t="n">
        <v>8.337951839774149</v>
      </c>
      <c r="Q321" t="n">
        <v>12.80925397919983</v>
      </c>
      <c r="R321" t="n">
        <v>16.92512199624384</v>
      </c>
      <c r="S321" t="n">
        <v>21.17148462145421</v>
      </c>
      <c r="T321" t="n">
        <v>25.40572377593317</v>
      </c>
      <c r="U321" t="n">
        <v>29.57299278796482</v>
      </c>
      <c r="V321" t="n">
        <v>33.51688573331163</v>
      </c>
      <c r="W321" t="n">
        <v>37.24314836898385</v>
      </c>
      <c r="X321" t="n">
        <v>40.82932923953352</v>
      </c>
      <c r="Y321" t="n">
        <v>44.24902023011251</v>
      </c>
      <c r="Z321" t="n">
        <v>47.50582315530801</v>
      </c>
      <c r="AA321" t="n">
        <v>50.58055057921188</v>
      </c>
      <c r="AB321" t="n">
        <v>53.481458763582</v>
      </c>
      <c r="AC321" t="n">
        <v>56.21730607112578</v>
      </c>
      <c r="AD321" t="n">
        <v>58.78309282818162</v>
      </c>
      <c r="AE321" t="n">
        <v>61.17810104932529</v>
      </c>
      <c r="AF321" t="n">
        <v>63.40075187018691</v>
      </c>
      <c r="AG321" t="n">
        <v>65.45298829475698</v>
      </c>
      <c r="AH321" t="n">
        <v>67.33549082952565</v>
      </c>
      <c r="AI321" t="n">
        <v>69.04732456379213</v>
      </c>
    </row>
    <row r="322">
      <c r="A322" t="inlineStr">
        <is>
          <t>Dominica_2023_May</t>
        </is>
      </c>
      <c r="B322" s="2" t="n"/>
      <c r="C322" s="3" t="inlineStr">
        <is>
          <t>SM.23.127, Sup. 1</t>
        </is>
      </c>
      <c r="D322" s="4" t="inlineStr">
        <is>
          <t>Dominica</t>
        </is>
      </c>
      <c r="E322" s="4" t="inlineStr">
        <is>
          <t>DMA</t>
        </is>
      </c>
      <c r="F322" s="10" t="n">
        <v>45047</v>
      </c>
      <c r="G322" s="4" t="inlineStr">
        <is>
          <t>2018gn</t>
        </is>
      </c>
      <c r="H322" s="4" t="n">
        <v>2022</v>
      </c>
      <c r="I322" s="4" t="inlineStr">
        <is>
          <t>nom.val.dbt.mlt.oth1</t>
        </is>
      </c>
      <c r="J322" t="inlineStr">
        <is>
          <t>OTH_MULTI1</t>
        </is>
      </c>
      <c r="M322" t="n">
        <v>186</v>
      </c>
      <c r="O322" t="n">
        <v>3.80757488892977</v>
      </c>
      <c r="P322" t="n">
        <v>8.337951839774149</v>
      </c>
      <c r="Q322" t="n">
        <v>12.80925397919983</v>
      </c>
      <c r="R322" t="n">
        <v>16.92512199624384</v>
      </c>
      <c r="S322" t="n">
        <v>21.17148462145421</v>
      </c>
      <c r="T322" t="n">
        <v>25.40572377593317</v>
      </c>
      <c r="U322" t="n">
        <v>29.57299278796482</v>
      </c>
      <c r="V322" t="n">
        <v>33.51688573331163</v>
      </c>
      <c r="W322" t="n">
        <v>37.24314836898385</v>
      </c>
      <c r="X322" t="n">
        <v>40.82932923953352</v>
      </c>
      <c r="Y322" t="n">
        <v>44.24902023011251</v>
      </c>
      <c r="Z322" t="n">
        <v>47.50582315530801</v>
      </c>
      <c r="AA322" t="n">
        <v>50.58055057921188</v>
      </c>
      <c r="AB322" t="n">
        <v>53.481458763582</v>
      </c>
      <c r="AC322" t="n">
        <v>56.21730607112578</v>
      </c>
      <c r="AD322" t="n">
        <v>58.78309282818162</v>
      </c>
      <c r="AE322" t="n">
        <v>61.17810104932529</v>
      </c>
      <c r="AF322" t="n">
        <v>63.40075187018691</v>
      </c>
      <c r="AG322" t="n">
        <v>65.45298829475698</v>
      </c>
      <c r="AH322" t="n">
        <v>67.33549082952565</v>
      </c>
      <c r="AI322" t="n">
        <v>69.04732456379213</v>
      </c>
    </row>
    <row r="323">
      <c r="A323" t="inlineStr">
        <is>
          <t>Dominica_2023_May</t>
        </is>
      </c>
      <c r="B323" s="2" t="n"/>
      <c r="C323" s="3" t="inlineStr">
        <is>
          <t>SM.23.127, Sup. 1</t>
        </is>
      </c>
      <c r="D323" s="4" t="inlineStr">
        <is>
          <t>Dominica</t>
        </is>
      </c>
      <c r="E323" s="4" t="inlineStr">
        <is>
          <t>DMA</t>
        </is>
      </c>
      <c r="F323" s="10" t="n">
        <v>45047</v>
      </c>
      <c r="G323" s="4" t="inlineStr">
        <is>
          <t>2018gn</t>
        </is>
      </c>
      <c r="H323" s="4" t="n">
        <v>2022</v>
      </c>
      <c r="I323" s="4" t="inlineStr">
        <is>
          <t>nom.val.dbt.mlt.oth2</t>
        </is>
      </c>
      <c r="J323" t="inlineStr">
        <is>
          <t>OTH_MULTI2</t>
        </is>
      </c>
      <c r="M323" t="n">
        <v>212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</row>
    <row r="324">
      <c r="A324" t="inlineStr">
        <is>
          <t>Dominica_2023_May</t>
        </is>
      </c>
      <c r="B324" s="2" t="n"/>
      <c r="C324" s="3" t="inlineStr">
        <is>
          <t>SM.23.127, Sup. 1</t>
        </is>
      </c>
      <c r="D324" s="4" t="inlineStr">
        <is>
          <t>Dominica</t>
        </is>
      </c>
      <c r="E324" s="4" t="inlineStr">
        <is>
          <t>DMA</t>
        </is>
      </c>
      <c r="F324" s="10" t="n">
        <v>45047</v>
      </c>
      <c r="G324" s="4" t="inlineStr">
        <is>
          <t>2018gn</t>
        </is>
      </c>
      <c r="H324" s="4" t="n">
        <v>2022</v>
      </c>
      <c r="I324" s="4" t="inlineStr">
        <is>
          <t>nom.val.dbt.mlt.oth3</t>
        </is>
      </c>
      <c r="J324" t="inlineStr">
        <is>
          <t>OTH_MULTI3</t>
        </is>
      </c>
      <c r="M324" t="n">
        <v>238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</row>
    <row r="325">
      <c r="A325" t="inlineStr">
        <is>
          <t>Dominica_2023_May</t>
        </is>
      </c>
      <c r="B325" s="2" t="n"/>
      <c r="C325" s="3" t="inlineStr">
        <is>
          <t>SM.23.127, Sup. 1</t>
        </is>
      </c>
      <c r="D325" s="4" t="inlineStr">
        <is>
          <t>Dominica</t>
        </is>
      </c>
      <c r="E325" s="4" t="inlineStr">
        <is>
          <t>DMA</t>
        </is>
      </c>
      <c r="F325" s="10" t="n">
        <v>45047</v>
      </c>
      <c r="G325" s="4" t="inlineStr">
        <is>
          <t>2018gn</t>
        </is>
      </c>
      <c r="H325" s="4" t="n">
        <v>2022</v>
      </c>
      <c r="I325" s="4" t="inlineStr">
        <is>
          <t>nom.val.dbt.blt</t>
        </is>
      </c>
      <c r="J325" t="inlineStr">
        <is>
          <t>Official Bilaterals</t>
        </is>
      </c>
      <c r="O325" t="n">
        <v>0</v>
      </c>
      <c r="P325" t="n">
        <v>0</v>
      </c>
      <c r="Q325" t="n">
        <v>0</v>
      </c>
      <c r="R325" t="n">
        <v>0</v>
      </c>
      <c r="S325" t="n">
        <v>4.06819332997302</v>
      </c>
      <c r="T325" t="n">
        <v>9.454105752537171</v>
      </c>
      <c r="U325" t="n">
        <v>14.14810616704509</v>
      </c>
      <c r="V325" t="n">
        <v>18.40817949869062</v>
      </c>
      <c r="W325" t="n">
        <v>22.30714746441695</v>
      </c>
      <c r="X325" t="n">
        <v>25.84047377013213</v>
      </c>
      <c r="Y325" t="n">
        <v>29.04772262070079</v>
      </c>
      <c r="Z325" t="n">
        <v>29.74846232920305</v>
      </c>
      <c r="AA325" t="n">
        <v>31.02853676572375</v>
      </c>
      <c r="AB325" t="n">
        <v>32.68582675062201</v>
      </c>
      <c r="AC325" t="n">
        <v>34.58966653922528</v>
      </c>
      <c r="AD325" t="n">
        <v>36.65784094115983</v>
      </c>
      <c r="AE325" t="n">
        <v>38.83623708171184</v>
      </c>
      <c r="AF325" t="n">
        <v>37.92235135540678</v>
      </c>
      <c r="AG325" t="n">
        <v>36.95668366163411</v>
      </c>
      <c r="AH325" t="n">
        <v>35.92389131313202</v>
      </c>
      <c r="AI325" t="n">
        <v>34.81292278419988</v>
      </c>
      <c r="BI325" t="inlineStr">
        <is>
          <t>NOM_NEW_OB</t>
        </is>
      </c>
    </row>
    <row r="326">
      <c r="A326" t="inlineStr">
        <is>
          <t>Dominica_2023_May</t>
        </is>
      </c>
      <c r="B326" s="2" t="n"/>
      <c r="C326" s="3" t="inlineStr">
        <is>
          <t>SM.23.127, Sup. 1</t>
        </is>
      </c>
      <c r="D326" s="4" t="inlineStr">
        <is>
          <t>Dominica</t>
        </is>
      </c>
      <c r="E326" s="4" t="inlineStr">
        <is>
          <t>DMA</t>
        </is>
      </c>
      <c r="F326" s="10" t="n">
        <v>45047</v>
      </c>
      <c r="G326" s="4" t="inlineStr">
        <is>
          <t>2018gn</t>
        </is>
      </c>
      <c r="H326" s="4" t="n">
        <v>2022</v>
      </c>
      <c r="I326" s="4" t="inlineStr">
        <is>
          <t>nom.val.dbt.pc</t>
        </is>
      </c>
      <c r="J326" t="inlineStr">
        <is>
          <t xml:space="preserve">   Paris Club</t>
        </is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</row>
    <row r="327">
      <c r="A327" t="inlineStr">
        <is>
          <t>Dominica_2023_May</t>
        </is>
      </c>
      <c r="B327" s="2" t="n"/>
      <c r="C327" s="3" t="inlineStr">
        <is>
          <t>SM.23.127, Sup. 1</t>
        </is>
      </c>
      <c r="D327" s="4" t="inlineStr">
        <is>
          <t>Dominica</t>
        </is>
      </c>
      <c r="E327" s="4" t="inlineStr">
        <is>
          <t>DMA</t>
        </is>
      </c>
      <c r="F327" s="10" t="n">
        <v>45047</v>
      </c>
      <c r="G327" s="4" t="inlineStr">
        <is>
          <t>2018gn</t>
        </is>
      </c>
      <c r="H327" s="4" t="n">
        <v>2022</v>
      </c>
      <c r="I327" s="4" t="inlineStr">
        <is>
          <t>nom.val.dbt.pc1</t>
        </is>
      </c>
      <c r="J327" t="inlineStr">
        <is>
          <t>Export Credit Agencies</t>
        </is>
      </c>
      <c r="M327" t="n">
        <v>264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</row>
    <row r="328">
      <c r="A328" t="inlineStr">
        <is>
          <t>Dominica_2023_May</t>
        </is>
      </c>
      <c r="B328" s="2" t="n"/>
      <c r="C328" s="3" t="inlineStr">
        <is>
          <t>SM.23.127, Sup. 1</t>
        </is>
      </c>
      <c r="D328" s="4" t="inlineStr">
        <is>
          <t>Dominica</t>
        </is>
      </c>
      <c r="E328" s="4" t="inlineStr">
        <is>
          <t>DMA</t>
        </is>
      </c>
      <c r="F328" s="10" t="n">
        <v>45047</v>
      </c>
      <c r="G328" s="4" t="inlineStr">
        <is>
          <t>2018gn</t>
        </is>
      </c>
      <c r="H328" s="4" t="n">
        <v>2022</v>
      </c>
      <c r="I328" s="4" t="inlineStr">
        <is>
          <t>nom.val.dbt.pc2</t>
        </is>
      </c>
      <c r="J328" t="inlineStr">
        <is>
          <t>PC2</t>
        </is>
      </c>
      <c r="M328" t="n">
        <v>290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</row>
    <row r="329">
      <c r="A329" t="inlineStr">
        <is>
          <t>Dominica_2023_May</t>
        </is>
      </c>
      <c r="B329" s="2" t="n"/>
      <c r="C329" s="3" t="inlineStr">
        <is>
          <t>SM.23.127, Sup. 1</t>
        </is>
      </c>
      <c r="D329" s="4" t="inlineStr">
        <is>
          <t>Dominica</t>
        </is>
      </c>
      <c r="E329" s="4" t="inlineStr">
        <is>
          <t>DMA</t>
        </is>
      </c>
      <c r="F329" s="10" t="n">
        <v>45047</v>
      </c>
      <c r="G329" s="4" t="inlineStr">
        <is>
          <t>2018gn</t>
        </is>
      </c>
      <c r="H329" s="4" t="n">
        <v>2022</v>
      </c>
      <c r="I329" s="4" t="inlineStr">
        <is>
          <t>nom.val.dbt.pc3</t>
        </is>
      </c>
      <c r="J329" t="inlineStr">
        <is>
          <t>PC3</t>
        </is>
      </c>
      <c r="M329" t="n">
        <v>316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</row>
    <row r="330">
      <c r="A330" t="inlineStr">
        <is>
          <t>Dominica_2023_May</t>
        </is>
      </c>
      <c r="B330" s="2" t="n"/>
      <c r="C330" s="3" t="inlineStr">
        <is>
          <t>SM.23.127, Sup. 1</t>
        </is>
      </c>
      <c r="D330" s="4" t="inlineStr">
        <is>
          <t>Dominica</t>
        </is>
      </c>
      <c r="E330" s="4" t="inlineStr">
        <is>
          <t>DMA</t>
        </is>
      </c>
      <c r="F330" s="10" t="n">
        <v>45047</v>
      </c>
      <c r="G330" s="4" t="inlineStr">
        <is>
          <t>2018gn</t>
        </is>
      </c>
      <c r="H330" s="4" t="n">
        <v>2022</v>
      </c>
      <c r="I330" s="4" t="inlineStr">
        <is>
          <t>nom.val.dbt.pc4</t>
        </is>
      </c>
      <c r="J330" t="inlineStr">
        <is>
          <t>PC4</t>
        </is>
      </c>
      <c r="M330" t="n">
        <v>342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</row>
    <row r="331">
      <c r="A331" t="inlineStr">
        <is>
          <t>Dominica_2023_May</t>
        </is>
      </c>
      <c r="B331" s="2" t="n"/>
      <c r="C331" s="3" t="inlineStr">
        <is>
          <t>SM.23.127, Sup. 1</t>
        </is>
      </c>
      <c r="D331" s="4" t="inlineStr">
        <is>
          <t>Dominica</t>
        </is>
      </c>
      <c r="E331" s="4" t="inlineStr">
        <is>
          <t>DMA</t>
        </is>
      </c>
      <c r="F331" s="10" t="n">
        <v>45047</v>
      </c>
      <c r="G331" s="4" t="inlineStr">
        <is>
          <t>2018gn</t>
        </is>
      </c>
      <c r="H331" s="4" t="n">
        <v>2022</v>
      </c>
      <c r="I331" s="4" t="inlineStr">
        <is>
          <t>nom.val.dbt.pc5</t>
        </is>
      </c>
      <c r="J331" t="inlineStr">
        <is>
          <t>PC5</t>
        </is>
      </c>
      <c r="M331" t="n">
        <v>368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</row>
    <row r="332">
      <c r="A332" t="inlineStr">
        <is>
          <t>Dominica_2023_May</t>
        </is>
      </c>
      <c r="B332" s="2" t="n"/>
      <c r="C332" s="3" t="inlineStr">
        <is>
          <t>SM.23.127, Sup. 1</t>
        </is>
      </c>
      <c r="D332" s="4" t="inlineStr">
        <is>
          <t>Dominica</t>
        </is>
      </c>
      <c r="E332" s="4" t="inlineStr">
        <is>
          <t>DMA</t>
        </is>
      </c>
      <c r="F332" s="10" t="n">
        <v>45047</v>
      </c>
      <c r="G332" s="4" t="inlineStr">
        <is>
          <t>2018gn</t>
        </is>
      </c>
      <c r="H332" s="4" t="n">
        <v>2022</v>
      </c>
      <c r="I332" s="4" t="inlineStr">
        <is>
          <t>nom.val.dbt.npc</t>
        </is>
      </c>
      <c r="J332" t="inlineStr">
        <is>
          <t xml:space="preserve">   Non-Paris Club</t>
        </is>
      </c>
      <c r="O332" t="n">
        <v>0</v>
      </c>
      <c r="P332" t="n">
        <v>0</v>
      </c>
      <c r="Q332" t="n">
        <v>0</v>
      </c>
      <c r="R332" t="n">
        <v>0</v>
      </c>
      <c r="S332" t="n">
        <v>4.06819332997302</v>
      </c>
      <c r="T332" t="n">
        <v>9.454105752537171</v>
      </c>
      <c r="U332" t="n">
        <v>14.14810616704509</v>
      </c>
      <c r="V332" t="n">
        <v>18.40817949869062</v>
      </c>
      <c r="W332" t="n">
        <v>22.30714746441695</v>
      </c>
      <c r="X332" t="n">
        <v>25.84047377013213</v>
      </c>
      <c r="Y332" t="n">
        <v>29.04772262070079</v>
      </c>
      <c r="Z332" t="n">
        <v>29.74846232920305</v>
      </c>
      <c r="AA332" t="n">
        <v>31.02853676572375</v>
      </c>
      <c r="AB332" t="n">
        <v>32.68582675062201</v>
      </c>
      <c r="AC332" t="n">
        <v>34.58966653922528</v>
      </c>
      <c r="AD332" t="n">
        <v>36.65784094115983</v>
      </c>
      <c r="AE332" t="n">
        <v>38.83623708171184</v>
      </c>
      <c r="AF332" t="n">
        <v>37.92235135540678</v>
      </c>
      <c r="AG332" t="n">
        <v>36.95668366163411</v>
      </c>
      <c r="AH332" t="n">
        <v>35.92389131313202</v>
      </c>
      <c r="AI332" t="n">
        <v>34.81292278419988</v>
      </c>
    </row>
    <row r="333">
      <c r="A333" t="inlineStr">
        <is>
          <t>Dominica_2023_May</t>
        </is>
      </c>
      <c r="B333" s="2" t="n"/>
      <c r="C333" s="3" t="inlineStr">
        <is>
          <t>SM.23.127, Sup. 1</t>
        </is>
      </c>
      <c r="D333" s="4" t="inlineStr">
        <is>
          <t>Dominica</t>
        </is>
      </c>
      <c r="E333" s="4" t="inlineStr">
        <is>
          <t>DMA</t>
        </is>
      </c>
      <c r="F333" s="10" t="n">
        <v>45047</v>
      </c>
      <c r="G333" s="4" t="inlineStr">
        <is>
          <t>2018gn</t>
        </is>
      </c>
      <c r="H333" s="4" t="n">
        <v>2022</v>
      </c>
      <c r="I333" s="4" t="inlineStr">
        <is>
          <t>nom.val.dbt.npc.eximbk</t>
        </is>
      </c>
      <c r="J333" t="inlineStr">
        <is>
          <t>NPC2</t>
        </is>
      </c>
      <c r="M333" t="n">
        <v>394</v>
      </c>
      <c r="O333" t="n">
        <v>0</v>
      </c>
      <c r="P333" t="n">
        <v>0</v>
      </c>
      <c r="Q333" t="n">
        <v>0</v>
      </c>
      <c r="R333" t="n">
        <v>0</v>
      </c>
      <c r="S333" t="n">
        <v>4.06819332997302</v>
      </c>
      <c r="T333" t="n">
        <v>9.454105752537171</v>
      </c>
      <c r="U333" t="n">
        <v>14.14810616704509</v>
      </c>
      <c r="V333" t="n">
        <v>18.40817949869062</v>
      </c>
      <c r="W333" t="n">
        <v>22.30714746441695</v>
      </c>
      <c r="X333" t="n">
        <v>25.84047377013213</v>
      </c>
      <c r="Y333" t="n">
        <v>29.04772262070079</v>
      </c>
      <c r="Z333" t="n">
        <v>29.74846232920305</v>
      </c>
      <c r="AA333" t="n">
        <v>31.02853676572375</v>
      </c>
      <c r="AB333" t="n">
        <v>32.68582675062201</v>
      </c>
      <c r="AC333" t="n">
        <v>34.58966653922528</v>
      </c>
      <c r="AD333" t="n">
        <v>36.65784094115983</v>
      </c>
      <c r="AE333" t="n">
        <v>38.83623708171184</v>
      </c>
      <c r="AF333" t="n">
        <v>37.92235135540678</v>
      </c>
      <c r="AG333" t="n">
        <v>36.95668366163411</v>
      </c>
      <c r="AH333" t="n">
        <v>35.92389131313202</v>
      </c>
      <c r="AI333" t="n">
        <v>34.81292278419988</v>
      </c>
    </row>
    <row r="334">
      <c r="A334" t="inlineStr">
        <is>
          <t>Dominica_2023_May</t>
        </is>
      </c>
      <c r="B334" s="2" t="n"/>
      <c r="C334" s="3" t="inlineStr">
        <is>
          <t>SM.23.127, Sup. 1</t>
        </is>
      </c>
      <c r="D334" s="4" t="inlineStr">
        <is>
          <t>Dominica</t>
        </is>
      </c>
      <c r="E334" s="4" t="inlineStr">
        <is>
          <t>DMA</t>
        </is>
      </c>
      <c r="F334" s="10" t="n">
        <v>45047</v>
      </c>
      <c r="G334" s="4" t="inlineStr">
        <is>
          <t>2018gn</t>
        </is>
      </c>
      <c r="H334" s="4" t="n">
        <v>2022</v>
      </c>
      <c r="I334" s="4" t="inlineStr">
        <is>
          <t>nom.val.dbt.npc2</t>
        </is>
      </c>
      <c r="J334" t="inlineStr">
        <is>
          <t>NPC2</t>
        </is>
      </c>
      <c r="M334" t="n">
        <v>420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</row>
    <row r="335">
      <c r="A335" t="inlineStr">
        <is>
          <t>Dominica_2023_May</t>
        </is>
      </c>
      <c r="B335" s="2" t="n"/>
      <c r="C335" s="3" t="inlineStr">
        <is>
          <t>SM.23.127, Sup. 1</t>
        </is>
      </c>
      <c r="D335" s="4" t="inlineStr">
        <is>
          <t>Dominica</t>
        </is>
      </c>
      <c r="E335" s="4" t="inlineStr">
        <is>
          <t>DMA</t>
        </is>
      </c>
      <c r="F335" s="10" t="n">
        <v>45047</v>
      </c>
      <c r="G335" s="4" t="inlineStr">
        <is>
          <t>2018gn</t>
        </is>
      </c>
      <c r="H335" s="4" t="n">
        <v>2022</v>
      </c>
      <c r="I335" s="4" t="inlineStr">
        <is>
          <t>nom.val.dbt.npc3</t>
        </is>
      </c>
      <c r="J335" t="inlineStr">
        <is>
          <t>NPC3</t>
        </is>
      </c>
      <c r="M335" t="n">
        <v>446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</row>
    <row r="336">
      <c r="A336" t="inlineStr">
        <is>
          <t>Dominica_2023_May</t>
        </is>
      </c>
      <c r="B336" s="2" t="n"/>
      <c r="C336" s="3" t="inlineStr">
        <is>
          <t>SM.23.127, Sup. 1</t>
        </is>
      </c>
      <c r="D336" s="4" t="inlineStr">
        <is>
          <t>Dominica</t>
        </is>
      </c>
      <c r="E336" s="4" t="inlineStr">
        <is>
          <t>DMA</t>
        </is>
      </c>
      <c r="F336" s="10" t="n">
        <v>45047</v>
      </c>
      <c r="G336" s="4" t="inlineStr">
        <is>
          <t>2018gn</t>
        </is>
      </c>
      <c r="H336" s="4" t="n">
        <v>2022</v>
      </c>
      <c r="I336" s="4" t="inlineStr">
        <is>
          <t>nom.val.dbt.npc4</t>
        </is>
      </c>
      <c r="J336" t="inlineStr">
        <is>
          <t>NPC4</t>
        </is>
      </c>
      <c r="M336" t="n">
        <v>472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</row>
    <row r="337">
      <c r="A337" t="inlineStr">
        <is>
          <t>Dominica_2023_May</t>
        </is>
      </c>
      <c r="B337" s="2" t="n"/>
      <c r="C337" s="3" t="inlineStr">
        <is>
          <t>SM.23.127, Sup. 1</t>
        </is>
      </c>
      <c r="D337" s="4" t="inlineStr">
        <is>
          <t>Dominica</t>
        </is>
      </c>
      <c r="E337" s="4" t="inlineStr">
        <is>
          <t>DMA</t>
        </is>
      </c>
      <c r="F337" s="10" t="n">
        <v>45047</v>
      </c>
      <c r="G337" s="4" t="inlineStr">
        <is>
          <t>2018gn</t>
        </is>
      </c>
      <c r="H337" s="4" t="n">
        <v>2022</v>
      </c>
      <c r="I337" s="4" t="inlineStr">
        <is>
          <t>nom.val.dbt.npc5</t>
        </is>
      </c>
      <c r="J337" t="inlineStr">
        <is>
          <t>NPC5</t>
        </is>
      </c>
      <c r="M337" t="n">
        <v>498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</row>
    <row r="338">
      <c r="A338" t="inlineStr">
        <is>
          <t>Dominica_2023_May</t>
        </is>
      </c>
      <c r="B338" s="2" t="n"/>
      <c r="C338" s="3" t="inlineStr">
        <is>
          <t>SM.23.127, Sup. 1</t>
        </is>
      </c>
      <c r="D338" s="4" t="inlineStr">
        <is>
          <t>Dominica</t>
        </is>
      </c>
      <c r="E338" s="4" t="inlineStr">
        <is>
          <t>DMA</t>
        </is>
      </c>
      <c r="F338" s="10" t="n">
        <v>45047</v>
      </c>
      <c r="G338" s="4" t="inlineStr">
        <is>
          <t>2018gn</t>
        </is>
      </c>
      <c r="H338" s="4" t="n">
        <v>2022</v>
      </c>
      <c r="I338" s="4" t="inlineStr">
        <is>
          <t>nom.val.dbt.prvt</t>
        </is>
      </c>
      <c r="J338" t="inlineStr">
        <is>
          <t>Commercial</t>
        </is>
      </c>
      <c r="O338" t="n">
        <v>0</v>
      </c>
      <c r="P338" t="n">
        <v>0</v>
      </c>
      <c r="Q338" t="n">
        <v>0</v>
      </c>
      <c r="R338" t="n">
        <v>3.81286650279468</v>
      </c>
      <c r="S338" t="n">
        <v>8.919962473141162</v>
      </c>
      <c r="T338" t="n">
        <v>13.46557993889438</v>
      </c>
      <c r="U338" t="n">
        <v>18.12796635338166</v>
      </c>
      <c r="V338" t="n">
        <v>23.09630166209256</v>
      </c>
      <c r="W338" t="n">
        <v>28.01758517550163</v>
      </c>
      <c r="X338" t="n">
        <v>32.68713374727747</v>
      </c>
      <c r="Y338" t="n">
        <v>37.22087814324887</v>
      </c>
      <c r="Z338" t="n">
        <v>35.28778252346205</v>
      </c>
      <c r="AA338" t="n">
        <v>35.29158319507882</v>
      </c>
      <c r="AB338" t="n">
        <v>35.7469748979205</v>
      </c>
      <c r="AC338" t="n">
        <v>36.0459792315958</v>
      </c>
      <c r="AD338" t="n">
        <v>36.45987177512529</v>
      </c>
      <c r="AE338" t="n">
        <v>37.08959851292586</v>
      </c>
      <c r="AF338" t="n">
        <v>30.77718033524376</v>
      </c>
      <c r="AG338" t="n">
        <v>25.00972803936801</v>
      </c>
      <c r="AH338" t="n">
        <v>19.86459751402862</v>
      </c>
      <c r="AI338" t="n">
        <v>15.39408602970145</v>
      </c>
      <c r="BI338" t="inlineStr">
        <is>
          <t>NOM_NEW_COM</t>
        </is>
      </c>
    </row>
    <row r="339">
      <c r="A339" t="inlineStr">
        <is>
          <t>Dominica_2023_May</t>
        </is>
      </c>
      <c r="B339" s="2" t="n"/>
      <c r="C339" s="3" t="inlineStr">
        <is>
          <t>SM.23.127, Sup. 1</t>
        </is>
      </c>
      <c r="D339" s="4" t="inlineStr">
        <is>
          <t>Dominica</t>
        </is>
      </c>
      <c r="E339" s="4" t="inlineStr">
        <is>
          <t>DMA</t>
        </is>
      </c>
      <c r="F339" s="10" t="n">
        <v>45047</v>
      </c>
      <c r="G339" s="4" t="inlineStr">
        <is>
          <t>2018gn</t>
        </is>
      </c>
      <c r="H339" s="4" t="n">
        <v>2022</v>
      </c>
      <c r="I339" s="4" t="inlineStr">
        <is>
          <t>nom.val.dbt.prvt.bnd</t>
        </is>
      </c>
      <c r="J339" t="inlineStr">
        <is>
          <t>Eurobond</t>
        </is>
      </c>
      <c r="M339" t="n">
        <v>524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</row>
    <row r="340">
      <c r="A340" t="inlineStr">
        <is>
          <t>Dominica_2023_May</t>
        </is>
      </c>
      <c r="B340" s="2" t="n"/>
      <c r="C340" s="3" t="inlineStr">
        <is>
          <t>SM.23.127, Sup. 1</t>
        </is>
      </c>
      <c r="D340" s="4" t="inlineStr">
        <is>
          <t>Dominica</t>
        </is>
      </c>
      <c r="E340" s="4" t="inlineStr">
        <is>
          <t>DMA</t>
        </is>
      </c>
      <c r="F340" s="10" t="n">
        <v>45047</v>
      </c>
      <c r="G340" s="4" t="inlineStr">
        <is>
          <t>2018gn</t>
        </is>
      </c>
      <c r="H340" s="4" t="n">
        <v>2022</v>
      </c>
      <c r="I340" s="4" t="inlineStr">
        <is>
          <t>nom.val.dbt.prvt.cmbk</t>
        </is>
      </c>
      <c r="J340" t="inlineStr">
        <is>
          <t>Commecial Bank</t>
        </is>
      </c>
      <c r="M340" t="n">
        <v>550</v>
      </c>
      <c r="O340" t="n">
        <v>0</v>
      </c>
      <c r="P340" t="n">
        <v>0</v>
      </c>
      <c r="Q340" t="n">
        <v>0</v>
      </c>
      <c r="R340" t="n">
        <v>3.81286650279468</v>
      </c>
      <c r="S340" t="n">
        <v>8.919962473141162</v>
      </c>
      <c r="T340" t="n">
        <v>13.46557993889438</v>
      </c>
      <c r="U340" t="n">
        <v>18.12796635338166</v>
      </c>
      <c r="V340" t="n">
        <v>23.09630166209256</v>
      </c>
      <c r="W340" t="n">
        <v>28.01758517550163</v>
      </c>
      <c r="X340" t="n">
        <v>32.68713374727747</v>
      </c>
      <c r="Y340" t="n">
        <v>37.22087814324887</v>
      </c>
      <c r="Z340" t="n">
        <v>35.28778252346205</v>
      </c>
      <c r="AA340" t="n">
        <v>35.29158319507882</v>
      </c>
      <c r="AB340" t="n">
        <v>35.7469748979205</v>
      </c>
      <c r="AC340" t="n">
        <v>36.0459792315958</v>
      </c>
      <c r="AD340" t="n">
        <v>36.45987177512529</v>
      </c>
      <c r="AE340" t="n">
        <v>37.08959851292586</v>
      </c>
      <c r="AF340" t="n">
        <v>30.77718033524376</v>
      </c>
      <c r="AG340" t="n">
        <v>25.00972803936801</v>
      </c>
      <c r="AH340" t="n">
        <v>19.86459751402862</v>
      </c>
      <c r="AI340" t="n">
        <v>15.39408602970145</v>
      </c>
    </row>
    <row r="341">
      <c r="A341" t="inlineStr">
        <is>
          <t>Dominica_2023_May</t>
        </is>
      </c>
      <c r="B341" s="2" t="n"/>
      <c r="C341" s="3" t="inlineStr">
        <is>
          <t>SM.23.127, Sup. 1</t>
        </is>
      </c>
      <c r="D341" s="4" t="inlineStr">
        <is>
          <t>Dominica</t>
        </is>
      </c>
      <c r="E341" s="4" t="inlineStr">
        <is>
          <t>DMA</t>
        </is>
      </c>
      <c r="F341" s="10" t="n">
        <v>45047</v>
      </c>
      <c r="G341" s="4" t="inlineStr">
        <is>
          <t>2018gn</t>
        </is>
      </c>
      <c r="H341" s="4" t="n">
        <v>2022</v>
      </c>
      <c r="I341" s="4" t="inlineStr">
        <is>
          <t>nom.val.dbt.prvt.com3</t>
        </is>
      </c>
      <c r="J341" t="inlineStr">
        <is>
          <t>COM3</t>
        </is>
      </c>
      <c r="M341" t="n">
        <v>576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</row>
    <row r="342">
      <c r="A342" t="inlineStr">
        <is>
          <t>Dominica_2023_May</t>
        </is>
      </c>
      <c r="B342" s="2" t="n"/>
      <c r="C342" s="3" t="inlineStr">
        <is>
          <t>SM.23.127, Sup. 1</t>
        </is>
      </c>
      <c r="D342" s="4" t="inlineStr">
        <is>
          <t>Dominica</t>
        </is>
      </c>
      <c r="E342" s="4" t="inlineStr">
        <is>
          <t>DMA</t>
        </is>
      </c>
      <c r="F342" s="10" t="n">
        <v>45047</v>
      </c>
      <c r="G342" s="4" t="inlineStr">
        <is>
          <t>2018gn</t>
        </is>
      </c>
      <c r="H342" s="4" t="n">
        <v>2022</v>
      </c>
      <c r="I342" s="4" t="inlineStr">
        <is>
          <t>nom.val.dbt.prvt.com4</t>
        </is>
      </c>
      <c r="J342" t="inlineStr">
        <is>
          <t>COM4</t>
        </is>
      </c>
      <c r="M342" t="n">
        <v>602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</row>
    <row r="343">
      <c r="A343" t="inlineStr">
        <is>
          <t>Dominica_2023_May</t>
        </is>
      </c>
      <c r="B343" s="2" t="n"/>
      <c r="C343" s="3" t="inlineStr">
        <is>
          <t>SM.23.127, Sup. 1</t>
        </is>
      </c>
      <c r="D343" s="4" t="inlineStr">
        <is>
          <t>Dominica</t>
        </is>
      </c>
      <c r="E343" s="4" t="inlineStr">
        <is>
          <t>DMA</t>
        </is>
      </c>
      <c r="F343" s="10" t="n">
        <v>45047</v>
      </c>
      <c r="G343" s="4" t="inlineStr">
        <is>
          <t>2018gn</t>
        </is>
      </c>
      <c r="H343" s="4" t="n">
        <v>2022</v>
      </c>
      <c r="I343" s="4" t="inlineStr">
        <is>
          <t>nom.val.dbt.prvt.com5</t>
        </is>
      </c>
      <c r="J343" t="inlineStr">
        <is>
          <t>COM5</t>
        </is>
      </c>
      <c r="M343" t="n">
        <v>628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</row>
    <row r="344">
      <c r="A344" t="inlineStr">
        <is>
          <t>Dominica_2023_May</t>
        </is>
      </c>
      <c r="B344" s="2" t="n"/>
      <c r="C344" s="3" t="inlineStr">
        <is>
          <t>SM.23.127, Sup. 1</t>
        </is>
      </c>
      <c r="D344" s="4" t="inlineStr">
        <is>
          <t>Dominica</t>
        </is>
      </c>
      <c r="E344" s="4" t="inlineStr">
        <is>
          <t>DMA</t>
        </is>
      </c>
      <c r="F344" s="10" t="n">
        <v>45047</v>
      </c>
      <c r="G344" s="4" t="inlineStr">
        <is>
          <t>2018gn</t>
        </is>
      </c>
      <c r="H344" s="4" t="n">
        <v>2022</v>
      </c>
      <c r="I344" s="4" t="inlineStr">
        <is>
          <t>nom.val.dbt.lcl.iss.nres</t>
        </is>
      </c>
      <c r="J344" t="inlineStr">
        <is>
          <t>Locally-issued debt held by non-residents</t>
        </is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</row>
    <row r="345">
      <c r="A345" t="inlineStr">
        <is>
          <t>Dominica_2023_May</t>
        </is>
      </c>
      <c r="B345" s="2" t="n"/>
      <c r="C345" s="3" t="inlineStr">
        <is>
          <t>SM.23.127, Sup. 1</t>
        </is>
      </c>
      <c r="D345" s="4" t="inlineStr">
        <is>
          <t>Dominica</t>
        </is>
      </c>
      <c r="E345" s="4" t="inlineStr">
        <is>
          <t>DMA</t>
        </is>
      </c>
      <c r="F345" s="10" t="n">
        <v>45047</v>
      </c>
      <c r="G345" s="4" t="inlineStr">
        <is>
          <t>2018gn</t>
        </is>
      </c>
      <c r="H345" s="4" t="n">
        <v>2022</v>
      </c>
      <c r="I345" s="4" t="inlineStr">
        <is>
          <t>pn.new.dbt.lcl.nres.lc</t>
        </is>
      </c>
      <c r="J345" t="inlineStr">
        <is>
          <t>Denominated in local currency (LC)</t>
        </is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</row>
    <row r="346">
      <c r="A346" t="inlineStr">
        <is>
          <t>Dominica_2023_May</t>
        </is>
      </c>
      <c r="B346" s="2" t="n"/>
      <c r="C346" s="3" t="inlineStr">
        <is>
          <t>SM.23.127, Sup. 1</t>
        </is>
      </c>
      <c r="D346" s="4" t="inlineStr">
        <is>
          <t>Dominica</t>
        </is>
      </c>
      <c r="E346" s="4" t="inlineStr">
        <is>
          <t>DMA</t>
        </is>
      </c>
      <c r="F346" s="10" t="n">
        <v>45047</v>
      </c>
      <c r="G346" s="4" t="inlineStr">
        <is>
          <t>2018gn</t>
        </is>
      </c>
      <c r="H346" s="4" t="n">
        <v>2022</v>
      </c>
      <c r="I346" s="4" t="inlineStr">
        <is>
          <t>pn.new.dbt.lcl.nres.bnd.1to3.lc</t>
        </is>
      </c>
      <c r="J346" t="inlineStr">
        <is>
          <t>Bonds (1 to 3 years)-LC</t>
        </is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</row>
    <row r="347">
      <c r="A347" t="inlineStr">
        <is>
          <t>Dominica_2023_May</t>
        </is>
      </c>
      <c r="B347" s="2" t="n"/>
      <c r="C347" s="3" t="inlineStr">
        <is>
          <t>SM.23.127, Sup. 1</t>
        </is>
      </c>
      <c r="D347" s="4" t="inlineStr">
        <is>
          <t>Dominica</t>
        </is>
      </c>
      <c r="E347" s="4" t="inlineStr">
        <is>
          <t>DMA</t>
        </is>
      </c>
      <c r="F347" s="10" t="n">
        <v>45047</v>
      </c>
      <c r="G347" s="4" t="inlineStr">
        <is>
          <t>2018gn</t>
        </is>
      </c>
      <c r="H347" s="4" t="n">
        <v>2022</v>
      </c>
      <c r="I347" s="4" t="inlineStr">
        <is>
          <t>pn.new.dbt.lcl.nres.bnd.4to7.lc</t>
        </is>
      </c>
      <c r="J347" t="inlineStr">
        <is>
          <t>Bonds (4 to 7 years)-LC</t>
        </is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</row>
    <row r="348">
      <c r="A348" t="inlineStr">
        <is>
          <t>Dominica_2023_May</t>
        </is>
      </c>
      <c r="B348" s="2" t="n"/>
      <c r="C348" s="3" t="inlineStr">
        <is>
          <t>SM.23.127, Sup. 1</t>
        </is>
      </c>
      <c r="D348" s="4" t="inlineStr">
        <is>
          <t>Dominica</t>
        </is>
      </c>
      <c r="E348" s="4" t="inlineStr">
        <is>
          <t>DMA</t>
        </is>
      </c>
      <c r="F348" s="10" t="n">
        <v>45047</v>
      </c>
      <c r="G348" s="4" t="inlineStr">
        <is>
          <t>2018gn</t>
        </is>
      </c>
      <c r="H348" s="4" t="n">
        <v>2022</v>
      </c>
      <c r="I348" s="4" t="inlineStr">
        <is>
          <t>pn.new.dbt.lcl.nres.bnd.byd7.lc</t>
        </is>
      </c>
      <c r="J348" t="inlineStr">
        <is>
          <t>Bonds (beyond 7 years)-LC</t>
        </is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</row>
    <row r="349">
      <c r="A349" t="inlineStr">
        <is>
          <t>Dominica_2023_May</t>
        </is>
      </c>
      <c r="B349" s="2" t="n"/>
      <c r="C349" s="3" t="inlineStr">
        <is>
          <t>SM.23.127, Sup. 1</t>
        </is>
      </c>
      <c r="D349" s="4" t="inlineStr">
        <is>
          <t>Dominica</t>
        </is>
      </c>
      <c r="E349" s="4" t="inlineStr">
        <is>
          <t>DMA</t>
        </is>
      </c>
      <c r="F349" s="10" t="n">
        <v>45047</v>
      </c>
      <c r="G349" s="4" t="inlineStr">
        <is>
          <t>2018gn</t>
        </is>
      </c>
      <c r="H349" s="4" t="n">
        <v>2022</v>
      </c>
      <c r="I349" s="4" t="inlineStr">
        <is>
          <t>pn.new.dbt.lcl.nres.fx</t>
        </is>
      </c>
      <c r="J349" t="inlineStr">
        <is>
          <t>Denominated in foreign currency (FX)</t>
        </is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</row>
    <row r="350">
      <c r="A350" t="inlineStr">
        <is>
          <t>Dominica_2023_May</t>
        </is>
      </c>
      <c r="B350" s="2" t="n"/>
      <c r="C350" s="3" t="inlineStr">
        <is>
          <t>SM.23.127, Sup. 1</t>
        </is>
      </c>
      <c r="D350" s="4" t="inlineStr">
        <is>
          <t>Dominica</t>
        </is>
      </c>
      <c r="E350" s="4" t="inlineStr">
        <is>
          <t>DMA</t>
        </is>
      </c>
      <c r="F350" s="10" t="n">
        <v>45047</v>
      </c>
      <c r="G350" s="4" t="inlineStr">
        <is>
          <t>2018gn</t>
        </is>
      </c>
      <c r="H350" s="4" t="n">
        <v>2022</v>
      </c>
      <c r="I350" s="4" t="inlineStr">
        <is>
          <t>pn.new.dbt.lcl.nres.bnd.1to3.fx</t>
        </is>
      </c>
      <c r="J350" t="inlineStr">
        <is>
          <t>Bonds (1 to 3 years)-FX</t>
        </is>
      </c>
      <c r="M350" t="n">
        <v>654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</row>
    <row r="351">
      <c r="A351" t="inlineStr">
        <is>
          <t>Dominica_2023_May</t>
        </is>
      </c>
      <c r="B351" s="2" t="n"/>
      <c r="C351" s="3" t="inlineStr">
        <is>
          <t>SM.23.127, Sup. 1</t>
        </is>
      </c>
      <c r="D351" s="4" t="inlineStr">
        <is>
          <t>Dominica</t>
        </is>
      </c>
      <c r="E351" s="4" t="inlineStr">
        <is>
          <t>DMA</t>
        </is>
      </c>
      <c r="F351" s="10" t="n">
        <v>45047</v>
      </c>
      <c r="G351" s="4" t="inlineStr">
        <is>
          <t>2018gn</t>
        </is>
      </c>
      <c r="H351" s="4" t="n">
        <v>2022</v>
      </c>
      <c r="I351" s="4" t="inlineStr">
        <is>
          <t>pn.new.dbt.lcl.nres.bnd.4to7.fx</t>
        </is>
      </c>
      <c r="J351" t="inlineStr">
        <is>
          <t>Bonds (4 to 7 years)-FX</t>
        </is>
      </c>
      <c r="M351" t="n">
        <v>680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</row>
    <row r="352">
      <c r="A352" t="inlineStr">
        <is>
          <t>Dominica_2023_May</t>
        </is>
      </c>
      <c r="B352" s="2" t="n"/>
      <c r="C352" s="3" t="inlineStr">
        <is>
          <t>SM.23.127, Sup. 1</t>
        </is>
      </c>
      <c r="D352" s="4" t="inlineStr">
        <is>
          <t>Dominica</t>
        </is>
      </c>
      <c r="E352" s="4" t="inlineStr">
        <is>
          <t>DMA</t>
        </is>
      </c>
      <c r="F352" s="10" t="n">
        <v>45047</v>
      </c>
      <c r="G352" s="4" t="inlineStr">
        <is>
          <t>2018gn</t>
        </is>
      </c>
      <c r="H352" s="4" t="n">
        <v>2022</v>
      </c>
      <c r="I352" s="4" t="inlineStr">
        <is>
          <t>pn.new.dbt.lcl.nres.bnd.byd7.fx</t>
        </is>
      </c>
      <c r="J352" t="inlineStr">
        <is>
          <t>Bonds (beyond 7 years)-FX</t>
        </is>
      </c>
      <c r="M352" t="n">
        <v>706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</row>
    <row r="353">
      <c r="A353" t="inlineStr">
        <is>
          <t>Dominica_2023_May</t>
        </is>
      </c>
      <c r="B353" s="2" t="n"/>
      <c r="C353" s="3" t="inlineStr">
        <is>
          <t>SM.23.127, Sup. 1</t>
        </is>
      </c>
      <c r="D353" s="4" t="inlineStr">
        <is>
          <t>Dominica</t>
        </is>
      </c>
      <c r="E353" s="4" t="inlineStr">
        <is>
          <t>DMA</t>
        </is>
      </c>
      <c r="F353" s="10" t="n">
        <v>45047</v>
      </c>
      <c r="G353" s="4" t="inlineStr">
        <is>
          <t>2018gn</t>
        </is>
      </c>
      <c r="H353" s="4" t="n">
        <v>2022</v>
      </c>
      <c r="I353" s="5" t="n"/>
      <c r="J353" t="inlineStr">
        <is>
          <t>Locally-issued debt held by residents</t>
        </is>
      </c>
    </row>
    <row r="354">
      <c r="A354" t="inlineStr">
        <is>
          <t>Dominica_2023_May</t>
        </is>
      </c>
      <c r="B354" s="2" t="n"/>
      <c r="C354" s="3" t="inlineStr">
        <is>
          <t>SM.23.127, Sup. 1</t>
        </is>
      </c>
      <c r="D354" s="4" t="inlineStr">
        <is>
          <t>Dominica</t>
        </is>
      </c>
      <c r="E354" s="4" t="inlineStr">
        <is>
          <t>DMA</t>
        </is>
      </c>
      <c r="F354" s="10" t="n">
        <v>45047</v>
      </c>
      <c r="G354" s="4" t="inlineStr">
        <is>
          <t>2018gn</t>
        </is>
      </c>
      <c r="H354" s="4" t="n">
        <v>2022</v>
      </c>
      <c r="I354" s="4" t="inlineStr">
        <is>
          <t>pn.new.dbt.lcl.fx</t>
        </is>
      </c>
      <c r="J354" t="inlineStr">
        <is>
          <t>Denominated in foreign currency (FX)</t>
        </is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</row>
    <row r="355">
      <c r="A355" t="inlineStr">
        <is>
          <t>Dominica_2023_May</t>
        </is>
      </c>
      <c r="B355" s="2" t="n"/>
      <c r="C355" s="3" t="inlineStr">
        <is>
          <t>SM.23.127, Sup. 1</t>
        </is>
      </c>
      <c r="D355" s="4" t="inlineStr">
        <is>
          <t>Dominica</t>
        </is>
      </c>
      <c r="E355" s="4" t="inlineStr">
        <is>
          <t>DMA</t>
        </is>
      </c>
      <c r="F355" s="10" t="n">
        <v>45047</v>
      </c>
      <c r="G355" s="4" t="inlineStr">
        <is>
          <t>2018gn</t>
        </is>
      </c>
      <c r="H355" s="4" t="n">
        <v>2022</v>
      </c>
      <c r="I355" s="4" t="inlineStr">
        <is>
          <t>pn.new.dbt.lcl.fx.bnd.1to3.fx</t>
        </is>
      </c>
      <c r="J355" t="inlineStr">
        <is>
          <t>Bonds (1 to 3 years)-FX</t>
        </is>
      </c>
      <c r="M355" t="n">
        <v>732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</row>
    <row r="356">
      <c r="A356" t="inlineStr">
        <is>
          <t>Dominica_2023_May</t>
        </is>
      </c>
      <c r="B356" s="2" t="n"/>
      <c r="C356" s="3" t="inlineStr">
        <is>
          <t>SM.23.127, Sup. 1</t>
        </is>
      </c>
      <c r="D356" s="4" t="inlineStr">
        <is>
          <t>Dominica</t>
        </is>
      </c>
      <c r="E356" s="4" t="inlineStr">
        <is>
          <t>DMA</t>
        </is>
      </c>
      <c r="F356" s="10" t="n">
        <v>45047</v>
      </c>
      <c r="G356" s="4" t="inlineStr">
        <is>
          <t>2018gn</t>
        </is>
      </c>
      <c r="H356" s="4" t="n">
        <v>2022</v>
      </c>
      <c r="I356" s="4" t="inlineStr">
        <is>
          <t>pn.new.dbt.lcl.fx.bnd.4to7.fx</t>
        </is>
      </c>
      <c r="J356" t="inlineStr">
        <is>
          <t>Bonds (4 to 7 years)-FX</t>
        </is>
      </c>
      <c r="M356" t="n">
        <v>758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</row>
    <row r="357">
      <c r="A357" t="inlineStr">
        <is>
          <t>Dominica_2023_May</t>
        </is>
      </c>
      <c r="B357" s="2" t="n"/>
      <c r="C357" s="3" t="inlineStr">
        <is>
          <t>SM.23.127, Sup. 1</t>
        </is>
      </c>
      <c r="D357" s="4" t="inlineStr">
        <is>
          <t>Dominica</t>
        </is>
      </c>
      <c r="E357" s="4" t="inlineStr">
        <is>
          <t>DMA</t>
        </is>
      </c>
      <c r="F357" s="10" t="n">
        <v>45047</v>
      </c>
      <c r="G357" s="4" t="inlineStr">
        <is>
          <t>2018gn</t>
        </is>
      </c>
      <c r="H357" s="4" t="n">
        <v>2022</v>
      </c>
      <c r="I357" s="4" t="inlineStr">
        <is>
          <t>pn.new.dbt.lcl.fx.bnd.byd7.fx</t>
        </is>
      </c>
      <c r="J357" t="inlineStr">
        <is>
          <t>Bonds (beyond 7 years)-FX</t>
        </is>
      </c>
      <c r="M357" t="n">
        <v>784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</row>
    <row r="358">
      <c r="A358" t="inlineStr">
        <is>
          <t>Dominica_2023_May</t>
        </is>
      </c>
      <c r="B358" s="2" t="n"/>
      <c r="C358" s="3" t="inlineStr">
        <is>
          <t>SM.23.127, Sup. 1</t>
        </is>
      </c>
      <c r="D358" s="4" t="inlineStr">
        <is>
          <t>Dominica</t>
        </is>
      </c>
      <c r="E358" s="4" t="inlineStr">
        <is>
          <t>DMA</t>
        </is>
      </c>
      <c r="F358" s="10" t="n">
        <v>45047</v>
      </c>
      <c r="G358" s="4" t="inlineStr">
        <is>
          <t>2018gn</t>
        </is>
      </c>
      <c r="H358" s="4" t="n">
        <v>2022</v>
      </c>
      <c r="I358" s="5" t="n"/>
    </row>
    <row r="359">
      <c r="A359" t="inlineStr">
        <is>
          <t>Dominica_2023_May</t>
        </is>
      </c>
      <c r="B359" s="2" t="n"/>
      <c r="C359" s="3" t="inlineStr">
        <is>
          <t>SM.23.127, Sup. 1</t>
        </is>
      </c>
      <c r="D359" s="4" t="inlineStr">
        <is>
          <t>Dominica</t>
        </is>
      </c>
      <c r="E359" s="4" t="inlineStr">
        <is>
          <t>DMA</t>
        </is>
      </c>
      <c r="F359" s="10" t="n">
        <v>45047</v>
      </c>
      <c r="G359" s="4" t="inlineStr">
        <is>
          <t>2018gn</t>
        </is>
      </c>
      <c r="H359" s="4" t="n">
        <v>2022</v>
      </c>
      <c r="I359" s="4" t="inlineStr">
        <is>
          <t>sht.trm.dbt</t>
        </is>
      </c>
      <c r="J359" t="inlineStr">
        <is>
          <t>Nominal value (=PV) of ST debt (excluding locally-issued debt)</t>
        </is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BI359" t="inlineStr">
        <is>
          <t>NOM_NEW_ST</t>
        </is>
      </c>
    </row>
    <row r="360">
      <c r="A360" t="inlineStr">
        <is>
          <t>Dominica_2023_May</t>
        </is>
      </c>
      <c r="B360" s="2" t="n"/>
      <c r="C360" s="3" t="inlineStr">
        <is>
          <t>SM.23.127, Sup. 1</t>
        </is>
      </c>
      <c r="D360" s="4" t="inlineStr">
        <is>
          <t>Dominica</t>
        </is>
      </c>
      <c r="E360" s="4" t="inlineStr">
        <is>
          <t>DMA</t>
        </is>
      </c>
      <c r="F360" s="10" t="n">
        <v>45047</v>
      </c>
      <c r="G360" s="4" t="inlineStr">
        <is>
          <t>2018gn</t>
        </is>
      </c>
      <c r="H360" s="4" t="n">
        <v>2022</v>
      </c>
      <c r="I360" s="4" t="inlineStr">
        <is>
          <t>sht.trm.dbt.int</t>
        </is>
      </c>
      <c r="J360" t="inlineStr">
        <is>
          <t>Interest</t>
        </is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BI360" t="inlineStr">
        <is>
          <t>NOM_NEW_ST_I</t>
        </is>
      </c>
    </row>
    <row r="361">
      <c r="A361" t="inlineStr">
        <is>
          <t>Dominica_2023_May</t>
        </is>
      </c>
      <c r="B361" s="2" t="n"/>
      <c r="C361" s="3" t="inlineStr">
        <is>
          <t>SM.23.127, Sup. 1</t>
        </is>
      </c>
      <c r="D361" s="4" t="inlineStr">
        <is>
          <t>Dominica</t>
        </is>
      </c>
      <c r="E361" s="4" t="inlineStr">
        <is>
          <t>DMA</t>
        </is>
      </c>
      <c r="F361" s="10" t="n">
        <v>45047</v>
      </c>
      <c r="G361" s="4" t="inlineStr">
        <is>
          <t>2018gn</t>
        </is>
      </c>
      <c r="H361" s="4" t="n">
        <v>2022</v>
      </c>
      <c r="I361" s="5" t="n"/>
      <c r="N361" t="inlineStr">
        <is>
          <t>Note: interest associated with 2020 ST debt should be included in aggregate data.</t>
        </is>
      </c>
    </row>
    <row r="362">
      <c r="A362" t="inlineStr">
        <is>
          <t>Dominica_2023_May</t>
        </is>
      </c>
      <c r="B362" s="2" t="n"/>
      <c r="C362" s="3" t="inlineStr">
        <is>
          <t>SM.23.127, Sup. 1</t>
        </is>
      </c>
      <c r="D362" s="4" t="inlineStr">
        <is>
          <t>Dominica</t>
        </is>
      </c>
      <c r="E362" s="4" t="inlineStr">
        <is>
          <t>DMA</t>
        </is>
      </c>
      <c r="F362" s="10" t="n">
        <v>45047</v>
      </c>
      <c r="G362" s="4" t="inlineStr">
        <is>
          <t>2018gn</t>
        </is>
      </c>
      <c r="H362" s="4" t="n">
        <v>2022</v>
      </c>
      <c r="I362" s="4" t="inlineStr">
        <is>
          <t>sht.trm.dbt.lcl.iss</t>
        </is>
      </c>
      <c r="J362" t="inlineStr">
        <is>
          <t>Nominal value (=PV) of ST debt (locally-issued debt)</t>
        </is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</row>
    <row r="363">
      <c r="A363" t="inlineStr">
        <is>
          <t>Dominica_2023_May</t>
        </is>
      </c>
      <c r="B363" s="2" t="n"/>
      <c r="C363" s="3" t="inlineStr">
        <is>
          <t>SM.23.127, Sup. 1</t>
        </is>
      </c>
      <c r="D363" s="4" t="inlineStr">
        <is>
          <t>Dominica</t>
        </is>
      </c>
      <c r="E363" s="4" t="inlineStr">
        <is>
          <t>DMA</t>
        </is>
      </c>
      <c r="F363" s="10" t="n">
        <v>45047</v>
      </c>
      <c r="G363" s="4" t="inlineStr">
        <is>
          <t>2018gn</t>
        </is>
      </c>
      <c r="H363" s="4" t="n">
        <v>2022</v>
      </c>
      <c r="I363" s="4" t="inlineStr">
        <is>
          <t>sht.trm.dbt.lcl.amt</t>
        </is>
      </c>
      <c r="J363" t="inlineStr">
        <is>
          <t>Principal</t>
        </is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</row>
    <row r="364">
      <c r="A364" t="inlineStr">
        <is>
          <t>Dominica_2023_May</t>
        </is>
      </c>
      <c r="B364" s="2" t="n"/>
      <c r="C364" s="3" t="inlineStr">
        <is>
          <t>SM.23.127, Sup. 1</t>
        </is>
      </c>
      <c r="D364" s="4" t="inlineStr">
        <is>
          <t>Dominica</t>
        </is>
      </c>
      <c r="E364" s="4" t="inlineStr">
        <is>
          <t>DMA</t>
        </is>
      </c>
      <c r="F364" s="10" t="n">
        <v>45047</v>
      </c>
      <c r="G364" s="4" t="inlineStr">
        <is>
          <t>2018gn</t>
        </is>
      </c>
      <c r="H364" s="4" t="n">
        <v>2022</v>
      </c>
      <c r="I364" s="4" t="inlineStr">
        <is>
          <t>sht.trm.dbt.lcl.int</t>
        </is>
      </c>
      <c r="J364" t="inlineStr">
        <is>
          <t>Interest</t>
        </is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</row>
    <row r="365">
      <c r="A365" t="inlineStr">
        <is>
          <t>Dominica_2023_May</t>
        </is>
      </c>
      <c r="B365" s="2" t="n"/>
      <c r="C365" s="3" t="inlineStr">
        <is>
          <t>SM.23.127, Sup. 1</t>
        </is>
      </c>
      <c r="D365" s="4" t="inlineStr">
        <is>
          <t>Dominica</t>
        </is>
      </c>
      <c r="E365" s="4" t="inlineStr">
        <is>
          <t>DMA</t>
        </is>
      </c>
      <c r="F365" s="10" t="n">
        <v>45047</v>
      </c>
      <c r="G365" s="4" t="inlineStr">
        <is>
          <t>2018gn</t>
        </is>
      </c>
      <c r="H365" s="4" t="n">
        <v>2022</v>
      </c>
      <c r="I365" s="5" t="n"/>
      <c r="N365" t="inlineStr">
        <is>
          <t>Note: Debt service associated with 2020 and 2021 ST debt  is captured in aggregate data on existing debt.</t>
        </is>
      </c>
    </row>
    <row r="366">
      <c r="A366" t="inlineStr">
        <is>
          <t>Dominica_2023_May</t>
        </is>
      </c>
      <c r="B366" s="2" t="n"/>
      <c r="C366" s="3" t="inlineStr">
        <is>
          <t>SM.23.127, Sup. 1</t>
        </is>
      </c>
      <c r="D366" s="4" t="inlineStr">
        <is>
          <t>Dominica</t>
        </is>
      </c>
      <c r="E366" s="4" t="inlineStr">
        <is>
          <t>DMA</t>
        </is>
      </c>
      <c r="F366" s="10" t="n">
        <v>45047</v>
      </c>
      <c r="G366" s="4" t="inlineStr">
        <is>
          <t>2018gn</t>
        </is>
      </c>
      <c r="H366" s="4" t="n">
        <v>2022</v>
      </c>
      <c r="I366" s="4" t="inlineStr">
        <is>
          <t>sht.trm.dbt.tot</t>
        </is>
      </c>
      <c r="J366" t="inlineStr">
        <is>
          <t>Total ST external debt</t>
        </is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</row>
    <row r="367">
      <c r="A367" t="inlineStr">
        <is>
          <t>Dominica_2023_May</t>
        </is>
      </c>
      <c r="B367" s="2" t="n"/>
      <c r="C367" s="3" t="inlineStr">
        <is>
          <t>SM.23.127, Sup. 1</t>
        </is>
      </c>
      <c r="D367" s="4" t="inlineStr">
        <is>
          <t>Dominica</t>
        </is>
      </c>
      <c r="E367" s="4" t="inlineStr">
        <is>
          <t>DMA</t>
        </is>
      </c>
      <c r="F367" s="10" t="n">
        <v>45047</v>
      </c>
      <c r="G367" s="4" t="inlineStr">
        <is>
          <t>2018gn</t>
        </is>
      </c>
      <c r="H367" s="4" t="n">
        <v>2022</v>
      </c>
      <c r="I367" s="4" t="inlineStr">
        <is>
          <t>sht.trm.dbt.tot.amt</t>
        </is>
      </c>
      <c r="J367" t="inlineStr">
        <is>
          <t>Principal</t>
        </is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</row>
    <row r="368">
      <c r="A368" t="inlineStr">
        <is>
          <t>Dominica_2023_May</t>
        </is>
      </c>
      <c r="B368" s="2" t="n"/>
      <c r="C368" s="3" t="inlineStr">
        <is>
          <t>SM.23.127, Sup. 1</t>
        </is>
      </c>
      <c r="D368" s="4" t="inlineStr">
        <is>
          <t>Dominica</t>
        </is>
      </c>
      <c r="E368" s="4" t="inlineStr">
        <is>
          <t>DMA</t>
        </is>
      </c>
      <c r="F368" s="10" t="n">
        <v>45047</v>
      </c>
      <c r="G368" s="4" t="inlineStr">
        <is>
          <t>2018gn</t>
        </is>
      </c>
      <c r="H368" s="4" t="n">
        <v>2022</v>
      </c>
      <c r="I368" s="4" t="inlineStr">
        <is>
          <t>sht.trm.dbt.tot.int</t>
        </is>
      </c>
      <c r="J368" t="inlineStr">
        <is>
          <t>Interest</t>
        </is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</row>
    <row r="369">
      <c r="A369" t="inlineStr">
        <is>
          <t>Dominica_2023_May</t>
        </is>
      </c>
      <c r="B369" s="2" t="n"/>
      <c r="C369" s="3" t="inlineStr">
        <is>
          <t>SM.23.127, Sup. 1</t>
        </is>
      </c>
      <c r="D369" s="4" t="inlineStr">
        <is>
          <t>Dominica</t>
        </is>
      </c>
      <c r="E369" s="4" t="inlineStr">
        <is>
          <t>DMA</t>
        </is>
      </c>
      <c r="F369" s="10" t="n">
        <v>45047</v>
      </c>
      <c r="G369" s="4" t="inlineStr">
        <is>
          <t>2018gn</t>
        </is>
      </c>
      <c r="H369" s="4" t="n">
        <v>2022</v>
      </c>
      <c r="I369" s="5" t="n"/>
    </row>
    <row r="370">
      <c r="A370" t="inlineStr">
        <is>
          <t>Dominica_2023_May</t>
        </is>
      </c>
      <c r="B370" s="2" t="n"/>
      <c r="C370" s="3" t="inlineStr">
        <is>
          <t>SM.23.127, Sup. 1</t>
        </is>
      </c>
      <c r="D370" s="4" t="inlineStr">
        <is>
          <t>Dominica</t>
        </is>
      </c>
      <c r="E370" s="4" t="inlineStr">
        <is>
          <t>DMA</t>
        </is>
      </c>
      <c r="F370" s="10" t="n">
        <v>45047</v>
      </c>
      <c r="G370" s="4" t="inlineStr">
        <is>
          <t>2018gn</t>
        </is>
      </c>
      <c r="H370" s="4" t="n">
        <v>2022</v>
      </c>
      <c r="I370" s="4" t="inlineStr">
        <is>
          <t>pv.net.use.sdr</t>
        </is>
      </c>
      <c r="J370" t="inlineStr">
        <is>
          <t>PV of net use of SDRs</t>
        </is>
      </c>
      <c r="N370" t="n">
        <v>0.06850068852590427</v>
      </c>
      <c r="O370" t="n">
        <v>0.07150953765596529</v>
      </c>
      <c r="P370" t="n">
        <v>0.07432859238483361</v>
      </c>
      <c r="Q370" t="n">
        <v>0.07643637558874125</v>
      </c>
      <c r="R370" t="n">
        <v>0.07771547431256913</v>
      </c>
      <c r="S370" t="n">
        <v>0.07819247511486369</v>
      </c>
      <c r="T370" t="n">
        <v>0.07819247511486369</v>
      </c>
      <c r="U370" t="n">
        <v>0.07819247511486369</v>
      </c>
      <c r="V370" t="n">
        <v>0.07819247511486369</v>
      </c>
      <c r="W370" t="n">
        <v>0.07819247511486369</v>
      </c>
      <c r="X370" t="n">
        <v>0.07819247511486369</v>
      </c>
      <c r="Y370" t="n">
        <v>0.07819247511486369</v>
      </c>
      <c r="Z370" t="n">
        <v>0.07819247511486369</v>
      </c>
      <c r="AA370" t="n">
        <v>0.07819247511486369</v>
      </c>
      <c r="AB370" t="n">
        <v>0.07819247511486369</v>
      </c>
      <c r="AC370" t="n">
        <v>0.07819247511486369</v>
      </c>
      <c r="AD370" t="n">
        <v>0.07819247511486369</v>
      </c>
      <c r="AE370" t="n">
        <v>0.07819247511486369</v>
      </c>
      <c r="AF370" t="n">
        <v>0.07819247511486369</v>
      </c>
      <c r="AG370" t="n">
        <v>0.07819247511486369</v>
      </c>
      <c r="AH370" t="n">
        <v>0.07819247511486369</v>
      </c>
      <c r="AI370" t="n">
        <v>0.07819247511486369</v>
      </c>
      <c r="BI370" t="inlineStr">
        <is>
          <t>PV_SDR</t>
        </is>
      </c>
    </row>
    <row r="371">
      <c r="A371" t="inlineStr">
        <is>
          <t>Dominica_2023_May</t>
        </is>
      </c>
      <c r="B371" s="2" t="n"/>
      <c r="C371" s="3" t="inlineStr">
        <is>
          <t>SM.23.127, Sup. 1</t>
        </is>
      </c>
      <c r="D371" s="4" t="inlineStr">
        <is>
          <t>Dominica</t>
        </is>
      </c>
      <c r="E371" s="4" t="inlineStr">
        <is>
          <t>DMA</t>
        </is>
      </c>
      <c r="F371" s="10" t="n">
        <v>45047</v>
      </c>
      <c r="G371" s="4" t="inlineStr">
        <is>
          <t>2018gn</t>
        </is>
      </c>
      <c r="H371" s="4" t="n">
        <v>2022</v>
      </c>
      <c r="I371" s="4" t="inlineStr">
        <is>
          <t>tot.pv.dbt</t>
        </is>
      </c>
      <c r="J371" t="inlineStr">
        <is>
          <t>Total PV of debt</t>
        </is>
      </c>
      <c r="N371" t="n">
        <v>233.0626680767676</v>
      </c>
      <c r="O371" t="n">
        <v>242.4547121588821</v>
      </c>
      <c r="P371" t="n">
        <v>240.6439784669563</v>
      </c>
      <c r="Q371" t="n">
        <v>244.5854643953808</v>
      </c>
      <c r="R371" t="n">
        <v>254.8235966553323</v>
      </c>
      <c r="S371" t="n">
        <v>269.3657622401532</v>
      </c>
      <c r="T371" t="n">
        <v>288.5042381795081</v>
      </c>
      <c r="U371" t="n">
        <v>309.6957350278849</v>
      </c>
      <c r="V371" t="n">
        <v>333.5233383610864</v>
      </c>
      <c r="W371" t="n">
        <v>349.319415804398</v>
      </c>
      <c r="X371" t="n">
        <v>419.2060486479467</v>
      </c>
      <c r="Y371" t="n">
        <v>429.8531948591753</v>
      </c>
      <c r="Z371" t="n">
        <v>429.9833903003083</v>
      </c>
      <c r="AA371" t="n">
        <v>431.6057018042258</v>
      </c>
      <c r="AB371" t="n">
        <v>433.2278487151873</v>
      </c>
      <c r="AC371" t="n">
        <v>432.9796905754692</v>
      </c>
      <c r="AD371" t="n">
        <v>415.6766471448333</v>
      </c>
      <c r="AE371" t="n">
        <v>396.7658312126756</v>
      </c>
      <c r="AF371" t="n">
        <v>369.928803349996</v>
      </c>
      <c r="AG371" t="n">
        <v>340.874014890212</v>
      </c>
      <c r="AH371" t="n">
        <v>308.2892768087247</v>
      </c>
      <c r="AI371" t="n">
        <v>290.4129117710849</v>
      </c>
      <c r="BI371" t="inlineStr">
        <is>
          <t>PV_D_TOT</t>
        </is>
      </c>
    </row>
    <row r="372">
      <c r="A372" t="inlineStr">
        <is>
          <t>Dominica_2023_May</t>
        </is>
      </c>
      <c r="B372" s="2" t="n"/>
      <c r="C372" s="3" t="inlineStr">
        <is>
          <t>SM.23.127, Sup. 1</t>
        </is>
      </c>
      <c r="D372" s="4" t="inlineStr">
        <is>
          <t>Dominica</t>
        </is>
      </c>
      <c r="E372" s="4" t="inlineStr">
        <is>
          <t>DMA</t>
        </is>
      </c>
      <c r="F372" s="10" t="n">
        <v>45047</v>
      </c>
      <c r="G372" s="4" t="inlineStr">
        <is>
          <t>2018gn</t>
        </is>
      </c>
      <c r="H372" s="4" t="n">
        <v>2022</v>
      </c>
      <c r="I372" s="5" t="n"/>
    </row>
    <row r="373">
      <c r="A373" t="inlineStr">
        <is>
          <t>Dominica_2023_May</t>
        </is>
      </c>
      <c r="B373" s="2" t="n"/>
      <c r="C373" s="3" t="inlineStr">
        <is>
          <t>SM.23.127, Sup. 1</t>
        </is>
      </c>
      <c r="D373" s="4" t="inlineStr">
        <is>
          <t>Dominica</t>
        </is>
      </c>
      <c r="E373" s="4" t="inlineStr">
        <is>
          <t>DMA</t>
        </is>
      </c>
      <c r="F373" s="10" t="n">
        <v>45047</v>
      </c>
      <c r="G373" s="4" t="inlineStr">
        <is>
          <t>2018gn</t>
        </is>
      </c>
      <c r="H373" s="4" t="n">
        <v>2022</v>
      </c>
      <c r="I373" s="4" t="inlineStr">
        <is>
          <t>nom.ppg.dbt.delta</t>
        </is>
      </c>
      <c r="J373" t="inlineStr">
        <is>
          <t>Nominal PPG debt check</t>
        </is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-5.684341886080801e-14</v>
      </c>
      <c r="T373" t="n">
        <v>-5.684341886080801e-14</v>
      </c>
      <c r="U373" t="n">
        <v>5.684341886080801e-14</v>
      </c>
      <c r="V373" t="n">
        <v>0</v>
      </c>
      <c r="W373" t="n">
        <v>5.684341886080801e-14</v>
      </c>
      <c r="X373" t="n">
        <v>2.842170943040401e-14</v>
      </c>
      <c r="Y373" t="n">
        <v>-5.684341886080801e-14</v>
      </c>
      <c r="Z373" t="n">
        <v>-2.842170943040401e-14</v>
      </c>
      <c r="AA373" t="n">
        <v>0</v>
      </c>
      <c r="AB373" t="n">
        <v>0</v>
      </c>
      <c r="AC373" t="n">
        <v>-2.842170943040401e-14</v>
      </c>
      <c r="AD373" t="n">
        <v>2.842170943040401e-14</v>
      </c>
      <c r="AE373" t="n">
        <v>-5.684341886080801e-14</v>
      </c>
      <c r="AF373" t="n">
        <v>0</v>
      </c>
      <c r="AG373" t="n">
        <v>0</v>
      </c>
      <c r="AH373" t="n">
        <v>0</v>
      </c>
      <c r="AI373" t="n">
        <v>-2.842170943040401e-14</v>
      </c>
    </row>
    <row r="374">
      <c r="A374" t="inlineStr">
        <is>
          <t>Dominica_2023_May</t>
        </is>
      </c>
      <c r="B374" s="2" t="n"/>
      <c r="C374" s="3" t="inlineStr">
        <is>
          <t>SM.23.127, Sup. 1</t>
        </is>
      </c>
      <c r="D374" s="4" t="inlineStr">
        <is>
          <t>Dominica</t>
        </is>
      </c>
      <c r="E374" s="4" t="inlineStr">
        <is>
          <t>DMA</t>
        </is>
      </c>
      <c r="F374" s="10" t="n">
        <v>45047</v>
      </c>
      <c r="G374" s="4" t="inlineStr">
        <is>
          <t>2018gn</t>
        </is>
      </c>
      <c r="H374" s="4" t="n">
        <v>2022</v>
      </c>
      <c r="I374" s="4" t="inlineStr">
        <is>
          <t>tot.pub.tds</t>
        </is>
      </c>
      <c r="J374" t="inlineStr">
        <is>
          <t>Total public debt service</t>
        </is>
      </c>
      <c r="N374" t="n">
        <v>26.76410856763673</v>
      </c>
      <c r="O374" t="n">
        <v>14.9206057363317</v>
      </c>
      <c r="P374" t="n">
        <v>33.96812874251438</v>
      </c>
      <c r="Q374" t="n">
        <v>33.38117712783453</v>
      </c>
      <c r="R374" t="n">
        <v>29.83514450863034</v>
      </c>
      <c r="S374" t="n">
        <v>28.20911603995402</v>
      </c>
      <c r="T374" t="n">
        <v>26.20773996826644</v>
      </c>
      <c r="U374" t="n">
        <v>26.38947051748916</v>
      </c>
      <c r="V374" t="n">
        <v>26.4058551934562</v>
      </c>
      <c r="W374" t="n">
        <v>26.93818305894264</v>
      </c>
      <c r="X374" t="n">
        <v>27.36708498872611</v>
      </c>
      <c r="Y374" t="n">
        <v>28.33410584141727</v>
      </c>
      <c r="Z374" t="n">
        <v>30.00764300006683</v>
      </c>
      <c r="AA374" t="n">
        <v>29.66117117420895</v>
      </c>
      <c r="AB374" t="n">
        <v>30.29887056273225</v>
      </c>
      <c r="AC374" t="n">
        <v>32.4070229237506</v>
      </c>
      <c r="AD374" t="n">
        <v>49.80047347751776</v>
      </c>
      <c r="AE374" t="n">
        <v>50.93589892981286</v>
      </c>
      <c r="AF374" t="n">
        <v>50.29692075461703</v>
      </c>
      <c r="AG374" t="n">
        <v>51.21980437167809</v>
      </c>
      <c r="AH374" t="n">
        <v>53.34900403132587</v>
      </c>
      <c r="AI374" t="n">
        <v>37.06592477794047</v>
      </c>
      <c r="BI374" t="inlineStr">
        <is>
          <t>DS_TOT</t>
        </is>
      </c>
    </row>
    <row r="375">
      <c r="A375" t="inlineStr">
        <is>
          <t>Dominica_2023_May</t>
        </is>
      </c>
      <c r="B375" s="2" t="n"/>
      <c r="C375" s="3" t="inlineStr">
        <is>
          <t>SM.23.127, Sup. 1</t>
        </is>
      </c>
      <c r="D375" s="4" t="inlineStr">
        <is>
          <t>Dominica</t>
        </is>
      </c>
      <c r="E375" s="4" t="inlineStr">
        <is>
          <t>DMA</t>
        </is>
      </c>
      <c r="F375" s="10" t="n">
        <v>45047</v>
      </c>
      <c r="G375" s="4" t="inlineStr">
        <is>
          <t>2018gn</t>
        </is>
      </c>
      <c r="H375" s="4" t="n">
        <v>2022</v>
      </c>
      <c r="I375" s="4" t="inlineStr">
        <is>
          <t>tot.pub.amt</t>
        </is>
      </c>
      <c r="J375" t="inlineStr">
        <is>
          <t xml:space="preserve">    of which: principal</t>
        </is>
      </c>
      <c r="N375" t="n">
        <v>18.08511343189878</v>
      </c>
      <c r="O375" t="n">
        <v>11.30507166039381</v>
      </c>
      <c r="P375" t="n">
        <v>25.52684566039381</v>
      </c>
      <c r="Q375" t="n">
        <v>24.02525239648941</v>
      </c>
      <c r="R375" t="n">
        <v>20.28400716957863</v>
      </c>
      <c r="S375" t="n">
        <v>18.47021840630146</v>
      </c>
      <c r="T375" t="n">
        <v>16.36597336056414</v>
      </c>
      <c r="U375" t="n">
        <v>15.58635588413558</v>
      </c>
      <c r="V375" t="n">
        <v>13.99706131886608</v>
      </c>
      <c r="W375" t="n">
        <v>13.08808053640647</v>
      </c>
      <c r="X375" t="n">
        <v>12.90670327152363</v>
      </c>
      <c r="Y375" t="n">
        <v>12.02860944000241</v>
      </c>
      <c r="Z375" t="n">
        <v>13.45741996690193</v>
      </c>
      <c r="AA375" t="n">
        <v>13.29925665288081</v>
      </c>
      <c r="AB375" t="n">
        <v>14.56342710303434</v>
      </c>
      <c r="AC375" t="n">
        <v>16.80120347053383</v>
      </c>
      <c r="AD375" t="n">
        <v>35.69192046291681</v>
      </c>
      <c r="AE375" t="n">
        <v>37.05988363002074</v>
      </c>
      <c r="AF375" t="n">
        <v>38.66217800545957</v>
      </c>
      <c r="AG375" t="n">
        <v>40.06234475874978</v>
      </c>
      <c r="AH375" t="n">
        <v>40.72261941001774</v>
      </c>
      <c r="AI375" t="n">
        <v>24.96891428106595</v>
      </c>
      <c r="BI375" t="inlineStr">
        <is>
          <t>DS_TOT_P</t>
        </is>
      </c>
    </row>
    <row r="376">
      <c r="A376" t="inlineStr">
        <is>
          <t>Dominica_2023_May</t>
        </is>
      </c>
      <c r="B376" s="2" t="n"/>
      <c r="C376" s="3" t="inlineStr">
        <is>
          <t>SM.23.127, Sup. 1</t>
        </is>
      </c>
      <c r="D376" s="4" t="inlineStr">
        <is>
          <t>Dominica</t>
        </is>
      </c>
      <c r="E376" s="4" t="inlineStr">
        <is>
          <t>DMA</t>
        </is>
      </c>
      <c r="F376" s="10" t="n">
        <v>45047</v>
      </c>
      <c r="G376" s="4" t="inlineStr">
        <is>
          <t>2018gn</t>
        </is>
      </c>
      <c r="H376" s="4" t="n">
        <v>2022</v>
      </c>
      <c r="I376" s="4" t="inlineStr">
        <is>
          <t>tot.pub.int</t>
        </is>
      </c>
      <c r="J376" t="inlineStr">
        <is>
          <t xml:space="preserve">    of which: interest</t>
        </is>
      </c>
      <c r="N376" t="n">
        <v>8.678995135737956</v>
      </c>
      <c r="O376" t="n">
        <v>3.615534075937883</v>
      </c>
      <c r="P376" t="n">
        <v>8.441283082120568</v>
      </c>
      <c r="Q376" t="n">
        <v>9.355924731345128</v>
      </c>
      <c r="R376" t="n">
        <v>9.551137339051714</v>
      </c>
      <c r="S376" t="n">
        <v>9.738897633652563</v>
      </c>
      <c r="T376" t="n">
        <v>9.841766607702295</v>
      </c>
      <c r="U376" t="n">
        <v>10.80311463335358</v>
      </c>
      <c r="V376" t="n">
        <v>12.40879387459012</v>
      </c>
      <c r="W376" t="n">
        <v>13.85010252253618</v>
      </c>
      <c r="X376" t="n">
        <v>14.46038171720247</v>
      </c>
      <c r="Y376" t="n">
        <v>16.30549640141486</v>
      </c>
      <c r="Z376" t="n">
        <v>16.5502230331649</v>
      </c>
      <c r="AA376" t="n">
        <v>16.36191452132814</v>
      </c>
      <c r="AB376" t="n">
        <v>15.73544345969792</v>
      </c>
      <c r="AC376" t="n">
        <v>15.60581945321677</v>
      </c>
      <c r="AD376" t="n">
        <v>14.10855301460095</v>
      </c>
      <c r="AE376" t="n">
        <v>13.87601529979213</v>
      </c>
      <c r="AF376" t="n">
        <v>11.63474274915747</v>
      </c>
      <c r="AG376" t="n">
        <v>11.15745961292831</v>
      </c>
      <c r="AH376" t="n">
        <v>12.62638462130813</v>
      </c>
      <c r="AI376" t="n">
        <v>12.09701049687452</v>
      </c>
      <c r="BI376" t="inlineStr">
        <is>
          <t>DS_TOT_I</t>
        </is>
      </c>
    </row>
    <row r="377">
      <c r="A377" t="inlineStr">
        <is>
          <t>Dominica_2023_May</t>
        </is>
      </c>
      <c r="B377" s="2" t="n"/>
      <c r="C377" s="3" t="inlineStr">
        <is>
          <t>SM.23.127, Sup. 1</t>
        </is>
      </c>
      <c r="D377" s="4" t="inlineStr">
        <is>
          <t>Dominica</t>
        </is>
      </c>
      <c r="E377" s="4" t="inlineStr">
        <is>
          <t>DMA</t>
        </is>
      </c>
      <c r="F377" s="10" t="n">
        <v>45047</v>
      </c>
      <c r="G377" s="4" t="inlineStr">
        <is>
          <t>2018gn</t>
        </is>
      </c>
      <c r="H377" s="4" t="n">
        <v>2022</v>
      </c>
      <c r="I377" s="5" t="n"/>
    </row>
    <row r="378">
      <c r="A378" t="inlineStr">
        <is>
          <t>Dominica_2023_May</t>
        </is>
      </c>
      <c r="B378" s="2" t="n"/>
      <c r="C378" s="3" t="inlineStr">
        <is>
          <t>SM.23.127, Sup. 1</t>
        </is>
      </c>
      <c r="D378" s="4" t="inlineStr">
        <is>
          <t>Dominica</t>
        </is>
      </c>
      <c r="E378" s="4" t="inlineStr">
        <is>
          <t>DMA</t>
        </is>
      </c>
      <c r="F378" s="10" t="n">
        <v>45047</v>
      </c>
      <c r="G378" s="4" t="inlineStr">
        <is>
          <t>2018gn</t>
        </is>
      </c>
      <c r="H378" s="4" t="n">
        <v>2022</v>
      </c>
      <c r="I378" s="4" t="inlineStr">
        <is>
          <t>ext.dbt.out</t>
        </is>
      </c>
      <c r="J378" t="inlineStr">
        <is>
          <t>External debt outstanding</t>
        </is>
      </c>
      <c r="N378" t="n">
        <v>407.075642519048</v>
      </c>
      <c r="O378" t="n">
        <v>420.0966642661025</v>
      </c>
      <c r="P378" t="n">
        <v>430.5503031861826</v>
      </c>
      <c r="Q378" t="n">
        <v>453.3768579350963</v>
      </c>
      <c r="R378" t="n">
        <v>481.5979850086955</v>
      </c>
      <c r="S378" t="n">
        <v>514.0759273584906</v>
      </c>
      <c r="T378" t="n">
        <v>552.2781541297577</v>
      </c>
      <c r="U378" t="n">
        <v>593.1224390579948</v>
      </c>
      <c r="V378" t="n">
        <v>637.8588213693628</v>
      </c>
      <c r="W378" t="n">
        <v>667.4802437304406</v>
      </c>
      <c r="X378" t="n">
        <v>772.2838262510196</v>
      </c>
      <c r="Y378" t="n">
        <v>787.2339029918746</v>
      </c>
      <c r="Z378" t="n">
        <v>787.4581293983221</v>
      </c>
      <c r="AA378" t="n">
        <v>788.9129655646886</v>
      </c>
      <c r="AB378" t="n">
        <v>789.3965363654022</v>
      </c>
      <c r="AC378" t="n">
        <v>787.5733243426811</v>
      </c>
      <c r="AD378" t="n">
        <v>767.2523550484574</v>
      </c>
      <c r="AE378" t="n">
        <v>746.0666029857457</v>
      </c>
      <c r="AF378" t="n">
        <v>713.4441366000262</v>
      </c>
      <c r="AG378" t="n">
        <v>679.4846191564616</v>
      </c>
      <c r="AH378" t="n">
        <v>644.9370718321262</v>
      </c>
      <c r="AI378" t="n">
        <v>626.2194850668421</v>
      </c>
    </row>
    <row r="379">
      <c r="A379" t="inlineStr">
        <is>
          <t>Dominica_2023_May</t>
        </is>
      </c>
      <c r="B379" s="2" t="n"/>
      <c r="C379" s="3" t="inlineStr">
        <is>
          <t>SM.23.127, Sup. 1</t>
        </is>
      </c>
      <c r="D379" s="4" t="inlineStr">
        <is>
          <t>Dominica</t>
        </is>
      </c>
      <c r="E379" s="4" t="inlineStr">
        <is>
          <t>DMA</t>
        </is>
      </c>
      <c r="F379" s="10" t="n">
        <v>45047</v>
      </c>
      <c r="G379" s="4" t="inlineStr">
        <is>
          <t>2018gn</t>
        </is>
      </c>
      <c r="H379" s="4" t="n">
        <v>2022</v>
      </c>
      <c r="I379" s="4" t="inlineStr">
        <is>
          <t>ext.dbt.out.fx</t>
        </is>
      </c>
      <c r="J379" t="inlineStr">
        <is>
          <t>FX-denominated debt outstanding</t>
        </is>
      </c>
      <c r="N379" t="n">
        <v>407.075642519048</v>
      </c>
      <c r="O379" t="n">
        <v>420.0966642661024</v>
      </c>
      <c r="P379" t="n">
        <v>430.5503031861826</v>
      </c>
      <c r="Q379" t="n">
        <v>453.3768579350963</v>
      </c>
      <c r="R379" t="n">
        <v>481.5979850086955</v>
      </c>
      <c r="S379" t="n">
        <v>514.0759273584907</v>
      </c>
      <c r="T379" t="n">
        <v>552.2781541297578</v>
      </c>
      <c r="U379" t="n">
        <v>593.1224390579947</v>
      </c>
      <c r="V379" t="n">
        <v>637.8588213693628</v>
      </c>
      <c r="W379" t="n">
        <v>667.4802437304405</v>
      </c>
      <c r="X379" t="n">
        <v>772.2838262510195</v>
      </c>
      <c r="Y379" t="n">
        <v>787.2339029918747</v>
      </c>
      <c r="Z379" t="n">
        <v>787.4581293983222</v>
      </c>
      <c r="AA379" t="n">
        <v>788.9129655646885</v>
      </c>
      <c r="AB379" t="n">
        <v>789.3965363654023</v>
      </c>
      <c r="AC379" t="n">
        <v>787.5733243426811</v>
      </c>
      <c r="AD379" t="n">
        <v>767.2523550484574</v>
      </c>
      <c r="AE379" t="n">
        <v>746.0666029857457</v>
      </c>
      <c r="AF379" t="n">
        <v>713.4441366000264</v>
      </c>
      <c r="AG379" t="n">
        <v>679.4846191564617</v>
      </c>
      <c r="AH379" t="n">
        <v>644.9370718321262</v>
      </c>
      <c r="AI379" t="n">
        <v>626.2194850668421</v>
      </c>
    </row>
    <row r="380">
      <c r="A380" t="inlineStr">
        <is>
          <t>Dominica_2023_May</t>
        </is>
      </c>
      <c r="B380" s="2" t="n"/>
      <c r="C380" s="3" t="inlineStr">
        <is>
          <t>SM.23.127, Sup. 1</t>
        </is>
      </c>
      <c r="D380" s="4" t="inlineStr">
        <is>
          <t>Dominica</t>
        </is>
      </c>
      <c r="E380" s="4" t="inlineStr">
        <is>
          <t>DMA</t>
        </is>
      </c>
      <c r="F380" s="10" t="n">
        <v>45047</v>
      </c>
      <c r="G380" s="4" t="inlineStr">
        <is>
          <t>2018gn</t>
        </is>
      </c>
      <c r="H380" s="4" t="n">
        <v>2022</v>
      </c>
      <c r="I380" s="5" t="n"/>
    </row>
    <row r="381">
      <c r="A381" t="inlineStr">
        <is>
          <t>Dominica_2023_May</t>
        </is>
      </c>
      <c r="B381" s="2" t="n"/>
      <c r="C381" s="3" t="inlineStr">
        <is>
          <t>SM.23.127, Sup. 1</t>
        </is>
      </c>
      <c r="D381" s="4" t="inlineStr">
        <is>
          <t>Dominica</t>
        </is>
      </c>
      <c r="E381" s="4" t="inlineStr">
        <is>
          <t>DMA</t>
        </is>
      </c>
      <c r="F381" s="10" t="n">
        <v>45047</v>
      </c>
      <c r="G381" s="4" t="inlineStr">
        <is>
          <t>2018gn</t>
        </is>
      </c>
      <c r="H381" s="4" t="n">
        <v>2022</v>
      </c>
      <c r="I381" s="5" t="n"/>
      <c r="J381" t="inlineStr">
        <is>
          <t>Memorandum item</t>
        </is>
      </c>
    </row>
    <row r="382">
      <c r="A382" t="inlineStr">
        <is>
          <t>Dominica_2023_May</t>
        </is>
      </c>
      <c r="B382" s="2" t="n"/>
      <c r="C382" s="3" t="inlineStr">
        <is>
          <t>SM.23.127, Sup. 1</t>
        </is>
      </c>
      <c r="D382" s="4" t="inlineStr">
        <is>
          <t>Dominica</t>
        </is>
      </c>
      <c r="E382" s="4" t="inlineStr">
        <is>
          <t>DMA</t>
        </is>
      </c>
      <c r="F382" s="10" t="n">
        <v>45047</v>
      </c>
      <c r="G382" s="4" t="inlineStr">
        <is>
          <t>2018gn</t>
        </is>
      </c>
      <c r="H382" s="4" t="n">
        <v>2022</v>
      </c>
      <c r="I382" s="4" t="inlineStr">
        <is>
          <t>xcg.rat.eop</t>
        </is>
      </c>
      <c r="J382" t="inlineStr">
        <is>
          <t>Exchange rate (eop)</t>
        </is>
      </c>
      <c r="N382" t="n">
        <v>2.7</v>
      </c>
      <c r="O382" t="n">
        <v>2.7</v>
      </c>
      <c r="P382" t="n">
        <v>2.7</v>
      </c>
      <c r="Q382" t="n">
        <v>2.7</v>
      </c>
      <c r="R382" t="n">
        <v>2.7</v>
      </c>
      <c r="S382" t="n">
        <v>2.7</v>
      </c>
      <c r="T382" t="n">
        <v>2.7</v>
      </c>
      <c r="U382" t="n">
        <v>2.7</v>
      </c>
      <c r="V382" t="n">
        <v>2.7</v>
      </c>
      <c r="W382" t="n">
        <v>2.7</v>
      </c>
      <c r="X382" t="n">
        <v>2.7</v>
      </c>
      <c r="Y382" t="n">
        <v>2.7</v>
      </c>
      <c r="Z382" t="n">
        <v>2.7</v>
      </c>
      <c r="AA382" t="n">
        <v>2.7</v>
      </c>
      <c r="AB382" t="n">
        <v>2.7</v>
      </c>
      <c r="AC382" t="n">
        <v>2.7</v>
      </c>
      <c r="AD382" t="n">
        <v>2.7</v>
      </c>
      <c r="AE382" t="n">
        <v>2.7</v>
      </c>
      <c r="AF382" t="n">
        <v>2.7</v>
      </c>
      <c r="AG382" t="n">
        <v>2.7</v>
      </c>
      <c r="AH382" t="n">
        <v>2.7</v>
      </c>
      <c r="AI382" t="n">
        <v>3.7</v>
      </c>
    </row>
    <row r="383">
      <c r="A383" t="inlineStr">
        <is>
          <t>Dominica_2023_May</t>
        </is>
      </c>
      <c r="B383" s="2" t="n"/>
      <c r="C383" s="3" t="inlineStr">
        <is>
          <t>SM.23.127, Sup. 1</t>
        </is>
      </c>
      <c r="D383" s="4" t="inlineStr">
        <is>
          <t>Dominica</t>
        </is>
      </c>
      <c r="E383" s="4" t="inlineStr">
        <is>
          <t>DMA</t>
        </is>
      </c>
      <c r="F383" s="10" t="n">
        <v>45047</v>
      </c>
      <c r="G383" s="4" t="inlineStr">
        <is>
          <t>2018gn</t>
        </is>
      </c>
      <c r="H383" s="4" t="n">
        <v>2022</v>
      </c>
      <c r="I383" s="4" t="inlineStr">
        <is>
          <t>xcg.rat.pa</t>
        </is>
      </c>
      <c r="J383" t="inlineStr">
        <is>
          <t>Exchange rate (pa)</t>
        </is>
      </c>
      <c r="N383" t="n">
        <v>2.7</v>
      </c>
      <c r="O383" t="n">
        <v>2.7</v>
      </c>
      <c r="P383" t="n">
        <v>2.7</v>
      </c>
      <c r="Q383" t="n">
        <v>2.7</v>
      </c>
      <c r="R383" t="n">
        <v>2.7</v>
      </c>
      <c r="S383" t="n">
        <v>2.7</v>
      </c>
      <c r="T383" t="n">
        <v>2.7</v>
      </c>
      <c r="U383" t="n">
        <v>2.7</v>
      </c>
      <c r="V383" t="n">
        <v>2.7</v>
      </c>
      <c r="W383" t="n">
        <v>2.7</v>
      </c>
      <c r="X383" t="n">
        <v>2.7</v>
      </c>
      <c r="Y383" t="n">
        <v>2.7</v>
      </c>
      <c r="Z383" t="n">
        <v>2.7</v>
      </c>
      <c r="AA383" t="n">
        <v>2.7</v>
      </c>
      <c r="AB383" t="n">
        <v>2.7</v>
      </c>
      <c r="AC383" t="n">
        <v>2.7</v>
      </c>
      <c r="AD383" t="n">
        <v>2.7</v>
      </c>
      <c r="AE383" t="n">
        <v>2.7</v>
      </c>
      <c r="AF383" t="n">
        <v>2.7</v>
      </c>
      <c r="AG383" t="n">
        <v>2.7</v>
      </c>
      <c r="AH383" t="n">
        <v>2.7</v>
      </c>
      <c r="AI383" t="n">
        <v>3.7</v>
      </c>
    </row>
    <row r="384">
      <c r="A384" t="inlineStr">
        <is>
          <t>Dominica_2023_May</t>
        </is>
      </c>
      <c r="B384" s="2" t="n"/>
      <c r="C384" s="3" t="inlineStr">
        <is>
          <t>SM.23.127, Sup. 1</t>
        </is>
      </c>
      <c r="D384" s="4" t="inlineStr">
        <is>
          <t>Dominica</t>
        </is>
      </c>
      <c r="E384" s="4" t="inlineStr">
        <is>
          <t>DMA</t>
        </is>
      </c>
      <c r="F384" s="10" t="n">
        <v>45047</v>
      </c>
      <c r="G384" s="4" t="inlineStr">
        <is>
          <t>2018gn</t>
        </is>
      </c>
      <c r="H384" s="4" t="n">
        <v>2022</v>
      </c>
      <c r="I384" s="5" t="n"/>
    </row>
    <row r="385">
      <c r="A385" t="inlineStr">
        <is>
          <t>Dominica_2023_May</t>
        </is>
      </c>
      <c r="B385" s="2" t="n"/>
      <c r="C385" s="3" t="inlineStr">
        <is>
          <t>SM.23.127, Sup. 1</t>
        </is>
      </c>
      <c r="D385" s="4" t="inlineStr">
        <is>
          <t>Dominica</t>
        </is>
      </c>
      <c r="E385" s="4" t="inlineStr">
        <is>
          <t>DMA</t>
        </is>
      </c>
      <c r="F385" s="10" t="n">
        <v>45047</v>
      </c>
      <c r="G385" s="4" t="inlineStr">
        <is>
          <t>2018gn</t>
        </is>
      </c>
      <c r="H385" s="4" t="n">
        <v>2022</v>
      </c>
      <c r="I385" s="5" t="n"/>
      <c r="J385" t="inlineStr">
        <is>
          <t>Calculation of grant implicit in new borrowing and average discount rates</t>
        </is>
      </c>
    </row>
    <row r="386">
      <c r="A386" t="inlineStr">
        <is>
          <t>Dominica_2023_May</t>
        </is>
      </c>
      <c r="B386" s="2" t="n"/>
      <c r="C386" s="3" t="inlineStr">
        <is>
          <t>SM.23.127, Sup. 1</t>
        </is>
      </c>
      <c r="D386" s="4" t="inlineStr">
        <is>
          <t>Dominica</t>
        </is>
      </c>
      <c r="E386" s="4" t="inlineStr">
        <is>
          <t>DMA</t>
        </is>
      </c>
      <c r="F386" s="10" t="n">
        <v>45047</v>
      </c>
      <c r="G386" s="4" t="inlineStr">
        <is>
          <t>2018gn</t>
        </is>
      </c>
      <c r="H386" s="4" t="n">
        <v>2022</v>
      </c>
      <c r="I386" s="5" t="n"/>
    </row>
    <row r="387">
      <c r="A387" t="inlineStr">
        <is>
          <t>Dominica_2023_May</t>
        </is>
      </c>
      <c r="B387" s="2" t="n"/>
      <c r="C387" s="3" t="inlineStr">
        <is>
          <t>SM.23.127, Sup. 1</t>
        </is>
      </c>
      <c r="D387" s="4" t="inlineStr">
        <is>
          <t>Dominica</t>
        </is>
      </c>
      <c r="E387" s="4" t="inlineStr">
        <is>
          <t>DMA</t>
        </is>
      </c>
      <c r="F387" s="10" t="n">
        <v>45047</v>
      </c>
      <c r="G387" s="4" t="inlineStr">
        <is>
          <t>2018gn</t>
        </is>
      </c>
      <c r="H387" s="4" t="n">
        <v>2022</v>
      </c>
      <c r="I387" s="4" t="inlineStr">
        <is>
          <t>pv.new.dis.ppg</t>
        </is>
      </c>
      <c r="J387" t="inlineStr">
        <is>
          <t>PV of new disbursements PPG</t>
        </is>
      </c>
      <c r="O387" t="n">
        <v>12.65951641460785</v>
      </c>
      <c r="P387" t="n">
        <v>20.03465944264447</v>
      </c>
      <c r="Q387" t="n">
        <v>25.29046413291118</v>
      </c>
      <c r="R387" t="n">
        <v>27.8440035488128</v>
      </c>
      <c r="S387" t="n">
        <v>30.01010179200832</v>
      </c>
      <c r="T387" t="n">
        <v>31.87792779561376</v>
      </c>
      <c r="U387" t="n">
        <v>33.15575545689042</v>
      </c>
      <c r="V387" t="n">
        <v>34.74867177526352</v>
      </c>
      <c r="W387" t="n">
        <v>26.05809358419987</v>
      </c>
      <c r="X387" t="n">
        <v>79.78774704205489</v>
      </c>
      <c r="Y387" t="n">
        <v>18.0209496202485</v>
      </c>
      <c r="Z387" t="n">
        <v>8.645178698240958</v>
      </c>
      <c r="AA387" t="n">
        <v>9.784313163111097</v>
      </c>
      <c r="AB387" t="n">
        <v>10.34073238348247</v>
      </c>
      <c r="AC387" t="n">
        <v>10.49747234827313</v>
      </c>
      <c r="AD387" t="n">
        <v>10.8484455181083</v>
      </c>
      <c r="AE387" t="n">
        <v>11.2412506404135</v>
      </c>
      <c r="AF387" t="n">
        <v>3.621601331303594</v>
      </c>
      <c r="AG387" t="n">
        <v>3.668575744394396</v>
      </c>
      <c r="AH387" t="n">
        <v>3.720565205327865</v>
      </c>
      <c r="AI387" t="n">
        <v>3.720565205327865</v>
      </c>
      <c r="BI387" t="inlineStr">
        <is>
          <t>PV_NEW_DIS_GE</t>
        </is>
      </c>
    </row>
    <row r="388">
      <c r="A388" t="inlineStr">
        <is>
          <t>Dominica_2023_May</t>
        </is>
      </c>
      <c r="B388" s="2" t="n"/>
      <c r="C388" s="3" t="inlineStr">
        <is>
          <t>SM.23.127, Sup. 1</t>
        </is>
      </c>
      <c r="D388" s="4" t="inlineStr">
        <is>
          <t>Dominica</t>
        </is>
      </c>
      <c r="E388" s="4" t="inlineStr">
        <is>
          <t>DMA</t>
        </is>
      </c>
      <c r="F388" s="10" t="n">
        <v>45047</v>
      </c>
      <c r="G388" s="4" t="inlineStr">
        <is>
          <t>2018gn</t>
        </is>
      </c>
      <c r="H388" s="4" t="n">
        <v>2022</v>
      </c>
      <c r="I388" s="4" t="inlineStr">
        <is>
          <t>new.dis.grt.lmt</t>
        </is>
      </c>
      <c r="J388" t="inlineStr">
        <is>
          <t>Grant element of new disbursement (percent)</t>
        </is>
      </c>
      <c r="O388" t="n">
        <v>47.95910628735931</v>
      </c>
      <c r="P388" t="n">
        <v>44.31798327275183</v>
      </c>
      <c r="Q388" t="n">
        <v>46.02030172620015</v>
      </c>
      <c r="R388" t="n">
        <v>42.59576025659791</v>
      </c>
      <c r="S388" t="n">
        <v>41.09679064632929</v>
      </c>
      <c r="T388" t="n">
        <v>41.58149303330524</v>
      </c>
      <c r="U388" t="n">
        <v>41.24511970875763</v>
      </c>
      <c r="V388" t="n">
        <v>40.83665178219516</v>
      </c>
      <c r="W388" t="n">
        <v>38.98759803702896</v>
      </c>
      <c r="X388" t="n">
        <v>32.21684366396469</v>
      </c>
      <c r="Y388" t="n">
        <v>33.20301255798309</v>
      </c>
      <c r="Z388" t="n">
        <v>36.81185390757524</v>
      </c>
      <c r="AA388" t="n">
        <v>33.68407476502384</v>
      </c>
      <c r="AB388" t="n">
        <v>31.27710623986487</v>
      </c>
      <c r="AC388" t="n">
        <v>29.91401827909198</v>
      </c>
      <c r="AD388" t="n">
        <v>29.42241895736463</v>
      </c>
      <c r="AE388" t="n">
        <v>29.18509845563145</v>
      </c>
      <c r="AF388" t="n">
        <v>40.03685011272965</v>
      </c>
      <c r="AG388" t="n">
        <v>39.8872759308432</v>
      </c>
      <c r="AH388" t="n">
        <v>39.748635259587</v>
      </c>
      <c r="AI388" t="n">
        <v>39.748635259587</v>
      </c>
      <c r="BI388" t="inlineStr">
        <is>
          <t>NEW_DIS_GE_PCT</t>
        </is>
      </c>
    </row>
    <row r="389">
      <c r="A389" t="inlineStr">
        <is>
          <t>Dominica_2023_May</t>
        </is>
      </c>
      <c r="B389" s="2" t="n"/>
      <c r="C389" s="3" t="inlineStr">
        <is>
          <t>SM.23.127, Sup. 1</t>
        </is>
      </c>
      <c r="D389" s="4" t="inlineStr">
        <is>
          <t>Dominica</t>
        </is>
      </c>
      <c r="E389" s="4" t="inlineStr">
        <is>
          <t>DMA</t>
        </is>
      </c>
      <c r="F389" s="10" t="n">
        <v>45047</v>
      </c>
      <c r="G389" s="4" t="inlineStr">
        <is>
          <t>2018gn</t>
        </is>
      </c>
      <c r="H389" s="4" t="n">
        <v>2022</v>
      </c>
      <c r="I389" s="4" t="inlineStr">
        <is>
          <t>new.dis.grt.ipct</t>
        </is>
      </c>
      <c r="J389" t="inlineStr">
        <is>
          <t>Grant implicit in new disbursements (US billion)</t>
        </is>
      </c>
      <c r="O389" t="n">
        <v>11.66657699284042</v>
      </c>
      <c r="P389" t="n">
        <v>15.94582513782951</v>
      </c>
      <c r="Q389" t="n">
        <v>21.5613430124919</v>
      </c>
      <c r="R389" t="n">
        <v>20.66113069436499</v>
      </c>
      <c r="S389" t="n">
        <v>20.93805896408834</v>
      </c>
      <c r="T389" t="n">
        <v>22.69027233621746</v>
      </c>
      <c r="U389" t="n">
        <v>23.27488535548207</v>
      </c>
      <c r="V389" t="n">
        <v>23.98477185497059</v>
      </c>
      <c r="W389" t="n">
        <v>16.6514093132844</v>
      </c>
      <c r="X389" t="n">
        <v>37.92253875004775</v>
      </c>
      <c r="Y389" t="n">
        <v>8.957736560608948</v>
      </c>
      <c r="Z389" t="n">
        <v>5.036467675108451</v>
      </c>
      <c r="AA389" t="n">
        <v>4.969779656136311</v>
      </c>
      <c r="AB389" t="n">
        <v>4.70626552026549</v>
      </c>
      <c r="AC389" t="n">
        <v>4.480519099539505</v>
      </c>
      <c r="AD389" t="n">
        <v>4.522505650584827</v>
      </c>
      <c r="AE389" t="n">
        <v>4.632880926895646</v>
      </c>
      <c r="AF389" t="n">
        <v>2.418110288436429</v>
      </c>
      <c r="AG389" t="n">
        <v>2.434251570790782</v>
      </c>
      <c r="AH389" t="n">
        <v>2.454506880354425</v>
      </c>
      <c r="AI389" t="n">
        <v>2.454506880354425</v>
      </c>
      <c r="BI389" t="inlineStr">
        <is>
          <t>NEW_DIS_GE_USD</t>
        </is>
      </c>
    </row>
    <row r="390">
      <c r="A390" t="inlineStr">
        <is>
          <t>Dominica_2023_May</t>
        </is>
      </c>
      <c r="B390" s="2" t="n"/>
      <c r="C390" s="3" t="inlineStr">
        <is>
          <t>SM.23.127, Sup. 1</t>
        </is>
      </c>
      <c r="D390" s="4" t="inlineStr">
        <is>
          <t>Dominica</t>
        </is>
      </c>
      <c r="E390" s="4" t="inlineStr">
        <is>
          <t>DMA</t>
        </is>
      </c>
      <c r="F390" s="10" t="n">
        <v>45047</v>
      </c>
      <c r="G390" s="4" t="inlineStr">
        <is>
          <t>2018gn</t>
        </is>
      </c>
      <c r="H390" s="4" t="n">
        <v>2022</v>
      </c>
      <c r="I390" s="4" t="inlineStr">
        <is>
          <t>avg.disc.rat</t>
        </is>
      </c>
      <c r="J390" t="inlineStr">
        <is>
          <t>Average discount rate</t>
        </is>
      </c>
      <c r="O390" t="n">
        <v>5</v>
      </c>
      <c r="P390" t="n">
        <v>5.000000000000001</v>
      </c>
      <c r="Q390" t="n">
        <v>5.000000000000001</v>
      </c>
      <c r="R390" t="n">
        <v>5</v>
      </c>
      <c r="S390" t="n">
        <v>5</v>
      </c>
      <c r="T390" t="n">
        <v>5.000000000000001</v>
      </c>
      <c r="U390" t="n">
        <v>5.000000000000002</v>
      </c>
      <c r="V390" t="n">
        <v>5.000000000000001</v>
      </c>
      <c r="W390" t="n">
        <v>5</v>
      </c>
      <c r="X390" t="n">
        <v>4.999999999999999</v>
      </c>
      <c r="Y390" t="n">
        <v>5</v>
      </c>
      <c r="Z390" t="n">
        <v>5</v>
      </c>
      <c r="AA390" t="n">
        <v>5</v>
      </c>
      <c r="AB390" t="n">
        <v>5</v>
      </c>
      <c r="AC390" t="n">
        <v>5</v>
      </c>
      <c r="AD390" t="n">
        <v>5</v>
      </c>
      <c r="AE390" t="n">
        <v>5</v>
      </c>
      <c r="AF390" t="n">
        <v>5.000000000000001</v>
      </c>
      <c r="AG390" t="n">
        <v>5.000000000000001</v>
      </c>
      <c r="AH390" t="n">
        <v>5.000000000000001</v>
      </c>
      <c r="AI390" t="n">
        <v>5.000000000000001</v>
      </c>
      <c r="BI390" t="inlineStr">
        <is>
          <t>DIS_RATE_AVG</t>
        </is>
      </c>
    </row>
    <row r="391">
      <c r="A391" t="inlineStr">
        <is>
          <t>Dominica_2023_May</t>
        </is>
      </c>
      <c r="B391" s="2" t="n"/>
      <c r="C391" s="3" t="inlineStr">
        <is>
          <t>SM.23.127, Sup. 1</t>
        </is>
      </c>
      <c r="D391" s="4" t="inlineStr">
        <is>
          <t>Dominica</t>
        </is>
      </c>
      <c r="E391" s="4" t="inlineStr">
        <is>
          <t>DMA</t>
        </is>
      </c>
      <c r="F391" s="10" t="n">
        <v>45047</v>
      </c>
      <c r="G391" s="4" t="inlineStr">
        <is>
          <t>2018gn</t>
        </is>
      </c>
      <c r="H391" s="4" t="n">
        <v>2022</v>
      </c>
      <c r="I391" s="5" t="n"/>
    </row>
    <row r="392">
      <c r="A392" t="inlineStr">
        <is>
          <t>Dominica_2023_May</t>
        </is>
      </c>
      <c r="B392" s="2" t="n"/>
      <c r="C392" s="3" t="inlineStr">
        <is>
          <t>SM.23.127, Sup. 1</t>
        </is>
      </c>
      <c r="D392" s="4" t="inlineStr">
        <is>
          <t>Dominica</t>
        </is>
      </c>
      <c r="E392" s="4" t="inlineStr">
        <is>
          <t>DMA</t>
        </is>
      </c>
      <c r="F392" s="10" t="n">
        <v>45047</v>
      </c>
      <c r="G392" s="4" t="inlineStr">
        <is>
          <t>2018gn</t>
        </is>
      </c>
      <c r="H392" s="4" t="n">
        <v>2022</v>
      </c>
      <c r="I392" s="5" t="n"/>
    </row>
    <row r="393">
      <c r="A393" t="inlineStr">
        <is>
          <t>Dominica_2023_May</t>
        </is>
      </c>
      <c r="B393" s="2" t="n"/>
      <c r="C393" s="3" t="inlineStr">
        <is>
          <t>SM.23.127, Sup. 1</t>
        </is>
      </c>
      <c r="D393" s="4" t="inlineStr">
        <is>
          <t>Dominica</t>
        </is>
      </c>
      <c r="E393" s="4" t="inlineStr">
        <is>
          <t>DMA</t>
        </is>
      </c>
      <c r="F393" s="10" t="n">
        <v>45047</v>
      </c>
      <c r="G393" s="4" t="inlineStr">
        <is>
          <t>2018gn</t>
        </is>
      </c>
      <c r="H393" s="4" t="n">
        <v>2022</v>
      </c>
      <c r="I393" s="5" t="n"/>
      <c r="J393" t="inlineStr">
        <is>
          <t xml:space="preserve">1/ After rescheduling if a rescheduling has been agreed or is imminent. For HIPCs that have reached their decision or completion points, </t>
        </is>
      </c>
    </row>
    <row r="394">
      <c r="A394" t="inlineStr">
        <is>
          <t>Dominica_2023_May</t>
        </is>
      </c>
      <c r="B394" s="2" t="n"/>
      <c r="C394" s="3" t="inlineStr">
        <is>
          <t>SM.23.127, Sup. 1</t>
        </is>
      </c>
      <c r="D394" s="4" t="inlineStr">
        <is>
          <t>Dominica</t>
        </is>
      </c>
      <c r="E394" s="4" t="inlineStr">
        <is>
          <t>DMA</t>
        </is>
      </c>
      <c r="F394" s="10" t="n">
        <v>45047</v>
      </c>
      <c r="G394" s="4" t="inlineStr">
        <is>
          <t>2018gn</t>
        </is>
      </c>
      <c r="H394" s="4" t="n">
        <v>2022</v>
      </c>
      <c r="I394" s="5" t="n"/>
      <c r="J394" t="inlineStr">
        <is>
          <t>enter debt service due after HIPC assistance (including additional bilateral assistance for completion point cases).</t>
        </is>
      </c>
    </row>
    <row r="395">
      <c r="A395" t="inlineStr">
        <is>
          <t>Dominica_2023_May</t>
        </is>
      </c>
      <c r="B395" s="2" t="n"/>
      <c r="C395" s="3" t="inlineStr">
        <is>
          <t>SM.23.127, Sup. 1</t>
        </is>
      </c>
      <c r="D395" s="4" t="inlineStr">
        <is>
          <t>Dominica</t>
        </is>
      </c>
      <c r="E395" s="4" t="inlineStr">
        <is>
          <t>DMA</t>
        </is>
      </c>
      <c r="F395" s="10" t="n">
        <v>45047</v>
      </c>
      <c r="G395" s="4" t="inlineStr">
        <is>
          <t>2018gn</t>
        </is>
      </c>
      <c r="H395" s="4" t="n">
        <v>2022</v>
      </c>
      <c r="I395" s="5" t="n"/>
    </row>
    <row r="396">
      <c r="A396" t="inlineStr">
        <is>
          <t>Dominica_2023_May</t>
        </is>
      </c>
      <c r="B396" s="2" t="n"/>
      <c r="C396" s="3" t="inlineStr">
        <is>
          <t>SM.23.127, Sup. 1</t>
        </is>
      </c>
      <c r="D396" s="4" t="inlineStr">
        <is>
          <t>Dominica</t>
        </is>
      </c>
      <c r="E396" s="4" t="inlineStr">
        <is>
          <t>DMA</t>
        </is>
      </c>
      <c r="F396" s="10" t="n">
        <v>45047</v>
      </c>
      <c r="G396" s="4" t="inlineStr">
        <is>
          <t>2018gn</t>
        </is>
      </c>
      <c r="H396" s="4" t="n">
        <v>2022</v>
      </c>
      <c r="I396" s="5" t="n"/>
    </row>
    <row r="397">
      <c r="A397" t="inlineStr">
        <is>
          <t>Dominica_2023_May</t>
        </is>
      </c>
      <c r="B397" s="2" t="n"/>
      <c r="C397" s="3" t="inlineStr">
        <is>
          <t>SM.23.127, Sup. 1</t>
        </is>
      </c>
      <c r="D397" s="4" t="inlineStr">
        <is>
          <t>Dominica</t>
        </is>
      </c>
      <c r="E397" s="4" t="inlineStr">
        <is>
          <t>DMA</t>
        </is>
      </c>
      <c r="F397" s="10" t="n">
        <v>45047</v>
      </c>
      <c r="G397" s="4" t="inlineStr">
        <is>
          <t>2018gn</t>
        </is>
      </c>
      <c r="H397" s="4" t="n">
        <v>2022</v>
      </c>
      <c r="I397" s="4" t="inlineStr">
        <is>
          <t>css.loan</t>
        </is>
      </c>
      <c r="J397" t="inlineStr">
        <is>
          <t>Concessional loans</t>
        </is>
      </c>
      <c r="K397" t="inlineStr">
        <is>
          <t>Minimum Concessionality Requirement</t>
        </is>
      </c>
      <c r="M397" t="n">
        <v>0.35</v>
      </c>
      <c r="O397" t="n">
        <v>16.5185185185185</v>
      </c>
      <c r="P397" t="n">
        <v>19.820478</v>
      </c>
      <c r="Q397" t="n">
        <v>29.9728590740741</v>
      </c>
      <c r="R397" t="n">
        <v>27.4747591388889</v>
      </c>
      <c r="S397" t="n">
        <v>27.51484701284342</v>
      </c>
      <c r="T397" t="n">
        <v>30.56459989652245</v>
      </c>
      <c r="U397" t="n">
        <v>31.05806492226122</v>
      </c>
      <c r="V397" t="n">
        <v>31.85123315520253</v>
      </c>
      <c r="W397" t="n">
        <v>21.17977265156323</v>
      </c>
      <c r="X397" t="n">
        <v>14.32769550310168</v>
      </c>
      <c r="Y397" t="n">
        <v>8.94575841158721</v>
      </c>
      <c r="Z397" t="n">
        <v>3.908270902000349</v>
      </c>
      <c r="AA397" t="n">
        <v>4.14004754227086</v>
      </c>
      <c r="AB397" t="n">
        <v>3.47984600922772</v>
      </c>
      <c r="AC397" t="n">
        <v>2.974562230116295</v>
      </c>
      <c r="AD397" t="n">
        <v>2.974427892971297</v>
      </c>
      <c r="AE397" t="n">
        <v>3.100821814347192</v>
      </c>
      <c r="AF397" t="n">
        <v>0.0120028680227015</v>
      </c>
      <c r="AG397" t="n">
        <v>0.00374633515064925</v>
      </c>
      <c r="AH397" t="n">
        <v>0.00116930612204059</v>
      </c>
      <c r="AI397" t="n">
        <v>0.000364593454824143</v>
      </c>
    </row>
    <row r="398">
      <c r="A398" t="inlineStr">
        <is>
          <t>Dominica_2023_May</t>
        </is>
      </c>
      <c r="B398" s="2" t="n"/>
      <c r="C398" s="3" t="inlineStr">
        <is>
          <t>SM.23.127, Sup. 1</t>
        </is>
      </c>
      <c r="D398" s="4" t="inlineStr">
        <is>
          <t>Dominica</t>
        </is>
      </c>
      <c r="E398" s="4" t="inlineStr">
        <is>
          <t>DMA</t>
        </is>
      </c>
      <c r="F398" s="10" t="n">
        <v>45047</v>
      </c>
      <c r="G398" s="4" t="inlineStr">
        <is>
          <t>2018gn</t>
        </is>
      </c>
      <c r="H398" s="4" t="n">
        <v>2022</v>
      </c>
      <c r="I398" s="4" t="inlineStr">
        <is>
          <t>css.loan.mlt</t>
        </is>
      </c>
      <c r="J398" t="inlineStr">
        <is>
          <t>Multilaterals</t>
        </is>
      </c>
    </row>
    <row r="399">
      <c r="A399" t="inlineStr">
        <is>
          <t>Dominica_2023_May</t>
        </is>
      </c>
      <c r="B399" s="2" t="n"/>
      <c r="C399" s="3" t="inlineStr">
        <is>
          <t>SM.23.127, Sup. 1</t>
        </is>
      </c>
      <c r="D399" s="4" t="inlineStr">
        <is>
          <t>Dominica</t>
        </is>
      </c>
      <c r="E399" s="4" t="inlineStr">
        <is>
          <t>DMA</t>
        </is>
      </c>
      <c r="F399" s="10" t="n">
        <v>45047</v>
      </c>
      <c r="G399" s="4" t="inlineStr">
        <is>
          <t>2018gn</t>
        </is>
      </c>
      <c r="H399" s="4" t="n">
        <v>2022</v>
      </c>
      <c r="I399" s="4" t="inlineStr">
        <is>
          <t>css.loan.mlt.imf</t>
        </is>
      </c>
      <c r="J399" t="inlineStr">
        <is>
          <t>IMF</t>
        </is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</row>
    <row r="400">
      <c r="A400" t="inlineStr">
        <is>
          <t>Dominica_2023_May</t>
        </is>
      </c>
      <c r="B400" s="2" t="n"/>
      <c r="C400" s="3" t="inlineStr">
        <is>
          <t>SM.23.127, Sup. 1</t>
        </is>
      </c>
      <c r="D400" s="4" t="inlineStr">
        <is>
          <t>Dominica</t>
        </is>
      </c>
      <c r="E400" s="4" t="inlineStr">
        <is>
          <t>DMA</t>
        </is>
      </c>
      <c r="F400" s="10" t="n">
        <v>45047</v>
      </c>
      <c r="G400" s="4" t="inlineStr">
        <is>
          <t>2018gn</t>
        </is>
      </c>
      <c r="H400" s="4" t="n">
        <v>2022</v>
      </c>
      <c r="I400" s="4" t="inlineStr">
        <is>
          <t>css.loan.mlt.ida.reg</t>
        </is>
      </c>
      <c r="J400" t="inlineStr">
        <is>
          <t>IDA - small economy</t>
        </is>
      </c>
      <c r="O400" t="n">
        <v>16.5185185185185</v>
      </c>
      <c r="P400" t="n">
        <v>19.820478</v>
      </c>
      <c r="Q400" t="n">
        <v>29.9728590740741</v>
      </c>
      <c r="R400" t="n">
        <v>27.4747591388889</v>
      </c>
      <c r="S400" t="n">
        <v>23.4466536828704</v>
      </c>
      <c r="T400" t="n">
        <v>25.1786874739583</v>
      </c>
      <c r="U400" t="n">
        <v>26.3640645077533</v>
      </c>
      <c r="V400" t="n">
        <v>27.591159823557</v>
      </c>
      <c r="W400" t="n">
        <v>17.2808046858369</v>
      </c>
      <c r="X400" t="n">
        <v>10.7943691973865</v>
      </c>
      <c r="Y400" t="n">
        <v>5.61523097526179</v>
      </c>
      <c r="Z400" t="n">
        <v>2.9210431403909</v>
      </c>
      <c r="AA400" t="n">
        <v>2.4312426158397</v>
      </c>
      <c r="AB400" t="n">
        <v>1.26473240315702</v>
      </c>
      <c r="AC400" t="n">
        <v>0.394748275924625</v>
      </c>
      <c r="AD400" t="n">
        <v>0.123208831335777</v>
      </c>
      <c r="AE400" t="n">
        <v>0.0384559402661619</v>
      </c>
      <c r="AF400" t="n">
        <v>0.0120028680227015</v>
      </c>
      <c r="AG400" t="n">
        <v>0.00374633515064925</v>
      </c>
      <c r="AH400" t="n">
        <v>0.00116930612204059</v>
      </c>
      <c r="AI400" t="n">
        <v>0.000364593454824143</v>
      </c>
    </row>
    <row r="401">
      <c r="A401" t="inlineStr">
        <is>
          <t>Dominica_2023_May</t>
        </is>
      </c>
      <c r="B401" s="2" t="n"/>
      <c r="C401" s="3" t="inlineStr">
        <is>
          <t>SM.23.127, Sup. 1</t>
        </is>
      </c>
      <c r="D401" s="4" t="inlineStr">
        <is>
          <t>Dominica</t>
        </is>
      </c>
      <c r="E401" s="4" t="inlineStr">
        <is>
          <t>DMA</t>
        </is>
      </c>
      <c r="F401" s="10" t="n">
        <v>45047</v>
      </c>
      <c r="G401" s="4" t="inlineStr">
        <is>
          <t>2018gn</t>
        </is>
      </c>
      <c r="H401" s="4" t="n">
        <v>2022</v>
      </c>
      <c r="I401" s="4" t="inlineStr">
        <is>
          <t>css.loan.mlt.ida.bld</t>
        </is>
      </c>
      <c r="J401" t="inlineStr">
        <is>
          <t>IDA - small economy</t>
        </is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</row>
    <row r="402">
      <c r="A402" t="inlineStr">
        <is>
          <t>Dominica_2023_May</t>
        </is>
      </c>
      <c r="B402" s="2" t="n"/>
      <c r="C402" s="3" t="inlineStr">
        <is>
          <t>SM.23.127, Sup. 1</t>
        </is>
      </c>
      <c r="D402" s="4" t="inlineStr">
        <is>
          <t>Dominica</t>
        </is>
      </c>
      <c r="E402" s="4" t="inlineStr">
        <is>
          <t>DMA</t>
        </is>
      </c>
      <c r="F402" s="10" t="n">
        <v>45047</v>
      </c>
      <c r="G402" s="4" t="inlineStr">
        <is>
          <t>2018gn</t>
        </is>
      </c>
      <c r="H402" s="4" t="n">
        <v>2022</v>
      </c>
      <c r="I402" s="4" t="inlineStr">
        <is>
          <t>css.loan.mlt.afdb</t>
        </is>
      </c>
      <c r="J402" t="inlineStr">
        <is>
          <t>CDB</t>
        </is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</row>
    <row r="403">
      <c r="A403" t="inlineStr">
        <is>
          <t>Dominica_2023_May</t>
        </is>
      </c>
      <c r="B403" s="2" t="n"/>
      <c r="C403" s="3" t="inlineStr">
        <is>
          <t>SM.23.127, Sup. 1</t>
        </is>
      </c>
      <c r="D403" s="4" t="inlineStr">
        <is>
          <t>Dominica</t>
        </is>
      </c>
      <c r="E403" s="4" t="inlineStr">
        <is>
          <t>DMA</t>
        </is>
      </c>
      <c r="F403" s="10" t="n">
        <v>45047</v>
      </c>
      <c r="G403" s="4" t="inlineStr">
        <is>
          <t>2018gn</t>
        </is>
      </c>
      <c r="H403" s="4" t="n">
        <v>2022</v>
      </c>
      <c r="I403" s="4" t="inlineStr">
        <is>
          <t>css.loan.mlt2</t>
        </is>
      </c>
      <c r="J403" t="inlineStr">
        <is>
          <t>MULTIRES</t>
        </is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</row>
    <row r="404">
      <c r="A404" t="inlineStr">
        <is>
          <t>Dominica_2023_May</t>
        </is>
      </c>
      <c r="B404" s="2" t="n"/>
      <c r="C404" s="3" t="inlineStr">
        <is>
          <t>SM.23.127, Sup. 1</t>
        </is>
      </c>
      <c r="D404" s="4" t="inlineStr">
        <is>
          <t>Dominica</t>
        </is>
      </c>
      <c r="E404" s="4" t="inlineStr">
        <is>
          <t>DMA</t>
        </is>
      </c>
      <c r="F404" s="10" t="n">
        <v>45047</v>
      </c>
      <c r="G404" s="4" t="inlineStr">
        <is>
          <t>2018gn</t>
        </is>
      </c>
      <c r="H404" s="4" t="n">
        <v>2022</v>
      </c>
      <c r="I404" s="4" t="inlineStr">
        <is>
          <t>css.loan.mlt3</t>
        </is>
      </c>
      <c r="J404" t="inlineStr">
        <is>
          <t>MULTI3</t>
        </is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</row>
    <row r="405">
      <c r="A405" t="inlineStr">
        <is>
          <t>Dominica_2023_May</t>
        </is>
      </c>
      <c r="B405" s="2" t="n"/>
      <c r="C405" s="3" t="inlineStr">
        <is>
          <t>SM.23.127, Sup. 1</t>
        </is>
      </c>
      <c r="D405" s="4" t="inlineStr">
        <is>
          <t>Dominica</t>
        </is>
      </c>
      <c r="E405" s="4" t="inlineStr">
        <is>
          <t>DMA</t>
        </is>
      </c>
      <c r="F405" s="10" t="n">
        <v>45047</v>
      </c>
      <c r="G405" s="4" t="inlineStr">
        <is>
          <t>2018gn</t>
        </is>
      </c>
      <c r="H405" s="4" t="n">
        <v>2022</v>
      </c>
      <c r="I405" s="4" t="inlineStr">
        <is>
          <t>css.loan.blt</t>
        </is>
      </c>
      <c r="J405" t="inlineStr">
        <is>
          <t>Official Bilaterals</t>
        </is>
      </c>
    </row>
    <row r="406">
      <c r="A406" t="inlineStr">
        <is>
          <t>Dominica_2023_May</t>
        </is>
      </c>
      <c r="B406" s="2" t="n"/>
      <c r="C406" s="3" t="inlineStr">
        <is>
          <t>SM.23.127, Sup. 1</t>
        </is>
      </c>
      <c r="D406" s="4" t="inlineStr">
        <is>
          <t>Dominica</t>
        </is>
      </c>
      <c r="E406" s="4" t="inlineStr">
        <is>
          <t>DMA</t>
        </is>
      </c>
      <c r="F406" s="10" t="n">
        <v>45047</v>
      </c>
      <c r="G406" s="4" t="inlineStr">
        <is>
          <t>2018gn</t>
        </is>
      </c>
      <c r="H406" s="4" t="n">
        <v>2022</v>
      </c>
      <c r="I406" s="4" t="inlineStr">
        <is>
          <t>css.loan.pc</t>
        </is>
      </c>
      <c r="J406" t="inlineStr">
        <is>
          <t xml:space="preserve">   Paris Club</t>
        </is>
      </c>
    </row>
    <row r="407">
      <c r="A407" t="inlineStr">
        <is>
          <t>Dominica_2023_May</t>
        </is>
      </c>
      <c r="B407" s="2" t="n"/>
      <c r="C407" s="3" t="inlineStr">
        <is>
          <t>SM.23.127, Sup. 1</t>
        </is>
      </c>
      <c r="D407" s="4" t="inlineStr">
        <is>
          <t>Dominica</t>
        </is>
      </c>
      <c r="E407" s="4" t="inlineStr">
        <is>
          <t>DMA</t>
        </is>
      </c>
      <c r="F407" s="10" t="n">
        <v>45047</v>
      </c>
      <c r="G407" s="4" t="inlineStr">
        <is>
          <t>2018gn</t>
        </is>
      </c>
      <c r="H407" s="4" t="n">
        <v>2022</v>
      </c>
      <c r="I407" s="4" t="inlineStr">
        <is>
          <t>css.loan.pc1</t>
        </is>
      </c>
      <c r="J407" t="inlineStr">
        <is>
          <t>Export Credit Agencies</t>
        </is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</row>
    <row r="408">
      <c r="A408" t="inlineStr">
        <is>
          <t>Dominica_2023_May</t>
        </is>
      </c>
      <c r="B408" s="2" t="n"/>
      <c r="C408" s="3" t="inlineStr">
        <is>
          <t>SM.23.127, Sup. 1</t>
        </is>
      </c>
      <c r="D408" s="4" t="inlineStr">
        <is>
          <t>Dominica</t>
        </is>
      </c>
      <c r="E408" s="4" t="inlineStr">
        <is>
          <t>DMA</t>
        </is>
      </c>
      <c r="F408" s="10" t="n">
        <v>45047</v>
      </c>
      <c r="G408" s="4" t="inlineStr">
        <is>
          <t>2018gn</t>
        </is>
      </c>
      <c r="H408" s="4" t="n">
        <v>2022</v>
      </c>
      <c r="I408" s="4" t="inlineStr">
        <is>
          <t>css.loan.pc2</t>
        </is>
      </c>
      <c r="J408" t="inlineStr">
        <is>
          <t>PC2</t>
        </is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</row>
    <row r="409">
      <c r="A409" t="inlineStr">
        <is>
          <t>Dominica_2023_May</t>
        </is>
      </c>
      <c r="B409" s="2" t="n"/>
      <c r="C409" s="3" t="inlineStr">
        <is>
          <t>SM.23.127, Sup. 1</t>
        </is>
      </c>
      <c r="D409" s="4" t="inlineStr">
        <is>
          <t>Dominica</t>
        </is>
      </c>
      <c r="E409" s="4" t="inlineStr">
        <is>
          <t>DMA</t>
        </is>
      </c>
      <c r="F409" s="10" t="n">
        <v>45047</v>
      </c>
      <c r="G409" s="4" t="inlineStr">
        <is>
          <t>2018gn</t>
        </is>
      </c>
      <c r="H409" s="4" t="n">
        <v>2022</v>
      </c>
      <c r="I409" s="4" t="inlineStr">
        <is>
          <t>css.loan.pc3</t>
        </is>
      </c>
      <c r="J409" t="inlineStr">
        <is>
          <t>PC3</t>
        </is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</row>
    <row r="410">
      <c r="A410" t="inlineStr">
        <is>
          <t>Dominica_2023_May</t>
        </is>
      </c>
      <c r="B410" s="2" t="n"/>
      <c r="C410" s="3" t="inlineStr">
        <is>
          <t>SM.23.127, Sup. 1</t>
        </is>
      </c>
      <c r="D410" s="4" t="inlineStr">
        <is>
          <t>Dominica</t>
        </is>
      </c>
      <c r="E410" s="4" t="inlineStr">
        <is>
          <t>DMA</t>
        </is>
      </c>
      <c r="F410" s="10" t="n">
        <v>45047</v>
      </c>
      <c r="G410" s="4" t="inlineStr">
        <is>
          <t>2018gn</t>
        </is>
      </c>
      <c r="H410" s="4" t="n">
        <v>2022</v>
      </c>
      <c r="I410" s="4" t="inlineStr">
        <is>
          <t>css.loan.pc4</t>
        </is>
      </c>
      <c r="J410" t="inlineStr">
        <is>
          <t>PC4</t>
        </is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</row>
    <row r="411">
      <c r="A411" t="inlineStr">
        <is>
          <t>Dominica_2023_May</t>
        </is>
      </c>
      <c r="B411" s="2" t="n"/>
      <c r="C411" s="3" t="inlineStr">
        <is>
          <t>SM.23.127, Sup. 1</t>
        </is>
      </c>
      <c r="D411" s="4" t="inlineStr">
        <is>
          <t>Dominica</t>
        </is>
      </c>
      <c r="E411" s="4" t="inlineStr">
        <is>
          <t>DMA</t>
        </is>
      </c>
      <c r="F411" s="10" t="n">
        <v>45047</v>
      </c>
      <c r="G411" s="4" t="inlineStr">
        <is>
          <t>2018gn</t>
        </is>
      </c>
      <c r="H411" s="4" t="n">
        <v>2022</v>
      </c>
      <c r="I411" s="4" t="inlineStr">
        <is>
          <t>css.loan.pc5</t>
        </is>
      </c>
      <c r="J411" t="inlineStr">
        <is>
          <t>PC5</t>
        </is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</row>
    <row r="412">
      <c r="A412" t="inlineStr">
        <is>
          <t>Dominica_2023_May</t>
        </is>
      </c>
      <c r="B412" s="2" t="n"/>
      <c r="C412" s="3" t="inlineStr">
        <is>
          <t>SM.23.127, Sup. 1</t>
        </is>
      </c>
      <c r="D412" s="4" t="inlineStr">
        <is>
          <t>Dominica</t>
        </is>
      </c>
      <c r="E412" s="4" t="inlineStr">
        <is>
          <t>DMA</t>
        </is>
      </c>
      <c r="F412" s="10" t="n">
        <v>45047</v>
      </c>
      <c r="G412" s="4" t="inlineStr">
        <is>
          <t>2018gn</t>
        </is>
      </c>
      <c r="H412" s="4" t="n">
        <v>2022</v>
      </c>
      <c r="I412" s="4" t="inlineStr">
        <is>
          <t>css.loan.npc</t>
        </is>
      </c>
      <c r="J412" t="inlineStr">
        <is>
          <t xml:space="preserve">   Non-Paris Club</t>
        </is>
      </c>
    </row>
    <row r="413">
      <c r="A413" t="inlineStr">
        <is>
          <t>Dominica_2023_May</t>
        </is>
      </c>
      <c r="B413" s="2" t="n"/>
      <c r="C413" s="3" t="inlineStr">
        <is>
          <t>SM.23.127, Sup. 1</t>
        </is>
      </c>
      <c r="D413" s="4" t="inlineStr">
        <is>
          <t>Dominica</t>
        </is>
      </c>
      <c r="E413" s="4" t="inlineStr">
        <is>
          <t>DMA</t>
        </is>
      </c>
      <c r="F413" s="10" t="n">
        <v>45047</v>
      </c>
      <c r="G413" s="4" t="inlineStr">
        <is>
          <t>2018gn</t>
        </is>
      </c>
      <c r="H413" s="4" t="n">
        <v>2022</v>
      </c>
      <c r="I413" s="4" t="inlineStr">
        <is>
          <t>css.loan.npc.eximbk</t>
        </is>
      </c>
      <c r="J413" t="inlineStr">
        <is>
          <t>NPC2</t>
        </is>
      </c>
      <c r="O413" t="n">
        <v>0</v>
      </c>
      <c r="P413" t="n">
        <v>0</v>
      </c>
      <c r="Q413" t="n">
        <v>0</v>
      </c>
      <c r="R413" t="n">
        <v>0</v>
      </c>
      <c r="S413" t="n">
        <v>4.06819332997302</v>
      </c>
      <c r="T413" t="n">
        <v>5.38591242256415</v>
      </c>
      <c r="U413" t="n">
        <v>4.69400041450792</v>
      </c>
      <c r="V413" t="n">
        <v>4.26007333164553</v>
      </c>
      <c r="W413" t="n">
        <v>3.89896796572633</v>
      </c>
      <c r="X413" t="n">
        <v>3.53332630571518</v>
      </c>
      <c r="Y413" t="n">
        <v>3.33052743632542</v>
      </c>
      <c r="Z413" t="n">
        <v>0.987227761609449</v>
      </c>
      <c r="AA413" t="n">
        <v>1.70880492643116</v>
      </c>
      <c r="AB413" t="n">
        <v>2.2151136060707</v>
      </c>
      <c r="AC413" t="n">
        <v>2.57981395419167</v>
      </c>
      <c r="AD413" t="n">
        <v>2.85121906163552</v>
      </c>
      <c r="AE413" t="n">
        <v>3.06236587408103</v>
      </c>
      <c r="AF413" t="n">
        <v>0</v>
      </c>
      <c r="AG413" t="n">
        <v>0</v>
      </c>
      <c r="AH413" t="n">
        <v>0</v>
      </c>
      <c r="AI413" t="n">
        <v>0</v>
      </c>
    </row>
    <row r="414">
      <c r="A414" t="inlineStr">
        <is>
          <t>Dominica_2023_May</t>
        </is>
      </c>
      <c r="B414" s="2" t="n"/>
      <c r="C414" s="3" t="inlineStr">
        <is>
          <t>SM.23.127, Sup. 1</t>
        </is>
      </c>
      <c r="D414" s="4" t="inlineStr">
        <is>
          <t>Dominica</t>
        </is>
      </c>
      <c r="E414" s="4" t="inlineStr">
        <is>
          <t>DMA</t>
        </is>
      </c>
      <c r="F414" s="10" t="n">
        <v>45047</v>
      </c>
      <c r="G414" s="4" t="inlineStr">
        <is>
          <t>2018gn</t>
        </is>
      </c>
      <c r="H414" s="4" t="n">
        <v>2022</v>
      </c>
      <c r="I414" s="4" t="inlineStr">
        <is>
          <t>css.loan.npc2</t>
        </is>
      </c>
      <c r="J414" t="inlineStr">
        <is>
          <t>NPC2</t>
        </is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</row>
    <row r="415">
      <c r="A415" t="inlineStr">
        <is>
          <t>Dominica_2023_May</t>
        </is>
      </c>
      <c r="B415" s="2" t="n"/>
      <c r="C415" s="3" t="inlineStr">
        <is>
          <t>SM.23.127, Sup. 1</t>
        </is>
      </c>
      <c r="D415" s="4" t="inlineStr">
        <is>
          <t>Dominica</t>
        </is>
      </c>
      <c r="E415" s="4" t="inlineStr">
        <is>
          <t>DMA</t>
        </is>
      </c>
      <c r="F415" s="10" t="n">
        <v>45047</v>
      </c>
      <c r="G415" s="4" t="inlineStr">
        <is>
          <t>2018gn</t>
        </is>
      </c>
      <c r="H415" s="4" t="n">
        <v>2022</v>
      </c>
      <c r="I415" s="4" t="inlineStr">
        <is>
          <t>css.loan.npc3</t>
        </is>
      </c>
      <c r="J415" t="inlineStr">
        <is>
          <t>NPC3</t>
        </is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</row>
    <row r="416">
      <c r="A416" t="inlineStr">
        <is>
          <t>Dominica_2023_May</t>
        </is>
      </c>
      <c r="B416" s="2" t="n"/>
      <c r="C416" s="3" t="inlineStr">
        <is>
          <t>SM.23.127, Sup. 1</t>
        </is>
      </c>
      <c r="D416" s="4" t="inlineStr">
        <is>
          <t>Dominica</t>
        </is>
      </c>
      <c r="E416" s="4" t="inlineStr">
        <is>
          <t>DMA</t>
        </is>
      </c>
      <c r="F416" s="10" t="n">
        <v>45047</v>
      </c>
      <c r="G416" s="4" t="inlineStr">
        <is>
          <t>2018gn</t>
        </is>
      </c>
      <c r="H416" s="4" t="n">
        <v>2022</v>
      </c>
      <c r="I416" s="4" t="inlineStr">
        <is>
          <t>css.loan.npc4</t>
        </is>
      </c>
      <c r="J416" t="inlineStr">
        <is>
          <t>NPC4</t>
        </is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</row>
    <row r="417">
      <c r="A417" t="inlineStr">
        <is>
          <t>Dominica_2023_May</t>
        </is>
      </c>
      <c r="B417" s="2" t="n"/>
      <c r="C417" s="3" t="inlineStr">
        <is>
          <t>SM.23.127, Sup. 1</t>
        </is>
      </c>
      <c r="D417" s="4" t="inlineStr">
        <is>
          <t>Dominica</t>
        </is>
      </c>
      <c r="E417" s="4" t="inlineStr">
        <is>
          <t>DMA</t>
        </is>
      </c>
      <c r="F417" s="10" t="n">
        <v>45047</v>
      </c>
      <c r="G417" s="4" t="inlineStr">
        <is>
          <t>2018gn</t>
        </is>
      </c>
      <c r="H417" s="4" t="n">
        <v>2022</v>
      </c>
      <c r="I417" s="4" t="inlineStr">
        <is>
          <t>css.loan.npc5</t>
        </is>
      </c>
      <c r="J417" t="inlineStr">
        <is>
          <t>NPC5</t>
        </is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</row>
    <row r="418">
      <c r="A418" t="inlineStr">
        <is>
          <t>Dominica_2023_May</t>
        </is>
      </c>
      <c r="B418" s="2" t="n"/>
      <c r="C418" s="3" t="inlineStr">
        <is>
          <t>SM.23.127, Sup. 1</t>
        </is>
      </c>
      <c r="D418" s="4" t="inlineStr">
        <is>
          <t>Dominica</t>
        </is>
      </c>
      <c r="E418" s="4" t="inlineStr">
        <is>
          <t>DMA</t>
        </is>
      </c>
      <c r="F418" s="10" t="n">
        <v>45047</v>
      </c>
      <c r="G418" s="4" t="inlineStr">
        <is>
          <t>2018gn</t>
        </is>
      </c>
      <c r="H418" s="4" t="n">
        <v>2022</v>
      </c>
      <c r="I418" s="4" t="inlineStr">
        <is>
          <t>css.loan.prvt</t>
        </is>
      </c>
      <c r="J418" t="inlineStr">
        <is>
          <t>Commercial</t>
        </is>
      </c>
    </row>
    <row r="419">
      <c r="A419" t="inlineStr">
        <is>
          <t>Dominica_2023_May</t>
        </is>
      </c>
      <c r="B419" s="2" t="n"/>
      <c r="C419" s="3" t="inlineStr">
        <is>
          <t>SM.23.127, Sup. 1</t>
        </is>
      </c>
      <c r="D419" s="4" t="inlineStr">
        <is>
          <t>Dominica</t>
        </is>
      </c>
      <c r="E419" s="4" t="inlineStr">
        <is>
          <t>DMA</t>
        </is>
      </c>
      <c r="F419" s="10" t="n">
        <v>45047</v>
      </c>
      <c r="G419" s="4" t="inlineStr">
        <is>
          <t>2018gn</t>
        </is>
      </c>
      <c r="H419" s="4" t="n">
        <v>2022</v>
      </c>
      <c r="I419" s="4" t="inlineStr">
        <is>
          <t>css.loan.prvt.bnd</t>
        </is>
      </c>
      <c r="J419" t="inlineStr">
        <is>
          <t>Eurobond</t>
        </is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</row>
    <row r="420">
      <c r="A420" t="inlineStr">
        <is>
          <t>Dominica_2023_May</t>
        </is>
      </c>
      <c r="B420" s="2" t="n"/>
      <c r="C420" s="3" t="inlineStr">
        <is>
          <t>SM.23.127, Sup. 1</t>
        </is>
      </c>
      <c r="D420" s="4" t="inlineStr">
        <is>
          <t>Dominica</t>
        </is>
      </c>
      <c r="E420" s="4" t="inlineStr">
        <is>
          <t>DMA</t>
        </is>
      </c>
      <c r="F420" s="10" t="n">
        <v>45047</v>
      </c>
      <c r="G420" s="4" t="inlineStr">
        <is>
          <t>2018gn</t>
        </is>
      </c>
      <c r="H420" s="4" t="n">
        <v>2022</v>
      </c>
      <c r="I420" s="4" t="inlineStr">
        <is>
          <t>css.loan.prvt.cmbk</t>
        </is>
      </c>
      <c r="J420" t="inlineStr">
        <is>
          <t>Commecial Bank</t>
        </is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</row>
    <row r="421">
      <c r="A421" t="inlineStr">
        <is>
          <t>Dominica_2023_May</t>
        </is>
      </c>
      <c r="B421" s="2" t="n"/>
      <c r="C421" s="3" t="inlineStr">
        <is>
          <t>SM.23.127, Sup. 1</t>
        </is>
      </c>
      <c r="D421" s="4" t="inlineStr">
        <is>
          <t>Dominica</t>
        </is>
      </c>
      <c r="E421" s="4" t="inlineStr">
        <is>
          <t>DMA</t>
        </is>
      </c>
      <c r="F421" s="10" t="n">
        <v>45047</v>
      </c>
      <c r="G421" s="4" t="inlineStr">
        <is>
          <t>2018gn</t>
        </is>
      </c>
      <c r="H421" s="4" t="n">
        <v>2022</v>
      </c>
      <c r="I421" s="4" t="inlineStr">
        <is>
          <t>css.loan.prvt.com3</t>
        </is>
      </c>
      <c r="J421" t="inlineStr">
        <is>
          <t>COM3</t>
        </is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</row>
    <row r="422">
      <c r="A422" t="inlineStr">
        <is>
          <t>Dominica_2023_May</t>
        </is>
      </c>
      <c r="B422" s="2" t="n"/>
      <c r="C422" s="3" t="inlineStr">
        <is>
          <t>SM.23.127, Sup. 1</t>
        </is>
      </c>
      <c r="D422" s="4" t="inlineStr">
        <is>
          <t>Dominica</t>
        </is>
      </c>
      <c r="E422" s="4" t="inlineStr">
        <is>
          <t>DMA</t>
        </is>
      </c>
      <c r="F422" s="10" t="n">
        <v>45047</v>
      </c>
      <c r="G422" s="4" t="inlineStr">
        <is>
          <t>2018gn</t>
        </is>
      </c>
      <c r="H422" s="4" t="n">
        <v>2022</v>
      </c>
      <c r="I422" s="4" t="inlineStr">
        <is>
          <t>css.loan.prvt.com4</t>
        </is>
      </c>
      <c r="J422" t="inlineStr">
        <is>
          <t>COM4</t>
        </is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</row>
    <row r="423">
      <c r="A423" t="inlineStr">
        <is>
          <t>Dominica_2023_May</t>
        </is>
      </c>
      <c r="B423" s="2" t="n"/>
      <c r="C423" s="3" t="inlineStr">
        <is>
          <t>SM.23.127, Sup. 1</t>
        </is>
      </c>
      <c r="D423" s="4" t="inlineStr">
        <is>
          <t>Dominica</t>
        </is>
      </c>
      <c r="E423" s="4" t="inlineStr">
        <is>
          <t>DMA</t>
        </is>
      </c>
      <c r="F423" s="10" t="n">
        <v>45047</v>
      </c>
      <c r="G423" s="4" t="inlineStr">
        <is>
          <t>2018gn</t>
        </is>
      </c>
      <c r="H423" s="4" t="n">
        <v>2022</v>
      </c>
      <c r="I423" s="4" t="inlineStr">
        <is>
          <t>css.loan.prvt.com5</t>
        </is>
      </c>
      <c r="J423" t="inlineStr">
        <is>
          <t>COM5</t>
        </is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</row>
    <row r="424">
      <c r="A424" t="inlineStr">
        <is>
          <t>Dominica_2023_May</t>
        </is>
      </c>
      <c r="C424" t="inlineStr">
        <is>
          <t>SM.23.127, Sup. 1</t>
        </is>
      </c>
      <c r="D424" t="inlineStr">
        <is>
          <t>Dominica</t>
        </is>
      </c>
      <c r="E424" t="inlineStr">
        <is>
          <t>DMA</t>
        </is>
      </c>
      <c r="F424" s="11" t="n">
        <v>45047</v>
      </c>
      <c r="G424" t="inlineStr">
        <is>
          <t>2018gn</t>
        </is>
      </c>
      <c r="H424" t="n">
        <v>2022</v>
      </c>
      <c r="I424" s="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W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dsa.pdf</t>
        </is>
      </c>
      <c r="B1" t="inlineStr">
        <is>
          <t>link.staff.report</t>
        </is>
      </c>
      <c r="C1" t="inlineStr">
        <is>
          <t>dsa.vintage</t>
        </is>
      </c>
      <c r="D1" t="inlineStr">
        <is>
          <t>country.name</t>
        </is>
      </c>
      <c r="E1" t="inlineStr">
        <is>
          <t>country.code</t>
        </is>
      </c>
      <c r="F1" t="inlineStr">
        <is>
          <t>issue.date</t>
        </is>
      </c>
      <c r="G1" t="inlineStr">
        <is>
          <t>methodo.gn</t>
        </is>
      </c>
      <c r="H1" t="inlineStr">
        <is>
          <t>first.year.proj</t>
        </is>
      </c>
      <c r="I1" t="inlineStr">
        <is>
          <t>indicator</t>
        </is>
      </c>
      <c r="K1" t="inlineStr">
        <is>
          <t>Units</t>
        </is>
      </c>
      <c r="L1" t="inlineStr">
        <is>
          <t>Scale</t>
        </is>
      </c>
      <c r="M1" t="inlineStr">
        <is>
          <t>Descriptor</t>
        </is>
      </c>
      <c r="P1" t="n">
        <v>2009</v>
      </c>
      <c r="Q1" t="n">
        <v>2010</v>
      </c>
      <c r="R1" t="n">
        <v>2011</v>
      </c>
      <c r="S1" t="n">
        <v>2012</v>
      </c>
      <c r="T1" t="n">
        <v>2013</v>
      </c>
      <c r="U1" t="n">
        <v>2014</v>
      </c>
      <c r="V1" t="n">
        <v>2015</v>
      </c>
      <c r="W1" t="n">
        <v>2016</v>
      </c>
      <c r="X1" t="n">
        <v>2017</v>
      </c>
      <c r="Y1" t="n">
        <v>2018</v>
      </c>
      <c r="Z1" t="n">
        <v>2019</v>
      </c>
      <c r="AA1" t="n">
        <v>2020</v>
      </c>
      <c r="AB1" t="n">
        <v>2021</v>
      </c>
      <c r="AC1" t="n">
        <v>2022</v>
      </c>
      <c r="AD1" t="n">
        <v>2023</v>
      </c>
      <c r="AE1" t="n">
        <v>2024</v>
      </c>
      <c r="AF1" t="n">
        <v>2025</v>
      </c>
      <c r="AG1" t="n">
        <v>2026</v>
      </c>
      <c r="AH1" t="n">
        <v>2027</v>
      </c>
      <c r="AI1" t="n">
        <v>2028</v>
      </c>
      <c r="AJ1" t="n">
        <v>2029</v>
      </c>
      <c r="AK1" t="n">
        <v>2030</v>
      </c>
      <c r="AL1" t="n">
        <v>2031</v>
      </c>
      <c r="AM1" t="n">
        <v>2032</v>
      </c>
      <c r="AN1" t="n">
        <v>2033</v>
      </c>
      <c r="AO1" t="n">
        <v>2034</v>
      </c>
      <c r="AP1" t="n">
        <v>2035</v>
      </c>
      <c r="AQ1" t="n">
        <v>2036</v>
      </c>
      <c r="AR1" t="n">
        <v>2037</v>
      </c>
      <c r="AS1" t="n">
        <v>2038</v>
      </c>
      <c r="AT1" t="n">
        <v>2039</v>
      </c>
      <c r="AU1" t="n">
        <v>2040</v>
      </c>
      <c r="AV1" t="n">
        <v>2041</v>
      </c>
      <c r="AW1" t="n">
        <v>2042</v>
      </c>
    </row>
    <row r="2">
      <c r="A2" t="inlineStr">
        <is>
          <t>Dominica_2023_May</t>
        </is>
      </c>
      <c r="C2" t="inlineStr">
        <is>
          <t>SM.23.127, Sup. 1</t>
        </is>
      </c>
      <c r="D2" t="inlineStr">
        <is>
          <t>Dominica</t>
        </is>
      </c>
      <c r="E2" t="inlineStr">
        <is>
          <t>DMA</t>
        </is>
      </c>
      <c r="F2" s="11" t="n">
        <v>45047</v>
      </c>
      <c r="G2" t="inlineStr">
        <is>
          <t>2018gn</t>
        </is>
      </c>
      <c r="H2" t="n">
        <v>2022</v>
      </c>
      <c r="I2" t="inlineStr">
        <is>
          <t>dod.ext.dbt.all</t>
        </is>
      </c>
      <c r="K2" t="inlineStr">
        <is>
          <t>US Dollars</t>
        </is>
      </c>
      <c r="L2" t="inlineStr">
        <is>
          <t>Million</t>
        </is>
      </c>
      <c r="M2" t="inlineStr">
        <is>
          <t>Total External Debt (public external + private external)</t>
        </is>
      </c>
      <c r="P2" t="n">
        <v>317.401</v>
      </c>
      <c r="Q2" t="n">
        <v>338.8516986185189</v>
      </c>
      <c r="R2" t="n">
        <v>364.870335018519</v>
      </c>
      <c r="S2" t="n">
        <v>375.280216407407</v>
      </c>
      <c r="T2" t="n">
        <v>427.856430676957</v>
      </c>
      <c r="U2" t="n">
        <v>445.032379991724</v>
      </c>
      <c r="V2" t="n">
        <v>475.933652414373</v>
      </c>
      <c r="W2" t="n">
        <v>489.303994470654</v>
      </c>
      <c r="X2" t="n">
        <v>480.180656936902</v>
      </c>
      <c r="Y2" t="n">
        <v>581.353339292993</v>
      </c>
      <c r="Z2" t="n">
        <v>488.75185907898</v>
      </c>
      <c r="AA2" t="n">
        <v>535.516483245733</v>
      </c>
      <c r="AB2" t="n">
        <v>486.3840250094468</v>
      </c>
      <c r="AC2" t="n">
        <v>509.8923262446095</v>
      </c>
      <c r="AD2" t="n">
        <v>529.7264850788814</v>
      </c>
      <c r="AE2" t="n">
        <v>550.9994463221274</v>
      </c>
      <c r="AF2" t="n">
        <v>581.1730251634674</v>
      </c>
      <c r="AG2" t="n">
        <v>615.6424683163576</v>
      </c>
      <c r="AH2" t="n">
        <v>655.8760259067817</v>
      </c>
      <c r="AI2" t="n">
        <v>698.7922682705598</v>
      </c>
      <c r="AJ2" t="n">
        <v>745.6420471661788</v>
      </c>
      <c r="AK2" t="n">
        <v>777.4191340431936</v>
      </c>
      <c r="AL2" t="n">
        <v>884.5700612910406</v>
      </c>
      <c r="AM2" t="n">
        <v>901.7658627326956</v>
      </c>
      <c r="AN2" t="n">
        <v>904.28072833396</v>
      </c>
      <c r="AO2" t="n">
        <v>908.0720164790397</v>
      </c>
      <c r="AP2" t="n">
        <v>910.9387682980403</v>
      </c>
      <c r="AQ2" t="n">
        <v>911.5464009139711</v>
      </c>
      <c r="AR2" t="n">
        <v>893.7048931511733</v>
      </c>
      <c r="AS2" t="n">
        <v>875.0481918505167</v>
      </c>
      <c r="AT2" t="n">
        <v>845.0053572420923</v>
      </c>
      <c r="AU2" t="n">
        <v>811.0458397985276</v>
      </c>
      <c r="AV2" t="n">
        <v>776.4982924741922</v>
      </c>
      <c r="AW2" t="n">
        <v>757.7807057089082</v>
      </c>
    </row>
    <row r="3">
      <c r="A3" t="inlineStr">
        <is>
          <t>Dominica_2023_May</t>
        </is>
      </c>
      <c r="C3" t="inlineStr">
        <is>
          <t>SM.23.127, Sup. 1</t>
        </is>
      </c>
      <c r="D3" t="inlineStr">
        <is>
          <t>Dominica</t>
        </is>
      </c>
      <c r="E3" t="inlineStr">
        <is>
          <t>DMA</t>
        </is>
      </c>
      <c r="F3" s="11" t="n">
        <v>45047</v>
      </c>
      <c r="G3" t="inlineStr">
        <is>
          <t>2018gn</t>
        </is>
      </c>
      <c r="H3" t="n">
        <v>2022</v>
      </c>
      <c r="I3" t="inlineStr">
        <is>
          <t>dod.ext.mlt</t>
        </is>
      </c>
      <c r="K3" t="inlineStr">
        <is>
          <t>US Dollars</t>
        </is>
      </c>
      <c r="L3" t="inlineStr">
        <is>
          <t>Million</t>
        </is>
      </c>
      <c r="M3" t="inlineStr">
        <is>
          <t>Total MLT debt outstanding at year-end 1/</t>
        </is>
      </c>
      <c r="P3" t="n">
        <v>317.401</v>
      </c>
      <c r="Q3" t="n">
        <v>338.8516986185189</v>
      </c>
      <c r="R3" t="n">
        <v>364.870335018519</v>
      </c>
      <c r="S3" t="n">
        <v>375.280216407407</v>
      </c>
      <c r="T3" t="n">
        <v>427.856430676957</v>
      </c>
      <c r="U3" t="n">
        <v>445.032379991724</v>
      </c>
      <c r="V3" t="n">
        <v>475.933652414373</v>
      </c>
      <c r="W3" t="n">
        <v>489.303994470654</v>
      </c>
      <c r="X3" t="n">
        <v>480.180656936902</v>
      </c>
      <c r="Y3" t="n">
        <v>581.353339292993</v>
      </c>
      <c r="Z3" t="n">
        <v>488.75185907898</v>
      </c>
      <c r="AA3" t="n">
        <v>535.516483245733</v>
      </c>
      <c r="AB3" t="n">
        <v>486.3840250094468</v>
      </c>
      <c r="AC3" t="n">
        <v>509.8923262446095</v>
      </c>
      <c r="AD3" t="n">
        <v>529.7264850788814</v>
      </c>
      <c r="AE3" t="n">
        <v>550.9994463221274</v>
      </c>
      <c r="AF3" t="n">
        <v>581.1730251634674</v>
      </c>
      <c r="AG3" t="n">
        <v>615.6424683163576</v>
      </c>
      <c r="AH3" t="n">
        <v>655.8760259067817</v>
      </c>
      <c r="AI3" t="n">
        <v>698.7922682705598</v>
      </c>
      <c r="AJ3" t="n">
        <v>745.6420471661788</v>
      </c>
      <c r="AK3" t="n">
        <v>777.4191340431936</v>
      </c>
      <c r="AL3" t="n">
        <v>884.5700612910406</v>
      </c>
      <c r="AM3" t="n">
        <v>901.7658627326956</v>
      </c>
      <c r="AN3" t="n">
        <v>904.28072833396</v>
      </c>
      <c r="AO3" t="n">
        <v>908.0720164790397</v>
      </c>
      <c r="AP3" t="n">
        <v>910.9387682980403</v>
      </c>
      <c r="AQ3" t="n">
        <v>911.5464009139711</v>
      </c>
      <c r="AR3" t="n">
        <v>893.7048931511733</v>
      </c>
      <c r="AS3" t="n">
        <v>875.0481918505167</v>
      </c>
      <c r="AT3" t="n">
        <v>845.0053572420923</v>
      </c>
      <c r="AU3" t="n">
        <v>811.0458397985276</v>
      </c>
      <c r="AV3" t="n">
        <v>776.4982924741922</v>
      </c>
      <c r="AW3" t="n">
        <v>757.7807057089082</v>
      </c>
    </row>
    <row r="4">
      <c r="A4" t="inlineStr">
        <is>
          <t>Dominica_2023_May</t>
        </is>
      </c>
      <c r="C4" t="inlineStr">
        <is>
          <t>SM.23.127, Sup. 1</t>
        </is>
      </c>
      <c r="D4" t="inlineStr">
        <is>
          <t>Dominica</t>
        </is>
      </c>
      <c r="E4" t="inlineStr">
        <is>
          <t>DMA</t>
        </is>
      </c>
      <c r="F4" s="11" t="n">
        <v>45047</v>
      </c>
      <c r="G4" t="inlineStr">
        <is>
          <t>2018gn</t>
        </is>
      </c>
      <c r="H4" t="n">
        <v>2022</v>
      </c>
      <c r="I4" t="inlineStr">
        <is>
          <t>dod.ext.ppg</t>
        </is>
      </c>
      <c r="K4" t="inlineStr">
        <is>
          <t>US Dollars</t>
        </is>
      </c>
      <c r="L4" t="inlineStr">
        <is>
          <t>Million</t>
        </is>
      </c>
      <c r="M4" t="inlineStr">
        <is>
          <t>Public and publicly guaranteed external debt</t>
        </is>
      </c>
      <c r="P4" t="n">
        <v>215.132851851852</v>
      </c>
      <c r="Q4" t="n">
        <v>243.755772692593</v>
      </c>
      <c r="R4" t="n">
        <v>244.621129092593</v>
      </c>
      <c r="S4" t="n">
        <v>262.513586037037</v>
      </c>
      <c r="T4" t="n">
        <v>320.77976401029</v>
      </c>
      <c r="U4" t="n">
        <v>325.252379991724</v>
      </c>
      <c r="V4" t="n">
        <v>325.219948710669</v>
      </c>
      <c r="W4" t="n">
        <v>315.607327803987</v>
      </c>
      <c r="X4" t="n">
        <v>306.470286566532</v>
      </c>
      <c r="Y4" t="n">
        <v>309.423455719743</v>
      </c>
      <c r="Z4" t="n">
        <v>315.911365032905</v>
      </c>
      <c r="AA4" t="n">
        <v>375.373170682057</v>
      </c>
      <c r="AB4" t="n">
        <v>407.075642519048</v>
      </c>
      <c r="AC4" t="n">
        <v>420.0966642661025</v>
      </c>
      <c r="AD4" t="n">
        <v>430.5503031861826</v>
      </c>
      <c r="AE4" t="n">
        <v>453.3768579350963</v>
      </c>
      <c r="AF4" t="n">
        <v>481.5979850086955</v>
      </c>
      <c r="AG4" t="n">
        <v>514.0759273584906</v>
      </c>
      <c r="AH4" t="n">
        <v>552.2781541297577</v>
      </c>
      <c r="AI4" t="n">
        <v>593.1224390579948</v>
      </c>
      <c r="AJ4" t="n">
        <v>637.8588213693628</v>
      </c>
      <c r="AK4" t="n">
        <v>667.4802437304406</v>
      </c>
      <c r="AL4" t="n">
        <v>772.2838262510196</v>
      </c>
      <c r="AM4" t="n">
        <v>787.2339029918746</v>
      </c>
      <c r="AN4" t="n">
        <v>787.4581293983221</v>
      </c>
      <c r="AO4" t="n">
        <v>788.9129655646886</v>
      </c>
      <c r="AP4" t="n">
        <v>789.3965363654022</v>
      </c>
      <c r="AQ4" t="n">
        <v>787.5733243426811</v>
      </c>
      <c r="AR4" t="n">
        <v>767.2523550484574</v>
      </c>
      <c r="AS4" t="n">
        <v>746.0666029857457</v>
      </c>
      <c r="AT4" t="n">
        <v>713.4441366000262</v>
      </c>
      <c r="AU4" t="n">
        <v>679.4846191564616</v>
      </c>
      <c r="AV4" t="n">
        <v>644.9370718321262</v>
      </c>
      <c r="AW4" t="n">
        <v>626.2194850668421</v>
      </c>
    </row>
    <row r="5">
      <c r="A5" t="inlineStr">
        <is>
          <t>Dominica_2023_May</t>
        </is>
      </c>
      <c r="C5" t="inlineStr">
        <is>
          <t>SM.23.127, Sup. 1</t>
        </is>
      </c>
      <c r="D5" t="inlineStr">
        <is>
          <t>Dominica</t>
        </is>
      </c>
      <c r="E5" t="inlineStr">
        <is>
          <t>DMA</t>
        </is>
      </c>
      <c r="F5" s="11" t="n">
        <v>45047</v>
      </c>
      <c r="G5" t="inlineStr">
        <is>
          <t>2018gn</t>
        </is>
      </c>
      <c r="H5" t="n">
        <v>2022</v>
      </c>
      <c r="I5" t="inlineStr">
        <is>
          <t>dod.ext.ppg,mlg.trm</t>
        </is>
      </c>
      <c r="K5" t="inlineStr">
        <is>
          <t>US Dollars</t>
        </is>
      </c>
      <c r="L5" t="inlineStr">
        <is>
          <t>Million</t>
        </is>
      </c>
      <c r="M5" t="inlineStr">
        <is>
          <t>Medium and Long Term (MLT) external</t>
        </is>
      </c>
      <c r="P5" t="n">
        <v>215.132851851852</v>
      </c>
      <c r="Q5" t="n">
        <v>243.755772692593</v>
      </c>
      <c r="R5" t="n">
        <v>244.621129092593</v>
      </c>
      <c r="S5" t="n">
        <v>262.513586037037</v>
      </c>
      <c r="T5" t="n">
        <v>320.77976401029</v>
      </c>
      <c r="U5" t="n">
        <v>325.252379991724</v>
      </c>
      <c r="V5" t="n">
        <v>325.219948710669</v>
      </c>
      <c r="W5" t="n">
        <v>315.607327803987</v>
      </c>
      <c r="X5" t="n">
        <v>306.470286566532</v>
      </c>
      <c r="Y5" t="n">
        <v>309.423455719743</v>
      </c>
      <c r="Z5" t="n">
        <v>315.911365032905</v>
      </c>
      <c r="AA5" t="n">
        <v>375.373170682057</v>
      </c>
      <c r="AB5" t="n">
        <v>407.075642519048</v>
      </c>
      <c r="AC5" t="n">
        <v>420.0966642661025</v>
      </c>
      <c r="AD5" t="n">
        <v>430.5503031861826</v>
      </c>
      <c r="AE5" t="n">
        <v>453.3768579350963</v>
      </c>
      <c r="AF5" t="n">
        <v>481.5979850086955</v>
      </c>
      <c r="AG5" t="n">
        <v>514.0759273584906</v>
      </c>
      <c r="AH5" t="n">
        <v>552.2781541297577</v>
      </c>
      <c r="AI5" t="n">
        <v>593.1224390579948</v>
      </c>
      <c r="AJ5" t="n">
        <v>637.8588213693628</v>
      </c>
      <c r="AK5" t="n">
        <v>667.4802437304406</v>
      </c>
      <c r="AL5" t="n">
        <v>772.2838262510196</v>
      </c>
      <c r="AM5" t="n">
        <v>787.2339029918746</v>
      </c>
      <c r="AN5" t="n">
        <v>787.4581293983221</v>
      </c>
      <c r="AO5" t="n">
        <v>788.9129655646886</v>
      </c>
      <c r="AP5" t="n">
        <v>789.3965363654022</v>
      </c>
      <c r="AQ5" t="n">
        <v>787.5733243426811</v>
      </c>
      <c r="AR5" t="n">
        <v>767.2523550484574</v>
      </c>
      <c r="AS5" t="n">
        <v>746.0666029857457</v>
      </c>
      <c r="AT5" t="n">
        <v>713.4441366000262</v>
      </c>
      <c r="AU5" t="n">
        <v>679.4846191564616</v>
      </c>
      <c r="AV5" t="n">
        <v>644.9370718321262</v>
      </c>
      <c r="AW5" t="n">
        <v>626.2194850668421</v>
      </c>
    </row>
    <row r="6">
      <c r="A6" t="inlineStr">
        <is>
          <t>Dominica_2023_May</t>
        </is>
      </c>
      <c r="C6" t="inlineStr">
        <is>
          <t>SM.23.127, Sup. 1</t>
        </is>
      </c>
      <c r="D6" t="inlineStr">
        <is>
          <t>Dominica</t>
        </is>
      </c>
      <c r="E6" t="inlineStr">
        <is>
          <t>DMA</t>
        </is>
      </c>
      <c r="F6" s="11" t="n">
        <v>45047</v>
      </c>
      <c r="G6" t="inlineStr">
        <is>
          <t>2018gn</t>
        </is>
      </c>
      <c r="H6" t="n">
        <v>2022</v>
      </c>
      <c r="I6" t="inlineStr">
        <is>
          <t>dod.ext.ppg,sht.trm</t>
        </is>
      </c>
      <c r="K6" t="inlineStr">
        <is>
          <t>US Dollars</t>
        </is>
      </c>
      <c r="L6" t="inlineStr">
        <is>
          <t>Million</t>
        </is>
      </c>
      <c r="M6" t="inlineStr">
        <is>
          <t>Short Term</t>
        </is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</row>
    <row r="7">
      <c r="A7" t="inlineStr">
        <is>
          <t>Dominica_2023_May</t>
        </is>
      </c>
      <c r="C7" t="inlineStr">
        <is>
          <t>SM.23.127, Sup. 1</t>
        </is>
      </c>
      <c r="D7" t="inlineStr">
        <is>
          <t>Dominica</t>
        </is>
      </c>
      <c r="E7" t="inlineStr">
        <is>
          <t>DMA</t>
        </is>
      </c>
      <c r="F7" s="11" t="n">
        <v>45047</v>
      </c>
      <c r="G7" t="inlineStr">
        <is>
          <t>2018gn</t>
        </is>
      </c>
      <c r="H7" t="n">
        <v>2022</v>
      </c>
      <c r="I7" t="inlineStr">
        <is>
          <t>dod.ext.png</t>
        </is>
      </c>
      <c r="K7" t="inlineStr">
        <is>
          <t>US Dollars</t>
        </is>
      </c>
      <c r="L7" t="inlineStr">
        <is>
          <t>Million</t>
        </is>
      </c>
      <c r="M7" t="inlineStr">
        <is>
          <t>Private sector external debt</t>
        </is>
      </c>
      <c r="P7" t="n">
        <v>102.268148148148</v>
      </c>
      <c r="Q7" t="n">
        <v>95.0959259259259</v>
      </c>
      <c r="R7" t="n">
        <v>120.249205925926</v>
      </c>
      <c r="S7" t="n">
        <v>112.76663037037</v>
      </c>
      <c r="T7" t="n">
        <v>107.076666666667</v>
      </c>
      <c r="U7" t="n">
        <v>119.78</v>
      </c>
      <c r="V7" t="n">
        <v>150.713703703704</v>
      </c>
      <c r="W7" t="n">
        <v>173.696666666667</v>
      </c>
      <c r="X7" t="n">
        <v>173.71037037037</v>
      </c>
      <c r="Y7" t="n">
        <v>271.92988357325</v>
      </c>
      <c r="Z7" t="n">
        <v>172.840494046075</v>
      </c>
      <c r="AA7" t="n">
        <v>160.143312563676</v>
      </c>
      <c r="AB7" t="n">
        <v>79.3083824903988</v>
      </c>
      <c r="AC7" t="n">
        <v>89.795661978507</v>
      </c>
      <c r="AD7" t="n">
        <v>99.17618189269881</v>
      </c>
      <c r="AE7" t="n">
        <v>97.6225883870311</v>
      </c>
      <c r="AF7" t="n">
        <v>99.5750401547719</v>
      </c>
      <c r="AG7" t="n">
        <v>101.566540957867</v>
      </c>
      <c r="AH7" t="n">
        <v>103.597871777024</v>
      </c>
      <c r="AI7" t="n">
        <v>105.669829212565</v>
      </c>
      <c r="AJ7" t="n">
        <v>107.783225796816</v>
      </c>
      <c r="AK7" t="n">
        <v>109.938890312753</v>
      </c>
      <c r="AL7" t="n">
        <v>112.286235040021</v>
      </c>
      <c r="AM7" t="n">
        <v>114.531959740821</v>
      </c>
      <c r="AN7" t="n">
        <v>116.822598935638</v>
      </c>
      <c r="AO7" t="n">
        <v>119.159050914351</v>
      </c>
      <c r="AP7" t="n">
        <v>121.542231932638</v>
      </c>
      <c r="AQ7" t="n">
        <v>123.97307657129</v>
      </c>
      <c r="AR7" t="n">
        <v>126.452538102716</v>
      </c>
      <c r="AS7" t="n">
        <v>128.981588864771</v>
      </c>
      <c r="AT7" t="n">
        <v>131.561220642066</v>
      </c>
      <c r="AU7" t="n">
        <v>131.561220642066</v>
      </c>
      <c r="AV7" t="n">
        <v>131.561220642066</v>
      </c>
      <c r="AW7" t="n">
        <v>131.561220642066</v>
      </c>
    </row>
    <row r="8">
      <c r="A8" t="inlineStr">
        <is>
          <t>Dominica_2023_May</t>
        </is>
      </c>
      <c r="C8" t="inlineStr">
        <is>
          <t>SM.23.127, Sup. 1</t>
        </is>
      </c>
      <c r="D8" t="inlineStr">
        <is>
          <t>Dominica</t>
        </is>
      </c>
      <c r="E8" t="inlineStr">
        <is>
          <t>DMA</t>
        </is>
      </c>
      <c r="F8" s="11" t="n">
        <v>45047</v>
      </c>
      <c r="G8" t="inlineStr">
        <is>
          <t>2018gn</t>
        </is>
      </c>
      <c r="H8" t="n">
        <v>2022</v>
      </c>
      <c r="I8" t="inlineStr">
        <is>
          <t>dod.ext.png.mlg.trm</t>
        </is>
      </c>
      <c r="K8" t="inlineStr">
        <is>
          <t>US Dollars</t>
        </is>
      </c>
      <c r="L8" t="inlineStr">
        <is>
          <t>Million</t>
        </is>
      </c>
      <c r="M8" t="inlineStr">
        <is>
          <t>Medium and Long Term (MLT) external</t>
        </is>
      </c>
      <c r="P8" t="n">
        <v>102.268148148148</v>
      </c>
      <c r="Q8" t="n">
        <v>95.0959259259259</v>
      </c>
      <c r="R8" t="n">
        <v>120.249205925926</v>
      </c>
      <c r="S8" t="n">
        <v>112.76663037037</v>
      </c>
      <c r="T8" t="n">
        <v>107.076666666667</v>
      </c>
      <c r="U8" t="n">
        <v>119.78</v>
      </c>
      <c r="V8" t="n">
        <v>150.713703703704</v>
      </c>
      <c r="W8" t="n">
        <v>173.696666666667</v>
      </c>
      <c r="X8" t="n">
        <v>173.71037037037</v>
      </c>
      <c r="Y8" t="n">
        <v>271.92988357325</v>
      </c>
      <c r="Z8" t="n">
        <v>172.840494046075</v>
      </c>
      <c r="AA8" t="n">
        <v>160.143312563676</v>
      </c>
      <c r="AB8" t="n">
        <v>79.3083824903988</v>
      </c>
      <c r="AC8" t="n">
        <v>89.795661978507</v>
      </c>
      <c r="AD8" t="n">
        <v>99.17618189269881</v>
      </c>
      <c r="AE8" t="n">
        <v>97.6225883870311</v>
      </c>
      <c r="AF8" t="n">
        <v>99.5750401547719</v>
      </c>
      <c r="AG8" t="n">
        <v>101.566540957867</v>
      </c>
      <c r="AH8" t="n">
        <v>103.597871777024</v>
      </c>
      <c r="AI8" t="n">
        <v>105.669829212565</v>
      </c>
      <c r="AJ8" t="n">
        <v>107.783225796816</v>
      </c>
      <c r="AK8" t="n">
        <v>109.938890312753</v>
      </c>
      <c r="AL8" t="n">
        <v>112.286235040021</v>
      </c>
      <c r="AM8" t="n">
        <v>114.531959740821</v>
      </c>
      <c r="AN8" t="n">
        <v>116.822598935638</v>
      </c>
      <c r="AO8" t="n">
        <v>119.159050914351</v>
      </c>
      <c r="AP8" t="n">
        <v>121.542231932638</v>
      </c>
      <c r="AQ8" t="n">
        <v>123.97307657129</v>
      </c>
      <c r="AR8" t="n">
        <v>126.452538102716</v>
      </c>
      <c r="AS8" t="n">
        <v>128.981588864771</v>
      </c>
      <c r="AT8" t="n">
        <v>131.561220642066</v>
      </c>
      <c r="AU8" t="n">
        <v>131.561220642066</v>
      </c>
      <c r="AV8" t="n">
        <v>131.561220642066</v>
      </c>
      <c r="AW8" t="n">
        <v>131.561220642066</v>
      </c>
    </row>
    <row r="9">
      <c r="A9" t="inlineStr">
        <is>
          <t>Dominica_2023_May</t>
        </is>
      </c>
      <c r="C9" t="inlineStr">
        <is>
          <t>SM.23.127, Sup. 1</t>
        </is>
      </c>
      <c r="D9" t="inlineStr">
        <is>
          <t>Dominica</t>
        </is>
      </c>
      <c r="E9" t="inlineStr">
        <is>
          <t>DMA</t>
        </is>
      </c>
      <c r="F9" s="11" t="n">
        <v>45047</v>
      </c>
      <c r="G9" t="inlineStr">
        <is>
          <t>2018gn</t>
        </is>
      </c>
      <c r="H9" t="n">
        <v>2022</v>
      </c>
      <c r="I9" t="inlineStr">
        <is>
          <t>dod.ext.png.sht.trm</t>
        </is>
      </c>
      <c r="K9" t="inlineStr">
        <is>
          <t>US Dollars</t>
        </is>
      </c>
      <c r="L9" t="inlineStr">
        <is>
          <t>Million</t>
        </is>
      </c>
      <c r="M9" t="inlineStr">
        <is>
          <t>Short Term</t>
        </is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</row>
    <row r="10">
      <c r="A10" t="inlineStr">
        <is>
          <t>Dominica_2023_May</t>
        </is>
      </c>
      <c r="C10" t="inlineStr">
        <is>
          <t>SM.23.127, Sup. 1</t>
        </is>
      </c>
      <c r="D10" t="inlineStr">
        <is>
          <t>Dominica</t>
        </is>
      </c>
      <c r="E10" t="inlineStr">
        <is>
          <t>DMA</t>
        </is>
      </c>
      <c r="F10" s="11" t="n">
        <v>45047</v>
      </c>
      <c r="G10" t="inlineStr">
        <is>
          <t>2018gn</t>
        </is>
      </c>
      <c r="H10" t="n">
        <v>2022</v>
      </c>
      <c r="I10" t="inlineStr">
        <is>
          <t>dod.pub.dbt.all</t>
        </is>
      </c>
      <c r="K10" t="inlineStr">
        <is>
          <t>National Currency</t>
        </is>
      </c>
      <c r="L10" t="inlineStr">
        <is>
          <t>Million</t>
        </is>
      </c>
      <c r="M10" t="inlineStr">
        <is>
          <t>Total public domestic debt</t>
        </is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155.088757622346</v>
      </c>
      <c r="V10" t="n">
        <v>160.44320025765</v>
      </c>
      <c r="W10" t="n">
        <v>282.159855496432</v>
      </c>
      <c r="X10" t="n">
        <v>393.242159082968</v>
      </c>
      <c r="Y10" t="n">
        <v>512.831681207777</v>
      </c>
      <c r="Z10" t="n">
        <v>618.3269256</v>
      </c>
      <c r="AA10" t="n">
        <v>594.97213416</v>
      </c>
      <c r="AB10" t="n">
        <v>603.337831269999</v>
      </c>
      <c r="AC10" t="n">
        <v>610.2888222638419</v>
      </c>
      <c r="AD10" t="n">
        <v>653.9117097667529</v>
      </c>
      <c r="AE10" t="n">
        <v>673.0324755673707</v>
      </c>
      <c r="AF10" t="n">
        <v>698.7008053849057</v>
      </c>
      <c r="AG10" t="n">
        <v>708.6934804982612</v>
      </c>
      <c r="AH10" t="n">
        <v>697.7932794069679</v>
      </c>
      <c r="AI10" t="n">
        <v>684.9421812298285</v>
      </c>
      <c r="AJ10" t="n">
        <v>658.1013296150566</v>
      </c>
      <c r="AK10" t="n">
        <v>646.9107653917438</v>
      </c>
      <c r="AL10" t="n">
        <v>400.7188550429914</v>
      </c>
      <c r="AM10" t="n">
        <v>366.6617010861653</v>
      </c>
      <c r="AN10" t="n">
        <v>343.4748004329377</v>
      </c>
      <c r="AO10" t="n">
        <v>315.3890889174383</v>
      </c>
      <c r="AP10" t="n">
        <v>285.7385000479233</v>
      </c>
      <c r="AQ10" t="n">
        <v>259.6082666660919</v>
      </c>
      <c r="AR10" t="n">
        <v>277.3823768698338</v>
      </c>
      <c r="AS10" t="n">
        <v>295.7269122018021</v>
      </c>
      <c r="AT10" t="n">
        <v>337.3486712555062</v>
      </c>
      <c r="AU10" t="n">
        <v>391.6264491896543</v>
      </c>
      <c r="AV10" t="n">
        <v>452.4300061843677</v>
      </c>
      <c r="AW10" t="n">
        <v>510.9839008684274</v>
      </c>
    </row>
    <row r="11">
      <c r="A11" t="inlineStr">
        <is>
          <t>Dominica_2023_May</t>
        </is>
      </c>
      <c r="C11" t="inlineStr">
        <is>
          <t>SM.23.127, Sup. 1</t>
        </is>
      </c>
      <c r="D11" t="inlineStr">
        <is>
          <t>Dominica</t>
        </is>
      </c>
      <c r="E11" t="inlineStr">
        <is>
          <t>DMA</t>
        </is>
      </c>
      <c r="F11" s="11" t="n">
        <v>45047</v>
      </c>
      <c r="G11" t="inlineStr">
        <is>
          <t>2018gn</t>
        </is>
      </c>
      <c r="H11" t="n">
        <v>2022</v>
      </c>
      <c r="I11" t="inlineStr">
        <is>
          <t>dod.pub.dbt.mlg.trm</t>
        </is>
      </c>
      <c r="K11" t="inlineStr">
        <is>
          <t>National Currency</t>
        </is>
      </c>
      <c r="L11" t="inlineStr">
        <is>
          <t>Million</t>
        </is>
      </c>
      <c r="M11" t="inlineStr">
        <is>
          <t xml:space="preserve">Medium and Long Term (MLT) </t>
        </is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155.088757622346</v>
      </c>
      <c r="V11" t="n">
        <v>160.44320025765</v>
      </c>
      <c r="W11" t="n">
        <v>282.159855496432</v>
      </c>
      <c r="X11" t="n">
        <v>393.242159082968</v>
      </c>
      <c r="Y11" t="n">
        <v>512.831681207777</v>
      </c>
      <c r="Z11" t="n">
        <v>618.3269256</v>
      </c>
      <c r="AA11" t="n">
        <v>594.97213416</v>
      </c>
      <c r="AB11" t="n">
        <v>603.337831269999</v>
      </c>
      <c r="AC11" t="n">
        <v>610.2888222638419</v>
      </c>
      <c r="AD11" t="n">
        <v>653.9117097667529</v>
      </c>
      <c r="AE11" t="n">
        <v>673.0324755673707</v>
      </c>
      <c r="AF11" t="n">
        <v>698.7008053849057</v>
      </c>
      <c r="AG11" t="n">
        <v>708.6934804982612</v>
      </c>
      <c r="AH11" t="n">
        <v>697.7932794069679</v>
      </c>
      <c r="AI11" t="n">
        <v>684.9421812298285</v>
      </c>
      <c r="AJ11" t="n">
        <v>658.1013296150566</v>
      </c>
      <c r="AK11" t="n">
        <v>646.9107653917438</v>
      </c>
      <c r="AL11" t="n">
        <v>400.7188550429914</v>
      </c>
      <c r="AM11" t="n">
        <v>366.6617010861653</v>
      </c>
      <c r="AN11" t="n">
        <v>343.4748004329377</v>
      </c>
      <c r="AO11" t="n">
        <v>315.3890889174383</v>
      </c>
      <c r="AP11" t="n">
        <v>285.7385000479233</v>
      </c>
      <c r="AQ11" t="n">
        <v>259.6082666660919</v>
      </c>
      <c r="AR11" t="n">
        <v>277.3823768698338</v>
      </c>
      <c r="AS11" t="n">
        <v>295.7269122018021</v>
      </c>
      <c r="AT11" t="n">
        <v>337.3486712555062</v>
      </c>
      <c r="AU11" t="n">
        <v>391.6264491896543</v>
      </c>
      <c r="AV11" t="n">
        <v>452.4300061843677</v>
      </c>
      <c r="AW11" t="n">
        <v>510.9839008684274</v>
      </c>
    </row>
    <row r="12">
      <c r="A12" t="inlineStr">
        <is>
          <t>Dominica_2023_May</t>
        </is>
      </c>
      <c r="C12" t="inlineStr">
        <is>
          <t>SM.23.127, Sup. 1</t>
        </is>
      </c>
      <c r="D12" t="inlineStr">
        <is>
          <t>Dominica</t>
        </is>
      </c>
      <c r="E12" t="inlineStr">
        <is>
          <t>DMA</t>
        </is>
      </c>
      <c r="F12" s="11" t="n">
        <v>45047</v>
      </c>
      <c r="G12" t="inlineStr">
        <is>
          <t>2018gn</t>
        </is>
      </c>
      <c r="H12" t="n">
        <v>2022</v>
      </c>
      <c r="I12" t="inlineStr">
        <is>
          <t>dod.pub.dbt.sht.trm</t>
        </is>
      </c>
      <c r="K12" t="inlineStr">
        <is>
          <t>National Currency</t>
        </is>
      </c>
      <c r="L12" t="inlineStr">
        <is>
          <t>Million</t>
        </is>
      </c>
      <c r="M12" t="inlineStr">
        <is>
          <t>Short Term</t>
        </is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</row>
    <row r="13">
      <c r="A13" t="inlineStr">
        <is>
          <t>Dominica_2023_May</t>
        </is>
      </c>
      <c r="C13" t="inlineStr">
        <is>
          <t>SM.23.127, Sup. 1</t>
        </is>
      </c>
      <c r="D13" t="inlineStr">
        <is>
          <t>Dominica</t>
        </is>
      </c>
      <c r="E13" t="inlineStr">
        <is>
          <t>DMA</t>
        </is>
      </c>
      <c r="F13" s="11" t="n">
        <v>45047</v>
      </c>
      <c r="G13" t="inlineStr">
        <is>
          <t>2018gn</t>
        </is>
      </c>
      <c r="H13" t="n">
        <v>2022</v>
      </c>
      <c r="I13" t="inlineStr">
        <is>
          <t>int.all</t>
        </is>
      </c>
      <c r="K13" t="inlineStr">
        <is>
          <t>US Dollars</t>
        </is>
      </c>
      <c r="L13" t="inlineStr">
        <is>
          <t>Million</t>
        </is>
      </c>
      <c r="M13" t="inlineStr">
        <is>
          <t>Total debt interest due</t>
        </is>
      </c>
    </row>
    <row r="14">
      <c r="A14" t="inlineStr">
        <is>
          <t>Dominica_2023_May</t>
        </is>
      </c>
      <c r="C14" t="inlineStr">
        <is>
          <t>SM.23.127, Sup. 1</t>
        </is>
      </c>
      <c r="D14" t="inlineStr">
        <is>
          <t>Dominica</t>
        </is>
      </c>
      <c r="E14" t="inlineStr">
        <is>
          <t>DMA</t>
        </is>
      </c>
      <c r="F14" s="11" t="n">
        <v>45047</v>
      </c>
      <c r="G14" t="inlineStr">
        <is>
          <t>2018gn</t>
        </is>
      </c>
      <c r="H14" t="n">
        <v>2022</v>
      </c>
      <c r="I14" t="inlineStr">
        <is>
          <t>int.ext.all</t>
        </is>
      </c>
      <c r="K14" t="inlineStr">
        <is>
          <t>US Dollars</t>
        </is>
      </c>
      <c r="L14" t="inlineStr">
        <is>
          <t>Million</t>
        </is>
      </c>
      <c r="M14" t="inlineStr">
        <is>
          <t>Total external debt interest due (include interest from new debt)</t>
        </is>
      </c>
      <c r="P14" t="n">
        <v>9.08603703703703</v>
      </c>
      <c r="Q14" t="n">
        <v>6.68894603703704</v>
      </c>
      <c r="R14" t="n">
        <v>7.150133703703711</v>
      </c>
      <c r="S14" t="n">
        <v>17.65390188888886</v>
      </c>
      <c r="T14" t="n">
        <v>8.581830592592599</v>
      </c>
      <c r="U14" t="n">
        <v>9.350976888888891</v>
      </c>
      <c r="V14" t="n">
        <v>8.50852170370371</v>
      </c>
      <c r="W14" t="n">
        <v>9.6940032962963</v>
      </c>
      <c r="X14" t="n">
        <v>9.097555229629631</v>
      </c>
      <c r="Y14" t="n">
        <v>8.64596967037037</v>
      </c>
      <c r="Z14" t="n">
        <v>8.534517692592599</v>
      </c>
      <c r="AA14" t="n">
        <v>7.575239888888889</v>
      </c>
      <c r="AB14" t="n">
        <v>8.336713259259261</v>
      </c>
      <c r="AC14" t="n">
        <v>6.428089631493443</v>
      </c>
      <c r="AD14" t="n">
        <v>11.25383863767613</v>
      </c>
      <c r="AE14" t="n">
        <v>12.16848028690069</v>
      </c>
      <c r="AF14" t="n">
        <v>12.36369289460727</v>
      </c>
      <c r="AG14" t="n">
        <v>12.55145318920812</v>
      </c>
      <c r="AH14" t="n">
        <v>12.65432216325786</v>
      </c>
      <c r="AI14" t="n">
        <v>13.61567018890914</v>
      </c>
      <c r="AJ14" t="n">
        <v>15.22134943014568</v>
      </c>
      <c r="AK14" t="n">
        <v>16.66265807809174</v>
      </c>
      <c r="AL14" t="n">
        <v>17.27293727275803</v>
      </c>
      <c r="AM14" t="n">
        <v>19.11805195697042</v>
      </c>
      <c r="AN14" t="n">
        <v>19.36277858872046</v>
      </c>
      <c r="AO14" t="n">
        <v>19.1744700768837</v>
      </c>
      <c r="AP14" t="n">
        <v>18.54799901525347</v>
      </c>
      <c r="AQ14" t="n">
        <v>18.41837500877233</v>
      </c>
      <c r="AR14" t="n">
        <v>16.92110857015651</v>
      </c>
      <c r="AS14" t="n">
        <v>16.68857085534768</v>
      </c>
      <c r="AT14" t="n">
        <v>14.44729830471303</v>
      </c>
      <c r="AU14" t="n">
        <v>13.97001516848387</v>
      </c>
      <c r="AV14" t="n">
        <v>16.43894017686369</v>
      </c>
      <c r="AW14" t="n">
        <v>16.90956605243009</v>
      </c>
    </row>
    <row r="15">
      <c r="A15" t="inlineStr">
        <is>
          <t>Dominica_2023_May</t>
        </is>
      </c>
      <c r="C15" t="inlineStr">
        <is>
          <t>SM.23.127, Sup. 1</t>
        </is>
      </c>
      <c r="D15" t="inlineStr">
        <is>
          <t>Dominica</t>
        </is>
      </c>
      <c r="E15" t="inlineStr">
        <is>
          <t>DMA</t>
        </is>
      </c>
      <c r="F15" s="11" t="n">
        <v>45047</v>
      </c>
      <c r="G15" t="inlineStr">
        <is>
          <t>2018gn</t>
        </is>
      </c>
      <c r="H15" t="n">
        <v>2022</v>
      </c>
      <c r="I15" t="inlineStr">
        <is>
          <t>int.ext.ppg</t>
        </is>
      </c>
      <c r="K15" t="inlineStr">
        <is>
          <t>US Dollars</t>
        </is>
      </c>
      <c r="L15" t="inlineStr">
        <is>
          <t>Million</t>
        </is>
      </c>
      <c r="M15" t="inlineStr">
        <is>
          <t>Public and publicly guaranteed</t>
        </is>
      </c>
      <c r="P15" t="n">
        <v>6.52933333333333</v>
      </c>
      <c r="Q15" t="n">
        <v>4.31154788888889</v>
      </c>
      <c r="R15" t="n">
        <v>4.33757814814815</v>
      </c>
      <c r="S15" t="n">
        <v>14.8413463333333</v>
      </c>
      <c r="T15" t="n">
        <v>5.76927503703704</v>
      </c>
      <c r="U15" t="n">
        <v>6.53842133333333</v>
      </c>
      <c r="V15" t="n">
        <v>5.69596614814815</v>
      </c>
      <c r="W15" t="n">
        <v>6.88144774074074</v>
      </c>
      <c r="X15" t="n">
        <v>6.28499967407407</v>
      </c>
      <c r="Y15" t="n">
        <v>5.83341411481481</v>
      </c>
      <c r="Z15" t="n">
        <v>5.72196213703704</v>
      </c>
      <c r="AA15" t="n">
        <v>4.76268433333333</v>
      </c>
      <c r="AB15" t="n">
        <v>5.5241577037037</v>
      </c>
      <c r="AC15" t="n">
        <v>3.615534075937883</v>
      </c>
      <c r="AD15" t="n">
        <v>8.441283082120568</v>
      </c>
      <c r="AE15" t="n">
        <v>9.355924731345128</v>
      </c>
      <c r="AF15" t="n">
        <v>9.551137339051714</v>
      </c>
      <c r="AG15" t="n">
        <v>9.738897633652563</v>
      </c>
      <c r="AH15" t="n">
        <v>9.841766607702295</v>
      </c>
      <c r="AI15" t="n">
        <v>10.80311463335358</v>
      </c>
      <c r="AJ15" t="n">
        <v>12.40879387459012</v>
      </c>
      <c r="AK15" t="n">
        <v>13.85010252253618</v>
      </c>
      <c r="AL15" t="n">
        <v>14.46038171720247</v>
      </c>
      <c r="AM15" t="n">
        <v>16.30549640141486</v>
      </c>
      <c r="AN15" t="n">
        <v>16.5502230331649</v>
      </c>
      <c r="AO15" t="n">
        <v>16.36191452132814</v>
      </c>
      <c r="AP15" t="n">
        <v>15.73544345969792</v>
      </c>
      <c r="AQ15" t="n">
        <v>15.60581945321677</v>
      </c>
      <c r="AR15" t="n">
        <v>14.10855301460095</v>
      </c>
      <c r="AS15" t="n">
        <v>13.87601529979213</v>
      </c>
      <c r="AT15" t="n">
        <v>11.63474274915747</v>
      </c>
      <c r="AU15" t="n">
        <v>11.15745961292831</v>
      </c>
      <c r="AV15" t="n">
        <v>12.62638462130813</v>
      </c>
      <c r="AW15" t="n">
        <v>12.09701049687452</v>
      </c>
    </row>
    <row r="16">
      <c r="A16" t="inlineStr">
        <is>
          <t>Dominica_2023_May</t>
        </is>
      </c>
      <c r="C16" t="inlineStr">
        <is>
          <t>SM.23.127, Sup. 1</t>
        </is>
      </c>
      <c r="D16" t="inlineStr">
        <is>
          <t>Dominica</t>
        </is>
      </c>
      <c r="E16" t="inlineStr">
        <is>
          <t>DMA</t>
        </is>
      </c>
      <c r="F16" s="11" t="n">
        <v>45047</v>
      </c>
      <c r="G16" t="inlineStr">
        <is>
          <t>2018gn</t>
        </is>
      </c>
      <c r="H16" t="n">
        <v>2022</v>
      </c>
      <c r="I16" t="inlineStr">
        <is>
          <t>int.ext.png</t>
        </is>
      </c>
      <c r="K16" t="inlineStr">
        <is>
          <t>US Dollars</t>
        </is>
      </c>
      <c r="L16" t="inlineStr">
        <is>
          <t>Million</t>
        </is>
      </c>
      <c r="M16" t="inlineStr">
        <is>
          <t xml:space="preserve">Private </t>
        </is>
      </c>
      <c r="P16" t="n">
        <v>2.5567037037037</v>
      </c>
      <c r="Q16" t="n">
        <v>2.37739814814815</v>
      </c>
      <c r="R16" t="n">
        <v>2.81255555555556</v>
      </c>
      <c r="S16" t="n">
        <v>2.81255555555556</v>
      </c>
      <c r="T16" t="n">
        <v>2.81255555555556</v>
      </c>
      <c r="U16" t="n">
        <v>2.81255555555556</v>
      </c>
      <c r="V16" t="n">
        <v>2.81255555555556</v>
      </c>
      <c r="W16" t="n">
        <v>2.81255555555556</v>
      </c>
      <c r="X16" t="n">
        <v>2.81255555555556</v>
      </c>
      <c r="Y16" t="n">
        <v>2.81255555555556</v>
      </c>
      <c r="Z16" t="n">
        <v>2.81255555555556</v>
      </c>
      <c r="AA16" t="n">
        <v>2.81255555555556</v>
      </c>
      <c r="AB16" t="n">
        <v>2.81255555555556</v>
      </c>
      <c r="AC16" t="n">
        <v>2.81255555555556</v>
      </c>
      <c r="AD16" t="n">
        <v>2.81255555555556</v>
      </c>
      <c r="AE16" t="n">
        <v>2.81255555555556</v>
      </c>
      <c r="AF16" t="n">
        <v>2.81255555555556</v>
      </c>
      <c r="AG16" t="n">
        <v>2.81255555555556</v>
      </c>
      <c r="AH16" t="n">
        <v>2.81255555555556</v>
      </c>
      <c r="AI16" t="n">
        <v>2.81255555555556</v>
      </c>
      <c r="AJ16" t="n">
        <v>2.81255555555556</v>
      </c>
      <c r="AK16" t="n">
        <v>2.81255555555556</v>
      </c>
      <c r="AL16" t="n">
        <v>2.81255555555556</v>
      </c>
      <c r="AM16" t="n">
        <v>2.81255555555556</v>
      </c>
      <c r="AN16" t="n">
        <v>2.81255555555556</v>
      </c>
      <c r="AO16" t="n">
        <v>2.81255555555556</v>
      </c>
      <c r="AP16" t="n">
        <v>2.81255555555556</v>
      </c>
      <c r="AQ16" t="n">
        <v>2.81255555555556</v>
      </c>
      <c r="AR16" t="n">
        <v>2.81255555555556</v>
      </c>
      <c r="AS16" t="n">
        <v>2.81255555555556</v>
      </c>
      <c r="AT16" t="n">
        <v>2.81255555555556</v>
      </c>
      <c r="AU16" t="n">
        <v>2.81255555555556</v>
      </c>
      <c r="AV16" t="n">
        <v>3.81255555555556</v>
      </c>
      <c r="AW16" t="n">
        <v>4.81255555555556</v>
      </c>
    </row>
    <row r="17">
      <c r="A17" t="inlineStr">
        <is>
          <t>Dominica_2023_May</t>
        </is>
      </c>
      <c r="C17" t="inlineStr">
        <is>
          <t>SM.23.127, Sup. 1</t>
        </is>
      </c>
      <c r="D17" t="inlineStr">
        <is>
          <t>Dominica</t>
        </is>
      </c>
      <c r="E17" t="inlineStr">
        <is>
          <t>DMA</t>
        </is>
      </c>
      <c r="F17" s="11" t="n">
        <v>45047</v>
      </c>
      <c r="G17" t="inlineStr">
        <is>
          <t>2018gn</t>
        </is>
      </c>
      <c r="H17" t="n">
        <v>2022</v>
      </c>
      <c r="I17" t="inlineStr">
        <is>
          <t>int.dom.all</t>
        </is>
      </c>
      <c r="K17" t="inlineStr">
        <is>
          <t>US Dollars</t>
        </is>
      </c>
      <c r="L17" t="inlineStr">
        <is>
          <t>Million</t>
        </is>
      </c>
      <c r="M17" t="inlineStr">
        <is>
          <t>Total public domestic debt interest due</t>
        </is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2.003136259259259</v>
      </c>
      <c r="W17" t="n">
        <v>0.9051378148148148</v>
      </c>
      <c r="X17" t="n">
        <v>1.818312148148148</v>
      </c>
      <c r="Y17" t="n">
        <v>1.981576481481482</v>
      </c>
      <c r="Z17" t="n">
        <v>1.837305444444444</v>
      </c>
      <c r="AA17" t="n">
        <v>1.860728222222222</v>
      </c>
      <c r="AB17" t="n">
        <v>1.257862962962963</v>
      </c>
      <c r="AC17" t="n">
        <v>16.69157985952581</v>
      </c>
      <c r="AD17" t="n">
        <v>22.28395032556494</v>
      </c>
      <c r="AE17" t="n">
        <v>26.33729669186012</v>
      </c>
      <c r="AF17" t="n">
        <v>25.0748455574593</v>
      </c>
      <c r="AG17" t="n">
        <v>23.4899947040656</v>
      </c>
      <c r="AH17" t="n">
        <v>23.06945556503976</v>
      </c>
      <c r="AI17" t="n">
        <v>22.44868126683504</v>
      </c>
      <c r="AJ17" t="n">
        <v>22.43703814089666</v>
      </c>
      <c r="AK17" t="n">
        <v>21.53847363207552</v>
      </c>
      <c r="AL17" t="n">
        <v>21.47211328831094</v>
      </c>
      <c r="AM17" t="n">
        <v>16.7389878782083</v>
      </c>
      <c r="AN17" t="n">
        <v>16.0478568446764</v>
      </c>
      <c r="AO17" t="n">
        <v>15.81102652004144</v>
      </c>
      <c r="AP17" t="n">
        <v>15.25658336962666</v>
      </c>
      <c r="AQ17" t="n">
        <v>14.74832157321426</v>
      </c>
      <c r="AR17" t="n">
        <v>14.28208142963439</v>
      </c>
      <c r="AS17" t="n">
        <v>14.3114749192579</v>
      </c>
      <c r="AT17" t="n">
        <v>14.32698847202469</v>
      </c>
      <c r="AU17" t="n">
        <v>15.2546131312218</v>
      </c>
      <c r="AV17" t="n">
        <v>16.40717924758539</v>
      </c>
      <c r="AW17" t="n">
        <v>12.74430604690492</v>
      </c>
    </row>
    <row r="18">
      <c r="A18" t="inlineStr">
        <is>
          <t>Dominica_2023_May</t>
        </is>
      </c>
      <c r="C18" t="inlineStr">
        <is>
          <t>SM.23.127, Sup. 1</t>
        </is>
      </c>
      <c r="D18" t="inlineStr">
        <is>
          <t>Dominica</t>
        </is>
      </c>
      <c r="E18" t="inlineStr">
        <is>
          <t>DMA</t>
        </is>
      </c>
      <c r="F18" s="11" t="n">
        <v>45047</v>
      </c>
      <c r="G18" t="inlineStr">
        <is>
          <t>2018gn</t>
        </is>
      </c>
      <c r="H18" t="n">
        <v>2022</v>
      </c>
      <c r="I18" t="inlineStr">
        <is>
          <t>amt.all</t>
        </is>
      </c>
      <c r="K18" t="inlineStr">
        <is>
          <t>US Dollars</t>
        </is>
      </c>
      <c r="L18" t="inlineStr">
        <is>
          <t>Million</t>
        </is>
      </c>
      <c r="M18" t="inlineStr">
        <is>
          <t>Total debt amortization due</t>
        </is>
      </c>
    </row>
    <row r="19">
      <c r="A19" t="inlineStr">
        <is>
          <t>Dominica_2023_May</t>
        </is>
      </c>
      <c r="C19" t="inlineStr">
        <is>
          <t>SM.23.127, Sup. 1</t>
        </is>
      </c>
      <c r="D19" t="inlineStr">
        <is>
          <t>Dominica</t>
        </is>
      </c>
      <c r="E19" t="inlineStr">
        <is>
          <t>DMA</t>
        </is>
      </c>
      <c r="F19" s="11" t="n">
        <v>45047</v>
      </c>
      <c r="G19" t="inlineStr">
        <is>
          <t>2018gn</t>
        </is>
      </c>
      <c r="H19" t="n">
        <v>2022</v>
      </c>
      <c r="I19" t="inlineStr">
        <is>
          <t>amt.ext.all</t>
        </is>
      </c>
      <c r="K19" t="inlineStr">
        <is>
          <t>US Dollars</t>
        </is>
      </c>
      <c r="L19" t="inlineStr">
        <is>
          <t>Million</t>
        </is>
      </c>
      <c r="M19" t="inlineStr">
        <is>
          <t>Total external amortization due (include amortization from new debt)</t>
        </is>
      </c>
      <c r="P19" t="n">
        <v>12.117</v>
      </c>
      <c r="Q19" t="n">
        <v>10.4749040740741</v>
      </c>
      <c r="R19" t="n">
        <v>13.9658275718519</v>
      </c>
      <c r="S19" t="n">
        <v>18.5604636518442</v>
      </c>
      <c r="T19" t="n">
        <v>15.4973486064475</v>
      </c>
      <c r="U19" t="n">
        <v>17.4205127669757</v>
      </c>
      <c r="V19" t="n">
        <v>21.321572452072</v>
      </c>
      <c r="W19" t="n">
        <v>22.2665005988216</v>
      </c>
      <c r="X19" t="n">
        <v>26.1262206221873</v>
      </c>
      <c r="Y19" t="n">
        <v>23.7088460465299</v>
      </c>
      <c r="Z19" t="n">
        <v>28.7667122529864</v>
      </c>
      <c r="AA19" t="n">
        <v>16.7152834381716</v>
      </c>
      <c r="AB19" t="n">
        <v>19.8656750615284</v>
      </c>
      <c r="AC19" t="n">
        <v>11.30507166039381</v>
      </c>
      <c r="AD19" t="n">
        <v>25.52684566039381</v>
      </c>
      <c r="AE19" t="n">
        <v>24.02525239648941</v>
      </c>
      <c r="AF19" t="n">
        <v>20.28400716957863</v>
      </c>
      <c r="AG19" t="n">
        <v>18.47021840630146</v>
      </c>
      <c r="AH19" t="n">
        <v>16.36597336056414</v>
      </c>
      <c r="AI19" t="n">
        <v>15.58635588413558</v>
      </c>
      <c r="AJ19" t="n">
        <v>13.99706131886608</v>
      </c>
      <c r="AK19" t="n">
        <v>13.08808053640647</v>
      </c>
      <c r="AL19" t="n">
        <v>12.90670327152363</v>
      </c>
      <c r="AM19" t="n">
        <v>12.02860944000241</v>
      </c>
      <c r="AN19" t="n">
        <v>13.45741996690193</v>
      </c>
      <c r="AO19" t="n">
        <v>13.29925665288081</v>
      </c>
      <c r="AP19" t="n">
        <v>14.56342710303434</v>
      </c>
      <c r="AQ19" t="n">
        <v>16.80120347053383</v>
      </c>
      <c r="AR19" t="n">
        <v>35.69192046291681</v>
      </c>
      <c r="AS19" t="n">
        <v>37.05988363002074</v>
      </c>
      <c r="AT19" t="n">
        <v>38.66217800545957</v>
      </c>
      <c r="AU19" t="n">
        <v>40.06234475874978</v>
      </c>
      <c r="AV19" t="n">
        <v>40.72261941001774</v>
      </c>
      <c r="AW19" t="n">
        <v>24.96891428106595</v>
      </c>
    </row>
    <row r="20">
      <c r="A20" t="inlineStr">
        <is>
          <t>Dominica_2023_May</t>
        </is>
      </c>
      <c r="C20" t="inlineStr">
        <is>
          <t>SM.23.127, Sup. 1</t>
        </is>
      </c>
      <c r="D20" t="inlineStr">
        <is>
          <t>Dominica</t>
        </is>
      </c>
      <c r="E20" t="inlineStr">
        <is>
          <t>DMA</t>
        </is>
      </c>
      <c r="F20" s="11" t="n">
        <v>45047</v>
      </c>
      <c r="G20" t="inlineStr">
        <is>
          <t>2018gn</t>
        </is>
      </c>
      <c r="H20" t="n">
        <v>2022</v>
      </c>
      <c r="I20" t="inlineStr">
        <is>
          <t>amt.ext.ppg</t>
        </is>
      </c>
      <c r="K20" t="inlineStr">
        <is>
          <t>US Dollars</t>
        </is>
      </c>
      <c r="L20" t="inlineStr">
        <is>
          <t>Million</t>
        </is>
      </c>
      <c r="M20" t="inlineStr">
        <is>
          <t>Public and publicly guaranteed</t>
        </is>
      </c>
      <c r="P20" t="n">
        <v>12.117</v>
      </c>
      <c r="Q20" t="n">
        <v>10.4749040740741</v>
      </c>
      <c r="R20" t="n">
        <v>13.9658275718519</v>
      </c>
      <c r="S20" t="n">
        <v>18.5604636518442</v>
      </c>
      <c r="T20" t="n">
        <v>15.4973486064475</v>
      </c>
      <c r="U20" t="n">
        <v>17.4205127669757</v>
      </c>
      <c r="V20" t="n">
        <v>21.321572452072</v>
      </c>
      <c r="W20" t="n">
        <v>22.2665005988216</v>
      </c>
      <c r="X20" t="n">
        <v>26.1262206221873</v>
      </c>
      <c r="Y20" t="n">
        <v>23.7088460465299</v>
      </c>
      <c r="Z20" t="n">
        <v>28.7667122529864</v>
      </c>
      <c r="AA20" t="n">
        <v>16.7152834381716</v>
      </c>
      <c r="AB20" t="n">
        <v>19.8656750615284</v>
      </c>
      <c r="AC20" t="n">
        <v>11.30507166039381</v>
      </c>
      <c r="AD20" t="n">
        <v>25.52684566039381</v>
      </c>
      <c r="AE20" t="n">
        <v>24.02525239648941</v>
      </c>
      <c r="AF20" t="n">
        <v>20.28400716957863</v>
      </c>
      <c r="AG20" t="n">
        <v>18.47021840630146</v>
      </c>
      <c r="AH20" t="n">
        <v>16.36597336056414</v>
      </c>
      <c r="AI20" t="n">
        <v>15.58635588413558</v>
      </c>
      <c r="AJ20" t="n">
        <v>13.99706131886608</v>
      </c>
      <c r="AK20" t="n">
        <v>13.08808053640647</v>
      </c>
      <c r="AL20" t="n">
        <v>12.90670327152363</v>
      </c>
      <c r="AM20" t="n">
        <v>12.02860944000241</v>
      </c>
      <c r="AN20" t="n">
        <v>13.45741996690193</v>
      </c>
      <c r="AO20" t="n">
        <v>13.29925665288081</v>
      </c>
      <c r="AP20" t="n">
        <v>14.56342710303434</v>
      </c>
      <c r="AQ20" t="n">
        <v>16.80120347053383</v>
      </c>
      <c r="AR20" t="n">
        <v>35.69192046291681</v>
      </c>
      <c r="AS20" t="n">
        <v>37.05988363002074</v>
      </c>
      <c r="AT20" t="n">
        <v>38.66217800545957</v>
      </c>
      <c r="AU20" t="n">
        <v>40.06234475874978</v>
      </c>
      <c r="AV20" t="n">
        <v>40.72261941001774</v>
      </c>
      <c r="AW20" t="n">
        <v>24.96891428106595</v>
      </c>
    </row>
    <row r="21">
      <c r="A21" t="inlineStr">
        <is>
          <t>Dominica_2023_May</t>
        </is>
      </c>
      <c r="C21" t="inlineStr">
        <is>
          <t>SM.23.127, Sup. 1</t>
        </is>
      </c>
      <c r="D21" t="inlineStr">
        <is>
          <t>Dominica</t>
        </is>
      </c>
      <c r="E21" t="inlineStr">
        <is>
          <t>DMA</t>
        </is>
      </c>
      <c r="F21" s="11" t="n">
        <v>45047</v>
      </c>
      <c r="G21" t="inlineStr">
        <is>
          <t>2018gn</t>
        </is>
      </c>
      <c r="H21" t="n">
        <v>2022</v>
      </c>
      <c r="I21" t="inlineStr">
        <is>
          <t>amt.ext.png</t>
        </is>
      </c>
      <c r="K21" t="inlineStr">
        <is>
          <t>US Dollars</t>
        </is>
      </c>
      <c r="L21" t="inlineStr">
        <is>
          <t>Million</t>
        </is>
      </c>
      <c r="M21" t="inlineStr">
        <is>
          <t xml:space="preserve">MLT private external debt </t>
        </is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Dominica_2023_May</t>
        </is>
      </c>
      <c r="C22" t="inlineStr">
        <is>
          <t>SM.23.127, Sup. 1</t>
        </is>
      </c>
      <c r="D22" t="inlineStr">
        <is>
          <t>Dominica</t>
        </is>
      </c>
      <c r="E22" t="inlineStr">
        <is>
          <t>DMA</t>
        </is>
      </c>
      <c r="F22" s="11" t="n">
        <v>45047</v>
      </c>
      <c r="G22" t="inlineStr">
        <is>
          <t>2018gn</t>
        </is>
      </c>
      <c r="H22" t="n">
        <v>2022</v>
      </c>
      <c r="I22" t="inlineStr">
        <is>
          <t>amt.dom.all</t>
        </is>
      </c>
      <c r="K22" t="inlineStr">
        <is>
          <t>US Dollars</t>
        </is>
      </c>
      <c r="L22" t="inlineStr">
        <is>
          <t>Million</t>
        </is>
      </c>
      <c r="M22" t="inlineStr">
        <is>
          <t>Total MLT public domestic debt amortization debt</t>
        </is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5.128867407407407</v>
      </c>
      <c r="W22" t="n">
        <v>3.267087259259259</v>
      </c>
      <c r="X22" t="n">
        <v>1.939266111111111</v>
      </c>
      <c r="Y22" t="n">
        <v>1.432947592592593</v>
      </c>
      <c r="Z22" t="n">
        <v>8.670284777777777</v>
      </c>
      <c r="AA22" t="n">
        <v>-51.97261414814815</v>
      </c>
      <c r="AB22" t="n">
        <v>4.071208407407407</v>
      </c>
      <c r="AC22" t="n">
        <v>12.77543707407407</v>
      </c>
      <c r="AD22" t="n">
        <v>27.78373193127528</v>
      </c>
      <c r="AE22" t="n">
        <v>19.82881096604194</v>
      </c>
      <c r="AF22" t="n">
        <v>24.01751309344916</v>
      </c>
      <c r="AG22" t="n">
        <v>30.77377620793866</v>
      </c>
      <c r="AH22" t="n">
        <v>37.93586041528802</v>
      </c>
      <c r="AI22" t="n">
        <v>41.59754417869932</v>
      </c>
      <c r="AJ22" t="n">
        <v>40.12911588337135</v>
      </c>
      <c r="AK22" t="n">
        <v>40.66194587411341</v>
      </c>
      <c r="AL22" t="n">
        <v>41.18314119805661</v>
      </c>
      <c r="AM22" t="n">
        <v>24.18805690886494</v>
      </c>
      <c r="AN22" t="n">
        <v>19.40457779951008</v>
      </c>
      <c r="AO22" t="n">
        <v>13.27447617101365</v>
      </c>
      <c r="AP22" t="n">
        <v>7.299685783653281</v>
      </c>
      <c r="AQ22" t="n">
        <v>-0.8970184534633318</v>
      </c>
      <c r="AR22" t="n">
        <v>7.439251277453779</v>
      </c>
      <c r="AS22" t="n">
        <v>7.209161001113183</v>
      </c>
      <c r="AT22" t="n">
        <v>9.28269627755172</v>
      </c>
      <c r="AU22" t="n">
        <v>12.00788144003273</v>
      </c>
      <c r="AV22" t="n">
        <v>15.00686976361018</v>
      </c>
      <c r="AW22" t="n">
        <v>14.41589865398509</v>
      </c>
    </row>
    <row r="23">
      <c r="A23" t="inlineStr">
        <is>
          <t>Dominica_2023_May</t>
        </is>
      </c>
      <c r="C23" t="inlineStr">
        <is>
          <t>SM.23.127, Sup. 1</t>
        </is>
      </c>
      <c r="D23" t="inlineStr">
        <is>
          <t>Dominica</t>
        </is>
      </c>
      <c r="E23" t="inlineStr">
        <is>
          <t>DMA</t>
        </is>
      </c>
      <c r="F23" s="11" t="n">
        <v>45047</v>
      </c>
      <c r="G23" t="inlineStr">
        <is>
          <t>2018gn</t>
        </is>
      </c>
      <c r="H23" t="n">
        <v>2022</v>
      </c>
    </row>
    <row r="24">
      <c r="A24" t="inlineStr">
        <is>
          <t>Dominica_2023_May</t>
        </is>
      </c>
      <c r="C24" t="inlineStr">
        <is>
          <t>SM.23.127, Sup. 1</t>
        </is>
      </c>
      <c r="D24" t="inlineStr">
        <is>
          <t>Dominica</t>
        </is>
      </c>
      <c r="E24" t="inlineStr">
        <is>
          <t>DMA</t>
        </is>
      </c>
      <c r="F24" s="11" t="n">
        <v>45047</v>
      </c>
      <c r="G24" t="inlineStr">
        <is>
          <t>2018gn</t>
        </is>
      </c>
      <c r="H24" t="n">
        <v>2022</v>
      </c>
      <c r="I24" t="inlineStr">
        <is>
          <t>cab</t>
        </is>
      </c>
      <c r="K24" t="inlineStr">
        <is>
          <t>US Dollars</t>
        </is>
      </c>
      <c r="L24" t="inlineStr">
        <is>
          <t>Million</t>
        </is>
      </c>
      <c r="M24" t="inlineStr">
        <is>
          <t>Current account balance</t>
        </is>
      </c>
      <c r="P24" t="n">
        <v>-111.079073703704</v>
      </c>
      <c r="Q24" t="n">
        <v>-78.6036796296296</v>
      </c>
      <c r="R24" t="n">
        <v>-38.3675637037037</v>
      </c>
      <c r="S24" t="n">
        <v>-84.23725</v>
      </c>
      <c r="T24" t="n">
        <v>-49.4000222222222</v>
      </c>
      <c r="U24" t="n">
        <v>-28.1762</v>
      </c>
      <c r="V24" t="n">
        <v>-25.1649</v>
      </c>
      <c r="W24" t="n">
        <v>-44.1933</v>
      </c>
      <c r="X24" t="n">
        <v>-46.2403</v>
      </c>
      <c r="Y24" t="n">
        <v>-242.2174</v>
      </c>
      <c r="Z24" t="n">
        <v>-217.456</v>
      </c>
      <c r="AA24" t="n">
        <v>-178.7002</v>
      </c>
      <c r="AB24" t="n">
        <v>-153.2043</v>
      </c>
      <c r="AC24" t="n">
        <v>-165.1388</v>
      </c>
      <c r="AD24" t="n">
        <v>-176.4302</v>
      </c>
      <c r="AE24" t="n">
        <v>-133.1153</v>
      </c>
      <c r="AF24" t="n">
        <v>-127.2996</v>
      </c>
      <c r="AG24" t="n">
        <v>-119.9005</v>
      </c>
      <c r="AH24" t="n">
        <v>-112.1574</v>
      </c>
      <c r="AI24" t="n">
        <v>-102.2984</v>
      </c>
      <c r="AJ24" t="n">
        <v>-109.1644</v>
      </c>
      <c r="AK24" t="n">
        <v>-101.2124</v>
      </c>
      <c r="AL24" t="n">
        <v>-136.5515</v>
      </c>
      <c r="AM24" t="n">
        <v>-128.0544</v>
      </c>
      <c r="AN24" t="n">
        <v>-118.6921</v>
      </c>
      <c r="AO24" t="n">
        <v>-118.8107</v>
      </c>
      <c r="AP24" t="n">
        <v>-121.5378</v>
      </c>
      <c r="AQ24" t="n">
        <v>-124.2453</v>
      </c>
      <c r="AR24" t="n">
        <v>-127.0086</v>
      </c>
      <c r="AS24" t="n">
        <v>-129.8562</v>
      </c>
      <c r="AT24" t="n">
        <v>-134.6417</v>
      </c>
      <c r="AU24" t="n">
        <v>-136.5088</v>
      </c>
      <c r="AV24" t="n">
        <v>-138.6053</v>
      </c>
      <c r="AW24" t="n">
        <v>-10.4752</v>
      </c>
    </row>
    <row r="25">
      <c r="A25" t="inlineStr">
        <is>
          <t>Dominica_2023_May</t>
        </is>
      </c>
      <c r="C25" t="inlineStr">
        <is>
          <t>SM.23.127, Sup. 1</t>
        </is>
      </c>
      <c r="D25" t="inlineStr">
        <is>
          <t>Dominica</t>
        </is>
      </c>
      <c r="E25" t="inlineStr">
        <is>
          <t>DMA</t>
        </is>
      </c>
      <c r="F25" s="11" t="n">
        <v>45047</v>
      </c>
      <c r="G25" t="inlineStr">
        <is>
          <t>2018gn</t>
        </is>
      </c>
      <c r="H25" t="n">
        <v>2022</v>
      </c>
      <c r="I25" t="inlineStr">
        <is>
          <t>tb.x.gs</t>
        </is>
      </c>
      <c r="K25" t="inlineStr">
        <is>
          <t>US Dollars</t>
        </is>
      </c>
      <c r="L25" t="inlineStr">
        <is>
          <t>Million</t>
        </is>
      </c>
      <c r="M25" t="inlineStr">
        <is>
          <t>Exports of goods and services</t>
        </is>
      </c>
      <c r="P25" t="n">
        <v>147.949173703704</v>
      </c>
      <c r="Q25" t="n">
        <v>175.645608518519</v>
      </c>
      <c r="R25" t="n">
        <v>188.272808518519</v>
      </c>
      <c r="S25" t="n">
        <v>158.361769259259</v>
      </c>
      <c r="T25" t="n">
        <v>193.466980740741</v>
      </c>
      <c r="U25" t="n">
        <v>280.156433639978</v>
      </c>
      <c r="V25" t="n">
        <v>268.226050689952</v>
      </c>
      <c r="W25" t="n">
        <v>269.649442948984</v>
      </c>
      <c r="X25" t="n">
        <v>217.536249507622</v>
      </c>
      <c r="Y25" t="n">
        <v>156.550657769631</v>
      </c>
      <c r="Z25" t="n">
        <v>211.175033061927</v>
      </c>
      <c r="AA25" t="n">
        <v>95.3663746410397</v>
      </c>
      <c r="AB25" t="n">
        <v>123.360451072738</v>
      </c>
      <c r="AC25" t="n">
        <v>159.944571065305</v>
      </c>
      <c r="AD25" t="n">
        <v>193.980326409996</v>
      </c>
      <c r="AE25" t="n">
        <v>234.561700859839</v>
      </c>
      <c r="AF25" t="n">
        <v>268.661987346278</v>
      </c>
      <c r="AG25" t="n">
        <v>283.836034833247</v>
      </c>
      <c r="AH25" t="n">
        <v>300.246504014249</v>
      </c>
      <c r="AI25" t="n">
        <v>324.150325192915</v>
      </c>
      <c r="AJ25" t="n">
        <v>333.859909171243</v>
      </c>
      <c r="AK25" t="n">
        <v>343.815831036918</v>
      </c>
      <c r="AL25" t="n">
        <v>353.697006859357</v>
      </c>
      <c r="AM25" t="n">
        <v>363.761234397401</v>
      </c>
      <c r="AN25" t="n">
        <v>374.151584237901</v>
      </c>
      <c r="AO25" t="n">
        <v>384.879803628408</v>
      </c>
      <c r="AP25" t="n">
        <v>395.958094004436</v>
      </c>
      <c r="AQ25" t="n">
        <v>407.399129297892</v>
      </c>
      <c r="AR25" t="n">
        <v>419.216075000867</v>
      </c>
      <c r="AS25" t="n">
        <v>431.422608016376</v>
      </c>
      <c r="AT25" t="n">
        <v>444.032937328954</v>
      </c>
      <c r="AU25" t="n">
        <v>457.061825529386</v>
      </c>
      <c r="AV25" t="n">
        <v>470.524611229324</v>
      </c>
      <c r="AW25" t="n">
        <v>481.295687209189</v>
      </c>
    </row>
    <row r="26">
      <c r="A26" t="inlineStr">
        <is>
          <t>Dominica_2023_May</t>
        </is>
      </c>
      <c r="C26" t="inlineStr">
        <is>
          <t>SM.23.127, Sup. 1</t>
        </is>
      </c>
      <c r="D26" t="inlineStr">
        <is>
          <t>Dominica</t>
        </is>
      </c>
      <c r="E26" t="inlineStr">
        <is>
          <t>DMA</t>
        </is>
      </c>
      <c r="F26" s="11" t="n">
        <v>45047</v>
      </c>
      <c r="G26" t="inlineStr">
        <is>
          <t>2018gn</t>
        </is>
      </c>
      <c r="H26" t="n">
        <v>2022</v>
      </c>
      <c r="I26" t="inlineStr">
        <is>
          <t>tb.m.gs</t>
        </is>
      </c>
      <c r="K26" t="inlineStr">
        <is>
          <t>US Dollars</t>
        </is>
      </c>
      <c r="L26" t="inlineStr">
        <is>
          <t>Million</t>
        </is>
      </c>
      <c r="M26" t="inlineStr">
        <is>
          <t>Imports of goods and services (use positive values)</t>
        </is>
      </c>
      <c r="P26" t="n">
        <v>264.465896666667</v>
      </c>
      <c r="Q26" t="n">
        <v>264.518701111111</v>
      </c>
      <c r="R26" t="n">
        <v>232.585214074074</v>
      </c>
      <c r="S26" t="n">
        <v>249.877325925926</v>
      </c>
      <c r="T26" t="n">
        <v>243.662774814815</v>
      </c>
      <c r="U26" t="n">
        <v>338.473756263165</v>
      </c>
      <c r="V26" t="n">
        <v>326.494116659552</v>
      </c>
      <c r="W26" t="n">
        <v>329.423042735008</v>
      </c>
      <c r="X26" t="n">
        <v>319.925536225808</v>
      </c>
      <c r="Y26" t="n">
        <v>420.177115388172</v>
      </c>
      <c r="Z26" t="n">
        <v>426.026531222451</v>
      </c>
      <c r="AA26" t="n">
        <v>303.326005629262</v>
      </c>
      <c r="AB26" t="n">
        <v>307.78954353224</v>
      </c>
      <c r="AC26" t="n">
        <v>358.05692030496</v>
      </c>
      <c r="AD26" t="n">
        <v>410.66139357549</v>
      </c>
      <c r="AE26" t="n">
        <v>411.35636721986</v>
      </c>
      <c r="AF26" t="n">
        <v>441.630814195053</v>
      </c>
      <c r="AG26" t="n">
        <v>451.964964552691</v>
      </c>
      <c r="AH26" t="n">
        <v>463.265610549014</v>
      </c>
      <c r="AI26" t="n">
        <v>480.181409864694</v>
      </c>
      <c r="AJ26" t="n">
        <v>499.966948830332</v>
      </c>
      <c r="AK26" t="n">
        <v>505.277493630046</v>
      </c>
      <c r="AL26" t="n">
        <v>553.551857600752</v>
      </c>
      <c r="AM26" t="n">
        <v>557.995949595983</v>
      </c>
      <c r="AN26" t="n">
        <v>561.845534814972</v>
      </c>
      <c r="AO26" t="n">
        <v>575.256055588764</v>
      </c>
      <c r="AP26" t="n">
        <v>591.5510229608921</v>
      </c>
      <c r="AQ26" t="n">
        <v>608.403135022543</v>
      </c>
      <c r="AR26" t="n">
        <v>625.834040826949</v>
      </c>
      <c r="AS26" t="n">
        <v>643.866297370799</v>
      </c>
      <c r="AT26" t="n">
        <v>664.38064437273</v>
      </c>
      <c r="AU26" t="n">
        <v>682.308107385845</v>
      </c>
      <c r="AV26" t="n">
        <v>700.84014814333</v>
      </c>
      <c r="AW26" t="n">
        <v>718.566638593598</v>
      </c>
    </row>
    <row r="27">
      <c r="A27" t="inlineStr">
        <is>
          <t>Dominica_2023_May</t>
        </is>
      </c>
      <c r="C27" t="inlineStr">
        <is>
          <t>SM.23.127, Sup. 1</t>
        </is>
      </c>
      <c r="D27" t="inlineStr">
        <is>
          <t>Dominica</t>
        </is>
      </c>
      <c r="E27" t="inlineStr">
        <is>
          <t>DMA</t>
        </is>
      </c>
      <c r="F27" s="11" t="n">
        <v>45047</v>
      </c>
      <c r="G27" t="inlineStr">
        <is>
          <t>2018gn</t>
        </is>
      </c>
      <c r="H27" t="n">
        <v>2022</v>
      </c>
      <c r="I27" t="inlineStr">
        <is>
          <t>net.crt.trsfr.all</t>
        </is>
      </c>
      <c r="K27" t="inlineStr">
        <is>
          <t>US Dollars</t>
        </is>
      </c>
      <c r="L27" t="inlineStr">
        <is>
          <t>Million</t>
        </is>
      </c>
      <c r="M27" t="inlineStr">
        <is>
          <t>Current transfers, net total</t>
        </is>
      </c>
      <c r="P27" t="n">
        <v>19.091697037037</v>
      </c>
      <c r="Q27" t="n">
        <v>19.7106051851852</v>
      </c>
      <c r="R27" t="n">
        <v>16.4926296296296</v>
      </c>
      <c r="S27" t="n">
        <v>16.8094333333333</v>
      </c>
      <c r="T27" t="n">
        <v>20.3030940740741</v>
      </c>
      <c r="U27" t="n">
        <v>46.785045465178</v>
      </c>
      <c r="V27" t="n">
        <v>51.9963914916454</v>
      </c>
      <c r="W27" t="n">
        <v>36.7094019226952</v>
      </c>
      <c r="X27" t="n">
        <v>54.3331757745301</v>
      </c>
      <c r="Y27" t="n">
        <v>20.5977891458945</v>
      </c>
      <c r="Z27" t="n">
        <v>8.08232853619554</v>
      </c>
      <c r="AA27" t="n">
        <v>22.0378632784695</v>
      </c>
      <c r="AB27" t="n">
        <v>30.343314782192</v>
      </c>
      <c r="AC27" t="n">
        <v>32.9437716473049</v>
      </c>
      <c r="AD27" t="n">
        <v>35.5406618900713</v>
      </c>
      <c r="AE27" t="n">
        <v>37.7662343421686</v>
      </c>
      <c r="AF27" t="n">
        <v>39.9920155556304</v>
      </c>
      <c r="AG27" t="n">
        <v>41.9566629594174</v>
      </c>
      <c r="AH27" t="n">
        <v>43.9402384675152</v>
      </c>
      <c r="AI27" t="n">
        <v>46.0041596595162</v>
      </c>
      <c r="AJ27" t="n">
        <v>48.164663908612</v>
      </c>
      <c r="AK27" t="n">
        <v>50.3772711778003</v>
      </c>
      <c r="AL27" t="n">
        <v>52.477491988466</v>
      </c>
      <c r="AM27" t="n">
        <v>54.593288315768</v>
      </c>
      <c r="AN27" t="n">
        <v>56.794562814693</v>
      </c>
      <c r="AO27" t="n">
        <v>59.0847688033745</v>
      </c>
      <c r="AP27" t="n">
        <v>61.4674991139988</v>
      </c>
      <c r="AQ27" t="n">
        <v>63.9464917291723</v>
      </c>
      <c r="AR27" t="n">
        <v>66.5256356459988</v>
      </c>
      <c r="AS27" t="n">
        <v>69.20897697706521</v>
      </c>
      <c r="AT27" t="n">
        <v>72.0007252979066</v>
      </c>
      <c r="AU27" t="n">
        <v>74.9052602509099</v>
      </c>
      <c r="AV27" t="n">
        <v>77.9271384160147</v>
      </c>
      <c r="AW27" t="n">
        <v>79.48355526897259</v>
      </c>
    </row>
    <row r="28">
      <c r="A28" t="inlineStr">
        <is>
          <t>Dominica_2023_May</t>
        </is>
      </c>
      <c r="C28" t="inlineStr">
        <is>
          <t>SM.23.127, Sup. 1</t>
        </is>
      </c>
      <c r="D28" t="inlineStr">
        <is>
          <t>Dominica</t>
        </is>
      </c>
      <c r="E28" t="inlineStr">
        <is>
          <t>DMA</t>
        </is>
      </c>
      <c r="F28" s="11" t="n">
        <v>45047</v>
      </c>
      <c r="G28" t="inlineStr">
        <is>
          <t>2018gn</t>
        </is>
      </c>
      <c r="H28" t="n">
        <v>2022</v>
      </c>
      <c r="I28" t="inlineStr">
        <is>
          <t>net.crt.trsfr.off</t>
        </is>
      </c>
      <c r="K28" t="inlineStr">
        <is>
          <t>US Dollars</t>
        </is>
      </c>
      <c r="L28" t="inlineStr">
        <is>
          <t>Million</t>
        </is>
      </c>
      <c r="M28" t="inlineStr">
        <is>
          <t>Current transfers, official</t>
        </is>
      </c>
      <c r="P28" t="n">
        <v>0.301585925925926</v>
      </c>
      <c r="Q28" t="n">
        <v>0.646654814814815</v>
      </c>
      <c r="R28" t="n">
        <v>-2.05263814814815</v>
      </c>
      <c r="S28" t="n">
        <v>0.411555555555556</v>
      </c>
      <c r="T28" t="n">
        <v>5.41194222222222</v>
      </c>
      <c r="U28" t="n">
        <v>12.4968708181635</v>
      </c>
      <c r="V28" t="n">
        <v>16.469419727037</v>
      </c>
      <c r="W28" t="n">
        <v>10.27441482</v>
      </c>
      <c r="X28" t="n">
        <v>27.521032737037</v>
      </c>
      <c r="Y28" t="n">
        <v>2.20313502025926</v>
      </c>
      <c r="Z28" t="n">
        <v>1.33022303984182</v>
      </c>
      <c r="AA28" t="n">
        <v>-0.516693117666058</v>
      </c>
      <c r="AB28" t="n">
        <v>0.0797757334615066</v>
      </c>
      <c r="AC28" t="n">
        <v>0.08764000598183611</v>
      </c>
      <c r="AD28" t="n">
        <v>0.09193765615562891</v>
      </c>
      <c r="AE28" t="n">
        <v>0.09528788603074589</v>
      </c>
      <c r="AF28" t="n">
        <v>0.098846877270307</v>
      </c>
      <c r="AG28" t="n">
        <v>0.102545574672467</v>
      </c>
      <c r="AH28" t="n">
        <v>0.106295768119684</v>
      </c>
      <c r="AI28" t="n">
        <v>0.106295768119684</v>
      </c>
      <c r="AJ28" t="n">
        <v>0.106295768119684</v>
      </c>
      <c r="AK28" t="n">
        <v>0.106295768119684</v>
      </c>
      <c r="AL28" t="n">
        <v>0.106295768119684</v>
      </c>
      <c r="AM28" t="n">
        <v>0.106295768119684</v>
      </c>
      <c r="AN28" t="n">
        <v>0.106295768119684</v>
      </c>
      <c r="AO28" t="n">
        <v>0.106295768119684</v>
      </c>
      <c r="AP28" t="n">
        <v>0.106295768119684</v>
      </c>
      <c r="AQ28" t="n">
        <v>0.106295768119684</v>
      </c>
      <c r="AR28" t="n">
        <v>0.106295768119684</v>
      </c>
      <c r="AS28" t="n">
        <v>0.106295768119684</v>
      </c>
      <c r="AT28" t="n">
        <v>0.106295768119684</v>
      </c>
      <c r="AU28" t="n">
        <v>0.106295768119684</v>
      </c>
      <c r="AV28" t="n">
        <v>0.106295768119684</v>
      </c>
      <c r="AW28" t="n">
        <v>0.106295768119684</v>
      </c>
    </row>
    <row r="29">
      <c r="A29" t="inlineStr">
        <is>
          <t>Dominica_2023_May</t>
        </is>
      </c>
      <c r="C29" t="inlineStr">
        <is>
          <t>SM.23.127, Sup. 1</t>
        </is>
      </c>
      <c r="D29" t="inlineStr">
        <is>
          <t>Dominica</t>
        </is>
      </c>
      <c r="E29" t="inlineStr">
        <is>
          <t>DMA</t>
        </is>
      </c>
      <c r="F29" s="11" t="n">
        <v>45047</v>
      </c>
      <c r="G29" t="inlineStr">
        <is>
          <t>2018gn</t>
        </is>
      </c>
      <c r="H29" t="n">
        <v>2022</v>
      </c>
    </row>
    <row r="30">
      <c r="A30" t="inlineStr">
        <is>
          <t>Dominica_2023_May</t>
        </is>
      </c>
      <c r="C30" t="inlineStr">
        <is>
          <t>SM.23.127, Sup. 1</t>
        </is>
      </c>
      <c r="D30" t="inlineStr">
        <is>
          <t>Dominica</t>
        </is>
      </c>
      <c r="E30" t="inlineStr">
        <is>
          <t>DMA</t>
        </is>
      </c>
      <c r="F30" s="11" t="n">
        <v>45047</v>
      </c>
      <c r="G30" t="inlineStr">
        <is>
          <t>2018gn</t>
        </is>
      </c>
      <c r="H30" t="n">
        <v>2022</v>
      </c>
      <c r="I30" t="inlineStr">
        <is>
          <t>net.fdi.exc.dbt.liab</t>
        </is>
      </c>
      <c r="K30" t="inlineStr">
        <is>
          <t>US Dollars</t>
        </is>
      </c>
      <c r="L30" t="inlineStr">
        <is>
          <t>Million</t>
        </is>
      </c>
      <c r="M30" t="inlineStr">
        <is>
          <t>Net foreign direct investment, excluding debt-creating liabilities</t>
        </is>
      </c>
      <c r="P30" t="n">
        <v>57.2355003703704</v>
      </c>
      <c r="Q30" t="n">
        <v>42.8602237037037</v>
      </c>
      <c r="R30" t="n">
        <v>34.563342962963</v>
      </c>
      <c r="S30" t="n">
        <v>58.5227703703704</v>
      </c>
      <c r="T30" t="n">
        <v>23.3483366666667</v>
      </c>
      <c r="U30" t="n">
        <v>14.0999498402072</v>
      </c>
      <c r="V30" t="n">
        <v>18.6645932496296</v>
      </c>
      <c r="W30" t="n">
        <v>41.382233847963</v>
      </c>
      <c r="X30" t="n">
        <v>23.7408343233986</v>
      </c>
      <c r="Y30" t="n">
        <v>78.2274915843395</v>
      </c>
      <c r="Z30" t="n">
        <v>62.9856526853796</v>
      </c>
      <c r="AA30" t="n">
        <v>21.9215553976118</v>
      </c>
      <c r="AB30" t="n">
        <v>33.7776444591385</v>
      </c>
      <c r="AC30" t="n">
        <v>41.9367717777778</v>
      </c>
      <c r="AD30" t="n">
        <v>44.9590825185185</v>
      </c>
      <c r="AE30" t="n">
        <v>36.0360693333333</v>
      </c>
      <c r="AF30" t="n">
        <v>36.7150345925926</v>
      </c>
      <c r="AG30" t="n">
        <v>38.052742037037</v>
      </c>
      <c r="AH30" t="n">
        <v>39.8527668216959</v>
      </c>
      <c r="AI30" t="n">
        <v>41.729242374439</v>
      </c>
      <c r="AJ30" t="n">
        <v>43.6935343177759</v>
      </c>
      <c r="AK30" t="n">
        <v>45.7051804969972</v>
      </c>
      <c r="AL30" t="n">
        <v>47.6146690344173</v>
      </c>
      <c r="AM30" t="n">
        <v>49.5383019064399</v>
      </c>
      <c r="AN30" t="n">
        <v>51.5396495155241</v>
      </c>
      <c r="AO30" t="n">
        <v>53.6218507460147</v>
      </c>
      <c r="AP30" t="n">
        <v>54.533422208697</v>
      </c>
      <c r="AQ30" t="n">
        <v>55.4604903862448</v>
      </c>
      <c r="AR30" t="n">
        <v>56.403318722811</v>
      </c>
      <c r="AS30" t="n">
        <v>57.3621751410988</v>
      </c>
      <c r="AT30" t="n">
        <v>58.3373321184974</v>
      </c>
      <c r="AU30" t="n">
        <v>59.3290667645119</v>
      </c>
      <c r="AV30" t="n">
        <v>60.3376608995086</v>
      </c>
      <c r="AW30" t="n">
        <v>61.3634011348002</v>
      </c>
    </row>
    <row r="31">
      <c r="A31" t="inlineStr">
        <is>
          <t>Dominica_2023_May</t>
        </is>
      </c>
      <c r="C31" t="inlineStr">
        <is>
          <t>SM.23.127, Sup. 1</t>
        </is>
      </c>
      <c r="D31" t="inlineStr">
        <is>
          <t>Dominica</t>
        </is>
      </c>
      <c r="E31" t="inlineStr">
        <is>
          <t>DMA</t>
        </is>
      </c>
      <c r="F31" s="11" t="n">
        <v>45047</v>
      </c>
      <c r="G31" t="inlineStr">
        <is>
          <t>2018gn</t>
        </is>
      </c>
      <c r="H31" t="n">
        <v>2022</v>
      </c>
      <c r="I31" t="inlineStr">
        <is>
          <t>exc.fin</t>
        </is>
      </c>
      <c r="K31" t="inlineStr">
        <is>
          <t>US Dollars</t>
        </is>
      </c>
      <c r="L31" t="inlineStr">
        <is>
          <t>Million</t>
        </is>
      </c>
      <c r="M31" t="inlineStr">
        <is>
          <t>Exceptional financing</t>
        </is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7e-06</v>
      </c>
      <c r="AV31" t="n">
        <v>8e-06</v>
      </c>
      <c r="AW31" t="n">
        <v>9e-06</v>
      </c>
    </row>
    <row r="32">
      <c r="A32" t="inlineStr">
        <is>
          <t>Dominica_2023_May</t>
        </is>
      </c>
      <c r="C32" t="inlineStr">
        <is>
          <t>SM.23.127, Sup. 1</t>
        </is>
      </c>
      <c r="D32" t="inlineStr">
        <is>
          <t>Dominica</t>
        </is>
      </c>
      <c r="E32" t="inlineStr">
        <is>
          <t>DMA</t>
        </is>
      </c>
      <c r="F32" s="11" t="n">
        <v>45047</v>
      </c>
      <c r="G32" t="inlineStr">
        <is>
          <t>2018gn</t>
        </is>
      </c>
      <c r="H32" t="n">
        <v>2022</v>
      </c>
      <c r="I32" t="inlineStr">
        <is>
          <t>grss.res</t>
        </is>
      </c>
      <c r="K32" t="inlineStr">
        <is>
          <t>US Dollars</t>
        </is>
      </c>
      <c r="L32" t="inlineStr">
        <is>
          <t>Million</t>
        </is>
      </c>
      <c r="M32" t="inlineStr">
        <is>
          <t>Gross Reserves (Flow, negative = increase)</t>
        </is>
      </c>
      <c r="P32" t="n">
        <v>1.3591853727442</v>
      </c>
      <c r="Q32" t="n">
        <v>0.849051379785887</v>
      </c>
      <c r="R32" t="n">
        <v>5.29566451327796</v>
      </c>
      <c r="S32" t="n">
        <v>16.5995931845609</v>
      </c>
      <c r="T32" t="n">
        <v>-9.193493747036021</v>
      </c>
      <c r="U32" t="n">
        <v>16.1361041585705</v>
      </c>
      <c r="V32" t="n">
        <v>18.9666282802428</v>
      </c>
      <c r="W32" t="n">
        <v>97.0330009158762</v>
      </c>
      <c r="X32" t="n">
        <v>-8.767409679660229</v>
      </c>
      <c r="Y32" t="n">
        <v>-19.4157794653627</v>
      </c>
      <c r="Z32" t="n">
        <v>-21.4925980896515</v>
      </c>
      <c r="AA32" t="n">
        <v>14.2695282684147</v>
      </c>
      <c r="AB32" t="n">
        <v>-15.2711684262087</v>
      </c>
      <c r="AC32" t="n">
        <v>-12.0141115809845</v>
      </c>
      <c r="AD32" t="n">
        <v>-12.3333382495174</v>
      </c>
      <c r="AE32" t="n">
        <v>-12.3279777645284</v>
      </c>
      <c r="AF32" t="n">
        <v>-10.9762764340851</v>
      </c>
      <c r="AG32" t="n">
        <v>-11.0094917639163</v>
      </c>
      <c r="AH32" t="n">
        <v>0.884450619565185</v>
      </c>
      <c r="AI32" t="n">
        <v>0.9021396319564891</v>
      </c>
      <c r="AJ32" t="n">
        <v>0.9201824245956191</v>
      </c>
      <c r="AK32" t="n">
        <v>0.9385860730875309</v>
      </c>
      <c r="AL32" t="n">
        <v>0.957357794549282</v>
      </c>
      <c r="AM32" t="n">
        <v>0.976504950440267</v>
      </c>
      <c r="AN32" t="n">
        <v>0.996035049449073</v>
      </c>
      <c r="AO32" t="n">
        <v>1.01595575043805</v>
      </c>
      <c r="AP32" t="n">
        <v>1.03627486544682</v>
      </c>
      <c r="AQ32" t="n">
        <v>1.05700036275575</v>
      </c>
      <c r="AR32" t="n">
        <v>1.07814037001087</v>
      </c>
      <c r="AS32" t="n">
        <v>1.09970317741108</v>
      </c>
      <c r="AT32" t="n">
        <v>1.12169724095931</v>
      </c>
      <c r="AU32" t="n">
        <v>1.14413118577849</v>
      </c>
      <c r="AV32" t="n">
        <v>1.16701380949406</v>
      </c>
      <c r="AW32" t="n">
        <v>1.19035408568394</v>
      </c>
    </row>
    <row r="33">
      <c r="A33" t="inlineStr">
        <is>
          <t>Dominica_2023_May</t>
        </is>
      </c>
      <c r="C33" t="inlineStr">
        <is>
          <t>SM.23.127, Sup. 1</t>
        </is>
      </c>
      <c r="D33" t="inlineStr">
        <is>
          <t>Dominica</t>
        </is>
      </c>
      <c r="E33" t="inlineStr">
        <is>
          <t>DMA</t>
        </is>
      </c>
      <c r="F33" s="11" t="n">
        <v>45047</v>
      </c>
      <c r="G33" t="inlineStr">
        <is>
          <t>2018gn</t>
        </is>
      </c>
      <c r="H33" t="n">
        <v>2022</v>
      </c>
      <c r="I33" t="inlineStr">
        <is>
          <t>fuel.cmdt.xprt.shr</t>
        </is>
      </c>
      <c r="M33" t="inlineStr">
        <is>
          <t>Share of commodity exports (fuel) (% of exports of G&amp;S)</t>
        </is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</row>
    <row r="34">
      <c r="A34" t="inlineStr">
        <is>
          <t>Dominica_2023_May</t>
        </is>
      </c>
      <c r="C34" t="inlineStr">
        <is>
          <t>SM.23.127, Sup. 1</t>
        </is>
      </c>
      <c r="D34" t="inlineStr">
        <is>
          <t>Dominica</t>
        </is>
      </c>
      <c r="E34" t="inlineStr">
        <is>
          <t>DMA</t>
        </is>
      </c>
      <c r="F34" s="11" t="n">
        <v>45047</v>
      </c>
      <c r="G34" t="inlineStr">
        <is>
          <t>2018gn</t>
        </is>
      </c>
      <c r="H34" t="n">
        <v>2022</v>
      </c>
      <c r="I34" t="inlineStr">
        <is>
          <t>non.fuel.cmdt.xprt.shr</t>
        </is>
      </c>
      <c r="M34" t="inlineStr">
        <is>
          <t>Share of commodity exports (non-fuel) (% of exports of G&amp;S)</t>
        </is>
      </c>
      <c r="P34" t="n">
        <v>0.2488472386271365</v>
      </c>
      <c r="Q34" t="n">
        <v>0.2210545804349136</v>
      </c>
      <c r="R34" t="n">
        <v>0.1778693370175951</v>
      </c>
      <c r="S34" t="n">
        <v>0.2316947489409609</v>
      </c>
      <c r="T34" t="n">
        <v>0.1982664271193613</v>
      </c>
      <c r="U34" t="n">
        <v>0.1374745079077704</v>
      </c>
      <c r="V34" t="n">
        <v>0.1300266859182243</v>
      </c>
      <c r="W34" t="n">
        <v>0.09428873588371416</v>
      </c>
      <c r="X34" t="n">
        <v>0.05979522816779251</v>
      </c>
      <c r="Y34" t="n">
        <v>0.07391042018694657</v>
      </c>
      <c r="Z34" t="n">
        <v>0.100311453561633</v>
      </c>
      <c r="AA34" t="n">
        <v>0.1624066303837556</v>
      </c>
      <c r="AB34" t="n">
        <v>0.1729068094403133</v>
      </c>
      <c r="AC34" t="n">
        <v>0.1403728508950144</v>
      </c>
      <c r="AD34" t="n">
        <v>0.1224272244229089</v>
      </c>
      <c r="AE34" t="n">
        <v>0.1080296593609455</v>
      </c>
      <c r="AF34" t="n">
        <v>0.1001655551970368</v>
      </c>
      <c r="AG34" t="n">
        <v>0.09907712250113064</v>
      </c>
      <c r="AH34" t="n">
        <v>0.09787668396537751</v>
      </c>
      <c r="AI34" t="n">
        <v>0.09473861584178792</v>
      </c>
      <c r="AJ34" t="n">
        <v>0.09612260155497371</v>
      </c>
      <c r="AK34" t="n">
        <v>0.09753942876745032</v>
      </c>
      <c r="AL34" t="n">
        <v>0.09908113744289294</v>
      </c>
      <c r="AM34" t="n">
        <v>0.1006751403545742</v>
      </c>
      <c r="AN34" t="n">
        <v>0.1022839192469145</v>
      </c>
      <c r="AO34" t="n">
        <v>0.1039073137133975</v>
      </c>
      <c r="AP34" t="n">
        <v>0.105545155719156</v>
      </c>
      <c r="AQ34" t="n">
        <v>0.107197269680646</v>
      </c>
      <c r="AR34" t="n">
        <v>0.1088634725560259</v>
      </c>
      <c r="AS34" t="n">
        <v>0.1105435739461923</v>
      </c>
      <c r="AT34" t="n">
        <v>0.1122373762064089</v>
      </c>
      <c r="AU34" t="n">
        <v>0.1139446745684396</v>
      </c>
      <c r="AV34" t="n">
        <v>0.1156652572730572</v>
      </c>
      <c r="AW34" t="n">
        <v>0.1181651996518465</v>
      </c>
    </row>
    <row r="35">
      <c r="A35" t="inlineStr">
        <is>
          <t>Dominica_2023_May</t>
        </is>
      </c>
      <c r="C35" t="inlineStr">
        <is>
          <t>SM.23.127, Sup. 1</t>
        </is>
      </c>
      <c r="D35" t="inlineStr">
        <is>
          <t>Dominica</t>
        </is>
      </c>
      <c r="E35" t="inlineStr">
        <is>
          <t>DMA</t>
        </is>
      </c>
      <c r="F35" s="11" t="n">
        <v>45047</v>
      </c>
      <c r="G35" t="inlineStr">
        <is>
          <t>2018gn</t>
        </is>
      </c>
      <c r="H35" t="n">
        <v>2022</v>
      </c>
      <c r="I35" t="inlineStr">
        <is>
          <t>fuel.cmdt.impt.shr</t>
        </is>
      </c>
      <c r="M35" t="inlineStr">
        <is>
          <t>Share of commodity imports (fuel) (% of imports of G&amp;S)</t>
        </is>
      </c>
      <c r="P35" t="n">
        <v>0.1226901319675999</v>
      </c>
      <c r="Q35" t="n">
        <v>0.1215386776833269</v>
      </c>
      <c r="R35" t="n">
        <v>0.1784532997876406</v>
      </c>
      <c r="S35" t="n">
        <v>0.1651534870192155</v>
      </c>
      <c r="T35" t="n">
        <v>0.1656228627527613</v>
      </c>
      <c r="U35" t="n">
        <v>0.1243356073566262</v>
      </c>
      <c r="V35" t="n">
        <v>0.08996285060360727</v>
      </c>
      <c r="W35" t="n">
        <v>0.0855651779507282</v>
      </c>
      <c r="X35" t="n">
        <v>0.09159173381154406</v>
      </c>
      <c r="Y35" t="n">
        <v>0.09027207673007133</v>
      </c>
      <c r="Z35" t="n">
        <v>0.07989021552885268</v>
      </c>
      <c r="AA35" t="n">
        <v>0.07704821994541643</v>
      </c>
      <c r="AB35" t="n">
        <v>0.1258984478056245</v>
      </c>
      <c r="AC35" t="n">
        <v>0.1505943218846969</v>
      </c>
      <c r="AD35" t="n">
        <v>0.1107625596050142</v>
      </c>
      <c r="AE35" t="n">
        <v>0.1044687198949008</v>
      </c>
      <c r="AF35" t="n">
        <v>0.09217266984847336</v>
      </c>
      <c r="AG35" t="n">
        <v>0.08550667292894618</v>
      </c>
      <c r="AH35" t="n">
        <v>0.0803593196922841</v>
      </c>
      <c r="AI35" t="n">
        <v>0.08057253848818335</v>
      </c>
      <c r="AJ35" t="n">
        <v>0.08211107448170943</v>
      </c>
      <c r="AK35" t="n">
        <v>0.08608373710045321</v>
      </c>
      <c r="AL35" t="n">
        <v>0.08258076095938278</v>
      </c>
      <c r="AM35" t="n">
        <v>0.08609785038471568</v>
      </c>
      <c r="AN35" t="n">
        <v>0.08986541009306982</v>
      </c>
      <c r="AO35" t="n">
        <v>0.09224322072009623</v>
      </c>
      <c r="AP35" t="n">
        <v>0.09427348913075219</v>
      </c>
      <c r="AQ35" t="n">
        <v>0.09633331262573928</v>
      </c>
      <c r="AR35" t="n">
        <v>0.09842261464679904</v>
      </c>
      <c r="AS35" t="n">
        <v>0.1005413136833278</v>
      </c>
      <c r="AT35" t="n">
        <v>0.102402227613668</v>
      </c>
      <c r="AU35" t="n">
        <v>0.104792937976424</v>
      </c>
      <c r="AV35" t="n">
        <v>0.1072209640124062</v>
      </c>
      <c r="AW35" t="n">
        <v>0.10990508394288</v>
      </c>
    </row>
    <row r="36">
      <c r="A36" t="inlineStr">
        <is>
          <t>Dominica_2023_May</t>
        </is>
      </c>
      <c r="C36" t="inlineStr">
        <is>
          <t>SM.23.127, Sup. 1</t>
        </is>
      </c>
      <c r="D36" t="inlineStr">
        <is>
          <t>Dominica</t>
        </is>
      </c>
      <c r="E36" t="inlineStr">
        <is>
          <t>DMA</t>
        </is>
      </c>
      <c r="F36" s="11" t="n">
        <v>45047</v>
      </c>
      <c r="G36" t="inlineStr">
        <is>
          <t>2018gn</t>
        </is>
      </c>
      <c r="H36" t="n">
        <v>2022</v>
      </c>
      <c r="I36" t="inlineStr">
        <is>
          <t>non.fuel.cmdt.impt.shr</t>
        </is>
      </c>
      <c r="M36" t="inlineStr">
        <is>
          <t>Share of commodity imports (non-fuel) (% of imports of G&amp;S)</t>
        </is>
      </c>
      <c r="P36" t="n">
        <v>0.6268399513209806</v>
      </c>
      <c r="Q36" t="n">
        <v>0.6229139126063296</v>
      </c>
      <c r="R36" t="n">
        <v>0.5383369548229534</v>
      </c>
      <c r="S36" t="n">
        <v>0.5684702031121109</v>
      </c>
      <c r="T36" t="n">
        <v>0.5675034310473523</v>
      </c>
      <c r="U36" t="n">
        <v>0.474365529662602</v>
      </c>
      <c r="V36" t="n">
        <v>0.5083840437891239</v>
      </c>
      <c r="W36" t="n">
        <v>0.4850880892101655</v>
      </c>
      <c r="X36" t="n">
        <v>0.45309990434459</v>
      </c>
      <c r="Y36" t="n">
        <v>0.5868665887994725</v>
      </c>
      <c r="Z36" t="n">
        <v>0.579556122964234</v>
      </c>
      <c r="AA36" t="n">
        <v>0.5415770108212258</v>
      </c>
      <c r="AB36" t="n">
        <v>0.532206683840161</v>
      </c>
      <c r="AC36" t="n">
        <v>0.5048199645247569</v>
      </c>
      <c r="AD36" t="n">
        <v>0.5592131305346787</v>
      </c>
      <c r="AE36" t="n">
        <v>0.5339813613473433</v>
      </c>
      <c r="AF36" t="n">
        <v>0.5510275224615652</v>
      </c>
      <c r="AG36" t="n">
        <v>0.545541102573981</v>
      </c>
      <c r="AH36" t="n">
        <v>0.5399182774166441</v>
      </c>
      <c r="AI36" t="n">
        <v>0.5345465033661573</v>
      </c>
      <c r="AJ36" t="n">
        <v>0.5301282400317254</v>
      </c>
      <c r="AK36" t="n">
        <v>0.5081472330451321</v>
      </c>
      <c r="AL36" t="n">
        <v>0.5377503597036265</v>
      </c>
      <c r="AM36" t="n">
        <v>0.5179913955213977</v>
      </c>
      <c r="AN36" t="n">
        <v>0.4968560754539194</v>
      </c>
      <c r="AO36" t="n">
        <v>0.4857696681070102</v>
      </c>
      <c r="AP36" t="n">
        <v>0.4897761735498835</v>
      </c>
      <c r="AQ36" t="n">
        <v>0.493770836240307</v>
      </c>
      <c r="AR36" t="n">
        <v>0.4977519878521479</v>
      </c>
      <c r="AS36" t="n">
        <v>0.5017179472332907</v>
      </c>
      <c r="AT36" t="n">
        <v>0.5074014104688285</v>
      </c>
      <c r="AU36" t="n">
        <v>0.5100297287947005</v>
      </c>
      <c r="AV36" t="n">
        <v>0.5126592274044255</v>
      </c>
      <c r="AW36" t="n">
        <v>0.5140696438131473</v>
      </c>
    </row>
    <row r="37">
      <c r="A37" t="inlineStr">
        <is>
          <t>Dominica_2023_May</t>
        </is>
      </c>
      <c r="C37" t="inlineStr">
        <is>
          <t>SM.23.127, Sup. 1</t>
        </is>
      </c>
      <c r="D37" t="inlineStr">
        <is>
          <t>Dominica</t>
        </is>
      </c>
      <c r="E37" t="inlineStr">
        <is>
          <t>DMA</t>
        </is>
      </c>
      <c r="F37" s="11" t="n">
        <v>45047</v>
      </c>
      <c r="G37" t="inlineStr">
        <is>
          <t>2018gn</t>
        </is>
      </c>
      <c r="H37" t="n">
        <v>2022</v>
      </c>
      <c r="I37" t="inlineStr">
        <is>
          <t>fuel.cmdt.impt.shr.2xprt</t>
        </is>
      </c>
      <c r="M37" t="inlineStr">
        <is>
          <t>Share of commodity imports (fuel) (% of exports of G&amp;S)</t>
        </is>
      </c>
      <c r="P37" t="n">
        <v>0.2193142073773587</v>
      </c>
      <c r="Q37" t="n">
        <v>0.1830347677161879</v>
      </c>
      <c r="R37" t="n">
        <v>0.2204545587859051</v>
      </c>
      <c r="S37" t="n">
        <v>0.2605939040510616</v>
      </c>
      <c r="T37" t="n">
        <v>0.2085943873036974</v>
      </c>
      <c r="U37" t="n">
        <v>0.150217289363916</v>
      </c>
      <c r="V37" t="n">
        <v>0.109505923695503</v>
      </c>
      <c r="W37" t="n">
        <v>0.1045325403398817</v>
      </c>
      <c r="X37" t="n">
        <v>0.1347018467948856</v>
      </c>
      <c r="Y37" t="n">
        <v>0.2422874572418381</v>
      </c>
      <c r="Z37" t="n">
        <v>0.161171284819405</v>
      </c>
      <c r="AA37" t="n">
        <v>0.245062569326513</v>
      </c>
      <c r="AB37" t="n">
        <v>0.3141219527372034</v>
      </c>
      <c r="AC37" t="n">
        <v>0.3371251599870335</v>
      </c>
      <c r="AD37" t="n">
        <v>0.2344872179833566</v>
      </c>
      <c r="AE37" t="n">
        <v>0.1832092491934747</v>
      </c>
      <c r="AF37" t="n">
        <v>0.1515148891504582</v>
      </c>
      <c r="AG37" t="n">
        <v>0.1361561452972458</v>
      </c>
      <c r="AH37" t="n">
        <v>0.1239904838285233</v>
      </c>
      <c r="AI37" t="n">
        <v>0.1193564593976809</v>
      </c>
      <c r="AJ37" t="n">
        <v>0.1229642201596108</v>
      </c>
      <c r="AK37" t="n">
        <v>0.1265100992971854</v>
      </c>
      <c r="AL37" t="n">
        <v>0.1292426363373979</v>
      </c>
      <c r="AM37" t="n">
        <v>0.1320708399925519</v>
      </c>
      <c r="AN37" t="n">
        <v>0.1349465872179862</v>
      </c>
      <c r="AO37" t="n">
        <v>0.1378702410622662</v>
      </c>
      <c r="AP37" t="n">
        <v>0.1408421238959803</v>
      </c>
      <c r="AQ37" t="n">
        <v>0.1438625789643035</v>
      </c>
      <c r="AR37" t="n">
        <v>0.1469319196145627</v>
      </c>
      <c r="AS37" t="n">
        <v>0.1500504659960311</v>
      </c>
      <c r="AT37" t="n">
        <v>0.1532184940523227</v>
      </c>
      <c r="AU37" t="n">
        <v>0.1564363225812633</v>
      </c>
      <c r="AV37" t="n">
        <v>0.1597041993323095</v>
      </c>
      <c r="AW37" t="n">
        <v>0.1640865040597329</v>
      </c>
    </row>
    <row r="38">
      <c r="A38" t="inlineStr">
        <is>
          <t>Dominica_2023_May</t>
        </is>
      </c>
      <c r="C38" t="inlineStr">
        <is>
          <t>SM.23.127, Sup. 1</t>
        </is>
      </c>
      <c r="D38" t="inlineStr">
        <is>
          <t>Dominica</t>
        </is>
      </c>
      <c r="E38" t="inlineStr">
        <is>
          <t>DMA</t>
        </is>
      </c>
      <c r="F38" s="11" t="n">
        <v>45047</v>
      </c>
      <c r="G38" t="inlineStr">
        <is>
          <t>2018gn</t>
        </is>
      </c>
      <c r="H38" t="n">
        <v>2022</v>
      </c>
      <c r="I38" t="inlineStr">
        <is>
          <t>non.fuel.cmdt.impt.shr.2xprt</t>
        </is>
      </c>
      <c r="M38" t="inlineStr">
        <is>
          <t>Share of commodity imports (non-fuel) (% of exports of G&amp;S)</t>
        </is>
      </c>
      <c r="P38" t="n">
        <v>1.120505006162415</v>
      </c>
      <c r="Q38" t="n">
        <v>0.9380956373258477</v>
      </c>
      <c r="R38" t="n">
        <v>0.6650414197712773</v>
      </c>
      <c r="S38" t="n">
        <v>0.8969829958749158</v>
      </c>
      <c r="T38" t="n">
        <v>0.7147445016016962</v>
      </c>
      <c r="U38" t="n">
        <v>0.5731093895669686</v>
      </c>
      <c r="V38" t="n">
        <v>0.6188228133463658</v>
      </c>
      <c r="W38" t="n">
        <v>0.5926182995021307</v>
      </c>
      <c r="X38" t="n">
        <v>0.6663635609670023</v>
      </c>
      <c r="Y38" t="n">
        <v>1.575131742737999</v>
      </c>
      <c r="Z38" t="n">
        <v>1.169202064918251</v>
      </c>
      <c r="AA38" t="n">
        <v>1.722560934620499</v>
      </c>
      <c r="AB38" t="n">
        <v>1.327878188345656</v>
      </c>
      <c r="AC38" t="n">
        <v>1.130105764780175</v>
      </c>
      <c r="AD38" t="n">
        <v>1.183868734222573</v>
      </c>
      <c r="AE38" t="n">
        <v>0.9364556624621898</v>
      </c>
      <c r="AF38" t="n">
        <v>0.9057877364501496</v>
      </c>
      <c r="AG38" t="n">
        <v>0.8686897885666346</v>
      </c>
      <c r="AH38" t="n">
        <v>0.8330673865968584</v>
      </c>
      <c r="AI38" t="n">
        <v>0.7918526488345912</v>
      </c>
      <c r="AJ38" t="n">
        <v>0.7938856729320808</v>
      </c>
      <c r="AK38" t="n">
        <v>0.746781669516892</v>
      </c>
      <c r="AL38" t="n">
        <v>0.8416037025096474</v>
      </c>
      <c r="AM38" t="n">
        <v>0.7945791725314638</v>
      </c>
      <c r="AN38" t="n">
        <v>0.7461049991491584</v>
      </c>
      <c r="AO38" t="n">
        <v>0.726049900684568</v>
      </c>
      <c r="AP38" t="n">
        <v>0.7317127768628441</v>
      </c>
      <c r="AQ38" t="n">
        <v>0.7373892164890788</v>
      </c>
      <c r="AR38" t="n">
        <v>0.7430777502664034</v>
      </c>
      <c r="AS38" t="n">
        <v>0.7487768860673958</v>
      </c>
      <c r="AT38" t="n">
        <v>0.759195203109836</v>
      </c>
      <c r="AU38" t="n">
        <v>0.7613793135345845</v>
      </c>
      <c r="AV38" t="n">
        <v>0.7635990983393024</v>
      </c>
      <c r="AW38" t="n">
        <v>0.7674976231342572</v>
      </c>
    </row>
    <row r="39">
      <c r="A39" t="inlineStr">
        <is>
          <t>Dominica_2023_May</t>
        </is>
      </c>
      <c r="C39" t="inlineStr">
        <is>
          <t>SM.23.127, Sup. 1</t>
        </is>
      </c>
      <c r="D39" t="inlineStr">
        <is>
          <t>Dominica</t>
        </is>
      </c>
      <c r="E39" t="inlineStr">
        <is>
          <t>DMA</t>
        </is>
      </c>
      <c r="F39" s="11" t="n">
        <v>45047</v>
      </c>
      <c r="G39" t="inlineStr">
        <is>
          <t>2018gn</t>
        </is>
      </c>
      <c r="H39" t="n">
        <v>2022</v>
      </c>
    </row>
    <row r="40">
      <c r="A40" t="inlineStr">
        <is>
          <t>Dominica_2023_May</t>
        </is>
      </c>
      <c r="C40" t="inlineStr">
        <is>
          <t>SM.23.127, Sup. 1</t>
        </is>
      </c>
      <c r="D40" t="inlineStr">
        <is>
          <t>Dominica</t>
        </is>
      </c>
      <c r="E40" t="inlineStr">
        <is>
          <t>DMA</t>
        </is>
      </c>
      <c r="F40" s="11" t="n">
        <v>45047</v>
      </c>
      <c r="G40" t="inlineStr">
        <is>
          <t>2018gn</t>
        </is>
      </c>
      <c r="H40" t="n">
        <v>2022</v>
      </c>
      <c r="I40" t="inlineStr">
        <is>
          <t>prm.bal</t>
        </is>
      </c>
      <c r="K40" t="inlineStr">
        <is>
          <t>National Currency</t>
        </is>
      </c>
      <c r="L40" t="inlineStr">
        <is>
          <t>Million</t>
        </is>
      </c>
      <c r="M40" t="inlineStr">
        <is>
          <t>Public sector primary balance</t>
        </is>
      </c>
      <c r="P40" t="n">
        <v>239.2876584051805</v>
      </c>
      <c r="Q40" t="n">
        <v>-54.05878426000004</v>
      </c>
      <c r="R40" t="n">
        <v>-44.894364673062</v>
      </c>
      <c r="S40" t="n">
        <v>-52.02620079718793</v>
      </c>
      <c r="T40" t="n">
        <v>113.199785422123</v>
      </c>
      <c r="U40" t="n">
        <v>68.43027197701906</v>
      </c>
      <c r="V40" t="n">
        <v>204.839965738188</v>
      </c>
      <c r="W40" t="n">
        <v>201.3211266951361</v>
      </c>
      <c r="X40" t="n">
        <v>-18.77184610505401</v>
      </c>
      <c r="Y40" t="n">
        <v>-235.206045645744</v>
      </c>
      <c r="Z40" t="n">
        <v>-84.02195219294208</v>
      </c>
      <c r="AA40" t="n">
        <v>-76.66930215293416</v>
      </c>
      <c r="AB40" t="n">
        <v>-96.82660416657995</v>
      </c>
      <c r="AC40" t="n">
        <v>-35.95500371839069</v>
      </c>
      <c r="AD40" t="n">
        <v>-27.56701465197568</v>
      </c>
      <c r="AE40" t="n">
        <v>-10.06055104396592</v>
      </c>
      <c r="AF40" t="n">
        <v>-14.05757835126769</v>
      </c>
      <c r="AG40" t="n">
        <v>-11.64985973710486</v>
      </c>
      <c r="AH40" t="n">
        <v>-4.07166520597093</v>
      </c>
      <c r="AI40" t="n">
        <v>-6.334828072668188</v>
      </c>
      <c r="AJ40" t="n">
        <v>1.450107948984851</v>
      </c>
      <c r="AK40" t="n">
        <v>28.07556960611601</v>
      </c>
      <c r="AL40" t="n">
        <v>61.5536122055064</v>
      </c>
      <c r="AM40" t="n">
        <v>84.22564046610023</v>
      </c>
      <c r="AN40" t="n">
        <v>111.9150904636547</v>
      </c>
      <c r="AO40" t="n">
        <v>112.3433801156712</v>
      </c>
      <c r="AP40" t="n">
        <v>113.3422055844283</v>
      </c>
      <c r="AQ40" t="n">
        <v>114.3278720522062</v>
      </c>
      <c r="AR40" t="n">
        <v>115.0660053277611</v>
      </c>
      <c r="AS40" t="n">
        <v>116.2820042664518</v>
      </c>
      <c r="AT40" t="n">
        <v>117.8743599225941</v>
      </c>
      <c r="AU40" t="n">
        <v>110.0443010103452</v>
      </c>
      <c r="AV40" t="n">
        <v>112.1842286646686</v>
      </c>
      <c r="AW40" t="n">
        <v>103.9289233733832</v>
      </c>
    </row>
    <row r="41">
      <c r="A41" t="inlineStr">
        <is>
          <t>Dominica_2023_May</t>
        </is>
      </c>
      <c r="C41" t="inlineStr">
        <is>
          <t>SM.23.127, Sup. 1</t>
        </is>
      </c>
      <c r="D41" t="inlineStr">
        <is>
          <t>Dominica</t>
        </is>
      </c>
      <c r="E41" t="inlineStr">
        <is>
          <t>DMA</t>
        </is>
      </c>
      <c r="F41" s="11" t="n">
        <v>45047</v>
      </c>
      <c r="G41" t="inlineStr">
        <is>
          <t>2018gn</t>
        </is>
      </c>
      <c r="H41" t="n">
        <v>2022</v>
      </c>
      <c r="I41" t="inlineStr">
        <is>
          <t>ovrl.bal.rev.all</t>
        </is>
      </c>
      <c r="K41" t="inlineStr">
        <is>
          <t>National Currency</t>
        </is>
      </c>
      <c r="L41" t="inlineStr">
        <is>
          <t>Million</t>
        </is>
      </c>
      <c r="M41" t="inlineStr">
        <is>
          <t>Public sector revenues (including grants)</t>
        </is>
      </c>
      <c r="P41" t="n">
        <v>584.4759798300649</v>
      </c>
      <c r="Q41" t="n">
        <v>598.4671832499999</v>
      </c>
      <c r="R41" t="n">
        <v>534.62272742</v>
      </c>
      <c r="S41" t="n">
        <v>530.372739976961</v>
      </c>
      <c r="T41" t="n">
        <v>547.512945243</v>
      </c>
      <c r="U41" t="n">
        <v>516.6642362359891</v>
      </c>
      <c r="V41" t="n">
        <v>789.042915193778</v>
      </c>
      <c r="W41" t="n">
        <v>1015.5129267491</v>
      </c>
      <c r="X41" t="n">
        <v>860.345362367745</v>
      </c>
      <c r="Y41" t="n">
        <v>836.927839845806</v>
      </c>
      <c r="Z41" t="n">
        <v>733.830888968414</v>
      </c>
      <c r="AA41" t="n">
        <v>965.448798346646</v>
      </c>
      <c r="AB41" t="n">
        <v>1046.99168542257</v>
      </c>
      <c r="AC41" t="n">
        <v>921.878303983901</v>
      </c>
      <c r="AD41" t="n">
        <v>1022.09382740794</v>
      </c>
      <c r="AE41" t="n">
        <v>1055.18930237045</v>
      </c>
      <c r="AF41" t="n">
        <v>1090.72301719493</v>
      </c>
      <c r="AG41" t="n">
        <v>1138.12240457612</v>
      </c>
      <c r="AH41" t="n">
        <v>1188.16020643131</v>
      </c>
      <c r="AI41" t="n">
        <v>1242.19998874849</v>
      </c>
      <c r="AJ41" t="n">
        <v>1295.02845361898</v>
      </c>
      <c r="AK41" t="n">
        <v>1351.04735997549</v>
      </c>
      <c r="AL41" t="n">
        <v>1410.2038917724</v>
      </c>
      <c r="AM41" t="n">
        <v>1458.16940532109</v>
      </c>
      <c r="AN41" t="n">
        <v>1510.19601045991</v>
      </c>
      <c r="AO41" t="n">
        <v>1567.21450916376</v>
      </c>
      <c r="AP41" t="n">
        <v>1627.08796368434</v>
      </c>
      <c r="AQ41" t="n">
        <v>1689.33031491159</v>
      </c>
      <c r="AR41" t="n">
        <v>1754.03685705532</v>
      </c>
      <c r="AS41" t="n">
        <v>1821.76362156</v>
      </c>
      <c r="AT41" t="n">
        <v>1891.81767202892</v>
      </c>
      <c r="AU41" t="n">
        <v>1955.67019056586</v>
      </c>
      <c r="AV41" t="n">
        <v>2032.68317552354</v>
      </c>
      <c r="AW41" t="n">
        <v>2098.17289764288</v>
      </c>
    </row>
    <row r="42">
      <c r="A42" t="inlineStr">
        <is>
          <t>Dominica_2023_May</t>
        </is>
      </c>
      <c r="C42" t="inlineStr">
        <is>
          <t>SM.23.127, Sup. 1</t>
        </is>
      </c>
      <c r="D42" t="inlineStr">
        <is>
          <t>Dominica</t>
        </is>
      </c>
      <c r="E42" t="inlineStr">
        <is>
          <t>DMA</t>
        </is>
      </c>
      <c r="F42" s="11" t="n">
        <v>45047</v>
      </c>
      <c r="G42" t="inlineStr">
        <is>
          <t>2018gn</t>
        </is>
      </c>
      <c r="H42" t="n">
        <v>2022</v>
      </c>
      <c r="I42" t="inlineStr">
        <is>
          <t>ovrl.bal.rev.grt</t>
        </is>
      </c>
      <c r="K42" t="inlineStr">
        <is>
          <t>National Currency</t>
        </is>
      </c>
      <c r="L42" t="inlineStr">
        <is>
          <t>Million</t>
        </is>
      </c>
      <c r="M42" t="inlineStr">
        <is>
          <t>Public sector grants</t>
        </is>
      </c>
      <c r="P42" t="n">
        <v>114.14025421</v>
      </c>
      <c r="Q42" t="n">
        <v>126.85867312</v>
      </c>
      <c r="R42" t="n">
        <v>64.05162593</v>
      </c>
      <c r="S42" t="n">
        <v>35.855471576961</v>
      </c>
      <c r="T42" t="n">
        <v>43.949264</v>
      </c>
      <c r="U42" t="n">
        <v>28.7</v>
      </c>
      <c r="V42" t="n">
        <v>30.94431532</v>
      </c>
      <c r="W42" t="n">
        <v>15.05420126</v>
      </c>
      <c r="X42" t="n">
        <v>65.505583</v>
      </c>
      <c r="Y42" t="n">
        <v>13.73409221</v>
      </c>
      <c r="Z42" t="n">
        <v>29.00446482</v>
      </c>
      <c r="AA42" t="n">
        <v>35.00313839</v>
      </c>
      <c r="AB42" t="n">
        <v>86.70348203</v>
      </c>
      <c r="AC42" t="n">
        <v>43.811775493633</v>
      </c>
      <c r="AD42" t="n">
        <v>47.7597289742121</v>
      </c>
      <c r="AE42" t="n">
        <v>50.9548305309668</v>
      </c>
      <c r="AF42" t="n">
        <v>53.8048780020184</v>
      </c>
      <c r="AG42" t="n">
        <v>56.3986478998865</v>
      </c>
      <c r="AH42" t="n">
        <v>59.0602009349796</v>
      </c>
      <c r="AI42" t="n">
        <v>61.8406717546778</v>
      </c>
      <c r="AJ42" t="n">
        <v>64.7189987521709</v>
      </c>
      <c r="AK42" t="n">
        <v>64.1797689820865</v>
      </c>
      <c r="AL42" t="n">
        <v>66.8159589006688</v>
      </c>
      <c r="AM42" t="n">
        <v>69.5153251107424</v>
      </c>
      <c r="AN42" t="n">
        <v>72.3237439248207</v>
      </c>
      <c r="AO42" t="n">
        <v>75.2456228460437</v>
      </c>
      <c r="AP42" t="n">
        <v>78.2855456622173</v>
      </c>
      <c r="AQ42" t="n">
        <v>81.44828134615319</v>
      </c>
      <c r="AR42" t="n">
        <v>84.7387915371433</v>
      </c>
      <c r="AS42" t="n">
        <v>88.1622383246833</v>
      </c>
      <c r="AT42" t="n">
        <v>91.7239923466613</v>
      </c>
      <c r="AU42" t="n">
        <v>95.4296412147111</v>
      </c>
      <c r="AV42" t="n">
        <v>99.2849982799509</v>
      </c>
      <c r="AW42" t="n">
        <v>103.296111752857</v>
      </c>
    </row>
    <row r="43">
      <c r="A43" t="inlineStr">
        <is>
          <t>Dominica_2023_May</t>
        </is>
      </c>
      <c r="C43" t="inlineStr">
        <is>
          <t>SM.23.127, Sup. 1</t>
        </is>
      </c>
      <c r="D43" t="inlineStr">
        <is>
          <t>Dominica</t>
        </is>
      </c>
      <c r="E43" t="inlineStr">
        <is>
          <t>DMA</t>
        </is>
      </c>
      <c r="F43" s="11" t="n">
        <v>45047</v>
      </c>
      <c r="G43" t="inlineStr">
        <is>
          <t>2018gn</t>
        </is>
      </c>
      <c r="H43" t="n">
        <v>2022</v>
      </c>
      <c r="I43" t="inlineStr">
        <is>
          <t>ovrl.bal.rev.prvtz</t>
        </is>
      </c>
      <c r="K43" t="inlineStr">
        <is>
          <t>National Currency</t>
        </is>
      </c>
      <c r="L43" t="inlineStr">
        <is>
          <t>Million</t>
        </is>
      </c>
      <c r="M43" t="inlineStr">
        <is>
          <t>Privatization receipts</t>
        </is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</row>
    <row r="44">
      <c r="A44" t="inlineStr">
        <is>
          <t>Dominica_2023_May</t>
        </is>
      </c>
      <c r="C44" t="inlineStr">
        <is>
          <t>SM.23.127, Sup. 1</t>
        </is>
      </c>
      <c r="D44" t="inlineStr">
        <is>
          <t>Dominica</t>
        </is>
      </c>
      <c r="E44" t="inlineStr">
        <is>
          <t>DMA</t>
        </is>
      </c>
      <c r="F44" s="11" t="n">
        <v>45047</v>
      </c>
      <c r="G44" t="inlineStr">
        <is>
          <t>2018gn</t>
        </is>
      </c>
      <c r="H44" t="n">
        <v>2022</v>
      </c>
      <c r="I44" t="inlineStr">
        <is>
          <t>ovrl.bal.prm.exp</t>
        </is>
      </c>
      <c r="K44" t="inlineStr">
        <is>
          <t>National Currency</t>
        </is>
      </c>
      <c r="L44" t="inlineStr">
        <is>
          <t>Million</t>
        </is>
      </c>
      <c r="M44" t="inlineStr">
        <is>
          <t xml:space="preserve">Public sector PRIMARY expenditure </t>
        </is>
      </c>
      <c r="P44" t="n">
        <v>345.1883214248844</v>
      </c>
      <c r="Q44" t="n">
        <v>652.52596751</v>
      </c>
      <c r="R44" t="n">
        <v>579.517092093062</v>
      </c>
      <c r="S44" t="n">
        <v>582.398940774149</v>
      </c>
      <c r="T44" t="n">
        <v>434.313159820877</v>
      </c>
      <c r="U44" t="n">
        <v>448.23396425897</v>
      </c>
      <c r="V44" t="n">
        <v>584.20294945559</v>
      </c>
      <c r="W44" t="n">
        <v>814.1918000539639</v>
      </c>
      <c r="X44" t="n">
        <v>879.117208472799</v>
      </c>
      <c r="Y44" t="n">
        <v>1072.13388549155</v>
      </c>
      <c r="Z44" t="n">
        <v>817.8528411613561</v>
      </c>
      <c r="AA44" t="n">
        <v>1042.11810049958</v>
      </c>
      <c r="AB44" t="n">
        <v>1143.81828958915</v>
      </c>
      <c r="AC44" t="n">
        <v>957.8333077022917</v>
      </c>
      <c r="AD44" t="n">
        <v>1049.660842059916</v>
      </c>
      <c r="AE44" t="n">
        <v>1065.249853414416</v>
      </c>
      <c r="AF44" t="n">
        <v>1104.780595546198</v>
      </c>
      <c r="AG44" t="n">
        <v>1149.772264313225</v>
      </c>
      <c r="AH44" t="n">
        <v>1192.231871637281</v>
      </c>
      <c r="AI44" t="n">
        <v>1248.534816821158</v>
      </c>
      <c r="AJ44" t="n">
        <v>1293.578345669995</v>
      </c>
      <c r="AK44" t="n">
        <v>1322.971790369374</v>
      </c>
      <c r="AL44" t="n">
        <v>1348.650279566894</v>
      </c>
      <c r="AM44" t="n">
        <v>1373.94376485499</v>
      </c>
      <c r="AN44" t="n">
        <v>1398.280919996255</v>
      </c>
      <c r="AO44" t="n">
        <v>1454.871129048089</v>
      </c>
      <c r="AP44" t="n">
        <v>1513.745758099912</v>
      </c>
      <c r="AQ44" t="n">
        <v>1575.002442859384</v>
      </c>
      <c r="AR44" t="n">
        <v>1638.970851727559</v>
      </c>
      <c r="AS44" t="n">
        <v>1705.481617293548</v>
      </c>
      <c r="AT44" t="n">
        <v>1773.943312106326</v>
      </c>
      <c r="AU44" t="n">
        <v>1845.625889555515</v>
      </c>
      <c r="AV44" t="n">
        <v>1920.498946858871</v>
      </c>
      <c r="AW44" t="n">
        <v>1994.243974269497</v>
      </c>
    </row>
    <row r="45">
      <c r="A45" t="inlineStr">
        <is>
          <t>Dominica_2023_May</t>
        </is>
      </c>
      <c r="C45" t="inlineStr">
        <is>
          <t>SM.23.127, Sup. 1</t>
        </is>
      </c>
      <c r="D45" t="inlineStr">
        <is>
          <t>Dominica</t>
        </is>
      </c>
      <c r="E45" t="inlineStr">
        <is>
          <t>DMA</t>
        </is>
      </c>
      <c r="F45" s="11" t="n">
        <v>45047</v>
      </c>
      <c r="G45" t="inlineStr">
        <is>
          <t>2018gn</t>
        </is>
      </c>
      <c r="H45" t="n">
        <v>2022</v>
      </c>
      <c r="I45" t="inlineStr">
        <is>
          <t>ovrl.bal.int.exp</t>
        </is>
      </c>
      <c r="K45" t="inlineStr">
        <is>
          <t>National Currency</t>
        </is>
      </c>
      <c r="L45" t="inlineStr">
        <is>
          <t>Million</t>
        </is>
      </c>
      <c r="M45" t="inlineStr">
        <is>
          <t xml:space="preserve">Public sector interest expenditure </t>
        </is>
      </c>
      <c r="P45" t="n">
        <v>17.62919999999999</v>
      </c>
      <c r="Q45" t="n">
        <v>11.6411793</v>
      </c>
      <c r="R45" t="n">
        <v>11.71146100000001</v>
      </c>
      <c r="S45" t="n">
        <v>40.07163509999992</v>
      </c>
      <c r="T45" t="n">
        <v>15.57704260000001</v>
      </c>
      <c r="U45" t="n">
        <v>17.65373759999999</v>
      </c>
      <c r="V45" t="n">
        <v>20.78757650000001</v>
      </c>
      <c r="W45" t="n">
        <v>21.023781</v>
      </c>
      <c r="X45" t="n">
        <v>21.87894191999999</v>
      </c>
      <c r="Y45" t="n">
        <v>21.10047460999999</v>
      </c>
      <c r="Z45" t="n">
        <v>20.41002247000001</v>
      </c>
      <c r="AA45" t="n">
        <v>17.88321389999999</v>
      </c>
      <c r="AB45" t="n">
        <v>18.31145579999999</v>
      </c>
      <c r="AC45" t="n">
        <v>54.82920762575198</v>
      </c>
      <c r="AD45" t="n">
        <v>82.95813020075087</v>
      </c>
      <c r="AE45" t="n">
        <v>96.37169784265417</v>
      </c>
      <c r="AF45" t="n">
        <v>93.49015382057974</v>
      </c>
      <c r="AG45" t="n">
        <v>89.71800931183905</v>
      </c>
      <c r="AH45" t="n">
        <v>88.86029986640357</v>
      </c>
      <c r="AI45" t="n">
        <v>89.77984893050927</v>
      </c>
      <c r="AJ45" t="n">
        <v>94.08374644181431</v>
      </c>
      <c r="AK45" t="n">
        <v>95.54915561745159</v>
      </c>
      <c r="AL45" t="n">
        <v>97.01773651488624</v>
      </c>
      <c r="AM45" t="n">
        <v>89.22010755498252</v>
      </c>
      <c r="AN45" t="n">
        <v>88.01481567017152</v>
      </c>
      <c r="AO45" t="n">
        <v>86.86694081169789</v>
      </c>
      <c r="AP45" t="n">
        <v>83.67847243917637</v>
      </c>
      <c r="AQ45" t="n">
        <v>81.95618077136379</v>
      </c>
      <c r="AR45" t="n">
        <v>76.6547129994354</v>
      </c>
      <c r="AS45" t="n">
        <v>76.10622359143508</v>
      </c>
      <c r="AT45" t="n">
        <v>70.09667429719184</v>
      </c>
      <c r="AU45" t="n">
        <v>71.31259640920531</v>
      </c>
      <c r="AV45" t="n">
        <v>78.39062244601251</v>
      </c>
      <c r="AW45" t="n">
        <v>91.91287121198394</v>
      </c>
    </row>
    <row r="46">
      <c r="A46" t="inlineStr">
        <is>
          <t>Dominica_2023_May</t>
        </is>
      </c>
      <c r="C46" t="inlineStr">
        <is>
          <t>SM.23.127, Sup. 1</t>
        </is>
      </c>
      <c r="D46" t="inlineStr">
        <is>
          <t>Dominica</t>
        </is>
      </c>
      <c r="E46" t="inlineStr">
        <is>
          <t>DMA</t>
        </is>
      </c>
      <c r="F46" s="11" t="n">
        <v>45047</v>
      </c>
      <c r="G46" t="inlineStr">
        <is>
          <t>2018gn</t>
        </is>
      </c>
      <c r="H46" t="n">
        <v>2022</v>
      </c>
      <c r="I46" t="inlineStr">
        <is>
          <t>pub.sec.asset</t>
        </is>
      </c>
      <c r="K46" t="inlineStr">
        <is>
          <t>National Currency</t>
        </is>
      </c>
      <c r="L46" t="inlineStr">
        <is>
          <t>Million</t>
        </is>
      </c>
      <c r="M46" t="inlineStr">
        <is>
          <t>Public Sector Assets (e.g. Deposits)</t>
        </is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57.3645</v>
      </c>
      <c r="V46" t="n">
        <v>166.81725</v>
      </c>
      <c r="W46" t="n">
        <v>306.349589317</v>
      </c>
      <c r="X46" t="n">
        <v>352.7480601568</v>
      </c>
      <c r="Y46" t="n">
        <v>197.05884</v>
      </c>
      <c r="Z46" t="n">
        <v>197.96406</v>
      </c>
      <c r="AA46" t="n">
        <v>230.27284463</v>
      </c>
      <c r="AB46" t="n">
        <v>187.1906</v>
      </c>
      <c r="AC46" t="n">
        <v>137.1906</v>
      </c>
      <c r="AD46" t="n">
        <v>97.1906</v>
      </c>
      <c r="AE46" t="n">
        <v>67.1906</v>
      </c>
      <c r="AF46" t="n">
        <v>57.1906</v>
      </c>
      <c r="AG46" t="n">
        <v>52.1906</v>
      </c>
      <c r="AH46" t="n">
        <v>50.1906</v>
      </c>
      <c r="AI46" t="n">
        <v>50.1906</v>
      </c>
      <c r="AJ46" t="n">
        <v>50.1906</v>
      </c>
      <c r="AK46" t="n">
        <v>50.1906</v>
      </c>
      <c r="AL46" t="n">
        <v>50.1906</v>
      </c>
      <c r="AM46" t="n">
        <v>50.1906</v>
      </c>
      <c r="AN46" t="n">
        <v>50.1906</v>
      </c>
      <c r="AO46" t="n">
        <v>50.1906</v>
      </c>
      <c r="AP46" t="n">
        <v>50.1906</v>
      </c>
      <c r="AQ46" t="n">
        <v>50.1906</v>
      </c>
      <c r="AR46" t="n">
        <v>50.1906</v>
      </c>
      <c r="AS46" t="n">
        <v>50.1906</v>
      </c>
      <c r="AT46" t="n">
        <v>50.1906</v>
      </c>
      <c r="AU46" t="n">
        <v>50.1906</v>
      </c>
      <c r="AV46" t="n">
        <v>50.1906</v>
      </c>
      <c r="AW46" t="n">
        <v>50.1906</v>
      </c>
    </row>
    <row r="47">
      <c r="A47" t="inlineStr">
        <is>
          <t>Dominica_2023_May</t>
        </is>
      </c>
      <c r="C47" t="inlineStr">
        <is>
          <t>SM.23.127, Sup. 1</t>
        </is>
      </c>
      <c r="D47" t="inlineStr">
        <is>
          <t>Dominica</t>
        </is>
      </c>
      <c r="E47" t="inlineStr">
        <is>
          <t>DMA</t>
        </is>
      </c>
      <c r="F47" s="11" t="n">
        <v>45047</v>
      </c>
      <c r="G47" t="inlineStr">
        <is>
          <t>2018gn</t>
        </is>
      </c>
      <c r="H47" t="n">
        <v>2022</v>
      </c>
      <c r="I47" t="inlineStr">
        <is>
          <t>recog.conting.liab</t>
        </is>
      </c>
      <c r="K47" t="inlineStr">
        <is>
          <t>National Currency</t>
        </is>
      </c>
      <c r="L47" t="inlineStr">
        <is>
          <t>Million</t>
        </is>
      </c>
      <c r="M47" t="inlineStr">
        <is>
          <t>Recognition of contingent liabilities (e.g., bank recapitalization)</t>
        </is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</row>
    <row r="48">
      <c r="A48" t="inlineStr">
        <is>
          <t>Dominica_2023_May</t>
        </is>
      </c>
      <c r="C48" t="inlineStr">
        <is>
          <t>SM.23.127, Sup. 1</t>
        </is>
      </c>
      <c r="D48" t="inlineStr">
        <is>
          <t>Dominica</t>
        </is>
      </c>
      <c r="E48" t="inlineStr">
        <is>
          <t>DMA</t>
        </is>
      </c>
      <c r="F48" s="11" t="n">
        <v>45047</v>
      </c>
      <c r="G48" t="inlineStr">
        <is>
          <t>2018gn</t>
        </is>
      </c>
      <c r="H48" t="n">
        <v>2022</v>
      </c>
      <c r="I48" t="inlineStr">
        <is>
          <t>oth.dbt.crtg.flw</t>
        </is>
      </c>
      <c r="K48" t="inlineStr">
        <is>
          <t>National Currency</t>
        </is>
      </c>
      <c r="L48" t="inlineStr">
        <is>
          <t>Million</t>
        </is>
      </c>
      <c r="M48" t="inlineStr">
        <is>
          <t>Other debt creating or reducing flow (please specify)</t>
        </is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</row>
    <row r="49">
      <c r="A49" t="inlineStr">
        <is>
          <t>Dominica_2023_May</t>
        </is>
      </c>
      <c r="C49" t="inlineStr">
        <is>
          <t>SM.23.127, Sup. 1</t>
        </is>
      </c>
      <c r="D49" t="inlineStr">
        <is>
          <t>Dominica</t>
        </is>
      </c>
      <c r="E49" t="inlineStr">
        <is>
          <t>DMA</t>
        </is>
      </c>
      <c r="F49" s="11" t="n">
        <v>45047</v>
      </c>
      <c r="G49" t="inlineStr">
        <is>
          <t>2018gn</t>
        </is>
      </c>
      <c r="H49" t="n">
        <v>2022</v>
      </c>
      <c r="I49" t="inlineStr">
        <is>
          <t>dbt.rlf</t>
        </is>
      </c>
      <c r="K49" t="inlineStr">
        <is>
          <t>National Currency</t>
        </is>
      </c>
      <c r="L49" t="inlineStr">
        <is>
          <t>Million</t>
        </is>
      </c>
      <c r="M49" t="inlineStr">
        <is>
          <t>Debt relief</t>
        </is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</row>
    <row r="50">
      <c r="A50" t="inlineStr">
        <is>
          <t>Dominica_2023_May</t>
        </is>
      </c>
      <c r="C50" t="inlineStr">
        <is>
          <t>SM.23.127, Sup. 1</t>
        </is>
      </c>
      <c r="D50" t="inlineStr">
        <is>
          <t>Dominica</t>
        </is>
      </c>
      <c r="E50" t="inlineStr">
        <is>
          <t>DMA</t>
        </is>
      </c>
      <c r="F50" s="11" t="n">
        <v>45047</v>
      </c>
      <c r="G50" t="inlineStr">
        <is>
          <t>2018gn</t>
        </is>
      </c>
      <c r="H50" t="n">
        <v>2022</v>
      </c>
      <c r="I50" t="inlineStr">
        <is>
          <t>css.loan</t>
        </is>
      </c>
      <c r="K50" t="inlineStr">
        <is>
          <t>US Dollars</t>
        </is>
      </c>
      <c r="L50" t="inlineStr">
        <is>
          <t>Million</t>
        </is>
      </c>
      <c r="M50" t="inlineStr">
        <is>
          <t>Concessional loans</t>
        </is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16.5185185185185</v>
      </c>
      <c r="AD50" t="n">
        <v>19.820478</v>
      </c>
      <c r="AE50" t="n">
        <v>29.9728590740741</v>
      </c>
      <c r="AF50" t="n">
        <v>27.4747591388889</v>
      </c>
      <c r="AG50" t="n">
        <v>27.51484701284342</v>
      </c>
      <c r="AH50" t="n">
        <v>30.56459989652245</v>
      </c>
      <c r="AI50" t="n">
        <v>31.05806492226122</v>
      </c>
      <c r="AJ50" t="n">
        <v>31.85123315520253</v>
      </c>
      <c r="AK50" t="n">
        <v>21.17977265156323</v>
      </c>
      <c r="AL50" t="n">
        <v>14.32769550310168</v>
      </c>
      <c r="AM50" t="n">
        <v>8.94575841158721</v>
      </c>
      <c r="AN50" t="n">
        <v>3.908270902000349</v>
      </c>
      <c r="AO50" t="n">
        <v>4.14004754227086</v>
      </c>
      <c r="AP50" t="n">
        <v>3.47984600922772</v>
      </c>
      <c r="AQ50" t="n">
        <v>2.974562230116295</v>
      </c>
      <c r="AR50" t="n">
        <v>2.974427892971297</v>
      </c>
      <c r="AS50" t="n">
        <v>3.100821814347192</v>
      </c>
      <c r="AT50" t="n">
        <v>0.0120028680227015</v>
      </c>
      <c r="AU50" t="n">
        <v>0.00374633515064925</v>
      </c>
      <c r="AV50" t="n">
        <v>0.00116930612204059</v>
      </c>
      <c r="AW50" t="n">
        <v>0.000364593454824143</v>
      </c>
    </row>
    <row r="51">
      <c r="A51" t="inlineStr">
        <is>
          <t>Dominica_2023_May</t>
        </is>
      </c>
      <c r="C51" t="inlineStr">
        <is>
          <t>SM.23.127, Sup. 1</t>
        </is>
      </c>
      <c r="D51" t="inlineStr">
        <is>
          <t>Dominica</t>
        </is>
      </c>
      <c r="E51" t="inlineStr">
        <is>
          <t>DMA</t>
        </is>
      </c>
      <c r="F51" s="11" t="n">
        <v>45047</v>
      </c>
      <c r="G51" t="inlineStr">
        <is>
          <t>2018gn</t>
        </is>
      </c>
      <c r="H51" t="n">
        <v>2022</v>
      </c>
      <c r="AD51" t="n">
        <v>0.1114355430517704</v>
      </c>
      <c r="AE51" t="n">
        <v>0.1044480234511286</v>
      </c>
      <c r="AF51" t="n">
        <v>0.09891540566353571</v>
      </c>
      <c r="AG51" t="n">
        <v>0.09436629303053577</v>
      </c>
      <c r="AH51" t="n">
        <v>0.09011366791836573</v>
      </c>
      <c r="AI51" t="n">
        <v>0.08606199097189016</v>
      </c>
      <c r="AJ51" t="n">
        <v>0.08223445104005385</v>
      </c>
      <c r="AK51" t="n">
        <v>0.07877910512494325</v>
      </c>
      <c r="AL51" t="n">
        <v>0.07567091531307442</v>
      </c>
      <c r="AM51" t="n">
        <v>0.07273251990808921</v>
      </c>
      <c r="AN51" t="n">
        <v>0.06990822782612052</v>
      </c>
    </row>
    <row r="52">
      <c r="A52" t="inlineStr">
        <is>
          <t>Dominica_2023_May</t>
        </is>
      </c>
      <c r="C52" t="inlineStr">
        <is>
          <t>SM.23.127, Sup. 1</t>
        </is>
      </c>
      <c r="D52" t="inlineStr">
        <is>
          <t>Dominica</t>
        </is>
      </c>
      <c r="E52" t="inlineStr">
        <is>
          <t>DMA</t>
        </is>
      </c>
      <c r="F52" s="11" t="n">
        <v>45047</v>
      </c>
      <c r="G52" t="inlineStr">
        <is>
          <t>2018gn</t>
        </is>
      </c>
      <c r="H52" t="n">
        <v>2022</v>
      </c>
      <c r="I52" t="inlineStr">
        <is>
          <t>gdp.crt.usd</t>
        </is>
      </c>
      <c r="K52" t="inlineStr">
        <is>
          <t>US Dollars</t>
        </is>
      </c>
      <c r="L52" t="inlineStr">
        <is>
          <t>Million</t>
        </is>
      </c>
      <c r="M52" t="inlineStr">
        <is>
          <t>Gross domestic product, current prices, U.S. dollars</t>
        </is>
      </c>
      <c r="P52" t="n">
        <v>491.4501481481482</v>
      </c>
      <c r="Q52" t="n">
        <v>497.4259259259259</v>
      </c>
      <c r="R52" t="n">
        <v>493.5111111111111</v>
      </c>
      <c r="S52" t="n">
        <v>492.1462962962963</v>
      </c>
      <c r="T52" t="n">
        <v>509.3629629629629</v>
      </c>
      <c r="U52" t="n">
        <v>530.5833333333334</v>
      </c>
      <c r="V52" t="n">
        <v>558.4833333333332</v>
      </c>
      <c r="W52" t="n">
        <v>548.8907407407407</v>
      </c>
      <c r="X52" t="n">
        <v>538.1611111111112</v>
      </c>
      <c r="Y52" t="n">
        <v>583.1537037037037</v>
      </c>
      <c r="Z52" t="n">
        <v>557.8759259259259</v>
      </c>
      <c r="AA52" t="n">
        <v>529.7407407407406</v>
      </c>
      <c r="AB52" t="n">
        <v>593.0049259259259</v>
      </c>
      <c r="AC52" t="n">
        <v>665.8863333333333</v>
      </c>
      <c r="AD52" t="n">
        <v>725.8904814814814</v>
      </c>
      <c r="AE52" t="n">
        <v>774.4521851851852</v>
      </c>
      <c r="AF52" t="n">
        <v>817.7694814814815</v>
      </c>
      <c r="AG52" t="n">
        <v>857.1916666666666</v>
      </c>
      <c r="AH52" t="n">
        <v>897.6440740740741</v>
      </c>
      <c r="AI52" t="n">
        <v>939.9038888888888</v>
      </c>
      <c r="AJ52" t="n">
        <v>983.651</v>
      </c>
      <c r="AK52" t="n">
        <v>1026.795111111111</v>
      </c>
      <c r="AL52" t="n">
        <v>1068.970814814815</v>
      </c>
      <c r="AM52" t="n">
        <v>1112.157259259259</v>
      </c>
      <c r="AN52" t="n">
        <v>1157.088407407407</v>
      </c>
      <c r="AO52" t="n">
        <v>1203.834773733652</v>
      </c>
      <c r="AP52" t="n">
        <v>1252.469693044026</v>
      </c>
      <c r="AQ52" t="n">
        <v>1303.069462870378</v>
      </c>
      <c r="AR52" t="n">
        <v>1355.713463164504</v>
      </c>
      <c r="AS52" t="n">
        <v>1410.484280827874</v>
      </c>
      <c r="AT52" t="n">
        <v>1467.467839272407</v>
      </c>
      <c r="AU52" t="n">
        <v>1526.753533215463</v>
      </c>
      <c r="AV52" t="n">
        <v>1588.43436892057</v>
      </c>
      <c r="AW52" t="n">
        <v>1205.956539805532</v>
      </c>
    </row>
    <row r="53">
      <c r="A53" t="inlineStr">
        <is>
          <t>Dominica_2023_May</t>
        </is>
      </c>
      <c r="C53" t="inlineStr">
        <is>
          <t>SM.23.127, Sup. 1</t>
        </is>
      </c>
      <c r="D53" t="inlineStr">
        <is>
          <t>Dominica</t>
        </is>
      </c>
      <c r="E53" t="inlineStr">
        <is>
          <t>DMA</t>
        </is>
      </c>
      <c r="F53" s="11" t="n">
        <v>45047</v>
      </c>
      <c r="G53" t="inlineStr">
        <is>
          <t>2018gn</t>
        </is>
      </c>
      <c r="H53" t="n">
        <v>2022</v>
      </c>
      <c r="I53" t="inlineStr">
        <is>
          <t>gdp.cst.lcu</t>
        </is>
      </c>
      <c r="K53" t="inlineStr">
        <is>
          <t>National Currency</t>
        </is>
      </c>
      <c r="L53" t="inlineStr">
        <is>
          <t>Million</t>
        </is>
      </c>
      <c r="M53" t="inlineStr">
        <is>
          <t>Gross domestic product, constant prices</t>
        </is>
      </c>
      <c r="P53" t="n">
        <v>1190.3691</v>
      </c>
      <c r="Q53" t="n">
        <v>1193.025</v>
      </c>
      <c r="R53" t="n">
        <v>1185.38</v>
      </c>
      <c r="S53" t="n">
        <v>1173.175</v>
      </c>
      <c r="T53" t="n">
        <v>1195.025</v>
      </c>
      <c r="U53" t="n">
        <v>1206.07</v>
      </c>
      <c r="V53" t="n">
        <v>1205.805</v>
      </c>
      <c r="W53" t="n">
        <v>1181.79</v>
      </c>
      <c r="X53" t="n">
        <v>1161.585</v>
      </c>
      <c r="Y53" t="n">
        <v>1214.345</v>
      </c>
      <c r="Z53" t="n">
        <v>1143.34</v>
      </c>
      <c r="AA53" t="n">
        <v>1075.65</v>
      </c>
      <c r="AB53" t="n">
        <v>1143.115</v>
      </c>
      <c r="AC53" t="n">
        <v>1202.1654</v>
      </c>
      <c r="AD53" t="n">
        <v>1257.869</v>
      </c>
      <c r="AE53" t="n">
        <v>1313.355</v>
      </c>
      <c r="AF53" t="n">
        <v>1359.7113</v>
      </c>
      <c r="AG53" t="n">
        <v>1397.3248</v>
      </c>
      <c r="AH53" t="n">
        <v>1434.577</v>
      </c>
      <c r="AI53" t="n">
        <v>1472.6617</v>
      </c>
      <c r="AJ53" t="n">
        <v>1510.9933</v>
      </c>
      <c r="AK53" t="n">
        <v>1545.3379</v>
      </c>
      <c r="AL53" t="n">
        <v>1576.2446</v>
      </c>
      <c r="AM53" t="n">
        <v>1607.7695</v>
      </c>
      <c r="AN53" t="n">
        <v>1639.9249</v>
      </c>
      <c r="AO53" t="n">
        <v>1672.7234</v>
      </c>
      <c r="AP53" t="n">
        <v>1706.1779</v>
      </c>
      <c r="AQ53" t="n">
        <v>1740.3014</v>
      </c>
      <c r="AR53" t="n">
        <v>1757.5321</v>
      </c>
      <c r="AS53" t="n">
        <v>1810.6096</v>
      </c>
      <c r="AT53" t="n">
        <v>1828.5364</v>
      </c>
      <c r="AU53" t="n">
        <v>1865.1072</v>
      </c>
      <c r="AV53" t="n">
        <v>1902.4093</v>
      </c>
      <c r="AW53" t="n">
        <v>1940.4575</v>
      </c>
    </row>
    <row r="54">
      <c r="A54" t="inlineStr">
        <is>
          <t>Dominica_2023_May</t>
        </is>
      </c>
      <c r="C54" t="inlineStr">
        <is>
          <t>SM.23.127, Sup. 1</t>
        </is>
      </c>
      <c r="D54" t="inlineStr">
        <is>
          <t>Dominica</t>
        </is>
      </c>
      <c r="E54" t="inlineStr">
        <is>
          <t>DMA</t>
        </is>
      </c>
      <c r="F54" s="11" t="n">
        <v>45047</v>
      </c>
      <c r="G54" t="inlineStr">
        <is>
          <t>2018gn</t>
        </is>
      </c>
      <c r="H54" t="n">
        <v>2022</v>
      </c>
      <c r="I54" t="inlineStr">
        <is>
          <t>gdp.def</t>
        </is>
      </c>
      <c r="L54" t="inlineStr">
        <is>
          <t>None</t>
        </is>
      </c>
      <c r="M54" t="inlineStr">
        <is>
          <t>US Gross domestic product deflator</t>
        </is>
      </c>
      <c r="P54" t="n">
        <v>95.0235539854722</v>
      </c>
      <c r="Q54" t="n">
        <v>96.1657294395808</v>
      </c>
      <c r="R54" t="n">
        <v>98.1638011455792</v>
      </c>
      <c r="S54" t="n">
        <v>99.9998461914701</v>
      </c>
      <c r="T54" t="n">
        <v>101.751156110395</v>
      </c>
      <c r="U54" t="n">
        <v>103.653727182661</v>
      </c>
      <c r="V54" t="n">
        <v>104.690689637327</v>
      </c>
      <c r="W54" t="n">
        <v>105.739721611059</v>
      </c>
      <c r="X54" t="n">
        <v>107.74867024587</v>
      </c>
      <c r="Y54" t="n">
        <v>110.339189802811</v>
      </c>
      <c r="Z54" t="n">
        <v>112.318206770837</v>
      </c>
      <c r="AA54" t="n">
        <v>113.783993322222</v>
      </c>
      <c r="AB54" t="n">
        <v>118.895016777326</v>
      </c>
      <c r="AC54" t="n">
        <v>127.191959256771</v>
      </c>
      <c r="AD54" t="n">
        <v>131.834280763023</v>
      </c>
      <c r="AE54" t="n">
        <v>134.722231146322</v>
      </c>
      <c r="AF54" t="n">
        <v>137.278310006148</v>
      </c>
      <c r="AG54" t="n">
        <v>139.869501247062</v>
      </c>
      <c r="AH54" t="n">
        <v>142.494751759144</v>
      </c>
      <c r="AI54" t="n">
        <v>145.3446467943269</v>
      </c>
      <c r="AJ54" t="n">
        <v>148.2515397302134</v>
      </c>
      <c r="AK54" t="n">
        <v>151.2165705248177</v>
      </c>
      <c r="AL54" t="n">
        <v>154.2409019353141</v>
      </c>
      <c r="AM54" t="n">
        <v>157.3257199740204</v>
      </c>
      <c r="AN54" t="n">
        <v>160.4722343735008</v>
      </c>
      <c r="AO54" t="n">
        <v>163.6816790609708</v>
      </c>
      <c r="AP54" t="n">
        <v>166.9553126421902</v>
      </c>
      <c r="AQ54" t="n">
        <v>170.294418895034</v>
      </c>
      <c r="AR54" t="n">
        <v>173.7003072729347</v>
      </c>
      <c r="AS54" t="n">
        <v>177.1743134183934</v>
      </c>
      <c r="AT54" t="n">
        <v>180.7177996867613</v>
      </c>
      <c r="AU54" t="n">
        <v>184.3321556804965</v>
      </c>
      <c r="AV54" t="n">
        <v>188.0187987941064</v>
      </c>
      <c r="AW54" t="n">
        <v>191.7791747699886</v>
      </c>
    </row>
    <row r="55">
      <c r="A55" t="inlineStr">
        <is>
          <t>Dominica_2023_May</t>
        </is>
      </c>
      <c r="C55" t="inlineStr">
        <is>
          <t>SM.23.127, Sup. 1</t>
        </is>
      </c>
      <c r="D55" t="inlineStr">
        <is>
          <t>Dominica</t>
        </is>
      </c>
      <c r="E55" t="inlineStr">
        <is>
          <t>DMA</t>
        </is>
      </c>
      <c r="F55" s="11" t="n">
        <v>45047</v>
      </c>
      <c r="G55" t="inlineStr">
        <is>
          <t>2018gn</t>
        </is>
      </c>
      <c r="H55" t="n">
        <v>2022</v>
      </c>
      <c r="I55" t="inlineStr">
        <is>
          <t>exc.rat.eop.lcu2usd</t>
        </is>
      </c>
      <c r="K55" t="inlineStr">
        <is>
          <t>National Currency</t>
        </is>
      </c>
      <c r="L55" t="inlineStr">
        <is>
          <t>None</t>
        </is>
      </c>
      <c r="M55" t="inlineStr">
        <is>
          <t>Exchange rate, national currency per U.S. Dollar, end of period</t>
        </is>
      </c>
      <c r="P55" t="n">
        <v>2.7</v>
      </c>
      <c r="Q55" t="n">
        <v>2.7</v>
      </c>
      <c r="R55" t="n">
        <v>2.7</v>
      </c>
      <c r="S55" t="n">
        <v>2.7</v>
      </c>
      <c r="T55" t="n">
        <v>2.7</v>
      </c>
      <c r="U55" t="n">
        <v>2.7</v>
      </c>
      <c r="V55" t="n">
        <v>2.7</v>
      </c>
      <c r="W55" t="n">
        <v>2.7</v>
      </c>
      <c r="X55" t="n">
        <v>2.7</v>
      </c>
      <c r="Y55" t="n">
        <v>2.7</v>
      </c>
      <c r="Z55" t="n">
        <v>2.7</v>
      </c>
      <c r="AA55" t="n">
        <v>2.7</v>
      </c>
      <c r="AB55" t="n">
        <v>2.7</v>
      </c>
      <c r="AC55" t="n">
        <v>2.7</v>
      </c>
      <c r="AD55" t="n">
        <v>2.7</v>
      </c>
      <c r="AE55" t="n">
        <v>2.7</v>
      </c>
      <c r="AF55" t="n">
        <v>2.7</v>
      </c>
      <c r="AG55" t="n">
        <v>2.7</v>
      </c>
      <c r="AH55" t="n">
        <v>2.7</v>
      </c>
      <c r="AI55" t="n">
        <v>2.7</v>
      </c>
      <c r="AJ55" t="n">
        <v>2.7</v>
      </c>
      <c r="AK55" t="n">
        <v>2.7</v>
      </c>
      <c r="AL55" t="n">
        <v>2.7</v>
      </c>
      <c r="AM55" t="n">
        <v>2.7</v>
      </c>
      <c r="AN55" t="n">
        <v>2.7</v>
      </c>
      <c r="AO55" t="n">
        <v>2.7</v>
      </c>
      <c r="AP55" t="n">
        <v>2.7</v>
      </c>
      <c r="AQ55" t="n">
        <v>2.7</v>
      </c>
      <c r="AR55" t="n">
        <v>2.7</v>
      </c>
      <c r="AS55" t="n">
        <v>2.7</v>
      </c>
      <c r="AT55" t="n">
        <v>2.7</v>
      </c>
      <c r="AU55" t="n">
        <v>2.7</v>
      </c>
      <c r="AV55" t="n">
        <v>2.7</v>
      </c>
      <c r="AW55" t="n">
        <v>3.7</v>
      </c>
    </row>
    <row r="56">
      <c r="A56" t="inlineStr">
        <is>
          <t>Dominica_2023_May</t>
        </is>
      </c>
      <c r="C56" t="inlineStr">
        <is>
          <t>SM.23.127, Sup. 1</t>
        </is>
      </c>
      <c r="D56" t="inlineStr">
        <is>
          <t>Dominica</t>
        </is>
      </c>
      <c r="E56" t="inlineStr">
        <is>
          <t>DMA</t>
        </is>
      </c>
      <c r="F56" s="11" t="n">
        <v>45047</v>
      </c>
      <c r="G56" t="inlineStr">
        <is>
          <t>2018gn</t>
        </is>
      </c>
      <c r="H56" t="n">
        <v>2022</v>
      </c>
      <c r="I56" t="inlineStr">
        <is>
          <t>exc.rat.avg.lcu2usd</t>
        </is>
      </c>
      <c r="K56" t="inlineStr">
        <is>
          <t>National Currency</t>
        </is>
      </c>
      <c r="L56" t="inlineStr">
        <is>
          <t>None</t>
        </is>
      </c>
      <c r="M56" t="inlineStr">
        <is>
          <t>Exchange rate, national currency per U.S. Dollar, average</t>
        </is>
      </c>
      <c r="P56" t="n">
        <v>2.7</v>
      </c>
      <c r="Q56" t="n">
        <v>2.7</v>
      </c>
      <c r="R56" t="n">
        <v>2.7</v>
      </c>
      <c r="S56" t="n">
        <v>2.7</v>
      </c>
      <c r="T56" t="n">
        <v>2.7</v>
      </c>
      <c r="U56" t="n">
        <v>2.7</v>
      </c>
      <c r="V56" t="n">
        <v>2.7</v>
      </c>
      <c r="W56" t="n">
        <v>2.7</v>
      </c>
      <c r="X56" t="n">
        <v>2.7</v>
      </c>
      <c r="Y56" t="n">
        <v>2.7</v>
      </c>
      <c r="Z56" t="n">
        <v>2.7</v>
      </c>
      <c r="AA56" t="n">
        <v>2.7</v>
      </c>
      <c r="AB56" t="n">
        <v>2.7</v>
      </c>
      <c r="AC56" t="n">
        <v>2.7</v>
      </c>
      <c r="AD56" t="n">
        <v>2.7</v>
      </c>
      <c r="AE56" t="n">
        <v>2.7</v>
      </c>
      <c r="AF56" t="n">
        <v>2.7</v>
      </c>
      <c r="AG56" t="n">
        <v>2.7</v>
      </c>
      <c r="AH56" t="n">
        <v>2.7</v>
      </c>
      <c r="AI56" t="n">
        <v>2.7</v>
      </c>
      <c r="AJ56" t="n">
        <v>2.7</v>
      </c>
      <c r="AK56" t="n">
        <v>2.7</v>
      </c>
      <c r="AL56" t="n">
        <v>2.7</v>
      </c>
      <c r="AM56" t="n">
        <v>2.7</v>
      </c>
      <c r="AN56" t="n">
        <v>2.7</v>
      </c>
      <c r="AO56" t="n">
        <v>2.7</v>
      </c>
      <c r="AP56" t="n">
        <v>2.7</v>
      </c>
      <c r="AQ56" t="n">
        <v>2.7</v>
      </c>
      <c r="AR56" t="n">
        <v>2.7</v>
      </c>
      <c r="AS56" t="n">
        <v>2.7</v>
      </c>
      <c r="AT56" t="n">
        <v>2.7</v>
      </c>
      <c r="AU56" t="n">
        <v>2.7</v>
      </c>
      <c r="AV56" t="n">
        <v>2.7</v>
      </c>
      <c r="AW56" t="n">
        <v>3.7</v>
      </c>
    </row>
    <row r="57">
      <c r="A57" t="inlineStr">
        <is>
          <t>Dominica_2023_May</t>
        </is>
      </c>
      <c r="C57" t="inlineStr">
        <is>
          <t>SM.23.127, Sup. 1</t>
        </is>
      </c>
      <c r="D57" t="inlineStr">
        <is>
          <t>Dominica</t>
        </is>
      </c>
      <c r="E57" t="inlineStr">
        <is>
          <t>DMA</t>
        </is>
      </c>
      <c r="F57" s="11" t="n">
        <v>45047</v>
      </c>
      <c r="G57" t="inlineStr">
        <is>
          <t>2018gn</t>
        </is>
      </c>
      <c r="H57" t="n">
        <v>2022</v>
      </c>
      <c r="I57" t="inlineStr">
        <is>
          <t>pub.inv.cst.prc</t>
        </is>
      </c>
      <c r="K57" t="inlineStr">
        <is>
          <t>National Currency</t>
        </is>
      </c>
      <c r="L57" t="inlineStr">
        <is>
          <t>Million</t>
        </is>
      </c>
      <c r="M57" t="inlineStr">
        <is>
          <t>Public Investment, constant prices</t>
        </is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55.25160512379281</v>
      </c>
      <c r="W57" t="n">
        <v>162.6983230206966</v>
      </c>
      <c r="X57" t="n">
        <v>267.7698284826379</v>
      </c>
      <c r="Y57" t="n">
        <v>302.8722787927153</v>
      </c>
      <c r="Z57" t="n">
        <v>194.0335457093155</v>
      </c>
      <c r="AA57" t="n">
        <v>226.3196157181353</v>
      </c>
      <c r="AB57" t="n">
        <v>323.1387096440617</v>
      </c>
      <c r="AC57" t="n">
        <v>240.7170321561814</v>
      </c>
      <c r="AD57" t="n">
        <v>177.3586584576828</v>
      </c>
      <c r="AE57" t="n">
        <v>179.2357753870633</v>
      </c>
      <c r="AF57" t="n">
        <v>169.3793840210351</v>
      </c>
      <c r="AG57" t="n">
        <v>167.727914179794</v>
      </c>
      <c r="AH57" t="n">
        <v>165.7887761439825</v>
      </c>
      <c r="AI57" t="n">
        <v>166.5993257691103</v>
      </c>
      <c r="AJ57" t="n">
        <v>167.0276684479493</v>
      </c>
      <c r="AK57" t="n">
        <v>159.0210075517468</v>
      </c>
      <c r="AL57" t="n">
        <v>146.5510718293377</v>
      </c>
      <c r="AM57" t="n">
        <v>133.4482239405163</v>
      </c>
      <c r="AN57" t="n">
        <v>119.7115095690799</v>
      </c>
      <c r="AO57" t="n">
        <v>113.9117455139123</v>
      </c>
      <c r="AP57" t="n">
        <v>116.2037703945876</v>
      </c>
      <c r="AQ57" t="n">
        <v>118.5418158596704</v>
      </c>
      <c r="AR57" t="n">
        <v>119.8322818210243</v>
      </c>
      <c r="AS57" t="n">
        <v>123.6027737748897</v>
      </c>
      <c r="AT57" t="n">
        <v>124.7382937206583</v>
      </c>
      <c r="AU57" t="n">
        <v>127.0917190141603</v>
      </c>
      <c r="AV57" t="n">
        <v>129.6725464881893</v>
      </c>
      <c r="AW57" t="n">
        <v>132.2916010303631</v>
      </c>
    </row>
    <row r="58">
      <c r="A58" t="inlineStr">
        <is>
          <t>Dominica_2023_May</t>
        </is>
      </c>
      <c r="C58" t="inlineStr">
        <is>
          <t>SM.23.127, Sup. 1</t>
        </is>
      </c>
      <c r="D58" t="inlineStr">
        <is>
          <t>Dominica</t>
        </is>
      </c>
      <c r="E58" t="inlineStr">
        <is>
          <t>DMA</t>
        </is>
      </c>
      <c r="F58" s="11" t="n">
        <v>45047</v>
      </c>
      <c r="G58" t="inlineStr">
        <is>
          <t>2018gn</t>
        </is>
      </c>
      <c r="H58" t="n">
        <v>2022</v>
      </c>
      <c r="I58" t="inlineStr">
        <is>
          <t>prv.inv.cst.prc</t>
        </is>
      </c>
      <c r="K58" t="inlineStr">
        <is>
          <t>National Currency</t>
        </is>
      </c>
      <c r="L58" t="inlineStr">
        <is>
          <t>Million</t>
        </is>
      </c>
      <c r="M58" t="inlineStr">
        <is>
          <t>Private Investment, constant price</t>
        </is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96.46440000000001</v>
      </c>
      <c r="W58" t="n">
        <v>82.7253</v>
      </c>
      <c r="X58" t="n">
        <v>69.6951</v>
      </c>
      <c r="Y58" t="n">
        <v>91.075875</v>
      </c>
      <c r="Z58" t="n">
        <v>74.3171</v>
      </c>
      <c r="AA58" t="n">
        <v>32.2695</v>
      </c>
      <c r="AB58" t="n">
        <v>80.01805</v>
      </c>
      <c r="AC58" t="n">
        <v>60.10827</v>
      </c>
      <c r="AD58" t="n">
        <v>25.15738</v>
      </c>
      <c r="AE58" t="n">
        <v>32.833875</v>
      </c>
      <c r="AF58" t="n">
        <v>33.9927825</v>
      </c>
      <c r="AG58" t="n">
        <v>34.93312</v>
      </c>
      <c r="AH58" t="n">
        <v>35.864425</v>
      </c>
      <c r="AI58" t="n">
        <v>36.8165425</v>
      </c>
      <c r="AJ58" t="n">
        <v>37.7748325</v>
      </c>
      <c r="AK58" t="n">
        <v>38.6334475</v>
      </c>
      <c r="AL58" t="n">
        <v>39.406115</v>
      </c>
      <c r="AM58" t="n">
        <v>40.19423750000001</v>
      </c>
      <c r="AN58" t="n">
        <v>40.9981225</v>
      </c>
      <c r="AO58" t="n">
        <v>41.818085</v>
      </c>
      <c r="AP58" t="n">
        <v>42.6544475</v>
      </c>
      <c r="AQ58" t="n">
        <v>43.507535</v>
      </c>
      <c r="AR58" t="n">
        <v>43.9383025</v>
      </c>
      <c r="AS58" t="n">
        <v>45.26524000000001</v>
      </c>
      <c r="AT58" t="n">
        <v>45.71341</v>
      </c>
      <c r="AU58" t="n">
        <v>46.62768</v>
      </c>
      <c r="AV58" t="n">
        <v>38.5178875</v>
      </c>
      <c r="AW58" t="n">
        <v>38.5178875</v>
      </c>
    </row>
    <row r="59">
      <c r="A59" t="inlineStr">
        <is>
          <t>Dominica_2023_May</t>
        </is>
      </c>
      <c r="C59" t="inlineStr">
        <is>
          <t>SM.23.127, Sup. 1</t>
        </is>
      </c>
      <c r="D59" t="inlineStr">
        <is>
          <t>Dominica</t>
        </is>
      </c>
      <c r="E59" t="inlineStr">
        <is>
          <t>DMA</t>
        </is>
      </c>
      <c r="F59" s="11" t="n">
        <v>45047</v>
      </c>
      <c r="G59" t="inlineStr">
        <is>
          <t>2018gn</t>
        </is>
      </c>
      <c r="H59" t="n">
        <v>2022</v>
      </c>
      <c r="I59" t="inlineStr">
        <is>
          <t>pub.inv.2gdp.vtg-1</t>
        </is>
      </c>
      <c r="K59" t="inlineStr">
        <is>
          <t>Percent of GDP</t>
        </is>
      </c>
      <c r="L59" t="inlineStr">
        <is>
          <t>Unit</t>
        </is>
      </c>
      <c r="M59" t="inlineStr">
        <is>
          <t>Public Investment in percent of GDP (real), previous DSA vintage</t>
        </is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1.13859719237497</v>
      </c>
      <c r="V59" t="n">
        <v>4.58213435205467</v>
      </c>
      <c r="W59" t="n">
        <v>13.7671094712848</v>
      </c>
      <c r="X59" t="n">
        <v>23.0521079802716</v>
      </c>
      <c r="Y59" t="n">
        <v>24.9412052417324</v>
      </c>
      <c r="Z59" t="n">
        <v>16.9707651013098</v>
      </c>
      <c r="AA59" t="n">
        <v>21.0402654876712</v>
      </c>
      <c r="AB59" t="n">
        <v>28.2682590679032</v>
      </c>
      <c r="AC59" t="n">
        <v>20.0236200572884</v>
      </c>
      <c r="AD59" t="n">
        <v>14.099930792291</v>
      </c>
      <c r="AE59" t="n">
        <v>13.6471689213551</v>
      </c>
      <c r="AF59" t="n">
        <v>12.4570108390682</v>
      </c>
      <c r="AG59" t="n">
        <v>12.0035022766213</v>
      </c>
      <c r="AH59" t="n">
        <v>11.5566314073056</v>
      </c>
      <c r="AI59" t="n">
        <v>11.3128035969911</v>
      </c>
      <c r="AJ59" t="n">
        <v>11.0541634068099</v>
      </c>
      <c r="AK59" t="n">
        <v>10.2903712871953</v>
      </c>
      <c r="AL59" t="n">
        <v>9.29748287983589</v>
      </c>
      <c r="AM59" t="n">
        <v>8.300208701590391</v>
      </c>
      <c r="AN59" t="n">
        <v>7.29981656898312</v>
      </c>
      <c r="AO59" t="n">
        <v>6.80995707442798</v>
      </c>
      <c r="AP59" t="n">
        <v>6.81076518425116</v>
      </c>
      <c r="AQ59" t="n">
        <v>6.81156814903846</v>
      </c>
      <c r="AR59" t="n">
        <v>6.81821298291077</v>
      </c>
      <c r="AS59" t="n">
        <v>6.82658336589454</v>
      </c>
      <c r="AT59" t="n">
        <v>6.82175611711412</v>
      </c>
      <c r="AU59" t="n">
        <v>6.81417770593349</v>
      </c>
      <c r="AV59" t="n">
        <v>6.81622753253936</v>
      </c>
      <c r="AW59" t="n">
        <v>6.81754694603531</v>
      </c>
    </row>
    <row r="60">
      <c r="A60" t="inlineStr">
        <is>
          <t>Dominica_2023_May</t>
        </is>
      </c>
      <c r="C60" t="inlineStr">
        <is>
          <t>SM.23.127, Sup. 1</t>
        </is>
      </c>
      <c r="D60" t="inlineStr">
        <is>
          <t>Dominica</t>
        </is>
      </c>
      <c r="E60" t="inlineStr">
        <is>
          <t>DMA</t>
        </is>
      </c>
      <c r="F60" s="11" t="n">
        <v>45047</v>
      </c>
      <c r="G60" t="inlineStr">
        <is>
          <t>2018gn</t>
        </is>
      </c>
      <c r="H60" t="n">
        <v>2022</v>
      </c>
      <c r="I60" t="inlineStr">
        <is>
          <t>prv.inv.2gdp.vtg-1</t>
        </is>
      </c>
      <c r="K60" t="inlineStr">
        <is>
          <t>Percent of GDP</t>
        </is>
      </c>
      <c r="L60" t="inlineStr">
        <is>
          <t>Unit</t>
        </is>
      </c>
      <c r="M60" t="inlineStr">
        <is>
          <t>Private Investment in percent of GDP (real), previous DSA vintage</t>
        </is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5.61124745165134</v>
      </c>
      <c r="V60" t="n">
        <v>8</v>
      </c>
      <c r="W60" t="n">
        <v>7</v>
      </c>
      <c r="X60" t="n">
        <v>6</v>
      </c>
      <c r="Y60" t="n">
        <v>7.5</v>
      </c>
      <c r="Z60" t="n">
        <v>6.5</v>
      </c>
      <c r="AA60" t="n">
        <v>3</v>
      </c>
      <c r="AB60" t="n">
        <v>7</v>
      </c>
      <c r="AC60" t="n">
        <v>5</v>
      </c>
      <c r="AD60" t="n">
        <v>2</v>
      </c>
      <c r="AE60" t="n">
        <v>2.5</v>
      </c>
      <c r="AF60" t="n">
        <v>2.5</v>
      </c>
      <c r="AG60" t="n">
        <v>2.5</v>
      </c>
      <c r="AH60" t="n">
        <v>2.5</v>
      </c>
      <c r="AI60" t="n">
        <v>2.5</v>
      </c>
      <c r="AJ60" t="n">
        <v>2.5</v>
      </c>
      <c r="AK60" t="n">
        <v>2.5</v>
      </c>
      <c r="AL60" t="n">
        <v>2.5</v>
      </c>
      <c r="AM60" t="n">
        <v>2.5</v>
      </c>
      <c r="AN60" t="n">
        <v>2.5</v>
      </c>
      <c r="AO60" t="n">
        <v>2.5</v>
      </c>
      <c r="AP60" t="n">
        <v>2.5</v>
      </c>
      <c r="AQ60" t="n">
        <v>2.5</v>
      </c>
      <c r="AR60" t="n">
        <v>2.5</v>
      </c>
      <c r="AS60" t="n">
        <v>2.5</v>
      </c>
      <c r="AT60" t="n">
        <v>2.5</v>
      </c>
      <c r="AU60" t="n">
        <v>2.5</v>
      </c>
      <c r="AV60" t="n">
        <v>2.5</v>
      </c>
      <c r="AW60" t="n">
        <v>0</v>
      </c>
    </row>
    <row r="61">
      <c r="A61" t="inlineStr">
        <is>
          <t>Dominica_2023_May</t>
        </is>
      </c>
      <c r="C61" t="inlineStr">
        <is>
          <t>SM.23.127, Sup. 1</t>
        </is>
      </c>
      <c r="D61" t="inlineStr">
        <is>
          <t>Dominica</t>
        </is>
      </c>
      <c r="E61" t="inlineStr">
        <is>
          <t>DMA</t>
        </is>
      </c>
      <c r="F61" s="11" t="n">
        <v>45047</v>
      </c>
      <c r="G61" t="inlineStr">
        <is>
          <t>2018gn</t>
        </is>
      </c>
      <c r="H61" t="n">
        <v>2022</v>
      </c>
    </row>
    <row r="62">
      <c r="A62" t="inlineStr">
        <is>
          <t>Dominica_2023_May</t>
        </is>
      </c>
      <c r="C62" t="inlineStr">
        <is>
          <t>SM.23.127, Sup. 1</t>
        </is>
      </c>
      <c r="D62" t="inlineStr">
        <is>
          <t>Dominica</t>
        </is>
      </c>
      <c r="E62" t="inlineStr">
        <is>
          <t>DMA</t>
        </is>
      </c>
      <c r="F62" s="11" t="n">
        <v>45047</v>
      </c>
      <c r="G62" t="inlineStr">
        <is>
          <t>2018gn</t>
        </is>
      </c>
      <c r="H62" t="n">
        <v>2022</v>
      </c>
      <c r="K62" t="inlineStr">
        <is>
          <t>Units</t>
        </is>
      </c>
      <c r="L62" t="inlineStr">
        <is>
          <t>Scale</t>
        </is>
      </c>
      <c r="M62" t="inlineStr">
        <is>
          <t>Calculated variables</t>
        </is>
      </c>
      <c r="P62" t="n">
        <v>2009</v>
      </c>
      <c r="Q62" t="n">
        <v>2010</v>
      </c>
      <c r="R62" t="n">
        <v>2011</v>
      </c>
      <c r="S62" t="n">
        <v>2012</v>
      </c>
      <c r="T62" t="n">
        <v>2013</v>
      </c>
      <c r="U62" t="n">
        <v>2014</v>
      </c>
      <c r="V62" t="n">
        <v>2015</v>
      </c>
      <c r="W62" t="n">
        <v>2016</v>
      </c>
      <c r="X62" t="n">
        <v>2017</v>
      </c>
      <c r="Y62" t="n">
        <v>2018</v>
      </c>
      <c r="Z62" t="n">
        <v>2019</v>
      </c>
      <c r="AA62" t="n">
        <v>2020</v>
      </c>
      <c r="AB62" t="n">
        <v>2021</v>
      </c>
      <c r="AC62" t="n">
        <v>2022</v>
      </c>
      <c r="AD62" t="n">
        <v>2023</v>
      </c>
      <c r="AE62" t="n">
        <v>2024</v>
      </c>
      <c r="AF62" t="n">
        <v>2025</v>
      </c>
      <c r="AG62" t="n">
        <v>2026</v>
      </c>
      <c r="AH62" t="n">
        <v>2027</v>
      </c>
      <c r="AI62" t="n">
        <v>2028</v>
      </c>
      <c r="AJ62" t="n">
        <v>2029</v>
      </c>
      <c r="AK62" t="n">
        <v>2030</v>
      </c>
      <c r="AL62" t="n">
        <v>2031</v>
      </c>
      <c r="AM62" t="n">
        <v>2032</v>
      </c>
      <c r="AN62" t="n">
        <v>2033</v>
      </c>
      <c r="AO62" t="n">
        <v>2034</v>
      </c>
      <c r="AP62" t="n">
        <v>2035</v>
      </c>
      <c r="AQ62" t="n">
        <v>2036</v>
      </c>
      <c r="AR62" t="n">
        <v>2037</v>
      </c>
      <c r="AS62" t="n">
        <v>2038</v>
      </c>
      <c r="AT62" t="n">
        <v>2039</v>
      </c>
      <c r="AU62" t="n">
        <v>2040</v>
      </c>
      <c r="AV62" t="n">
        <v>2041</v>
      </c>
      <c r="AW62" t="n">
        <v>2042</v>
      </c>
    </row>
    <row r="63">
      <c r="A63" t="inlineStr">
        <is>
          <t>Dominica_2023_May</t>
        </is>
      </c>
      <c r="C63" t="inlineStr">
        <is>
          <t>SM.23.127, Sup. 1</t>
        </is>
      </c>
      <c r="D63" t="inlineStr">
        <is>
          <t>Dominica</t>
        </is>
      </c>
      <c r="E63" t="inlineStr">
        <is>
          <t>DMA</t>
        </is>
      </c>
      <c r="F63" s="11" t="n">
        <v>45047</v>
      </c>
      <c r="G63" t="inlineStr">
        <is>
          <t>2018gn</t>
        </is>
      </c>
      <c r="H63" t="n">
        <v>2022</v>
      </c>
    </row>
    <row r="64">
      <c r="A64" t="inlineStr">
        <is>
          <t>Dominica_2023_May</t>
        </is>
      </c>
      <c r="C64" t="inlineStr">
        <is>
          <t>SM.23.127, Sup. 1</t>
        </is>
      </c>
      <c r="D64" t="inlineStr">
        <is>
          <t>Dominica</t>
        </is>
      </c>
      <c r="E64" t="inlineStr">
        <is>
          <t>DMA</t>
        </is>
      </c>
      <c r="F64" s="11" t="n">
        <v>45047</v>
      </c>
      <c r="G64" t="inlineStr">
        <is>
          <t>2018gn</t>
        </is>
      </c>
      <c r="H64" t="n">
        <v>2022</v>
      </c>
      <c r="M64" t="inlineStr">
        <is>
          <t>External Sector</t>
        </is>
      </c>
    </row>
    <row r="65">
      <c r="A65" t="inlineStr">
        <is>
          <t>Dominica_2023_May</t>
        </is>
      </c>
      <c r="C65" t="inlineStr">
        <is>
          <t>SM.23.127, Sup. 1</t>
        </is>
      </c>
      <c r="D65" t="inlineStr">
        <is>
          <t>Dominica</t>
        </is>
      </c>
      <c r="E65" t="inlineStr">
        <is>
          <t>DMA</t>
        </is>
      </c>
      <c r="F65" s="11" t="n">
        <v>45047</v>
      </c>
      <c r="G65" t="inlineStr">
        <is>
          <t>2018gn</t>
        </is>
      </c>
      <c r="H65" t="n">
        <v>2022</v>
      </c>
      <c r="I65" t="inlineStr">
        <is>
          <t>ext.paid.int.rat</t>
        </is>
      </c>
      <c r="M65" t="inlineStr">
        <is>
          <t>External interest rate (paid)</t>
        </is>
      </c>
      <c r="P65" t="n">
        <v>0</v>
      </c>
      <c r="Q65" t="n">
        <v>2.107411771556183</v>
      </c>
      <c r="R65" t="n">
        <v>2.110107086036293</v>
      </c>
      <c r="S65" t="n">
        <v>4.838404275314088</v>
      </c>
      <c r="T65" t="n">
        <v>2.286779376420978</v>
      </c>
      <c r="U65" t="n">
        <v>2.185540807250161</v>
      </c>
      <c r="V65" t="n">
        <v>1.911888232461183</v>
      </c>
      <c r="W65" t="n">
        <v>2.036839220576104</v>
      </c>
      <c r="X65" t="n">
        <v>1.859284888829015</v>
      </c>
      <c r="Y65" t="n">
        <v>1.800566004787338</v>
      </c>
      <c r="Z65" t="n">
        <v>1.468043118660291</v>
      </c>
      <c r="AA65" t="n">
        <v>1.549915309409548</v>
      </c>
      <c r="AB65" t="n">
        <v>1.556761280013446</v>
      </c>
      <c r="AC65" t="n">
        <v>1.321607886148932</v>
      </c>
      <c r="AD65" t="n">
        <v>2.20710100121753</v>
      </c>
      <c r="AE65" t="n">
        <v>2.297125144703438</v>
      </c>
      <c r="AF65" t="n">
        <v>2.243866663956531</v>
      </c>
      <c r="AG65" t="n">
        <v>2.159675801484035</v>
      </c>
      <c r="AH65" t="n">
        <v>2.055466088599208</v>
      </c>
      <c r="AI65" t="n">
        <v>2.075951803556898</v>
      </c>
      <c r="AJ65" t="n">
        <v>2.178236669363412</v>
      </c>
      <c r="AK65" t="n">
        <v>2.234672540452669</v>
      </c>
      <c r="AL65" t="n">
        <v>2.221830736648468</v>
      </c>
      <c r="AM65" t="n">
        <v>2.161281824196875</v>
      </c>
      <c r="AN65" t="n">
        <v>2.147206873638334</v>
      </c>
      <c r="AO65" t="n">
        <v>2.120411225860204</v>
      </c>
      <c r="AP65" t="n">
        <v>2.042569166173793</v>
      </c>
      <c r="AQ65" t="n">
        <v>2.021911422562952</v>
      </c>
      <c r="AR65" t="n">
        <v>1.856307978748025</v>
      </c>
      <c r="AS65" t="n">
        <v>1.867346926624106</v>
      </c>
      <c r="AT65" t="n">
        <v>1.651028873525293</v>
      </c>
      <c r="AU65" t="n">
        <v>1.653245751491904</v>
      </c>
      <c r="AV65" t="n">
        <v>2.026881758119528</v>
      </c>
      <c r="AW65" t="n">
        <v>2.177669444520008</v>
      </c>
    </row>
    <row r="66">
      <c r="A66" t="inlineStr">
        <is>
          <t>Dominica_2023_May</t>
        </is>
      </c>
      <c r="C66" t="inlineStr">
        <is>
          <t>SM.23.127, Sup. 1</t>
        </is>
      </c>
      <c r="D66" t="inlineStr">
        <is>
          <t>Dominica</t>
        </is>
      </c>
      <c r="E66" t="inlineStr">
        <is>
          <t>DMA</t>
        </is>
      </c>
      <c r="F66" s="11" t="n">
        <v>45047</v>
      </c>
      <c r="G66" t="inlineStr">
        <is>
          <t>2018gn</t>
        </is>
      </c>
      <c r="H66" t="n">
        <v>2022</v>
      </c>
      <c r="I66" t="inlineStr">
        <is>
          <t>prv.dbt.2gdp</t>
        </is>
      </c>
      <c r="M66" t="inlineStr">
        <is>
          <t>Private debt in percent of GDP</t>
        </is>
      </c>
      <c r="P66" t="n">
        <v>20.80946532084861</v>
      </c>
      <c r="Q66" t="n">
        <v>19.11760545028107</v>
      </c>
      <c r="R66" t="n">
        <v>24.36605847742557</v>
      </c>
      <c r="S66" t="n">
        <v>22.91323356875959</v>
      </c>
      <c r="T66" t="n">
        <v>21.02168285730912</v>
      </c>
      <c r="U66" t="n">
        <v>22.5751531333438</v>
      </c>
      <c r="V66" t="n">
        <v>26.98624913373196</v>
      </c>
      <c r="W66" t="n">
        <v>31.64503493577963</v>
      </c>
      <c r="X66" t="n">
        <v>32.27850671181348</v>
      </c>
      <c r="Y66" t="n">
        <v>46.63091082954274</v>
      </c>
      <c r="Z66" t="n">
        <v>30.98188790979028</v>
      </c>
      <c r="AA66" t="n">
        <v>30.23050716087012</v>
      </c>
      <c r="AB66" t="n">
        <v>13.37398376017967</v>
      </c>
      <c r="AC66" t="n">
        <v>13.48513364570835</v>
      </c>
      <c r="AD66" t="n">
        <v>13.66269215850421</v>
      </c>
      <c r="AE66" t="n">
        <v>12.60537322438929</v>
      </c>
      <c r="AF66" t="n">
        <v>12.17641919999026</v>
      </c>
      <c r="AG66" t="n">
        <v>11.8487550576437</v>
      </c>
      <c r="AH66" t="n">
        <v>11.54108568965778</v>
      </c>
      <c r="AI66" t="n">
        <v>11.24262070428106</v>
      </c>
      <c r="AJ66" t="n">
        <v>10.95746619449541</v>
      </c>
      <c r="AK66" t="n">
        <v>10.70699393901344</v>
      </c>
      <c r="AL66" t="n">
        <v>10.50414412478353</v>
      </c>
      <c r="AM66" t="n">
        <v>10.29818029665192</v>
      </c>
      <c r="AN66" t="n">
        <v>10.09625523752267</v>
      </c>
      <c r="AO66" t="n">
        <v>9.898289492401299</v>
      </c>
      <c r="AP66" t="n">
        <v>9.704205427696975</v>
      </c>
      <c r="AQ66" t="n">
        <v>9.513926932045845</v>
      </c>
      <c r="AR66" t="n">
        <v>9.327379386463477</v>
      </c>
      <c r="AS66" t="n">
        <v>9.144489635082365</v>
      </c>
      <c r="AT66" t="n">
        <v>8.965185956463346</v>
      </c>
      <c r="AU66" t="n">
        <v>8.61705689751952</v>
      </c>
      <c r="AV66" t="n">
        <v>8.282446112738619</v>
      </c>
      <c r="AW66" t="n">
        <v>10.90928373449353</v>
      </c>
    </row>
    <row r="67">
      <c r="A67" t="inlineStr">
        <is>
          <t>Dominica_2023_May</t>
        </is>
      </c>
      <c r="C67" t="inlineStr">
        <is>
          <t>SM.23.127, Sup. 1</t>
        </is>
      </c>
      <c r="D67" t="inlineStr">
        <is>
          <t>Dominica</t>
        </is>
      </c>
      <c r="E67" t="inlineStr">
        <is>
          <t>DMA</t>
        </is>
      </c>
      <c r="F67" s="11" t="n">
        <v>45047</v>
      </c>
      <c r="G67" t="inlineStr">
        <is>
          <t>2018gn</t>
        </is>
      </c>
      <c r="H67" t="n">
        <v>2022</v>
      </c>
      <c r="I67" t="inlineStr">
        <is>
          <t>prv.tds.2xprt</t>
        </is>
      </c>
      <c r="M67" t="inlineStr">
        <is>
          <t>Private debt service in percent of exports</t>
        </is>
      </c>
      <c r="P67" t="n">
        <v>1.728095966810858</v>
      </c>
      <c r="Q67" t="n">
        <v>1.353519833601471</v>
      </c>
      <c r="R67" t="n">
        <v>1.493872417205116</v>
      </c>
      <c r="S67" t="n">
        <v>1.776031910170843</v>
      </c>
      <c r="T67" t="n">
        <v>1.453765156610666</v>
      </c>
      <c r="U67" t="n">
        <v>1.003923243529686</v>
      </c>
      <c r="V67" t="n">
        <v>1.048576582446368</v>
      </c>
      <c r="W67" t="n">
        <v>1.043041485566012</v>
      </c>
      <c r="X67" t="n">
        <v>1.2929135084022</v>
      </c>
      <c r="Y67" t="n">
        <v>1.796578561614427</v>
      </c>
      <c r="Z67" t="n">
        <v>1.33185988645295</v>
      </c>
      <c r="AA67" t="n">
        <v>2.949210941636459</v>
      </c>
      <c r="AB67" t="n">
        <v>2.279949149907996</v>
      </c>
      <c r="AC67" t="n">
        <v>1.758456405755216</v>
      </c>
      <c r="AD67" t="n">
        <v>1.449917941477712</v>
      </c>
      <c r="AE67" t="n">
        <v>1.199068537295518</v>
      </c>
      <c r="AF67" t="n">
        <v>1.046875139775714</v>
      </c>
      <c r="AG67" t="n">
        <v>0.9909085564868214</v>
      </c>
      <c r="AH67" t="n">
        <v>0.9367488107112423</v>
      </c>
      <c r="AI67" t="n">
        <v>0.8676701323318723</v>
      </c>
      <c r="AJ67" t="n">
        <v>0.8424358475796948</v>
      </c>
      <c r="AK67" t="n">
        <v>0.8180413179559367</v>
      </c>
      <c r="AL67" t="n">
        <v>0.7951878305472729</v>
      </c>
      <c r="AM67" t="n">
        <v>0.7731872694501872</v>
      </c>
      <c r="AN67" t="n">
        <v>0.7517155276208108</v>
      </c>
      <c r="AO67" t="n">
        <v>0.7307620532541669</v>
      </c>
      <c r="AP67" t="n">
        <v>0.7103164698848283</v>
      </c>
      <c r="AQ67" t="n">
        <v>0.6903685730508784</v>
      </c>
      <c r="AR67" t="n">
        <v>0.6709083270601546</v>
      </c>
      <c r="AS67" t="n">
        <v>0.6519258618567344</v>
      </c>
      <c r="AT67" t="n">
        <v>0.6334114699855987</v>
      </c>
      <c r="AU67" t="n">
        <v>0.6153556036533905</v>
      </c>
      <c r="AV67" t="n">
        <v>0.8102776060097308</v>
      </c>
      <c r="AW67" t="n">
        <v>0.9999166174667683</v>
      </c>
    </row>
    <row r="68">
      <c r="A68" t="inlineStr">
        <is>
          <t>Dominica_2023_May</t>
        </is>
      </c>
      <c r="C68" t="inlineStr">
        <is>
          <t>SM.23.127, Sup. 1</t>
        </is>
      </c>
      <c r="D68" t="inlineStr">
        <is>
          <t>Dominica</t>
        </is>
      </c>
      <c r="E68" t="inlineStr">
        <is>
          <t>DMA</t>
        </is>
      </c>
      <c r="F68" s="11" t="n">
        <v>45047</v>
      </c>
      <c r="G68" t="inlineStr">
        <is>
          <t>2018gn</t>
        </is>
      </c>
      <c r="H68" t="n">
        <v>2022</v>
      </c>
      <c r="I68" t="inlineStr">
        <is>
          <t>nicab.2gdp</t>
        </is>
      </c>
      <c r="M68" t="inlineStr">
        <is>
          <t>Non-interest current account in percent of GDP</t>
        </is>
      </c>
      <c r="P68" t="n">
        <v>-20.75348579118162</v>
      </c>
      <c r="Q68" t="n">
        <v>-14.45737542906071</v>
      </c>
      <c r="R68" t="n">
        <v>-6.325577944884725</v>
      </c>
      <c r="S68" t="n">
        <v>-13.52917793188566</v>
      </c>
      <c r="T68" t="n">
        <v>-8.013576682566454</v>
      </c>
      <c r="U68" t="n">
        <v>-3.548023831213025</v>
      </c>
      <c r="V68" t="n">
        <v>-2.982430683630599</v>
      </c>
      <c r="W68" t="n">
        <v>-6.285275764926568</v>
      </c>
      <c r="X68" t="n">
        <v>-6.901789074592147</v>
      </c>
      <c r="Y68" t="n">
        <v>-40.05315045521954</v>
      </c>
      <c r="Z68" t="n">
        <v>-37.44945293358074</v>
      </c>
      <c r="AA68" t="n">
        <v>-32.30353018947075</v>
      </c>
      <c r="AB68" t="n">
        <v>-24.42940697575868</v>
      </c>
      <c r="AC68" t="n">
        <v>-23.83450484319495</v>
      </c>
      <c r="AD68" t="n">
        <v>-22.75499756178271</v>
      </c>
      <c r="AE68" t="n">
        <v>-15.61708030873188</v>
      </c>
      <c r="AF68" t="n">
        <v>-14.05480513862823</v>
      </c>
      <c r="AG68" t="n">
        <v>-12.52334232648768</v>
      </c>
      <c r="AH68" t="n">
        <v>-11.08491446783963</v>
      </c>
      <c r="AI68" t="n">
        <v>-9.435297678779426</v>
      </c>
      <c r="AJ68" t="n">
        <v>-9.550445286982306</v>
      </c>
      <c r="AK68" t="n">
        <v>-8.234334289965178</v>
      </c>
      <c r="AL68" t="n">
        <v>-11.15826186030209</v>
      </c>
      <c r="AM68" t="n">
        <v>-9.795048958776341</v>
      </c>
      <c r="AN68" t="n">
        <v>-8.584419373264533</v>
      </c>
      <c r="AO68" t="n">
        <v>-8.276570181977547</v>
      </c>
      <c r="AP68" t="n">
        <v>-8.222937573398536</v>
      </c>
      <c r="AQ68" t="n">
        <v>-8.121357149918474</v>
      </c>
      <c r="AR68" t="n">
        <v>-8.1202624611308</v>
      </c>
      <c r="AS68" t="n">
        <v>-8.023317287749521</v>
      </c>
      <c r="AT68" t="n">
        <v>-8.19059869515649</v>
      </c>
      <c r="AU68" t="n">
        <v>-8.026101277358096</v>
      </c>
      <c r="AV68" t="n">
        <v>-7.690991973823581</v>
      </c>
      <c r="AW68" t="n">
        <v>0.5335487507259313</v>
      </c>
    </row>
    <row r="69">
      <c r="A69" t="inlineStr">
        <is>
          <t>Dominica_2023_May</t>
        </is>
      </c>
      <c r="C69" t="inlineStr">
        <is>
          <t>SM.23.127, Sup. 1</t>
        </is>
      </c>
      <c r="D69" t="inlineStr">
        <is>
          <t>Dominica</t>
        </is>
      </c>
      <c r="E69" t="inlineStr">
        <is>
          <t>DMA</t>
        </is>
      </c>
      <c r="F69" s="11" t="n">
        <v>45047</v>
      </c>
      <c r="G69" t="inlineStr">
        <is>
          <t>2018gn</t>
        </is>
      </c>
      <c r="H69" t="n">
        <v>2022</v>
      </c>
      <c r="I69" t="inlineStr">
        <is>
          <t>off.trsfr.crt.2gdp</t>
        </is>
      </c>
      <c r="M69" t="inlineStr">
        <is>
          <t>Current official transfers in percent of GDP</t>
        </is>
      </c>
      <c r="P69" t="n">
        <v>0.0613665347466764</v>
      </c>
      <c r="Q69" t="n">
        <v>0.1300002233721753</v>
      </c>
      <c r="R69" t="n">
        <v>-0.4159254172670513</v>
      </c>
      <c r="S69" t="n">
        <v>0.0836246373594122</v>
      </c>
      <c r="T69" t="n">
        <v>1.062492292478622</v>
      </c>
      <c r="U69" t="n">
        <v>2.35530783442692</v>
      </c>
      <c r="V69" t="n">
        <v>2.948954560333702</v>
      </c>
      <c r="W69" t="n">
        <v>1.8718506357266</v>
      </c>
      <c r="X69" t="n">
        <v>5.113902169596733</v>
      </c>
      <c r="Y69" t="n">
        <v>0.3777966265611952</v>
      </c>
      <c r="Z69" t="n">
        <v>0.2384442450414047</v>
      </c>
      <c r="AA69" t="n">
        <v>-0.09753697949369759</v>
      </c>
      <c r="AB69" t="n">
        <v>0.0134527943991264</v>
      </c>
      <c r="AC69" t="n">
        <v>0.01316140632337693</v>
      </c>
      <c r="AD69" t="n">
        <v>0.01266549961751694</v>
      </c>
      <c r="AE69" t="n">
        <v>0.01230390821454793</v>
      </c>
      <c r="AF69" t="n">
        <v>0.01208737663959222</v>
      </c>
      <c r="AG69" t="n">
        <v>0.01196296915382211</v>
      </c>
      <c r="AH69" t="n">
        <v>0.01184163870622427</v>
      </c>
      <c r="AI69" t="n">
        <v>0.01130921675889031</v>
      </c>
      <c r="AJ69" t="n">
        <v>0.01080624816318837</v>
      </c>
      <c r="AK69" t="n">
        <v>0.01035218876379921</v>
      </c>
      <c r="AL69" t="n">
        <v>0.009943748383635558</v>
      </c>
      <c r="AM69" t="n">
        <v>0.009557620312659847</v>
      </c>
      <c r="AN69" t="n">
        <v>0.009186486308151004</v>
      </c>
      <c r="AO69" t="n">
        <v>0.008829763887780992</v>
      </c>
      <c r="AP69" t="n">
        <v>0.008486893432234736</v>
      </c>
      <c r="AQ69" t="n">
        <v>0.00815733705289491</v>
      </c>
      <c r="AR69" t="n">
        <v>0.007840577748012374</v>
      </c>
      <c r="AS69" t="n">
        <v>0.007536118591643887</v>
      </c>
      <c r="AT69" t="n">
        <v>0.007243481954084053</v>
      </c>
      <c r="AU69" t="n">
        <v>0.006962208752569039</v>
      </c>
      <c r="AV69" t="n">
        <v>0.006691857731076286</v>
      </c>
      <c r="AW69" t="n">
        <v>0.008814228756272163</v>
      </c>
    </row>
    <row r="70">
      <c r="A70" t="inlineStr">
        <is>
          <t>Dominica_2023_May</t>
        </is>
      </c>
      <c r="C70" t="inlineStr">
        <is>
          <t>SM.23.127, Sup. 1</t>
        </is>
      </c>
      <c r="D70" t="inlineStr">
        <is>
          <t>Dominica</t>
        </is>
      </c>
      <c r="E70" t="inlineStr">
        <is>
          <t>DMA</t>
        </is>
      </c>
      <c r="F70" s="11" t="n">
        <v>45047</v>
      </c>
      <c r="G70" t="inlineStr">
        <is>
          <t>2018gn</t>
        </is>
      </c>
      <c r="H70" t="n">
        <v>2022</v>
      </c>
      <c r="I70" t="inlineStr">
        <is>
          <t>tot.grss.fin.2gdp</t>
        </is>
      </c>
      <c r="M70" t="inlineStr">
        <is>
          <t>Total gross financing</t>
        </is>
      </c>
      <c r="P70" t="inlineStr">
        <is>
          <t>...</t>
        </is>
      </c>
      <c r="Q70" t="n">
        <v>46.21835999999999</v>
      </c>
      <c r="R70" t="n">
        <v>17.7700483125926</v>
      </c>
      <c r="S70" t="n">
        <v>44.2749432814738</v>
      </c>
      <c r="T70" t="n">
        <v>41.549034162003</v>
      </c>
      <c r="U70" t="n">
        <v>31.4967629267685</v>
      </c>
      <c r="V70" t="n">
        <v>27.8218792024424</v>
      </c>
      <c r="W70" t="n">
        <v>25.0775667508586</v>
      </c>
      <c r="X70" t="n">
        <v>48.62568629878869</v>
      </c>
      <c r="Y70" t="n">
        <v>187.6987544621904</v>
      </c>
      <c r="Z70" t="n">
        <v>183.2370595676068</v>
      </c>
      <c r="AA70" t="n">
        <v>173.4939280405598</v>
      </c>
      <c r="AB70" t="n">
        <v>139.2923306023899</v>
      </c>
      <c r="AC70" t="n">
        <v>134.507099882616</v>
      </c>
      <c r="AD70" t="n">
        <v>156.9979631418753</v>
      </c>
      <c r="AE70" t="n">
        <v>121.1044830631561</v>
      </c>
      <c r="AF70" t="n">
        <v>110.868572576986</v>
      </c>
      <c r="AG70" t="n">
        <v>100.3179763692644</v>
      </c>
      <c r="AH70" t="n">
        <v>88.67060653886824</v>
      </c>
      <c r="AI70" t="n">
        <v>76.15551350969658</v>
      </c>
      <c r="AJ70" t="n">
        <v>79.46792700109019</v>
      </c>
      <c r="AK70" t="n">
        <v>68.59530003940927</v>
      </c>
      <c r="AL70" t="n">
        <v>101.8435342371064</v>
      </c>
      <c r="AM70" t="n">
        <v>90.5447075335625</v>
      </c>
      <c r="AN70" t="n">
        <v>80.60987045137783</v>
      </c>
      <c r="AO70" t="n">
        <v>78.48810590686611</v>
      </c>
      <c r="AP70" t="n">
        <v>81.56780489433734</v>
      </c>
      <c r="AQ70" t="n">
        <v>85.58601308428904</v>
      </c>
      <c r="AR70" t="n">
        <v>106.2972017401058</v>
      </c>
      <c r="AS70" t="n">
        <v>109.5539084889219</v>
      </c>
      <c r="AT70" t="n">
        <v>114.9665458869622</v>
      </c>
      <c r="AU70" t="n">
        <v>117.2420779942379</v>
      </c>
      <c r="AV70" t="n">
        <v>118.9902585105092</v>
      </c>
      <c r="AW70" t="n">
        <v>-25.91928685373425</v>
      </c>
    </row>
    <row r="71">
      <c r="A71" t="inlineStr">
        <is>
          <t>Dominica_2023_May</t>
        </is>
      </c>
      <c r="C71" t="inlineStr">
        <is>
          <t>SM.23.127, Sup. 1</t>
        </is>
      </c>
      <c r="D71" t="inlineStr">
        <is>
          <t>Dominica</t>
        </is>
      </c>
      <c r="E71" t="inlineStr">
        <is>
          <t>DMA</t>
        </is>
      </c>
      <c r="F71" s="11" t="n">
        <v>45047</v>
      </c>
      <c r="G71" t="inlineStr">
        <is>
          <t>2018gn</t>
        </is>
      </c>
      <c r="H71" t="n">
        <v>2022</v>
      </c>
      <c r="I71" t="inlineStr">
        <is>
          <t>tot.grss.fin.prv.2gdp</t>
        </is>
      </c>
      <c r="M71" t="inlineStr">
        <is>
          <t>o/w covered by private sector</t>
        </is>
      </c>
      <c r="P71" t="inlineStr">
        <is>
          <t>...</t>
        </is>
      </c>
      <c r="Q71" t="n">
        <v>-7.172222222222103</v>
      </c>
      <c r="R71" t="n">
        <v>25.15328000000011</v>
      </c>
      <c r="S71" t="n">
        <v>-7.482575555556011</v>
      </c>
      <c r="T71" t="n">
        <v>-5.689963703703</v>
      </c>
      <c r="U71" t="n">
        <v>12.70333333333301</v>
      </c>
      <c r="V71" t="n">
        <v>30.933703703704</v>
      </c>
      <c r="W71" t="n">
        <v>22.982962962963</v>
      </c>
      <c r="X71" t="n">
        <v>0.01370370370298701</v>
      </c>
      <c r="Y71" t="n">
        <v>98.21951320287999</v>
      </c>
      <c r="Z71" t="n">
        <v>-99.08938952717497</v>
      </c>
      <c r="AA71" t="n">
        <v>-12.697181482399</v>
      </c>
      <c r="AB71" t="n">
        <v>-80.83493007327721</v>
      </c>
      <c r="AC71" t="n">
        <v>10.4872794881082</v>
      </c>
      <c r="AD71" t="n">
        <v>9.380519914191808</v>
      </c>
      <c r="AE71" t="n">
        <v>-1.553593505667706</v>
      </c>
      <c r="AF71" t="n">
        <v>1.952451767740797</v>
      </c>
      <c r="AG71" t="n">
        <v>1.991500803095107</v>
      </c>
      <c r="AH71" t="n">
        <v>2.031330819156992</v>
      </c>
      <c r="AI71" t="n">
        <v>2.071957435541009</v>
      </c>
      <c r="AJ71" t="n">
        <v>2.113396584250992</v>
      </c>
      <c r="AK71" t="n">
        <v>2.155664515937005</v>
      </c>
      <c r="AL71" t="n">
        <v>2.347344727267995</v>
      </c>
      <c r="AM71" t="n">
        <v>2.245724700799997</v>
      </c>
      <c r="AN71" t="n">
        <v>2.290639194817004</v>
      </c>
      <c r="AO71" t="n">
        <v>2.336451978713001</v>
      </c>
      <c r="AP71" t="n">
        <v>2.383181018287004</v>
      </c>
      <c r="AQ71" t="n">
        <v>2.43084463865199</v>
      </c>
      <c r="AR71" t="n">
        <v>2.479461531426011</v>
      </c>
      <c r="AS71" t="n">
        <v>2.529050762054993</v>
      </c>
      <c r="AT71" t="n">
        <v>2.579631777294992</v>
      </c>
      <c r="AU71" t="n">
        <v>0</v>
      </c>
      <c r="AV71" t="n">
        <v>0</v>
      </c>
      <c r="AW71" t="n">
        <v>0</v>
      </c>
    </row>
    <row r="72">
      <c r="A72" t="inlineStr">
        <is>
          <t>Dominica_2023_May</t>
        </is>
      </c>
      <c r="C72" t="inlineStr">
        <is>
          <t>SM.23.127, Sup. 1</t>
        </is>
      </c>
      <c r="D72" t="inlineStr">
        <is>
          <t>Dominica</t>
        </is>
      </c>
      <c r="E72" t="inlineStr">
        <is>
          <t>DMA</t>
        </is>
      </c>
      <c r="F72" s="11" t="n">
        <v>45047</v>
      </c>
      <c r="G72" t="inlineStr">
        <is>
          <t>2018gn</t>
        </is>
      </c>
      <c r="H72" t="n">
        <v>2022</v>
      </c>
      <c r="I72" t="inlineStr">
        <is>
          <t>tot.grss.fin.pub.2gdp</t>
        </is>
      </c>
      <c r="M72" t="inlineStr">
        <is>
          <t>o/w covered by public sector</t>
        </is>
      </c>
      <c r="P72" t="inlineStr">
        <is>
          <t>...</t>
        </is>
      </c>
      <c r="Q72" t="n">
        <v>53.39058222222209</v>
      </c>
      <c r="R72" t="n">
        <v>-7.383231687407505</v>
      </c>
      <c r="S72" t="n">
        <v>51.75751883702981</v>
      </c>
      <c r="T72" t="n">
        <v>47.238997865706</v>
      </c>
      <c r="U72" t="n">
        <v>18.7934295934355</v>
      </c>
      <c r="V72" t="n">
        <v>-3.111824501261598</v>
      </c>
      <c r="W72" t="n">
        <v>2.094603787895601</v>
      </c>
      <c r="X72" t="n">
        <v>48.61198259508571</v>
      </c>
      <c r="Y72" t="n">
        <v>89.47924125931038</v>
      </c>
      <c r="Z72" t="n">
        <v>282.3264490947818</v>
      </c>
      <c r="AA72" t="n">
        <v>186.1911095229588</v>
      </c>
      <c r="AB72" t="n">
        <v>220.1272606756671</v>
      </c>
      <c r="AC72" t="n">
        <v>124.0198203945078</v>
      </c>
      <c r="AD72" t="n">
        <v>147.6174432276835</v>
      </c>
      <c r="AE72" t="n">
        <v>122.6580765688238</v>
      </c>
      <c r="AF72" t="n">
        <v>108.9161208092452</v>
      </c>
      <c r="AG72" t="n">
        <v>98.32647556616934</v>
      </c>
      <c r="AH72" t="n">
        <v>86.63927571971125</v>
      </c>
      <c r="AI72" t="n">
        <v>74.08355607415557</v>
      </c>
      <c r="AJ72" t="n">
        <v>77.3545304168392</v>
      </c>
      <c r="AK72" t="n">
        <v>66.43963552347226</v>
      </c>
      <c r="AL72" t="n">
        <v>99.49618950983836</v>
      </c>
      <c r="AM72" t="n">
        <v>88.2989828327625</v>
      </c>
      <c r="AN72" t="n">
        <v>78.31923125656083</v>
      </c>
      <c r="AO72" t="n">
        <v>76.15165392815311</v>
      </c>
      <c r="AP72" t="n">
        <v>79.18462387605034</v>
      </c>
      <c r="AQ72" t="n">
        <v>83.15516844563705</v>
      </c>
      <c r="AR72" t="n">
        <v>103.8177402086798</v>
      </c>
      <c r="AS72" t="n">
        <v>107.0248577268669</v>
      </c>
      <c r="AT72" t="n">
        <v>112.3869141096672</v>
      </c>
      <c r="AU72" t="n">
        <v>117.2420779942379</v>
      </c>
      <c r="AV72" t="n">
        <v>118.9902585105092</v>
      </c>
      <c r="AW72" t="n">
        <v>-25.91928685373425</v>
      </c>
    </row>
    <row r="73">
      <c r="A73" t="inlineStr">
        <is>
          <t>Dominica_2023_May</t>
        </is>
      </c>
      <c r="C73" t="inlineStr">
        <is>
          <t>SM.23.127, Sup. 1</t>
        </is>
      </c>
      <c r="D73" t="inlineStr">
        <is>
          <t>Dominica</t>
        </is>
      </c>
      <c r="E73" t="inlineStr">
        <is>
          <t>DMA</t>
        </is>
      </c>
      <c r="F73" s="11" t="n">
        <v>45047</v>
      </c>
      <c r="G73" t="inlineStr">
        <is>
          <t>2018gn</t>
        </is>
      </c>
      <c r="H73" t="n">
        <v>2022</v>
      </c>
      <c r="I73" t="inlineStr">
        <is>
          <t>fin.gap.rsdl</t>
        </is>
      </c>
      <c r="M73" t="inlineStr">
        <is>
          <t>Residual financing gaps after private and public external financing ((-): overfinancing)</t>
        </is>
      </c>
      <c r="AC73" t="n">
        <v>99.69372698705955</v>
      </c>
      <c r="AD73" t="n">
        <v>111.6369586472095</v>
      </c>
      <c r="AE73" t="n">
        <v>75.80626942342073</v>
      </c>
      <c r="AF73" t="n">
        <v>60.41098656606744</v>
      </c>
      <c r="AG73" t="n">
        <v>47.37831481007267</v>
      </c>
      <c r="AH73" t="n">
        <v>32.07107558788003</v>
      </c>
      <c r="AI73" t="n">
        <v>17.65291526178308</v>
      </c>
      <c r="AJ73" t="n">
        <v>18.62108678660509</v>
      </c>
      <c r="AK73" t="n">
        <v>23.73013262598799</v>
      </c>
      <c r="AL73" t="n">
        <v>-18.21409628226428</v>
      </c>
      <c r="AM73" t="n">
        <v>61.32029665190505</v>
      </c>
      <c r="AN73" t="n">
        <v>64.63758488321142</v>
      </c>
      <c r="AO73" t="n">
        <v>61.39756110890571</v>
      </c>
      <c r="AP73" t="n">
        <v>64.13762597230237</v>
      </c>
      <c r="AQ73" t="n">
        <v>68.1771769978244</v>
      </c>
      <c r="AR73" t="n">
        <v>88.44678903998667</v>
      </c>
      <c r="AS73" t="n">
        <v>91.15072615955779</v>
      </c>
      <c r="AT73" t="n">
        <v>106.3472024899271</v>
      </c>
      <c r="AU73" t="n">
        <v>111.1392506790527</v>
      </c>
      <c r="AV73" t="n">
        <v>112.8151864248269</v>
      </c>
      <c r="AW73" t="n">
        <v>-32.17061436951612</v>
      </c>
    </row>
    <row r="74">
      <c r="A74" t="inlineStr">
        <is>
          <t>Dominica_2023_May</t>
        </is>
      </c>
      <c r="C74" t="inlineStr">
        <is>
          <t>SM.23.127, Sup. 1</t>
        </is>
      </c>
      <c r="D74" t="inlineStr">
        <is>
          <t>Dominica</t>
        </is>
      </c>
      <c r="E74" t="inlineStr">
        <is>
          <t>DMA</t>
        </is>
      </c>
      <c r="F74" s="11" t="n">
        <v>45047</v>
      </c>
      <c r="G74" t="inlineStr">
        <is>
          <t>2018gn</t>
        </is>
      </c>
      <c r="H74" t="n">
        <v>2022</v>
      </c>
      <c r="M74" t="inlineStr">
        <is>
          <t xml:space="preserve">(Note) 
- This line is equal to External GFNs - (Private financing) - (Public external financing)
- Nonzero value should be consistent with other BoP components not shown in this GFN calculation (e.g., reserve accumulation).
</t>
        </is>
      </c>
    </row>
    <row r="75">
      <c r="A75" t="inlineStr">
        <is>
          <t>Dominica_2023_May</t>
        </is>
      </c>
      <c r="C75" t="inlineStr">
        <is>
          <t>SM.23.127, Sup. 1</t>
        </is>
      </c>
      <c r="D75" t="inlineStr">
        <is>
          <t>Dominica</t>
        </is>
      </c>
      <c r="E75" t="inlineStr">
        <is>
          <t>DMA</t>
        </is>
      </c>
      <c r="F75" s="11" t="n">
        <v>45047</v>
      </c>
      <c r="G75" t="inlineStr">
        <is>
          <t>2018gn</t>
        </is>
      </c>
      <c r="H75" t="n">
        <v>2022</v>
      </c>
      <c r="M75" t="inlineStr">
        <is>
          <t>Public Sector</t>
        </is>
      </c>
    </row>
    <row r="76">
      <c r="A76" t="inlineStr">
        <is>
          <t>Dominica_2023_May</t>
        </is>
      </c>
      <c r="C76" t="inlineStr">
        <is>
          <t>SM.23.127, Sup. 1</t>
        </is>
      </c>
      <c r="D76" t="inlineStr">
        <is>
          <t>Dominica</t>
        </is>
      </c>
      <c r="E76" t="inlineStr">
        <is>
          <t>DMA</t>
        </is>
      </c>
      <c r="F76" s="11" t="n">
        <v>45047</v>
      </c>
      <c r="G76" t="inlineStr">
        <is>
          <t>2018gn</t>
        </is>
      </c>
      <c r="H76" t="n">
        <v>2022</v>
      </c>
      <c r="K76" t="inlineStr">
        <is>
          <t>National Currency</t>
        </is>
      </c>
      <c r="L76" t="inlineStr">
        <is>
          <t>Million</t>
        </is>
      </c>
      <c r="M76" t="inlineStr">
        <is>
          <t>Total public debt outstanding at year-end</t>
        </is>
      </c>
      <c r="P76" t="n">
        <v>580.8587000000005</v>
      </c>
      <c r="Q76" t="n">
        <v>658.1405862700012</v>
      </c>
      <c r="R76" t="n">
        <v>660.4770485500012</v>
      </c>
      <c r="S76" t="n">
        <v>708.7866822999999</v>
      </c>
      <c r="T76" t="n">
        <v>866.1053628277831</v>
      </c>
      <c r="U76" t="n">
        <v>1033.270183600001</v>
      </c>
      <c r="V76" t="n">
        <v>1038.537061776456</v>
      </c>
      <c r="W76" t="n">
        <v>1134.299640567197</v>
      </c>
      <c r="X76" t="n">
        <v>1220.711932812605</v>
      </c>
      <c r="Y76" t="n">
        <v>1348.275011651083</v>
      </c>
      <c r="Z76" t="n">
        <v>1471.287611188844</v>
      </c>
      <c r="AA76" t="n">
        <v>1608.479695001554</v>
      </c>
      <c r="AB76" t="n">
        <v>1702.442066071429</v>
      </c>
      <c r="AC76" t="n">
        <v>1744.549815782319</v>
      </c>
      <c r="AD76" t="n">
        <v>1816.397528369446</v>
      </c>
      <c r="AE76" t="n">
        <v>1897.149991992131</v>
      </c>
      <c r="AF76" t="n">
        <v>1999.015364908384</v>
      </c>
      <c r="AG76" t="n">
        <v>2096.698484366186</v>
      </c>
      <c r="AH76" t="n">
        <v>2188.944295557314</v>
      </c>
      <c r="AI76" t="n">
        <v>2286.372766686415</v>
      </c>
      <c r="AJ76" t="n">
        <v>2380.320147312336</v>
      </c>
      <c r="AK76" t="n">
        <v>2449.107423463934</v>
      </c>
      <c r="AL76" t="n">
        <v>2485.885185920744</v>
      </c>
      <c r="AM76" t="n">
        <v>2492.193239164227</v>
      </c>
      <c r="AN76" t="n">
        <v>2469.611749808407</v>
      </c>
      <c r="AO76" t="n">
        <v>2445.454095942097</v>
      </c>
      <c r="AP76" t="n">
        <v>2417.10914823451</v>
      </c>
      <c r="AQ76" t="n">
        <v>2386.056242391331</v>
      </c>
      <c r="AR76" t="n">
        <v>2348.963735500669</v>
      </c>
      <c r="AS76" t="n">
        <v>2310.106740263316</v>
      </c>
      <c r="AT76" t="n">
        <v>2263.647840075577</v>
      </c>
      <c r="AU76" t="n">
        <v>2226.234920912101</v>
      </c>
      <c r="AV76" t="n">
        <v>2193.760100131109</v>
      </c>
      <c r="AW76" t="n">
        <v>2827.995995615744</v>
      </c>
    </row>
    <row r="77">
      <c r="A77" t="inlineStr">
        <is>
          <t>Dominica_2023_May</t>
        </is>
      </c>
      <c r="C77" t="inlineStr">
        <is>
          <t>SM.23.127, Sup. 1</t>
        </is>
      </c>
      <c r="D77" t="inlineStr">
        <is>
          <t>Dominica</t>
        </is>
      </c>
      <c r="E77" t="inlineStr">
        <is>
          <t>DMA</t>
        </is>
      </c>
      <c r="F77" s="11" t="n">
        <v>45047</v>
      </c>
      <c r="G77" t="inlineStr">
        <is>
          <t>2018gn</t>
        </is>
      </c>
      <c r="H77" t="n">
        <v>2022</v>
      </c>
      <c r="K77" t="inlineStr">
        <is>
          <t>National Currency</t>
        </is>
      </c>
      <c r="L77" t="inlineStr">
        <is>
          <t>Million</t>
        </is>
      </c>
      <c r="M77" t="inlineStr">
        <is>
          <t>Total public external debt</t>
        </is>
      </c>
      <c r="P77" t="n">
        <v>580.8587000000005</v>
      </c>
      <c r="Q77" t="n">
        <v>658.1405862700012</v>
      </c>
      <c r="R77" t="n">
        <v>660.4770485500012</v>
      </c>
      <c r="S77" t="n">
        <v>708.7866822999999</v>
      </c>
      <c r="T77" t="n">
        <v>866.1053628277831</v>
      </c>
      <c r="U77" t="n">
        <v>878.1814259776548</v>
      </c>
      <c r="V77" t="n">
        <v>878.0938615188063</v>
      </c>
      <c r="W77" t="n">
        <v>852.139785070765</v>
      </c>
      <c r="X77" t="n">
        <v>827.4697737296365</v>
      </c>
      <c r="Y77" t="n">
        <v>835.4433304433062</v>
      </c>
      <c r="Z77" t="n">
        <v>852.9606855888435</v>
      </c>
      <c r="AA77" t="n">
        <v>1013.507560841554</v>
      </c>
      <c r="AB77" t="n">
        <v>1099.10423480143</v>
      </c>
      <c r="AC77" t="n">
        <v>1134.260993518477</v>
      </c>
      <c r="AD77" t="n">
        <v>1162.485818602693</v>
      </c>
      <c r="AE77" t="n">
        <v>1224.11751642476</v>
      </c>
      <c r="AF77" t="n">
        <v>1300.314559523478</v>
      </c>
      <c r="AG77" t="n">
        <v>1388.005003867925</v>
      </c>
      <c r="AH77" t="n">
        <v>1491.151016150346</v>
      </c>
      <c r="AI77" t="n">
        <v>1601.430585456586</v>
      </c>
      <c r="AJ77" t="n">
        <v>1722.21881769728</v>
      </c>
      <c r="AK77" t="n">
        <v>1802.19665807219</v>
      </c>
      <c r="AL77" t="n">
        <v>2085.166330877753</v>
      </c>
      <c r="AM77" t="n">
        <v>2125.531538078062</v>
      </c>
      <c r="AN77" t="n">
        <v>2126.13694937547</v>
      </c>
      <c r="AO77" t="n">
        <v>2130.065007024659</v>
      </c>
      <c r="AP77" t="n">
        <v>2131.370648186586</v>
      </c>
      <c r="AQ77" t="n">
        <v>2126.447975725239</v>
      </c>
      <c r="AR77" t="n">
        <v>2071.581358630835</v>
      </c>
      <c r="AS77" t="n">
        <v>2014.379828061514</v>
      </c>
      <c r="AT77" t="n">
        <v>1926.299168820071</v>
      </c>
      <c r="AU77" t="n">
        <v>1834.608471722446</v>
      </c>
      <c r="AV77" t="n">
        <v>1741.330093946741</v>
      </c>
      <c r="AW77" t="n">
        <v>2317.012094747316</v>
      </c>
    </row>
    <row r="78">
      <c r="A78" t="inlineStr">
        <is>
          <t>Dominica_2023_May</t>
        </is>
      </c>
      <c r="C78" t="inlineStr">
        <is>
          <t>SM.23.127, Sup. 1</t>
        </is>
      </c>
      <c r="D78" t="inlineStr">
        <is>
          <t>Dominica</t>
        </is>
      </c>
      <c r="E78" t="inlineStr">
        <is>
          <t>DMA</t>
        </is>
      </c>
      <c r="F78" s="11" t="n">
        <v>45047</v>
      </c>
      <c r="G78" t="inlineStr">
        <is>
          <t>2018gn</t>
        </is>
      </c>
      <c r="H78" t="n">
        <v>2022</v>
      </c>
      <c r="I78" t="inlineStr">
        <is>
          <t>dod.pub.dbt.eoy</t>
        </is>
      </c>
      <c r="K78" t="inlineStr">
        <is>
          <t>National Currency</t>
        </is>
      </c>
      <c r="L78" t="inlineStr">
        <is>
          <t>Million</t>
        </is>
      </c>
      <c r="M78" t="inlineStr">
        <is>
          <t>Total public domestic debt</t>
        </is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155.088757622346</v>
      </c>
      <c r="V78" t="n">
        <v>160.44320025765</v>
      </c>
      <c r="W78" t="n">
        <v>282.159855496432</v>
      </c>
      <c r="X78" t="n">
        <v>393.242159082968</v>
      </c>
      <c r="Y78" t="n">
        <v>512.831681207777</v>
      </c>
      <c r="Z78" t="n">
        <v>618.3269256</v>
      </c>
      <c r="AA78" t="n">
        <v>594.97213416</v>
      </c>
      <c r="AB78" t="n">
        <v>603.337831269999</v>
      </c>
      <c r="AC78" t="n">
        <v>610.2888222638419</v>
      </c>
      <c r="AD78" t="n">
        <v>653.9117097667529</v>
      </c>
      <c r="AE78" t="n">
        <v>673.0324755673707</v>
      </c>
      <c r="AF78" t="n">
        <v>698.7008053849057</v>
      </c>
      <c r="AG78" t="n">
        <v>708.6934804982612</v>
      </c>
      <c r="AH78" t="n">
        <v>697.7932794069679</v>
      </c>
      <c r="AI78" t="n">
        <v>684.9421812298285</v>
      </c>
      <c r="AJ78" t="n">
        <v>658.1013296150566</v>
      </c>
      <c r="AK78" t="n">
        <v>646.9107653917438</v>
      </c>
      <c r="AL78" t="n">
        <v>400.7188550429914</v>
      </c>
      <c r="AM78" t="n">
        <v>366.6617010861653</v>
      </c>
      <c r="AN78" t="n">
        <v>343.4748004329377</v>
      </c>
      <c r="AO78" t="n">
        <v>315.3890889174383</v>
      </c>
      <c r="AP78" t="n">
        <v>285.7385000479233</v>
      </c>
      <c r="AQ78" t="n">
        <v>259.6082666660919</v>
      </c>
      <c r="AR78" t="n">
        <v>277.3823768698338</v>
      </c>
      <c r="AS78" t="n">
        <v>295.7269122018021</v>
      </c>
      <c r="AT78" t="n">
        <v>337.3486712555062</v>
      </c>
      <c r="AU78" t="n">
        <v>391.6264491896543</v>
      </c>
      <c r="AV78" t="n">
        <v>452.4300061843677</v>
      </c>
      <c r="AW78" t="n">
        <v>510.9839008684274</v>
      </c>
    </row>
    <row r="79">
      <c r="A79" t="inlineStr">
        <is>
          <t>Dominica_2023_May</t>
        </is>
      </c>
      <c r="C79" t="inlineStr">
        <is>
          <t>SM.23.127, Sup. 1</t>
        </is>
      </c>
      <c r="D79" t="inlineStr">
        <is>
          <t>Dominica</t>
        </is>
      </c>
      <c r="E79" t="inlineStr">
        <is>
          <t>DMA</t>
        </is>
      </c>
      <c r="F79" s="11" t="n">
        <v>45047</v>
      </c>
      <c r="G79" t="inlineStr">
        <is>
          <t>2018gn</t>
        </is>
      </c>
      <c r="H79" t="n">
        <v>2022</v>
      </c>
      <c r="I79" t="inlineStr">
        <is>
          <t>dod.pub.ext</t>
        </is>
      </c>
      <c r="K79" t="inlineStr">
        <is>
          <t>National Currency</t>
        </is>
      </c>
      <c r="L79" t="inlineStr">
        <is>
          <t>Million</t>
        </is>
      </c>
      <c r="M79" t="inlineStr">
        <is>
          <t>Foreign-currency denominated public debt (end of period)</t>
        </is>
      </c>
      <c r="P79" t="n">
        <v>0</v>
      </c>
      <c r="Q79" t="n">
        <v>658.1405862700012</v>
      </c>
      <c r="R79" t="n">
        <v>660.4770485500012</v>
      </c>
      <c r="S79" t="n">
        <v>708.7866822999999</v>
      </c>
      <c r="T79" t="n">
        <v>866.1053628277831</v>
      </c>
      <c r="U79" t="n">
        <v>878.1814259776548</v>
      </c>
      <c r="V79" t="n">
        <v>878.0938615188063</v>
      </c>
      <c r="W79" t="n">
        <v>852.139785070765</v>
      </c>
      <c r="X79" t="n">
        <v>827.4697737296365</v>
      </c>
      <c r="Y79" t="n">
        <v>835.4433304433062</v>
      </c>
      <c r="Z79" t="n">
        <v>852.9606855888435</v>
      </c>
      <c r="AA79" t="n">
        <v>1013.507560841554</v>
      </c>
      <c r="AB79" t="n">
        <v>1099.10423480143</v>
      </c>
      <c r="AC79" t="n">
        <v>1134.260993518477</v>
      </c>
      <c r="AD79" t="n">
        <v>1162.485818602693</v>
      </c>
      <c r="AE79" t="n">
        <v>1224.11751642476</v>
      </c>
      <c r="AF79" t="n">
        <v>1300.314559523478</v>
      </c>
      <c r="AG79" t="n">
        <v>1388.005003867925</v>
      </c>
      <c r="AH79" t="n">
        <v>1491.151016150346</v>
      </c>
      <c r="AI79" t="n">
        <v>1601.430585456586</v>
      </c>
      <c r="AJ79" t="n">
        <v>1722.21881769728</v>
      </c>
      <c r="AK79" t="n">
        <v>1802.19665807219</v>
      </c>
      <c r="AL79" t="n">
        <v>2085.166330877753</v>
      </c>
      <c r="AM79" t="n">
        <v>2125.531538078062</v>
      </c>
      <c r="AN79" t="n">
        <v>2126.13694937547</v>
      </c>
      <c r="AO79" t="n">
        <v>2130.065007024659</v>
      </c>
      <c r="AP79" t="n">
        <v>2131.370648186587</v>
      </c>
      <c r="AQ79" t="n">
        <v>2126.447975725239</v>
      </c>
      <c r="AR79" t="n">
        <v>2071.581358630835</v>
      </c>
      <c r="AS79" t="n">
        <v>2014.379828061514</v>
      </c>
      <c r="AT79" t="n">
        <v>1926.299168820071</v>
      </c>
      <c r="AU79" t="n">
        <v>1834.608471722447</v>
      </c>
      <c r="AV79" t="n">
        <v>1741.330093946741</v>
      </c>
      <c r="AW79" t="n">
        <v>2317.012094747316</v>
      </c>
    </row>
    <row r="80">
      <c r="A80" t="inlineStr">
        <is>
          <t>Dominica_2023_May</t>
        </is>
      </c>
      <c r="C80" t="inlineStr">
        <is>
          <t>SM.23.127, Sup. 1</t>
        </is>
      </c>
      <c r="D80" t="inlineStr">
        <is>
          <t>Dominica</t>
        </is>
      </c>
      <c r="E80" t="inlineStr">
        <is>
          <t>DMA</t>
        </is>
      </c>
      <c r="F80" s="11" t="n">
        <v>45047</v>
      </c>
      <c r="G80" t="inlineStr">
        <is>
          <t>2018gn</t>
        </is>
      </c>
      <c r="H80" t="n">
        <v>2022</v>
      </c>
      <c r="I80" t="inlineStr">
        <is>
          <t>dod.pub.dom</t>
        </is>
      </c>
      <c r="M80" t="inlineStr">
        <is>
          <t>Share of foreign-currency denominated Public debt in total Public debt (previous period)</t>
        </is>
      </c>
      <c r="P80" t="inlineStr">
        <is>
          <t>…</t>
        </is>
      </c>
      <c r="Q80" t="n">
        <v>0</v>
      </c>
      <c r="R80" t="n">
        <v>1</v>
      </c>
      <c r="S80" t="n">
        <v>1</v>
      </c>
      <c r="T80" t="n">
        <v>1</v>
      </c>
      <c r="U80" t="n">
        <v>1</v>
      </c>
      <c r="V80" t="n">
        <v>0.8499049328201811</v>
      </c>
      <c r="W80" t="n">
        <v>0.8455103759289958</v>
      </c>
      <c r="X80" t="n">
        <v>0.7512475139678786</v>
      </c>
      <c r="Y80" t="n">
        <v>0.6778583476472528</v>
      </c>
      <c r="Z80" t="n">
        <v>0.619638666610183</v>
      </c>
      <c r="AA80" t="n">
        <v>0.5797375571589475</v>
      </c>
      <c r="AB80" t="n">
        <v>0.6301028007944948</v>
      </c>
      <c r="AC80" t="n">
        <v>0.6456044858770044</v>
      </c>
      <c r="AD80" t="n">
        <v>0.6501740353053967</v>
      </c>
      <c r="AE80" t="n">
        <v>0.6399952655992875</v>
      </c>
      <c r="AF80" t="n">
        <v>0.6452402401453546</v>
      </c>
      <c r="AG80" t="n">
        <v>0.6504775212586085</v>
      </c>
      <c r="AH80" t="n">
        <v>0.6619955202035198</v>
      </c>
      <c r="AI80" t="n">
        <v>0.6812192613474858</v>
      </c>
      <c r="AJ80" t="n">
        <v>0.7004240991627541</v>
      </c>
      <c r="AK80" t="n">
        <v>0.7235240266490492</v>
      </c>
      <c r="AL80" t="n">
        <v>0.7358585584307382</v>
      </c>
      <c r="AM80" t="n">
        <v>0.8388023480277631</v>
      </c>
      <c r="AN80" t="n">
        <v>0.8528758944835566</v>
      </c>
      <c r="AO80" t="n">
        <v>0.8609195147943461</v>
      </c>
      <c r="AP80" t="n">
        <v>0.8710304603792056</v>
      </c>
      <c r="AQ80" t="n">
        <v>0.8817850239586282</v>
      </c>
      <c r="AR80" t="n">
        <v>0.8911977588567193</v>
      </c>
      <c r="AS80" t="n">
        <v>0.8819128738866157</v>
      </c>
      <c r="AT80" t="n">
        <v>0.8719856069645968</v>
      </c>
      <c r="AU80" t="n">
        <v>0.8509712220765564</v>
      </c>
      <c r="AV80" t="n">
        <v>0.8240857487631168</v>
      </c>
      <c r="AW80" t="n">
        <v>0.793765049260706</v>
      </c>
    </row>
    <row r="81">
      <c r="A81" t="inlineStr">
        <is>
          <t>Dominica_2023_May</t>
        </is>
      </c>
      <c r="C81" t="inlineStr">
        <is>
          <t>SM.23.127, Sup. 1</t>
        </is>
      </c>
      <c r="D81" t="inlineStr">
        <is>
          <t>Dominica</t>
        </is>
      </c>
      <c r="E81" t="inlineStr">
        <is>
          <t>DMA</t>
        </is>
      </c>
      <c r="F81" s="11" t="n">
        <v>45047</v>
      </c>
      <c r="G81" t="inlineStr">
        <is>
          <t>2018gn</t>
        </is>
      </c>
      <c r="H81" t="n">
        <v>2022</v>
      </c>
      <c r="I81" t="inlineStr">
        <is>
          <t>dod.fgn.cur</t>
        </is>
      </c>
      <c r="M81" t="inlineStr">
        <is>
          <t xml:space="preserve">Share of local-currency denominated external public debt in total external debt </t>
        </is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</row>
    <row r="82">
      <c r="A82" t="inlineStr">
        <is>
          <t>Dominica_2023_May</t>
        </is>
      </c>
      <c r="C82" t="inlineStr">
        <is>
          <t>SM.23.127, Sup. 1</t>
        </is>
      </c>
      <c r="D82" t="inlineStr">
        <is>
          <t>Dominica</t>
        </is>
      </c>
      <c r="E82" t="inlineStr">
        <is>
          <t>DMA</t>
        </is>
      </c>
      <c r="F82" s="11" t="n">
        <v>45047</v>
      </c>
      <c r="G82" t="inlineStr">
        <is>
          <t>2018gn</t>
        </is>
      </c>
      <c r="H82" t="n">
        <v>2022</v>
      </c>
      <c r="I82" t="inlineStr">
        <is>
          <t>dod.dom.cur.shr</t>
        </is>
      </c>
      <c r="M82" t="inlineStr">
        <is>
          <t>Interest rate on external debt</t>
        </is>
      </c>
      <c r="P82" t="inlineStr">
        <is>
          <t>...</t>
        </is>
      </c>
      <c r="Q82" t="n">
        <v>2.004132726255111</v>
      </c>
      <c r="R82" t="n">
        <v>1.779477097192027</v>
      </c>
      <c r="S82" t="n">
        <v>6.067074577076133</v>
      </c>
      <c r="T82" t="n">
        <v>2.19770531656334</v>
      </c>
      <c r="U82" t="n">
        <v>2.038289838358878</v>
      </c>
      <c r="V82" t="n">
        <v>1.75124503263991</v>
      </c>
      <c r="W82" t="n">
        <v>2.115936543260082</v>
      </c>
      <c r="X82" t="n">
        <v>1.991398526075247</v>
      </c>
      <c r="Y82" t="n">
        <v>1.903419147144116</v>
      </c>
      <c r="Z82" t="n">
        <v>1.849233479642747</v>
      </c>
      <c r="AA82" t="n">
        <v>1.507601454236144</v>
      </c>
      <c r="AB82" t="n">
        <v>1.471644255679288</v>
      </c>
      <c r="AC82" t="n">
        <v>0.8881725405048533</v>
      </c>
      <c r="AD82" t="n">
        <v>2.00936684343049</v>
      </c>
      <c r="AE82" t="n">
        <v>2.173015478588422</v>
      </c>
      <c r="AF82" t="n">
        <v>2.106666269326658</v>
      </c>
      <c r="AG82" t="n">
        <v>2.022204813310571</v>
      </c>
      <c r="AH82" t="n">
        <v>1.914457784139568</v>
      </c>
      <c r="AI82" t="n">
        <v>1.956100300649478</v>
      </c>
      <c r="AJ82" t="n">
        <v>2.092113374482668</v>
      </c>
      <c r="AK82" t="n">
        <v>2.171342945889283</v>
      </c>
      <c r="AL82" t="n">
        <v>2.166413441150813</v>
      </c>
      <c r="AM82" t="n">
        <v>2.111334699390039</v>
      </c>
      <c r="AN82" t="n">
        <v>2.102326001238761</v>
      </c>
      <c r="AO82" t="n">
        <v>2.077813906604773</v>
      </c>
      <c r="AP82" t="n">
        <v>1.994572804166654</v>
      </c>
      <c r="AQ82" t="n">
        <v>1.976930317565142</v>
      </c>
      <c r="AR82" t="n">
        <v>1.791395490239099</v>
      </c>
      <c r="AS82" t="n">
        <v>1.808533425604899</v>
      </c>
      <c r="AT82" t="n">
        <v>1.559477760108203</v>
      </c>
      <c r="AU82" t="n">
        <v>1.563886931091768</v>
      </c>
      <c r="AV82" t="n">
        <v>1.858229644253465</v>
      </c>
      <c r="AW82" t="n">
        <v>1.875688501284249</v>
      </c>
    </row>
    <row r="83">
      <c r="A83" t="inlineStr">
        <is>
          <t>Dominica_2023_May</t>
        </is>
      </c>
      <c r="C83" t="inlineStr">
        <is>
          <t>SM.23.127, Sup. 1</t>
        </is>
      </c>
      <c r="D83" t="inlineStr">
        <is>
          <t>Dominica</t>
        </is>
      </c>
      <c r="E83" t="inlineStr">
        <is>
          <t>DMA</t>
        </is>
      </c>
      <c r="F83" s="11" t="n">
        <v>45047</v>
      </c>
      <c r="G83" t="inlineStr">
        <is>
          <t>2018gn</t>
        </is>
      </c>
      <c r="H83" t="n">
        <v>2022</v>
      </c>
      <c r="I83" t="inlineStr">
        <is>
          <t>int.rat.ext.dbt</t>
        </is>
      </c>
      <c r="M83" t="inlineStr">
        <is>
          <t>Interest rate on domestic debt</t>
        </is>
      </c>
      <c r="P83" t="inlineStr">
        <is>
          <t>...</t>
        </is>
      </c>
      <c r="Q83" t="inlineStr">
        <is>
          <t>...</t>
        </is>
      </c>
      <c r="R83" t="inlineStr">
        <is>
          <t>...</t>
        </is>
      </c>
      <c r="S83" t="inlineStr">
        <is>
          <t>...</t>
        </is>
      </c>
      <c r="T83" t="inlineStr">
        <is>
          <t>...</t>
        </is>
      </c>
      <c r="U83" t="inlineStr">
        <is>
          <t>...</t>
        </is>
      </c>
      <c r="V83" t="n">
        <v>3.487337175767484</v>
      </c>
      <c r="W83" t="n">
        <v>1.523200793848211</v>
      </c>
      <c r="X83" t="n">
        <v>1.739950848557931</v>
      </c>
      <c r="Y83" t="n">
        <v>1.360550077457788</v>
      </c>
      <c r="Z83" t="n">
        <v>0.9673202498560401</v>
      </c>
      <c r="AA83" t="n">
        <v>0.8125096922028653</v>
      </c>
      <c r="AB83" t="n">
        <v>0.5708216914721396</v>
      </c>
      <c r="AC83" t="n">
        <v>7.469656846456177</v>
      </c>
      <c r="AD83" t="n">
        <v>9.858719950963463</v>
      </c>
      <c r="AE83" t="n">
        <v>10.87466396547435</v>
      </c>
      <c r="AF83" t="n">
        <v>10.05925946561001</v>
      </c>
      <c r="AG83" t="n">
        <v>9.077273879201869</v>
      </c>
      <c r="AH83" t="n">
        <v>8.789064911647678</v>
      </c>
      <c r="AI83" t="n">
        <v>8.686159813973319</v>
      </c>
      <c r="AJ83" t="n">
        <v>8.844542596522276</v>
      </c>
      <c r="AK83" t="n">
        <v>8.836614695888832</v>
      </c>
      <c r="AL83" t="n">
        <v>8.961777880343719</v>
      </c>
      <c r="AM83" t="n">
        <v>11.27854771553327</v>
      </c>
      <c r="AN83" t="n">
        <v>11.81721825657596</v>
      </c>
      <c r="AO83" t="n">
        <v>12.42879289843184</v>
      </c>
      <c r="AP83" t="n">
        <v>13.0609385503426</v>
      </c>
      <c r="AQ83" t="n">
        <v>13.93598280980684</v>
      </c>
      <c r="AR83" t="n">
        <v>14.85377193693558</v>
      </c>
      <c r="AS83" t="n">
        <v>13.93058301614065</v>
      </c>
      <c r="AT83" t="n">
        <v>13.08060486834209</v>
      </c>
      <c r="AU83" t="n">
        <v>12.20916486820951</v>
      </c>
      <c r="AV83" t="n">
        <v>11.31164252571397</v>
      </c>
      <c r="AW83" t="n">
        <v>10.42237069358585</v>
      </c>
    </row>
    <row r="84">
      <c r="A84" t="inlineStr">
        <is>
          <t>Dominica_2023_May</t>
        </is>
      </c>
      <c r="C84" t="inlineStr">
        <is>
          <t>SM.23.127, Sup. 1</t>
        </is>
      </c>
      <c r="D84" t="inlineStr">
        <is>
          <t>Dominica</t>
        </is>
      </c>
      <c r="E84" t="inlineStr">
        <is>
          <t>DMA</t>
        </is>
      </c>
      <c r="F84" s="11" t="n">
        <v>45047</v>
      </c>
      <c r="G84" t="inlineStr">
        <is>
          <t>2018gn</t>
        </is>
      </c>
      <c r="H84" t="n">
        <v>2022</v>
      </c>
      <c r="I84" t="inlineStr">
        <is>
          <t>int.rat.dom.dbt</t>
        </is>
      </c>
      <c r="M84" t="inlineStr">
        <is>
          <t>Average Maturity (Debt stock / Amortization)</t>
        </is>
      </c>
      <c r="P84" t="n">
        <v>17.75463001170685</v>
      </c>
      <c r="Q84" t="n">
        <v>23.27045393149714</v>
      </c>
      <c r="R84" t="n">
        <v>17.51569162901785</v>
      </c>
      <c r="S84" t="n">
        <v>14.14369764469506</v>
      </c>
      <c r="T84" t="n">
        <v>20.69900936969522</v>
      </c>
      <c r="U84" t="n">
        <v>21.96793318954816</v>
      </c>
      <c r="V84" t="n">
        <v>14.54204006651528</v>
      </c>
      <c r="W84" t="n">
        <v>16.45326854662511</v>
      </c>
      <c r="X84" t="n">
        <v>16.10930660022798</v>
      </c>
      <c r="Y84" t="n">
        <v>19.8617935774194</v>
      </c>
      <c r="Z84" t="n">
        <v>14.55569037841245</v>
      </c>
      <c r="AA84" t="n">
        <v>-16.89671930275695</v>
      </c>
      <c r="AB84" t="n">
        <v>26.34152851866668</v>
      </c>
      <c r="AC84" t="n">
        <v>26.83205610502798</v>
      </c>
      <c r="AD84" t="n">
        <v>12.61925598471</v>
      </c>
      <c r="AE84" t="n">
        <v>16.02241825058814</v>
      </c>
      <c r="AF84" t="n">
        <v>16.71220438218384</v>
      </c>
      <c r="AG84" t="n">
        <v>15.7695369819803</v>
      </c>
      <c r="AH84" t="n">
        <v>14.9298845562412</v>
      </c>
      <c r="AI84" t="n">
        <v>14.80844656401345</v>
      </c>
      <c r="AJ84" t="n">
        <v>16.28786846087629</v>
      </c>
      <c r="AK84" t="n">
        <v>16.8758395870784</v>
      </c>
      <c r="AL84" t="n">
        <v>17.02164659625667</v>
      </c>
      <c r="AM84" t="n">
        <v>25.48645764721675</v>
      </c>
      <c r="AN84" t="n">
        <v>27.83370094992936</v>
      </c>
      <c r="AO84" t="n">
        <v>34.08342159681116</v>
      </c>
      <c r="AP84" t="n">
        <v>40.9468502997268</v>
      </c>
      <c r="AQ84" t="n">
        <v>55.56553405726103</v>
      </c>
      <c r="AR84" t="n">
        <v>20.17071490523982</v>
      </c>
      <c r="AS84" t="n">
        <v>19.32716407402844</v>
      </c>
      <c r="AT84" t="n">
        <v>17.48650093371824</v>
      </c>
      <c r="AU84" t="n">
        <v>15.83498886757181</v>
      </c>
      <c r="AV84" t="n">
        <v>14.57942200506997</v>
      </c>
      <c r="AW84" t="n">
        <v>19.40654747602189</v>
      </c>
    </row>
    <row r="85">
      <c r="A85" t="inlineStr">
        <is>
          <t>Dominica_2023_May</t>
        </is>
      </c>
      <c r="C85" t="inlineStr">
        <is>
          <t>SM.23.127, Sup. 1</t>
        </is>
      </c>
      <c r="D85" t="inlineStr">
        <is>
          <t>Dominica</t>
        </is>
      </c>
      <c r="E85" t="inlineStr">
        <is>
          <t>DMA</t>
        </is>
      </c>
      <c r="F85" s="11" t="n">
        <v>45047</v>
      </c>
      <c r="G85" t="inlineStr">
        <is>
          <t>2018gn</t>
        </is>
      </c>
      <c r="H85" t="n">
        <v>2022</v>
      </c>
      <c r="I85" t="inlineStr">
        <is>
          <t>avg.mat</t>
        </is>
      </c>
      <c r="K85" t="inlineStr">
        <is>
          <t>US Dollars</t>
        </is>
      </c>
      <c r="L85" t="inlineStr">
        <is>
          <t>Million</t>
        </is>
      </c>
      <c r="M85" t="inlineStr">
        <is>
          <t>Total short-term external debt (public +private)</t>
        </is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</row>
    <row r="86">
      <c r="A86" t="inlineStr">
        <is>
          <t>Dominica_2023_May</t>
        </is>
      </c>
      <c r="C86" t="inlineStr">
        <is>
          <t>SM.23.127, Sup. 1</t>
        </is>
      </c>
      <c r="D86" t="inlineStr">
        <is>
          <t>Dominica</t>
        </is>
      </c>
      <c r="E86" t="inlineStr">
        <is>
          <t>DMA</t>
        </is>
      </c>
      <c r="F86" s="11" t="n">
        <v>45047</v>
      </c>
      <c r="G86" t="inlineStr">
        <is>
          <t>2018gn</t>
        </is>
      </c>
      <c r="H86" t="n">
        <v>2022</v>
      </c>
      <c r="I86" t="inlineStr">
        <is>
          <t>dod.dbt.sht.trm.all</t>
        </is>
      </c>
      <c r="M86" t="inlineStr">
        <is>
          <t>Grant element of new public external borrowing (in percent; if available)</t>
        </is>
      </c>
      <c r="P86" t="inlineStr">
        <is>
          <t>…</t>
        </is>
      </c>
      <c r="Q86" t="inlineStr">
        <is>
          <t>…</t>
        </is>
      </c>
      <c r="R86" t="inlineStr">
        <is>
          <t>…</t>
        </is>
      </c>
      <c r="S86" t="inlineStr">
        <is>
          <t>…</t>
        </is>
      </c>
      <c r="T86" t="inlineStr">
        <is>
          <t>…</t>
        </is>
      </c>
      <c r="U86" t="inlineStr">
        <is>
          <t>…</t>
        </is>
      </c>
      <c r="V86" t="inlineStr">
        <is>
          <t>…</t>
        </is>
      </c>
      <c r="W86" t="inlineStr">
        <is>
          <t>…</t>
        </is>
      </c>
      <c r="X86" t="inlineStr">
        <is>
          <t>…</t>
        </is>
      </c>
      <c r="Y86" t="inlineStr">
        <is>
          <t>…</t>
        </is>
      </c>
      <c r="Z86" t="inlineStr">
        <is>
          <t>…</t>
        </is>
      </c>
      <c r="AA86" t="inlineStr">
        <is>
          <t>…</t>
        </is>
      </c>
      <c r="AB86" t="inlineStr">
        <is>
          <t>…</t>
        </is>
      </c>
      <c r="AC86" t="n">
        <v>47.95910628735931</v>
      </c>
      <c r="AD86" t="n">
        <v>44.31798327275183</v>
      </c>
      <c r="AE86" t="n">
        <v>46.02030172620015</v>
      </c>
      <c r="AF86" t="n">
        <v>42.59576025659791</v>
      </c>
      <c r="AG86" t="n">
        <v>41.09679064632929</v>
      </c>
      <c r="AH86" t="n">
        <v>41.58149303330524</v>
      </c>
      <c r="AI86" t="n">
        <v>41.24511970875763</v>
      </c>
      <c r="AJ86" t="n">
        <v>40.83665178219516</v>
      </c>
      <c r="AK86" t="n">
        <v>38.98759803702896</v>
      </c>
      <c r="AL86" t="n">
        <v>32.21684366396469</v>
      </c>
      <c r="AM86" t="n">
        <v>33.20301255798309</v>
      </c>
      <c r="AN86" t="n">
        <v>36.81185390757524</v>
      </c>
      <c r="AO86" t="n">
        <v>33.68407476502384</v>
      </c>
      <c r="AP86" t="n">
        <v>31.27710623986487</v>
      </c>
      <c r="AQ86" t="n">
        <v>29.91401827909198</v>
      </c>
      <c r="AR86" t="n">
        <v>29.42241895736463</v>
      </c>
      <c r="AS86" t="n">
        <v>29.18509845563145</v>
      </c>
      <c r="AT86" t="n">
        <v>40.03685011272965</v>
      </c>
      <c r="AU86" t="n">
        <v>39.8872759308432</v>
      </c>
      <c r="AV86" t="n">
        <v>39.748635259587</v>
      </c>
      <c r="AW86" t="n">
        <v>39.748635259587</v>
      </c>
    </row>
    <row r="87">
      <c r="A87" t="inlineStr">
        <is>
          <t>Dominica_2023_May</t>
        </is>
      </c>
      <c r="C87" t="inlineStr">
        <is>
          <t>SM.23.127, Sup. 1</t>
        </is>
      </c>
      <c r="D87" t="inlineStr">
        <is>
          <t>Dominica</t>
        </is>
      </c>
      <c r="E87" t="inlineStr">
        <is>
          <t>DMA</t>
        </is>
      </c>
      <c r="F87" s="11" t="n">
        <v>45047</v>
      </c>
      <c r="G87" t="inlineStr">
        <is>
          <t>2018gn</t>
        </is>
      </c>
      <c r="H87" t="n">
        <v>2022</v>
      </c>
      <c r="I87" t="inlineStr">
        <is>
          <t>new.dis.ext.grt.lmt</t>
        </is>
      </c>
      <c r="K87" t="inlineStr">
        <is>
          <t>National Currency</t>
        </is>
      </c>
      <c r="L87" t="inlineStr">
        <is>
          <t>Million</t>
        </is>
      </c>
      <c r="M87" t="inlineStr">
        <is>
          <t>PV of contingent liabilities (if available)</t>
        </is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</row>
    <row r="88">
      <c r="A88" t="inlineStr">
        <is>
          <t>Dominica_2023_May</t>
        </is>
      </c>
      <c r="C88" t="inlineStr">
        <is>
          <t>SM.23.127, Sup. 1</t>
        </is>
      </c>
      <c r="D88" t="inlineStr">
        <is>
          <t>Dominica</t>
        </is>
      </c>
      <c r="E88" t="inlineStr">
        <is>
          <t>DMA</t>
        </is>
      </c>
      <c r="F88" s="11" t="n">
        <v>45047</v>
      </c>
      <c r="G88" t="inlineStr">
        <is>
          <t>2018gn</t>
        </is>
      </c>
      <c r="H88" t="n">
        <v>2022</v>
      </c>
      <c r="I88" t="inlineStr">
        <is>
          <t>pv.conting.liab</t>
        </is>
      </c>
      <c r="M88" t="inlineStr">
        <is>
          <t>PV of public sector external debt (end of period)</t>
        </is>
      </c>
      <c r="P88" t="inlineStr">
        <is>
          <t>…</t>
        </is>
      </c>
      <c r="Q88" t="inlineStr">
        <is>
          <t>…</t>
        </is>
      </c>
      <c r="R88" t="inlineStr">
        <is>
          <t>…</t>
        </is>
      </c>
      <c r="S88" t="inlineStr">
        <is>
          <t>…</t>
        </is>
      </c>
      <c r="T88" t="inlineStr">
        <is>
          <t>…</t>
        </is>
      </c>
      <c r="U88" t="inlineStr">
        <is>
          <t>…</t>
        </is>
      </c>
      <c r="V88" t="inlineStr">
        <is>
          <t>…</t>
        </is>
      </c>
      <c r="W88" t="inlineStr">
        <is>
          <t>…</t>
        </is>
      </c>
      <c r="X88" t="inlineStr">
        <is>
          <t>…</t>
        </is>
      </c>
      <c r="Y88" t="inlineStr">
        <is>
          <t>…</t>
        </is>
      </c>
      <c r="Z88" t="inlineStr">
        <is>
          <t>…</t>
        </is>
      </c>
      <c r="AA88" t="inlineStr">
        <is>
          <t>…</t>
        </is>
      </c>
      <c r="AB88" t="n">
        <v>629.2692038072726</v>
      </c>
      <c r="AC88" t="n">
        <v>654.6277228289816</v>
      </c>
      <c r="AD88" t="n">
        <v>649.7387418607821</v>
      </c>
      <c r="AE88" t="n">
        <v>660.3807538675281</v>
      </c>
      <c r="AF88" t="n">
        <v>688.0237109693973</v>
      </c>
      <c r="AG88" t="n">
        <v>727.2875580484138</v>
      </c>
      <c r="AH88" t="n">
        <v>778.9614430846721</v>
      </c>
      <c r="AI88" t="n">
        <v>836.1784845752893</v>
      </c>
      <c r="AJ88" t="n">
        <v>900.5130135749334</v>
      </c>
      <c r="AK88" t="n">
        <v>943.1624226718747</v>
      </c>
      <c r="AL88" t="n">
        <v>1131.856331349456</v>
      </c>
      <c r="AM88" t="n">
        <v>1160.603626119773</v>
      </c>
      <c r="AN88" t="n">
        <v>1160.955153810832</v>
      </c>
      <c r="AO88" t="n">
        <v>1165.33539487141</v>
      </c>
      <c r="AP88" t="n">
        <v>1169.715191531006</v>
      </c>
      <c r="AQ88" t="n">
        <v>1169.045164553767</v>
      </c>
      <c r="AR88" t="n">
        <v>1122.32694729105</v>
      </c>
      <c r="AS88" t="n">
        <v>1071.267744274224</v>
      </c>
      <c r="AT88" t="n">
        <v>998.8077690449892</v>
      </c>
      <c r="AU88" t="n">
        <v>920.3598402035726</v>
      </c>
      <c r="AV88" t="n">
        <v>832.3810473835567</v>
      </c>
      <c r="AW88" t="n">
        <v>1074.527773553014</v>
      </c>
    </row>
    <row r="89">
      <c r="A89" t="inlineStr">
        <is>
          <t>Dominica_2023_May</t>
        </is>
      </c>
      <c r="C89" t="inlineStr">
        <is>
          <t>SM.23.127, Sup. 1</t>
        </is>
      </c>
      <c r="D89" t="inlineStr">
        <is>
          <t>Dominica</t>
        </is>
      </c>
      <c r="E89" t="inlineStr">
        <is>
          <t>DMA</t>
        </is>
      </c>
      <c r="F89" s="11" t="n">
        <v>45047</v>
      </c>
      <c r="G89" t="inlineStr">
        <is>
          <t>2018gn</t>
        </is>
      </c>
      <c r="H89" t="n">
        <v>2022</v>
      </c>
      <c r="I89" t="inlineStr">
        <is>
          <t>pv.pub.ext.dbt.eop</t>
        </is>
      </c>
      <c r="M89" t="inlineStr">
        <is>
          <t>Total public debt outstanding (net)</t>
        </is>
      </c>
      <c r="P89" t="n">
        <v>580.8587000000005</v>
      </c>
      <c r="Q89" t="n">
        <v>658.1405862700012</v>
      </c>
      <c r="R89" t="n">
        <v>660.4770485500012</v>
      </c>
      <c r="S89" t="n">
        <v>708.7866822999999</v>
      </c>
      <c r="T89" t="n">
        <v>866.1053628277831</v>
      </c>
      <c r="U89" t="n">
        <v>975.9056836000008</v>
      </c>
      <c r="V89" t="n">
        <v>871.7198117764563</v>
      </c>
      <c r="W89" t="n">
        <v>827.950051250197</v>
      </c>
      <c r="X89" t="n">
        <v>867.9638726558046</v>
      </c>
      <c r="Y89" t="n">
        <v>1151.216171651083</v>
      </c>
      <c r="Z89" t="n">
        <v>1273.323551188844</v>
      </c>
      <c r="AA89" t="n">
        <v>1378.206850371554</v>
      </c>
      <c r="AB89" t="n">
        <v>1515.251466071429</v>
      </c>
      <c r="AC89" t="n">
        <v>1607.359215782319</v>
      </c>
      <c r="AD89" t="n">
        <v>1719.206928369446</v>
      </c>
      <c r="AE89" t="n">
        <v>1829.959391992131</v>
      </c>
      <c r="AF89" t="n">
        <v>1941.824764908384</v>
      </c>
      <c r="AG89" t="n">
        <v>2044.507884366186</v>
      </c>
      <c r="AH89" t="n">
        <v>2138.753695557314</v>
      </c>
      <c r="AI89" t="n">
        <v>2236.182166686415</v>
      </c>
      <c r="AJ89" t="n">
        <v>2330.129547312336</v>
      </c>
      <c r="AK89" t="n">
        <v>2398.916823463934</v>
      </c>
      <c r="AL89" t="n">
        <v>2435.694585920744</v>
      </c>
      <c r="AM89" t="n">
        <v>2442.002639164227</v>
      </c>
      <c r="AN89" t="n">
        <v>2419.421149808407</v>
      </c>
      <c r="AO89" t="n">
        <v>2395.263495942098</v>
      </c>
      <c r="AP89" t="n">
        <v>2366.91854823451</v>
      </c>
      <c r="AQ89" t="n">
        <v>2335.865642391331</v>
      </c>
      <c r="AR89" t="n">
        <v>2298.773135500669</v>
      </c>
      <c r="AS89" t="n">
        <v>2259.916140263316</v>
      </c>
      <c r="AT89" t="n">
        <v>2213.457240075577</v>
      </c>
      <c r="AU89" t="n">
        <v>2176.044320912101</v>
      </c>
      <c r="AV89" t="n">
        <v>2143.569500131109</v>
      </c>
      <c r="AW89" t="n">
        <v>2777.805395615744</v>
      </c>
    </row>
    <row r="90">
      <c r="A90" t="inlineStr">
        <is>
          <t>Dominica_2023_May</t>
        </is>
      </c>
      <c r="C90" t="inlineStr">
        <is>
          <t>SM.23.127, Sup. 1</t>
        </is>
      </c>
      <c r="D90" t="inlineStr">
        <is>
          <t>Dominica</t>
        </is>
      </c>
      <c r="E90" t="inlineStr">
        <is>
          <t>DMA</t>
        </is>
      </c>
      <c r="F90" s="11" t="n">
        <v>45047</v>
      </c>
      <c r="G90" t="inlineStr">
        <is>
          <t>2018gn</t>
        </is>
      </c>
      <c r="H90" t="n">
        <v>2022</v>
      </c>
      <c r="I90" t="inlineStr">
        <is>
          <t>dod.pub.dbt</t>
        </is>
      </c>
    </row>
    <row r="91">
      <c r="A91" t="inlineStr">
        <is>
          <t>Dominica_2023_May</t>
        </is>
      </c>
      <c r="C91" t="inlineStr">
        <is>
          <t>SM.23.127, Sup. 1</t>
        </is>
      </c>
      <c r="D91" t="inlineStr">
        <is>
          <t>Dominica</t>
        </is>
      </c>
      <c r="E91" t="inlineStr">
        <is>
          <t>DMA</t>
        </is>
      </c>
      <c r="F91" s="11" t="n">
        <v>45047</v>
      </c>
      <c r="G91" t="inlineStr">
        <is>
          <t>2018gn</t>
        </is>
      </c>
      <c r="H91" t="n">
        <v>2022</v>
      </c>
      <c r="K91" t="inlineStr">
        <is>
          <t>US Dollars</t>
        </is>
      </c>
      <c r="L91" t="inlineStr">
        <is>
          <t>Million</t>
        </is>
      </c>
      <c r="M91" t="inlineStr">
        <is>
          <t>Government revenues (excluding grants)</t>
        </is>
      </c>
      <c r="P91" t="n">
        <v>174.1984168963203</v>
      </c>
      <c r="Q91" t="n">
        <v>174.6698185666666</v>
      </c>
      <c r="R91" t="n">
        <v>174.2855931444444</v>
      </c>
      <c r="S91" t="n">
        <v>183.1545438518519</v>
      </c>
      <c r="T91" t="n">
        <v>186.505067127037</v>
      </c>
      <c r="U91" t="n">
        <v>180.7274949022182</v>
      </c>
      <c r="V91" t="n">
        <v>280.7772592125103</v>
      </c>
      <c r="W91" t="n">
        <v>370.5402686996666</v>
      </c>
      <c r="X91" t="n">
        <v>294.3851034695352</v>
      </c>
      <c r="Y91" t="n">
        <v>304.8865731984467</v>
      </c>
      <c r="Z91" t="n">
        <v>261.0468237586718</v>
      </c>
      <c r="AA91" t="n">
        <v>344.6095036876466</v>
      </c>
      <c r="AB91" t="n">
        <v>355.6622975528037</v>
      </c>
      <c r="AC91" t="n">
        <v>325.2098253667659</v>
      </c>
      <c r="AD91" t="n">
        <v>360.8644809013807</v>
      </c>
      <c r="AE91" t="n">
        <v>371.9386932738826</v>
      </c>
      <c r="AF91" t="n">
        <v>384.0437552566339</v>
      </c>
      <c r="AG91" t="n">
        <v>400.638428398605</v>
      </c>
      <c r="AH91" t="n">
        <v>418.1851872208631</v>
      </c>
      <c r="AI91" t="n">
        <v>437.1701174051156</v>
      </c>
      <c r="AJ91" t="n">
        <v>455.6701684691885</v>
      </c>
      <c r="AK91" t="n">
        <v>476.6176262938532</v>
      </c>
      <c r="AL91" t="n">
        <v>497.5510862487893</v>
      </c>
      <c r="AM91" t="n">
        <v>514.3163260038324</v>
      </c>
      <c r="AN91" t="n">
        <v>532.5452839018849</v>
      </c>
      <c r="AO91" t="n">
        <v>552.5810690065616</v>
      </c>
      <c r="AP91" t="n">
        <v>573.6305251933787</v>
      </c>
      <c r="AQ91" t="n">
        <v>595.5118642834951</v>
      </c>
      <c r="AR91" t="n">
        <v>618.2585427845099</v>
      </c>
      <c r="AS91" t="n">
        <v>642.0745863834505</v>
      </c>
      <c r="AT91" t="n">
        <v>666.701362845281</v>
      </c>
      <c r="AU91" t="n">
        <v>688.9779812411662</v>
      </c>
      <c r="AV91" t="n">
        <v>716.073398979107</v>
      </c>
      <c r="AW91" t="n">
        <v>539.1558880783845</v>
      </c>
    </row>
    <row r="92">
      <c r="A92" t="inlineStr">
        <is>
          <t>Dominica_2023_May</t>
        </is>
      </c>
      <c r="C92" t="inlineStr">
        <is>
          <t>SM.23.127, Sup. 1</t>
        </is>
      </c>
      <c r="D92" t="inlineStr">
        <is>
          <t>Dominica</t>
        </is>
      </c>
      <c r="E92" t="inlineStr">
        <is>
          <t>DMA</t>
        </is>
      </c>
      <c r="F92" s="11" t="n">
        <v>45047</v>
      </c>
      <c r="G92" t="inlineStr">
        <is>
          <t>2018gn</t>
        </is>
      </c>
      <c r="H92" t="n">
        <v>2022</v>
      </c>
      <c r="I92" t="inlineStr">
        <is>
          <t>gov.rev.exc.grt</t>
        </is>
      </c>
      <c r="M92" t="inlineStr">
        <is>
          <t>Real revenue and grants</t>
        </is>
      </c>
      <c r="P92" t="n">
        <v>524.330447956164</v>
      </c>
      <c r="Q92" t="n">
        <v>531.6155848976816</v>
      </c>
      <c r="R92" t="n">
        <v>475.6027022012486</v>
      </c>
      <c r="S92" t="n">
        <v>468.2588655304025</v>
      </c>
      <c r="T92" t="n">
        <v>475.7515977757374</v>
      </c>
      <c r="U92" t="n">
        <v>434.9742494439308</v>
      </c>
      <c r="V92" t="n">
        <v>630.9627545204994</v>
      </c>
      <c r="W92" t="n">
        <v>809.7968776777533</v>
      </c>
      <c r="X92" t="n">
        <v>687.7771476571019</v>
      </c>
      <c r="Y92" t="n">
        <v>645.4807592671746</v>
      </c>
      <c r="Z92" t="n">
        <v>557.0189897482491</v>
      </c>
      <c r="AA92" t="n">
        <v>726.060966190009</v>
      </c>
      <c r="AB92" t="n">
        <v>747.4998180839676</v>
      </c>
      <c r="AC92" t="n">
        <v>616.4160705995969</v>
      </c>
      <c r="AD92" t="n">
        <v>655.9810806006182</v>
      </c>
      <c r="AE92" t="n">
        <v>662.7567166902742</v>
      </c>
      <c r="AF92" t="n">
        <v>671.6863484711258</v>
      </c>
      <c r="AG92" t="n">
        <v>687.1390582510918</v>
      </c>
      <c r="AH92" t="n">
        <v>703.2843193485537</v>
      </c>
      <c r="AI92" t="n">
        <v>720.8539829704149</v>
      </c>
      <c r="AJ92" t="n">
        <v>736.7786748241971</v>
      </c>
      <c r="AK92" t="n">
        <v>753.0892924597556</v>
      </c>
      <c r="AL92" t="n">
        <v>770.1510436224465</v>
      </c>
      <c r="AM92" t="n">
        <v>780.7316803347043</v>
      </c>
      <c r="AN92" t="n">
        <v>792.7330631747773</v>
      </c>
      <c r="AO92" t="n">
        <v>806.5326028357648</v>
      </c>
      <c r="AP92" t="n">
        <v>820.9266505275176</v>
      </c>
      <c r="AQ92" t="n">
        <v>835.6178596919881</v>
      </c>
      <c r="AR92" t="n">
        <v>842.1904405751942</v>
      </c>
      <c r="AS92" t="n">
        <v>866.1334862502025</v>
      </c>
      <c r="AT92" t="n">
        <v>873.0729479092704</v>
      </c>
      <c r="AU92" t="n">
        <v>884.844013152963</v>
      </c>
      <c r="AV92" t="n">
        <v>901.6554527204166</v>
      </c>
      <c r="AW92" t="n">
        <v>912.4562011936853</v>
      </c>
    </row>
    <row r="93">
      <c r="A93" t="inlineStr">
        <is>
          <t>Dominica_2023_May</t>
        </is>
      </c>
      <c r="C93" t="inlineStr">
        <is>
          <t>SM.23.127, Sup. 1</t>
        </is>
      </c>
      <c r="D93" t="inlineStr">
        <is>
          <t>Dominica</t>
        </is>
      </c>
      <c r="E93" t="inlineStr">
        <is>
          <t>DMA</t>
        </is>
      </c>
      <c r="F93" s="11" t="n">
        <v>45047</v>
      </c>
      <c r="G93" t="inlineStr">
        <is>
          <t>2018gn</t>
        </is>
      </c>
      <c r="H93" t="n">
        <v>2022</v>
      </c>
      <c r="I93" t="inlineStr">
        <is>
          <t>rev.real.inc.grt</t>
        </is>
      </c>
      <c r="M93" t="inlineStr">
        <is>
          <t>Growth in real revenues and grants</t>
        </is>
      </c>
      <c r="P93" t="inlineStr">
        <is>
          <t>...</t>
        </is>
      </c>
      <c r="Q93" t="n">
        <v>1.389417107077229</v>
      </c>
      <c r="R93" t="n">
        <v>-10.53635075563364</v>
      </c>
      <c r="S93" t="n">
        <v>-1.544111637056789</v>
      </c>
      <c r="T93" t="n">
        <v>1.60012608343203</v>
      </c>
      <c r="U93" t="n">
        <v>-8.571142697670652</v>
      </c>
      <c r="V93" t="n">
        <v>45.05749600743479</v>
      </c>
      <c r="W93" t="n">
        <v>28.34305541428655</v>
      </c>
      <c r="X93" t="n">
        <v>-15.06794276245745</v>
      </c>
      <c r="Y93" t="n">
        <v>-6.149722847583561</v>
      </c>
      <c r="Z93" t="n">
        <v>-13.70478798149733</v>
      </c>
      <c r="AA93" t="n">
        <v>30.34761463305953</v>
      </c>
      <c r="AB93" t="n">
        <v>2.952761943182058</v>
      </c>
      <c r="AC93" t="n">
        <v>-17.53629155661492</v>
      </c>
      <c r="AD93" t="n">
        <v>6.418555889131161</v>
      </c>
      <c r="AE93" t="n">
        <v>1.032901144565357</v>
      </c>
      <c r="AF93" t="n">
        <v>1.347346855335574</v>
      </c>
      <c r="AG93" t="n">
        <v>2.300584166276276</v>
      </c>
      <c r="AH93" t="n">
        <v>2.34963518717084</v>
      </c>
      <c r="AI93" t="n">
        <v>2.498230536141599</v>
      </c>
      <c r="AJ93" t="n">
        <v>2.209142521230367</v>
      </c>
      <c r="AK93" t="n">
        <v>2.213774392893542</v>
      </c>
      <c r="AL93" t="n">
        <v>2.265568151548614</v>
      </c>
      <c r="AM93" t="n">
        <v>1.373839170884072</v>
      </c>
      <c r="AN93" t="n">
        <v>1.537196855509682</v>
      </c>
      <c r="AO93" t="n">
        <v>1.740754902504316</v>
      </c>
      <c r="AP93" t="n">
        <v>1.784682682528071</v>
      </c>
      <c r="AQ93" t="n">
        <v>1.789588528406294</v>
      </c>
      <c r="AR93" t="n">
        <v>0.786553423550429</v>
      </c>
      <c r="AS93" t="n">
        <v>2.842949114769788</v>
      </c>
      <c r="AT93" t="n">
        <v>0.8012000193077906</v>
      </c>
      <c r="AU93" t="n">
        <v>1.348233875746652</v>
      </c>
      <c r="AV93" t="n">
        <v>1.899932566368334</v>
      </c>
      <c r="AW93" t="n">
        <v>1.197879793293688</v>
      </c>
    </row>
    <row r="94">
      <c r="A94" t="inlineStr">
        <is>
          <t>Dominica_2023_May</t>
        </is>
      </c>
      <c r="C94" t="inlineStr">
        <is>
          <t>SM.23.127, Sup. 1</t>
        </is>
      </c>
      <c r="D94" t="inlineStr">
        <is>
          <t>Dominica</t>
        </is>
      </c>
      <c r="E94" t="inlineStr">
        <is>
          <t>DMA</t>
        </is>
      </c>
      <c r="F94" s="11" t="n">
        <v>45047</v>
      </c>
      <c r="G94" t="inlineStr">
        <is>
          <t>2018gn</t>
        </is>
      </c>
      <c r="H94" t="n">
        <v>2022</v>
      </c>
      <c r="I94" t="inlineStr">
        <is>
          <t>gov.rev.gwth</t>
        </is>
      </c>
      <c r="M94" t="inlineStr">
        <is>
          <t>Revenues in percent of GDP</t>
        </is>
      </c>
      <c r="P94" t="n">
        <v>35.44579598820429</v>
      </c>
      <c r="Q94" t="n">
        <v>35.11473959495179</v>
      </c>
      <c r="R94" t="n">
        <v>35.31543448982349</v>
      </c>
      <c r="S94" t="n">
        <v>37.21546727674322</v>
      </c>
      <c r="T94" t="n">
        <v>36.61535696316386</v>
      </c>
      <c r="U94" t="n">
        <v>34.06203767593243</v>
      </c>
      <c r="V94" t="n">
        <v>50.27495763153369</v>
      </c>
      <c r="W94" t="n">
        <v>67.50710864599647</v>
      </c>
      <c r="X94" t="n">
        <v>54.70203948065566</v>
      </c>
      <c r="Y94" t="n">
        <v>52.28236934140392</v>
      </c>
      <c r="Z94" t="n">
        <v>46.79298955684518</v>
      </c>
      <c r="AA94" t="n">
        <v>65.05248269290681</v>
      </c>
      <c r="AB94" t="n">
        <v>59.9762804663836</v>
      </c>
      <c r="AC94" t="n">
        <v>48.83863943247059</v>
      </c>
      <c r="AD94" t="n">
        <v>49.71335071991668</v>
      </c>
      <c r="AE94" t="n">
        <v>48.02603703480358</v>
      </c>
      <c r="AF94" t="n">
        <v>46.96234867568002</v>
      </c>
      <c r="AG94" t="n">
        <v>46.73848848257644</v>
      </c>
      <c r="AH94" t="n">
        <v>46.58697130621889</v>
      </c>
      <c r="AI94" t="n">
        <v>46.51221497997184</v>
      </c>
      <c r="AJ94" t="n">
        <v>46.32437403806722</v>
      </c>
      <c r="AK94" t="n">
        <v>46.41798749685297</v>
      </c>
      <c r="AL94" t="n">
        <v>46.54487095000658</v>
      </c>
      <c r="AM94" t="n">
        <v>46.244928198948</v>
      </c>
      <c r="AN94" t="n">
        <v>46.02459764462728</v>
      </c>
      <c r="AO94" t="n">
        <v>45.90173677179557</v>
      </c>
      <c r="AP94" t="n">
        <v>45.79995255607474</v>
      </c>
      <c r="AQ94" t="n">
        <v>45.70069986689062</v>
      </c>
      <c r="AR94" t="n">
        <v>45.60392439722271</v>
      </c>
      <c r="AS94" t="n">
        <v>45.52156979775692</v>
      </c>
      <c r="AT94" t="n">
        <v>45.4320936379663</v>
      </c>
      <c r="AU94" t="n">
        <v>45.12699438724236</v>
      </c>
      <c r="AV94" t="n">
        <v>45.08045236176291</v>
      </c>
      <c r="AW94" t="n">
        <v>44.70773782323255</v>
      </c>
    </row>
    <row r="95">
      <c r="A95" t="inlineStr">
        <is>
          <t>Dominica_2023_May</t>
        </is>
      </c>
      <c r="C95" t="inlineStr">
        <is>
          <t>SM.23.127, Sup. 1</t>
        </is>
      </c>
      <c r="D95" t="inlineStr">
        <is>
          <t>Dominica</t>
        </is>
      </c>
      <c r="E95" t="inlineStr">
        <is>
          <t>DMA</t>
        </is>
      </c>
      <c r="F95" s="11" t="n">
        <v>45047</v>
      </c>
      <c r="G95" t="inlineStr">
        <is>
          <t>2018gn</t>
        </is>
      </c>
      <c r="H95" t="n">
        <v>2022</v>
      </c>
      <c r="I95" t="inlineStr">
        <is>
          <t>gov.rev.2gdp</t>
        </is>
      </c>
      <c r="M95" t="inlineStr">
        <is>
          <t>Real non-interest expenditure</t>
        </is>
      </c>
      <c r="P95" t="n">
        <v>309.6666988001272</v>
      </c>
      <c r="Q95" t="n">
        <v>579.6357487722854</v>
      </c>
      <c r="R95" t="n">
        <v>515.5409241604182</v>
      </c>
      <c r="S95" t="n">
        <v>514.1920893310947</v>
      </c>
      <c r="T95" t="n">
        <v>377.3886654462681</v>
      </c>
      <c r="U95" t="n">
        <v>377.3635148413283</v>
      </c>
      <c r="V95" t="n">
        <v>467.161285006879</v>
      </c>
      <c r="W95" t="n">
        <v>649.2580844098192</v>
      </c>
      <c r="X95" t="n">
        <v>702.7837337737054</v>
      </c>
      <c r="Y95" t="n">
        <v>826.883467720051</v>
      </c>
      <c r="Z95" t="n">
        <v>620.7963853727098</v>
      </c>
      <c r="AA95" t="n">
        <v>783.7197334841456</v>
      </c>
      <c r="AB95" t="n">
        <v>816.6291817722712</v>
      </c>
      <c r="AC95" t="n">
        <v>640.4574674029556</v>
      </c>
      <c r="AD95" t="n">
        <v>673.6736246463994</v>
      </c>
      <c r="AE95" t="n">
        <v>669.0756755377673</v>
      </c>
      <c r="AF95" t="n">
        <v>680.3432515732471</v>
      </c>
      <c r="AG95" t="n">
        <v>694.1726370791029</v>
      </c>
      <c r="AH95" t="n">
        <v>705.69438011098</v>
      </c>
      <c r="AI95" t="n">
        <v>724.5301108797513</v>
      </c>
      <c r="AJ95" t="n">
        <v>735.9536669952034</v>
      </c>
      <c r="AK95" t="n">
        <v>737.4396479865536</v>
      </c>
      <c r="AL95" t="n">
        <v>736.5349268641663</v>
      </c>
      <c r="AM95" t="n">
        <v>735.6356677806037</v>
      </c>
      <c r="AN95" t="n">
        <v>733.9865217561456</v>
      </c>
      <c r="AO95" t="n">
        <v>748.7175441783463</v>
      </c>
      <c r="AP95" t="n">
        <v>763.7412744012413</v>
      </c>
      <c r="AQ95" t="n">
        <v>779.0662126256157</v>
      </c>
      <c r="AR95" t="n">
        <v>786.9421774999797</v>
      </c>
      <c r="AS95" t="n">
        <v>810.8487409893336</v>
      </c>
      <c r="AT95" t="n">
        <v>818.673987363476</v>
      </c>
      <c r="AU95" t="n">
        <v>835.0544108977728</v>
      </c>
      <c r="AV95" t="n">
        <v>851.8928912436731</v>
      </c>
      <c r="AW95" t="n">
        <v>867.2594537178405</v>
      </c>
    </row>
    <row r="96">
      <c r="A96" t="inlineStr">
        <is>
          <t>Dominica_2023_May</t>
        </is>
      </c>
      <c r="C96" t="inlineStr">
        <is>
          <t>SM.23.127, Sup. 1</t>
        </is>
      </c>
      <c r="D96" t="inlineStr">
        <is>
          <t>Dominica</t>
        </is>
      </c>
      <c r="E96" t="inlineStr">
        <is>
          <t>DMA</t>
        </is>
      </c>
      <c r="F96" s="11" t="n">
        <v>45047</v>
      </c>
      <c r="G96" t="inlineStr">
        <is>
          <t>2018gn</t>
        </is>
      </c>
      <c r="H96" t="n">
        <v>2022</v>
      </c>
      <c r="I96" t="inlineStr">
        <is>
          <t>real.prim.exp</t>
        </is>
      </c>
      <c r="M96" t="inlineStr">
        <is>
          <t>Growth of real non-interest expenditures</t>
        </is>
      </c>
      <c r="Q96" t="n">
        <v>87.18052377547009</v>
      </c>
      <c r="R96" t="n">
        <v>-11.05777632722363</v>
      </c>
      <c r="S96" t="n">
        <v>-0.2616348705042348</v>
      </c>
      <c r="T96" t="n">
        <v>-26.60550924904199</v>
      </c>
      <c r="U96" t="n">
        <v>-0.006664377402565425</v>
      </c>
      <c r="V96" t="n">
        <v>23.79609226485724</v>
      </c>
      <c r="W96" t="n">
        <v>38.97942857149619</v>
      </c>
      <c r="X96" t="n">
        <v>8.244125202159246</v>
      </c>
      <c r="Y96" t="n">
        <v>17.65831051324609</v>
      </c>
      <c r="Z96" t="n">
        <v>-24.92335261165409</v>
      </c>
      <c r="AA96" t="n">
        <v>26.24424883105931</v>
      </c>
      <c r="AB96" t="n">
        <v>4.199134828699735</v>
      </c>
      <c r="AC96" t="n">
        <v>-21.57303685706932</v>
      </c>
      <c r="AD96" t="n">
        <v>5.1863174268441</v>
      </c>
      <c r="AE96" t="n">
        <v>-0.6825187955139977</v>
      </c>
      <c r="AF96" t="n">
        <v>1.684051064391712</v>
      </c>
      <c r="AG96" t="n">
        <v>2.032707089234176</v>
      </c>
      <c r="AH96" t="n">
        <v>1.659780639057984</v>
      </c>
      <c r="AI96" t="n">
        <v>2.669105961394957</v>
      </c>
      <c r="AJ96" t="n">
        <v>1.576684798038452</v>
      </c>
      <c r="AK96" t="n">
        <v>0.20191230209059</v>
      </c>
      <c r="AL96" t="n">
        <v>-0.12268409012961</v>
      </c>
      <c r="AM96" t="n">
        <v>-0.1220932030190691</v>
      </c>
      <c r="AN96" t="n">
        <v>-0.2241797260094214</v>
      </c>
      <c r="AO96" t="n">
        <v>2.006988137459942</v>
      </c>
      <c r="AP96" t="n">
        <v>2.006595189295624</v>
      </c>
      <c r="AQ96" t="n">
        <v>2.00656148070415</v>
      </c>
      <c r="AR96" t="n">
        <v>1.010949357926894</v>
      </c>
      <c r="AS96" t="n">
        <v>3.037905982533817</v>
      </c>
      <c r="AT96" t="n">
        <v>0.9650685730355546</v>
      </c>
      <c r="AU96" t="n">
        <v>2.000848174869896</v>
      </c>
      <c r="AV96" t="n">
        <v>2.016453074931635</v>
      </c>
      <c r="AW96" t="n">
        <v>1.803813910424101</v>
      </c>
    </row>
    <row r="97">
      <c r="A97" t="inlineStr">
        <is>
          <t>Dominica_2023_May</t>
        </is>
      </c>
      <c r="C97" t="inlineStr">
        <is>
          <t>SM.23.127, Sup. 1</t>
        </is>
      </c>
      <c r="D97" t="inlineStr">
        <is>
          <t>Dominica</t>
        </is>
      </c>
      <c r="E97" t="inlineStr">
        <is>
          <t>DMA</t>
        </is>
      </c>
      <c r="F97" s="11" t="n">
        <v>45047</v>
      </c>
      <c r="G97" t="inlineStr">
        <is>
          <t>2018gn</t>
        </is>
      </c>
      <c r="H97" t="n">
        <v>2022</v>
      </c>
      <c r="I97" t="inlineStr">
        <is>
          <t>real.prim.exp.gwth</t>
        </is>
      </c>
      <c r="M97" t="inlineStr">
        <is>
          <t>Gross financing need</t>
        </is>
      </c>
      <c r="P97" t="inlineStr">
        <is>
          <t>…</t>
        </is>
      </c>
      <c r="Q97" t="n">
        <v>93.98220456000011</v>
      </c>
      <c r="R97" t="n">
        <v>94.31356011706214</v>
      </c>
      <c r="S97" t="n">
        <v>142.2110877571672</v>
      </c>
      <c r="T97" t="n">
        <v>-55.77990158471474</v>
      </c>
      <c r="U97" t="n">
        <v>-3.741149906184674</v>
      </c>
      <c r="V97" t="n">
        <v>-112.6362016175936</v>
      </c>
      <c r="W97" t="n">
        <v>-111.3566584783177</v>
      </c>
      <c r="X97" t="n">
        <v>116.4276022049597</v>
      </c>
      <c r="Y97" t="n">
        <v>324.1893630813747</v>
      </c>
      <c r="Z97" t="n">
        <v>205.5118666460054</v>
      </c>
      <c r="AA97" t="n">
        <v>-0.6422768640025254</v>
      </c>
      <c r="AB97" t="n">
        <v>179.7676453327066</v>
      </c>
      <c r="AC97" t="n">
        <v>155.8004612269061</v>
      </c>
      <c r="AD97" t="n">
        <v>254.4616620104175</v>
      </c>
      <c r="AE97" t="n">
        <v>224.8338766201333</v>
      </c>
      <c r="AF97" t="n">
        <v>227.1549715378723</v>
      </c>
      <c r="AG97" t="n">
        <v>234.3174508205262</v>
      </c>
      <c r="AH97" t="n">
        <v>239.5363602830348</v>
      </c>
      <c r="AI97" t="n">
        <v>250.5006511886912</v>
      </c>
      <c r="AJ97" t="n">
        <v>238.76376095473</v>
      </c>
      <c r="AK97" t="n">
        <v>212.5881013355987</v>
      </c>
      <c r="AL97" t="n">
        <v>181.496148393106</v>
      </c>
      <c r="AM97" t="n">
        <v>102.7689102466837</v>
      </c>
      <c r="AN97" t="n">
        <v>64.81656319168879</v>
      </c>
      <c r="AO97" t="n">
        <v>46.26208333640129</v>
      </c>
      <c r="AP97" t="n">
        <v>29.35611566466418</v>
      </c>
      <c r="AQ97" t="n">
        <v>10.55905228110743</v>
      </c>
      <c r="AR97" t="n">
        <v>78.03231538653441</v>
      </c>
      <c r="AS97" t="n">
        <v>79.34008384490431</v>
      </c>
      <c r="AT97" t="n">
        <v>81.66291895458774</v>
      </c>
      <c r="AU97" t="n">
        <v>101.8473501514324</v>
      </c>
      <c r="AV97" t="n">
        <v>116.6654585659988</v>
      </c>
      <c r="AW97" t="n">
        <v>133.6932900903934</v>
      </c>
    </row>
    <row r="98">
      <c r="A98" t="inlineStr">
        <is>
          <t>Dominica_2023_May</t>
        </is>
      </c>
      <c r="C98" t="inlineStr">
        <is>
          <t>SM.23.127, Sup. 1</t>
        </is>
      </c>
      <c r="D98" t="inlineStr">
        <is>
          <t>Dominica</t>
        </is>
      </c>
      <c r="E98" t="inlineStr">
        <is>
          <t>DMA</t>
        </is>
      </c>
      <c r="F98" s="11" t="n">
        <v>45047</v>
      </c>
      <c r="G98" t="inlineStr">
        <is>
          <t>2018gn</t>
        </is>
      </c>
      <c r="H98" t="n">
        <v>2022</v>
      </c>
      <c r="I98" t="inlineStr">
        <is>
          <t>grss.fin.need</t>
        </is>
      </c>
    </row>
    <row r="99">
      <c r="A99" t="inlineStr">
        <is>
          <t>Dominica_2023_May</t>
        </is>
      </c>
      <c r="C99" t="inlineStr">
        <is>
          <t>SM.23.127, Sup. 1</t>
        </is>
      </c>
      <c r="D99" t="inlineStr">
        <is>
          <t>Dominica</t>
        </is>
      </c>
      <c r="E99" t="inlineStr">
        <is>
          <t>DMA</t>
        </is>
      </c>
      <c r="F99" s="11" t="n">
        <v>45047</v>
      </c>
      <c r="G99" t="inlineStr">
        <is>
          <t>2018gn</t>
        </is>
      </c>
      <c r="H99" t="n">
        <v>2022</v>
      </c>
      <c r="K99" t="inlineStr">
        <is>
          <t>US Dollars</t>
        </is>
      </c>
      <c r="L99" t="inlineStr">
        <is>
          <t>Million</t>
        </is>
      </c>
      <c r="M99" t="inlineStr">
        <is>
          <t>Aid Flows</t>
        </is>
      </c>
      <c r="P99" t="n">
        <v>42.27416822592592</v>
      </c>
      <c r="Q99" t="n">
        <v>46.98469374814815</v>
      </c>
      <c r="R99" t="n">
        <v>23.72282441851852</v>
      </c>
      <c r="S99" t="n">
        <v>13.27980428776333</v>
      </c>
      <c r="T99" t="n">
        <v>16.27750518518518</v>
      </c>
      <c r="U99" t="n">
        <v>10.62962962962963</v>
      </c>
      <c r="V99" t="n">
        <v>11.46085752592593</v>
      </c>
      <c r="W99" t="n">
        <v>5.575630096296296</v>
      </c>
      <c r="X99" t="n">
        <v>24.26132703703703</v>
      </c>
      <c r="Y99" t="n">
        <v>5.086700818518518</v>
      </c>
      <c r="Z99" t="n">
        <v>10.74239437777778</v>
      </c>
      <c r="AA99" t="n">
        <v>12.96412532962963</v>
      </c>
      <c r="AB99" t="n">
        <v>32.11240075185185</v>
      </c>
      <c r="AC99" t="n">
        <v>32.74510203467887</v>
      </c>
      <c r="AD99" t="n">
        <v>37.50926650896744</v>
      </c>
      <c r="AE99" t="n">
        <v>48.84501852998773</v>
      </c>
      <c r="AF99" t="n">
        <v>47.40249173222904</v>
      </c>
      <c r="AG99" t="n">
        <v>48.40323512391249</v>
      </c>
      <c r="AH99" t="n">
        <v>52.43874839095933</v>
      </c>
      <c r="AI99" t="n">
        <v>53.96201742399374</v>
      </c>
      <c r="AJ99" t="n">
        <v>55.8212326930436</v>
      </c>
      <c r="AK99" t="n">
        <v>44.95005745974342</v>
      </c>
      <c r="AL99" t="n">
        <v>39.07434694779383</v>
      </c>
      <c r="AM99" t="n">
        <v>34.69217511926958</v>
      </c>
      <c r="AN99" t="n">
        <v>30.69484272600802</v>
      </c>
      <c r="AO99" t="n">
        <v>32.00879674450927</v>
      </c>
      <c r="AP99" t="n">
        <v>32.47449255078968</v>
      </c>
      <c r="AQ99" t="n">
        <v>33.14059235832118</v>
      </c>
      <c r="AR99" t="n">
        <v>34.35916549932067</v>
      </c>
      <c r="AS99" t="n">
        <v>35.753502675341</v>
      </c>
      <c r="AT99" t="n">
        <v>33.98385188530466</v>
      </c>
      <c r="AU99" t="n">
        <v>35.34805789615476</v>
      </c>
      <c r="AV99" t="n">
        <v>36.77339089128904</v>
      </c>
      <c r="AW99" t="n">
        <v>27.91823263476752</v>
      </c>
    </row>
    <row r="100">
      <c r="A100" t="inlineStr">
        <is>
          <t>Dominica_2023_May</t>
        </is>
      </c>
      <c r="C100" t="inlineStr">
        <is>
          <t>SM.23.127, Sup. 1</t>
        </is>
      </c>
      <c r="D100" t="inlineStr">
        <is>
          <t>Dominica</t>
        </is>
      </c>
      <c r="E100" t="inlineStr">
        <is>
          <t>DMA</t>
        </is>
      </c>
      <c r="F100" s="11" t="n">
        <v>45047</v>
      </c>
      <c r="G100" t="inlineStr">
        <is>
          <t>2018gn</t>
        </is>
      </c>
      <c r="H100" t="n">
        <v>2022</v>
      </c>
      <c r="I100" t="inlineStr">
        <is>
          <t>aid.flw</t>
        </is>
      </c>
      <c r="M100" t="inlineStr">
        <is>
          <t>Grants</t>
        </is>
      </c>
      <c r="P100" t="n">
        <v>42.27416822592592</v>
      </c>
      <c r="Q100" t="n">
        <v>46.98469374814815</v>
      </c>
      <c r="R100" t="n">
        <v>23.72282441851852</v>
      </c>
      <c r="S100" t="n">
        <v>13.27980428776333</v>
      </c>
      <c r="T100" t="n">
        <v>16.27750518518518</v>
      </c>
      <c r="U100" t="n">
        <v>10.62962962962963</v>
      </c>
      <c r="V100" t="n">
        <v>11.46085752592593</v>
      </c>
      <c r="W100" t="n">
        <v>5.575630096296296</v>
      </c>
      <c r="X100" t="n">
        <v>24.26132703703703</v>
      </c>
      <c r="Y100" t="n">
        <v>5.086700818518518</v>
      </c>
      <c r="Z100" t="n">
        <v>10.74239437777778</v>
      </c>
      <c r="AA100" t="n">
        <v>12.96412532962963</v>
      </c>
      <c r="AB100" t="n">
        <v>32.11240075185185</v>
      </c>
      <c r="AC100" t="n">
        <v>16.22658351616037</v>
      </c>
      <c r="AD100" t="n">
        <v>17.68878850896744</v>
      </c>
      <c r="AE100" t="n">
        <v>18.87215945591363</v>
      </c>
      <c r="AF100" t="n">
        <v>19.92773259334015</v>
      </c>
      <c r="AG100" t="n">
        <v>20.88838811106907</v>
      </c>
      <c r="AH100" t="n">
        <v>21.87414849443689</v>
      </c>
      <c r="AI100" t="n">
        <v>22.90395250173252</v>
      </c>
      <c r="AJ100" t="n">
        <v>23.96999953784107</v>
      </c>
      <c r="AK100" t="n">
        <v>23.77028480818018</v>
      </c>
      <c r="AL100" t="n">
        <v>24.74665144469215</v>
      </c>
      <c r="AM100" t="n">
        <v>25.74641670768237</v>
      </c>
      <c r="AN100" t="n">
        <v>26.78657182400767</v>
      </c>
      <c r="AO100" t="n">
        <v>27.8687492022384</v>
      </c>
      <c r="AP100" t="n">
        <v>28.99464654156196</v>
      </c>
      <c r="AQ100" t="n">
        <v>30.16603012820488</v>
      </c>
      <c r="AR100" t="n">
        <v>31.38473760634937</v>
      </c>
      <c r="AS100" t="n">
        <v>32.65268086099381</v>
      </c>
      <c r="AT100" t="n">
        <v>33.97184901728196</v>
      </c>
      <c r="AU100" t="n">
        <v>35.3443115610041</v>
      </c>
      <c r="AV100" t="n">
        <v>36.772221585167</v>
      </c>
      <c r="AW100" t="n">
        <v>27.9178680413127</v>
      </c>
    </row>
    <row r="101">
      <c r="A101" t="inlineStr">
        <is>
          <t>Dominica_2023_May</t>
        </is>
      </c>
      <c r="C101" t="inlineStr">
        <is>
          <t>SM.23.127, Sup. 1</t>
        </is>
      </c>
      <c r="D101" t="inlineStr">
        <is>
          <t>Dominica</t>
        </is>
      </c>
      <c r="E101" t="inlineStr">
        <is>
          <t>DMA</t>
        </is>
      </c>
      <c r="F101" s="11" t="n">
        <v>45047</v>
      </c>
      <c r="G101" t="inlineStr">
        <is>
          <t>2018gn</t>
        </is>
      </c>
      <c r="H101" t="n">
        <v>2022</v>
      </c>
      <c r="I101" t="inlineStr">
        <is>
          <t>grnt</t>
        </is>
      </c>
      <c r="M101" t="inlineStr">
        <is>
          <t>Concessional loans</t>
        </is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16.5185185185185</v>
      </c>
      <c r="AD101" t="n">
        <v>19.820478</v>
      </c>
      <c r="AE101" t="n">
        <v>29.9728590740741</v>
      </c>
      <c r="AF101" t="n">
        <v>27.4747591388889</v>
      </c>
      <c r="AG101" t="n">
        <v>27.51484701284342</v>
      </c>
      <c r="AH101" t="n">
        <v>30.56459989652245</v>
      </c>
      <c r="AI101" t="n">
        <v>31.05806492226122</v>
      </c>
      <c r="AJ101" t="n">
        <v>31.85123315520253</v>
      </c>
      <c r="AK101" t="n">
        <v>21.17977265156323</v>
      </c>
      <c r="AL101" t="n">
        <v>14.32769550310168</v>
      </c>
      <c r="AM101" t="n">
        <v>8.94575841158721</v>
      </c>
      <c r="AN101" t="n">
        <v>3.908270902000349</v>
      </c>
      <c r="AO101" t="n">
        <v>4.14004754227086</v>
      </c>
      <c r="AP101" t="n">
        <v>3.47984600922772</v>
      </c>
      <c r="AQ101" t="n">
        <v>2.974562230116295</v>
      </c>
      <c r="AR101" t="n">
        <v>2.974427892971297</v>
      </c>
      <c r="AS101" t="n">
        <v>3.100821814347192</v>
      </c>
      <c r="AT101" t="n">
        <v>0.0120028680227015</v>
      </c>
      <c r="AU101" t="n">
        <v>0.00374633515064925</v>
      </c>
      <c r="AV101" t="n">
        <v>0.00116930612204059</v>
      </c>
      <c r="AW101" t="n">
        <v>0.000364593454824143</v>
      </c>
    </row>
    <row r="102">
      <c r="A102" t="inlineStr">
        <is>
          <t>Dominica_2023_May</t>
        </is>
      </c>
      <c r="C102" t="inlineStr">
        <is>
          <t>SM.23.127, Sup. 1</t>
        </is>
      </c>
      <c r="D102" t="inlineStr">
        <is>
          <t>Dominica</t>
        </is>
      </c>
      <c r="E102" t="inlineStr">
        <is>
          <t>DMA</t>
        </is>
      </c>
      <c r="F102" s="11" t="n">
        <v>45047</v>
      </c>
      <c r="G102" t="inlineStr">
        <is>
          <t>2018gn</t>
        </is>
      </c>
      <c r="H102" t="n">
        <v>2022</v>
      </c>
      <c r="I102" t="inlineStr">
        <is>
          <t>css.loan</t>
        </is>
      </c>
      <c r="M102" t="inlineStr">
        <is>
          <t xml:space="preserve">Real Economy </t>
        </is>
      </c>
    </row>
    <row r="103">
      <c r="A103" t="inlineStr">
        <is>
          <t>Dominica_2023_May</t>
        </is>
      </c>
      <c r="C103" t="inlineStr">
        <is>
          <t>SM.23.127, Sup. 1</t>
        </is>
      </c>
      <c r="D103" t="inlineStr">
        <is>
          <t>Dominica</t>
        </is>
      </c>
      <c r="E103" t="inlineStr">
        <is>
          <t>DMA</t>
        </is>
      </c>
      <c r="F103" s="11" t="n">
        <v>45047</v>
      </c>
      <c r="G103" t="inlineStr">
        <is>
          <t>2018gn</t>
        </is>
      </c>
      <c r="H103" t="n">
        <v>2022</v>
      </c>
      <c r="M103" t="inlineStr">
        <is>
          <t>Real GDP growth</t>
        </is>
      </c>
      <c r="Q103" t="n">
        <v>0.2231156705932769</v>
      </c>
      <c r="R103" t="n">
        <v>-0.6408080300077557</v>
      </c>
      <c r="S103" t="n">
        <v>-1.029627629958341</v>
      </c>
      <c r="T103" t="n">
        <v>1.862467236345822</v>
      </c>
      <c r="U103" t="n">
        <v>0.9242484466851941</v>
      </c>
      <c r="V103" t="n">
        <v>-0.02197219066885081</v>
      </c>
      <c r="W103" t="n">
        <v>-1.99161555972982</v>
      </c>
      <c r="X103" t="n">
        <v>-1.709694615794677</v>
      </c>
      <c r="Y103" t="n">
        <v>4.542069672042937</v>
      </c>
      <c r="Z103" t="n">
        <v>-5.847185108021202</v>
      </c>
      <c r="AA103" t="n">
        <v>-5.920373642136179</v>
      </c>
      <c r="AB103" t="n">
        <v>6.272021568354003</v>
      </c>
      <c r="AC103" t="n">
        <v>5.165744478901946</v>
      </c>
      <c r="AD103" t="n">
        <v>4.633605325856149</v>
      </c>
      <c r="AE103" t="n">
        <v>4.411111172944082</v>
      </c>
      <c r="AF103" t="n">
        <v>3.529609283095581</v>
      </c>
      <c r="AG103" t="n">
        <v>2.766285754924613</v>
      </c>
      <c r="AH103" t="n">
        <v>2.665965708187534</v>
      </c>
      <c r="AI103" t="n">
        <v>2.654768618205927</v>
      </c>
      <c r="AJ103" t="n">
        <v>2.602878855340629</v>
      </c>
      <c r="AK103" t="n">
        <v>2.272981620765613</v>
      </c>
      <c r="AL103" t="n">
        <v>1.999996246775537</v>
      </c>
      <c r="AM103" t="n">
        <v>2.00000050753546</v>
      </c>
      <c r="AN103" t="n">
        <v>2.000000621979692</v>
      </c>
      <c r="AO103" t="n">
        <v>2.000000121956802</v>
      </c>
      <c r="AP103" t="n">
        <v>2.0000019130479</v>
      </c>
      <c r="AQ103" t="n">
        <v>1.99999660058896</v>
      </c>
      <c r="AR103" t="n">
        <v>0.9900986116542665</v>
      </c>
      <c r="AS103" t="n">
        <v>3.020001739939771</v>
      </c>
      <c r="AT103" t="n">
        <v>0.9900974787717898</v>
      </c>
      <c r="AU103" t="n">
        <v>2.000003937575423</v>
      </c>
      <c r="AV103" t="n">
        <v>1.999997640886275</v>
      </c>
      <c r="AW103" t="n">
        <v>2.000000735908936</v>
      </c>
    </row>
    <row r="104">
      <c r="A104" t="inlineStr">
        <is>
          <t>Dominica_2023_May</t>
        </is>
      </c>
      <c r="C104" t="inlineStr">
        <is>
          <t>SM.23.127, Sup. 1</t>
        </is>
      </c>
      <c r="D104" t="inlineStr">
        <is>
          <t>Dominica</t>
        </is>
      </c>
      <c r="E104" t="inlineStr">
        <is>
          <t>DMA</t>
        </is>
      </c>
      <c r="F104" s="11" t="n">
        <v>45047</v>
      </c>
      <c r="G104" t="inlineStr">
        <is>
          <t>2018gn</t>
        </is>
      </c>
      <c r="H104" t="n">
        <v>2022</v>
      </c>
      <c r="I104" t="inlineStr">
        <is>
          <t>real.gdp.gwth</t>
        </is>
      </c>
      <c r="M104" t="inlineStr">
        <is>
          <t>GDP deflator index (national currency)</t>
        </is>
      </c>
      <c r="P104" t="n">
        <v>111.4709210781765</v>
      </c>
      <c r="Q104" t="n">
        <v>112.5751765470128</v>
      </c>
      <c r="R104" t="n">
        <v>112.4095226847087</v>
      </c>
      <c r="S104" t="n">
        <v>113.2648581839879</v>
      </c>
      <c r="T104" t="n">
        <v>115.0837848580573</v>
      </c>
      <c r="U104" t="n">
        <v>118.7804190469873</v>
      </c>
      <c r="V104" t="n">
        <v>125.0538022317041</v>
      </c>
      <c r="W104" t="n">
        <v>125.4034134660134</v>
      </c>
      <c r="X104" t="n">
        <v>125.0907165640052</v>
      </c>
      <c r="Y104" t="n">
        <v>129.6596107366523</v>
      </c>
      <c r="Z104" t="n">
        <v>131.7425262826456</v>
      </c>
      <c r="AA104" t="n">
        <v>132.9707618649189</v>
      </c>
      <c r="AB104" t="n">
        <v>140.0658114013026</v>
      </c>
      <c r="AC104" t="n">
        <v>149.5545538076541</v>
      </c>
      <c r="AD104" t="n">
        <v>155.8114795737871</v>
      </c>
      <c r="AE104" t="n">
        <v>159.212162743508</v>
      </c>
      <c r="AF104" t="n">
        <v>162.3857652723781</v>
      </c>
      <c r="AG104" t="n">
        <v>165.6320348712053</v>
      </c>
      <c r="AH104" t="n">
        <v>168.9445041987987</v>
      </c>
      <c r="AI104" t="n">
        <v>172.3233856085209</v>
      </c>
      <c r="AJ104" t="n">
        <v>175.7689924899071</v>
      </c>
      <c r="AK104" t="n">
        <v>179.4006864129845</v>
      </c>
      <c r="AL104" t="n">
        <v>183.1074441111487</v>
      </c>
      <c r="AM104" t="n">
        <v>186.7695960148516</v>
      </c>
      <c r="AN104" t="n">
        <v>190.5049859295386</v>
      </c>
      <c r="AO104" t="n">
        <v>194.3150845549754</v>
      </c>
      <c r="AP104" t="n">
        <v>198.2013816506984</v>
      </c>
      <c r="AQ104" t="n">
        <v>202.1654151257949</v>
      </c>
      <c r="AR104" t="n">
        <v>208.2708105612501</v>
      </c>
      <c r="AS104" t="n">
        <v>210.3328933103669</v>
      </c>
      <c r="AT104" t="n">
        <v>216.684949013621</v>
      </c>
      <c r="AU104" t="n">
        <v>221.0186384826433</v>
      </c>
      <c r="AV104" t="n">
        <v>225.4390154676778</v>
      </c>
      <c r="AW104" t="n">
        <v>229.947793099332</v>
      </c>
    </row>
    <row r="105">
      <c r="A105" t="inlineStr">
        <is>
          <t>Dominica_2023_May</t>
        </is>
      </c>
      <c r="C105" t="inlineStr">
        <is>
          <t>SM.23.127, Sup. 1</t>
        </is>
      </c>
      <c r="D105" t="inlineStr">
        <is>
          <t>Dominica</t>
        </is>
      </c>
      <c r="E105" t="inlineStr">
        <is>
          <t>DMA</t>
        </is>
      </c>
      <c r="F105" s="11" t="n">
        <v>45047</v>
      </c>
      <c r="G105" t="inlineStr">
        <is>
          <t>2018gn</t>
        </is>
      </c>
      <c r="H105" t="n">
        <v>2022</v>
      </c>
      <c r="I105" t="inlineStr">
        <is>
          <t>gdp.def.lcu</t>
        </is>
      </c>
      <c r="M105" t="inlineStr">
        <is>
          <t>Change in GDP Deflator factor (percent)</t>
        </is>
      </c>
      <c r="P105" t="inlineStr">
        <is>
          <t>...</t>
        </is>
      </c>
      <c r="Q105" t="n">
        <v>0.9906220009269218</v>
      </c>
      <c r="R105" t="n">
        <v>-0.1471495469829054</v>
      </c>
      <c r="S105" t="n">
        <v>0.7609101781157035</v>
      </c>
      <c r="T105" t="n">
        <v>1.605905576745403</v>
      </c>
      <c r="U105" t="n">
        <v>3.212124274057704</v>
      </c>
      <c r="V105" t="n">
        <v>5.281496087528637</v>
      </c>
      <c r="W105" t="n">
        <v>0.2795686561065436</v>
      </c>
      <c r="X105" t="n">
        <v>-0.2493527834415254</v>
      </c>
      <c r="Y105" t="n">
        <v>3.652464625789609</v>
      </c>
      <c r="Z105" t="n">
        <v>1.606449019983458</v>
      </c>
      <c r="AA105" t="n">
        <v>0.9323000073933274</v>
      </c>
      <c r="AB105" t="n">
        <v>5.335796709649143</v>
      </c>
      <c r="AC105" t="n">
        <v>6.774488586058514</v>
      </c>
      <c r="AD105" t="n">
        <v>4.183707955947757</v>
      </c>
      <c r="AE105" t="n">
        <v>2.182562657785736</v>
      </c>
      <c r="AF105" t="n">
        <v>1.993316637487519</v>
      </c>
      <c r="AG105" t="n">
        <v>1.999109708527769</v>
      </c>
      <c r="AH105" t="n">
        <v>1.99989653581758</v>
      </c>
      <c r="AI105" t="n">
        <v>1.999994865619481</v>
      </c>
      <c r="AJ105" t="n">
        <v>1.999500456202608</v>
      </c>
      <c r="AK105" t="n">
        <v>2.066174398357523</v>
      </c>
      <c r="AL105" t="n">
        <v>2.066189250598049</v>
      </c>
      <c r="AM105" t="n">
        <v>2.000001650113092</v>
      </c>
      <c r="AN105" t="n">
        <v>1.999998926158186</v>
      </c>
      <c r="AO105" t="n">
        <v>1.999999426180876</v>
      </c>
      <c r="AP105" t="n">
        <v>1.999997635090156</v>
      </c>
      <c r="AQ105" t="n">
        <v>2.000002947548851</v>
      </c>
      <c r="AR105" t="n">
        <v>3.019999949870855</v>
      </c>
      <c r="AS105" t="n">
        <v>0.9900968568566704</v>
      </c>
      <c r="AT105" t="n">
        <v>3.020001105524184</v>
      </c>
      <c r="AU105" t="n">
        <v>1.999995610562633</v>
      </c>
      <c r="AV105" t="n">
        <v>2.000001907251647</v>
      </c>
      <c r="AW105" t="n">
        <v>1.999998812228965</v>
      </c>
    </row>
    <row r="106">
      <c r="A106" t="inlineStr">
        <is>
          <t>Dominica_2023_May</t>
        </is>
      </c>
      <c r="C106" t="inlineStr">
        <is>
          <t>SM.23.127, Sup. 1</t>
        </is>
      </c>
      <c r="D106" t="inlineStr">
        <is>
          <t>Dominica</t>
        </is>
      </c>
      <c r="E106" t="inlineStr">
        <is>
          <t>DMA</t>
        </is>
      </c>
      <c r="F106" s="11" t="n">
        <v>45047</v>
      </c>
      <c r="G106" t="inlineStr">
        <is>
          <t>2018gn</t>
        </is>
      </c>
      <c r="H106" t="n">
        <v>2022</v>
      </c>
      <c r="I106" t="inlineStr">
        <is>
          <t>dlta.gdp.def.lcu</t>
        </is>
      </c>
      <c r="M106" t="inlineStr">
        <is>
          <t>GDP deflator index (dollars)</t>
        </is>
      </c>
      <c r="P106" t="n">
        <v>41.28552632525057</v>
      </c>
      <c r="Q106" t="n">
        <v>41.69450983222697</v>
      </c>
      <c r="R106" t="n">
        <v>41.63315654989211</v>
      </c>
      <c r="S106" t="n">
        <v>41.94994747555108</v>
      </c>
      <c r="T106" t="n">
        <v>42.62362402150272</v>
      </c>
      <c r="U106" t="n">
        <v>43.9927477951805</v>
      </c>
      <c r="V106" t="n">
        <v>46.3162230487793</v>
      </c>
      <c r="W106" t="n">
        <v>46.44570869111608</v>
      </c>
      <c r="X106" t="n">
        <v>46.32989502370564</v>
      </c>
      <c r="Y106" t="n">
        <v>48.02207805061195</v>
      </c>
      <c r="Z106" t="n">
        <v>48.7935282528317</v>
      </c>
      <c r="AA106" t="n">
        <v>49.24843032034031</v>
      </c>
      <c r="AB106" t="n">
        <v>51.87622644492689</v>
      </c>
      <c r="AC106" t="n">
        <v>55.39057548431632</v>
      </c>
      <c r="AD106" t="n">
        <v>57.70795539769892</v>
      </c>
      <c r="AE106" t="n">
        <v>58.96746768278075</v>
      </c>
      <c r="AF106" t="n">
        <v>60.14287602680669</v>
      </c>
      <c r="AG106" t="n">
        <v>61.34519810044641</v>
      </c>
      <c r="AH106" t="n">
        <v>62.57203859214766</v>
      </c>
      <c r="AI106" t="n">
        <v>63.82347615130405</v>
      </c>
      <c r="AJ106" t="n">
        <v>65.09962684811374</v>
      </c>
      <c r="AK106" t="n">
        <v>66.44469867147573</v>
      </c>
      <c r="AL106" t="n">
        <v>67.81757189301804</v>
      </c>
      <c r="AM106" t="n">
        <v>69.17392444994505</v>
      </c>
      <c r="AN106" t="n">
        <v>70.55740219612541</v>
      </c>
      <c r="AO106" t="n">
        <v>71.96854983517608</v>
      </c>
      <c r="AP106" t="n">
        <v>73.40791912988827</v>
      </c>
      <c r="AQ106" t="n">
        <v>74.87607967622031</v>
      </c>
      <c r="AR106" t="n">
        <v>77.13733724490743</v>
      </c>
      <c r="AS106" t="n">
        <v>77.90107159643217</v>
      </c>
      <c r="AT106" t="n">
        <v>80.25368481985961</v>
      </c>
      <c r="AU106" t="n">
        <v>81.85875499357157</v>
      </c>
      <c r="AV106" t="n">
        <v>83.49593165469545</v>
      </c>
      <c r="AW106" t="n">
        <v>62.14805218900864</v>
      </c>
    </row>
    <row r="107">
      <c r="A107" t="inlineStr">
        <is>
          <t>Dominica_2023_May</t>
        </is>
      </c>
      <c r="C107" t="inlineStr">
        <is>
          <t>SM.23.127, Sup. 1</t>
        </is>
      </c>
      <c r="D107" t="inlineStr">
        <is>
          <t>Dominica</t>
        </is>
      </c>
      <c r="E107" t="inlineStr">
        <is>
          <t>DMA</t>
        </is>
      </c>
      <c r="F107" s="11" t="n">
        <v>45047</v>
      </c>
      <c r="G107" t="inlineStr">
        <is>
          <t>2018gn</t>
        </is>
      </c>
      <c r="H107" t="n">
        <v>2022</v>
      </c>
      <c r="I107" t="inlineStr">
        <is>
          <t>gdp.def.usd</t>
        </is>
      </c>
      <c r="M107" t="inlineStr">
        <is>
          <t>Change in GDP Deflator factor (percent)</t>
        </is>
      </c>
      <c r="P107" t="inlineStr">
        <is>
          <t>...</t>
        </is>
      </c>
      <c r="Q107" t="n">
        <v>0.9906220009269218</v>
      </c>
      <c r="R107" t="n">
        <v>-0.1471495469829054</v>
      </c>
      <c r="S107" t="n">
        <v>0.7609101781157035</v>
      </c>
      <c r="T107" t="n">
        <v>1.605905576745403</v>
      </c>
      <c r="U107" t="n">
        <v>3.212124274057704</v>
      </c>
      <c r="V107" t="n">
        <v>5.281496087528637</v>
      </c>
      <c r="W107" t="n">
        <v>0.2795686561065436</v>
      </c>
      <c r="X107" t="n">
        <v>-0.2493527834415254</v>
      </c>
      <c r="Y107" t="n">
        <v>3.652464625789609</v>
      </c>
      <c r="Z107" t="n">
        <v>1.606449019983458</v>
      </c>
      <c r="AA107" t="n">
        <v>0.9323000073933274</v>
      </c>
      <c r="AB107" t="n">
        <v>5.335796709649143</v>
      </c>
      <c r="AC107" t="n">
        <v>6.774488586058491</v>
      </c>
      <c r="AD107" t="n">
        <v>4.18370795594778</v>
      </c>
      <c r="AE107" t="n">
        <v>2.182562657785758</v>
      </c>
      <c r="AF107" t="n">
        <v>1.993316637487519</v>
      </c>
      <c r="AG107" t="n">
        <v>1.999109708527791</v>
      </c>
      <c r="AH107" t="n">
        <v>1.99989653581758</v>
      </c>
      <c r="AI107" t="n">
        <v>1.999994865619459</v>
      </c>
      <c r="AJ107" t="n">
        <v>1.999500456202608</v>
      </c>
      <c r="AK107" t="n">
        <v>2.066174398357501</v>
      </c>
      <c r="AL107" t="n">
        <v>2.066189250598072</v>
      </c>
      <c r="AM107" t="n">
        <v>2.000001650113115</v>
      </c>
      <c r="AN107" t="n">
        <v>1.999998926158164</v>
      </c>
      <c r="AO107" t="n">
        <v>1.999999426180921</v>
      </c>
      <c r="AP107" t="n">
        <v>1.999997635090134</v>
      </c>
      <c r="AQ107" t="n">
        <v>2.000002947548851</v>
      </c>
      <c r="AR107" t="n">
        <v>3.019999949870855</v>
      </c>
      <c r="AS107" t="n">
        <v>0.9900968568566482</v>
      </c>
      <c r="AT107" t="n">
        <v>3.020001105524184</v>
      </c>
      <c r="AU107" t="n">
        <v>1.99999561056261</v>
      </c>
      <c r="AV107" t="n">
        <v>2.000001907251647</v>
      </c>
      <c r="AW107" t="n">
        <v>-25.5675684343194</v>
      </c>
    </row>
    <row r="108">
      <c r="A108" t="inlineStr">
        <is>
          <t>Dominica_2023_May</t>
        </is>
      </c>
      <c r="C108" t="inlineStr">
        <is>
          <t>SM.23.127, Sup. 1</t>
        </is>
      </c>
      <c r="D108" t="inlineStr">
        <is>
          <t>Dominica</t>
        </is>
      </c>
      <c r="E108" t="inlineStr">
        <is>
          <t>DMA</t>
        </is>
      </c>
      <c r="F108" s="11" t="n">
        <v>45047</v>
      </c>
      <c r="G108" t="inlineStr">
        <is>
          <t>2018gn</t>
        </is>
      </c>
      <c r="H108" t="n">
        <v>2022</v>
      </c>
      <c r="I108" t="inlineStr">
        <is>
          <t>dlta.gdp.def.usd</t>
        </is>
      </c>
      <c r="M108" t="inlineStr">
        <is>
          <t>US GDP Deflator (percent change)</t>
        </is>
      </c>
      <c r="Q108" t="n">
        <v>1.201991933792779</v>
      </c>
      <c r="R108" t="n">
        <v>2.077737794578627</v>
      </c>
      <c r="S108" t="n">
        <v>1.870389109288872</v>
      </c>
      <c r="T108" t="n">
        <v>1.751312612593092</v>
      </c>
      <c r="U108" t="n">
        <v>1.869827474197749</v>
      </c>
      <c r="V108" t="n">
        <v>1.0004101954179</v>
      </c>
      <c r="W108" t="n">
        <v>1.002029862794962</v>
      </c>
      <c r="X108" t="n">
        <v>1.899899682165329</v>
      </c>
      <c r="Y108" t="n">
        <v>2.40422415518422</v>
      </c>
      <c r="Z108" t="n">
        <v>1.793575765385547</v>
      </c>
      <c r="AA108" t="n">
        <v>1.30503022931594</v>
      </c>
      <c r="AB108" t="n">
        <v>4.491865073350199</v>
      </c>
      <c r="AC108" t="n">
        <v>6.978376978560852</v>
      </c>
      <c r="AD108" t="n">
        <v>3.649854545349229</v>
      </c>
      <c r="AE108" t="n">
        <v>2.190591374704876</v>
      </c>
      <c r="AF108" t="n">
        <v>1.89729552285236</v>
      </c>
      <c r="AG108" t="n">
        <v>1.887545993826678</v>
      </c>
      <c r="AH108" t="n">
        <v>1.87692848596408</v>
      </c>
      <c r="AI108" t="n">
        <v>2.000000000000002</v>
      </c>
      <c r="AJ108" t="n">
        <v>2.000000000000002</v>
      </c>
      <c r="AK108" t="n">
        <v>2.000000000000002</v>
      </c>
      <c r="AL108" t="n">
        <v>2.000000000000002</v>
      </c>
      <c r="AM108" t="n">
        <v>2.000000000000002</v>
      </c>
      <c r="AN108" t="n">
        <v>2.000000000000002</v>
      </c>
      <c r="AO108" t="n">
        <v>2.000000000000002</v>
      </c>
      <c r="AP108" t="n">
        <v>2.000000000000002</v>
      </c>
      <c r="AQ108" t="n">
        <v>2.000000000000002</v>
      </c>
      <c r="AR108" t="n">
        <v>2.000000000000002</v>
      </c>
      <c r="AS108" t="n">
        <v>2.000000000000002</v>
      </c>
      <c r="AT108" t="n">
        <v>2.000000000000002</v>
      </c>
      <c r="AU108" t="n">
        <v>2.000000000000002</v>
      </c>
      <c r="AV108" t="n">
        <v>2.000000000000002</v>
      </c>
      <c r="AW108" t="n">
        <v>2.000000000000002</v>
      </c>
    </row>
    <row r="109">
      <c r="A109" t="inlineStr">
        <is>
          <t>Dominica_2023_May</t>
        </is>
      </c>
      <c r="C109" t="inlineStr">
        <is>
          <t>SM.23.127, Sup. 1</t>
        </is>
      </c>
      <c r="D109" t="inlineStr">
        <is>
          <t>Dominica</t>
        </is>
      </c>
      <c r="E109" t="inlineStr">
        <is>
          <t>DMA</t>
        </is>
      </c>
      <c r="F109" s="11" t="n">
        <v>45047</v>
      </c>
      <c r="G109" t="inlineStr">
        <is>
          <t>2018gn</t>
        </is>
      </c>
      <c r="H109" t="n">
        <v>2022</v>
      </c>
      <c r="I109" t="inlineStr">
        <is>
          <t>gdp.def.usd.gwth</t>
        </is>
      </c>
      <c r="M109" t="inlineStr">
        <is>
          <t>Exchange rate dollar/NC</t>
        </is>
      </c>
      <c r="P109" t="n">
        <v>0.3703703703703703</v>
      </c>
      <c r="Q109" t="n">
        <v>0.3703703703703703</v>
      </c>
      <c r="R109" t="n">
        <v>0.3703703703703703</v>
      </c>
      <c r="S109" t="n">
        <v>0.3703703703703703</v>
      </c>
      <c r="T109" t="n">
        <v>0.3703703703703703</v>
      </c>
      <c r="U109" t="n">
        <v>0.3703703703703703</v>
      </c>
      <c r="V109" t="n">
        <v>0.3703703703703703</v>
      </c>
      <c r="W109" t="n">
        <v>0.3703703703703703</v>
      </c>
      <c r="X109" t="n">
        <v>0.3703703703703703</v>
      </c>
      <c r="Y109" t="n">
        <v>0.3703703703703703</v>
      </c>
      <c r="Z109" t="n">
        <v>0.3703703703703703</v>
      </c>
      <c r="AA109" t="n">
        <v>0.3703703703703703</v>
      </c>
      <c r="AB109" t="n">
        <v>0.3703703703703703</v>
      </c>
      <c r="AC109" t="n">
        <v>0.3703703703703703</v>
      </c>
      <c r="AD109" t="n">
        <v>0.3703703703703703</v>
      </c>
      <c r="AE109" t="n">
        <v>0.3703703703703703</v>
      </c>
      <c r="AF109" t="n">
        <v>0.3703703703703703</v>
      </c>
      <c r="AG109" t="n">
        <v>0.3703703703703703</v>
      </c>
      <c r="AH109" t="n">
        <v>0.3703703703703703</v>
      </c>
      <c r="AI109" t="n">
        <v>0.3703703703703703</v>
      </c>
      <c r="AJ109" t="n">
        <v>0.3703703703703703</v>
      </c>
      <c r="AK109" t="n">
        <v>0.3703703703703703</v>
      </c>
      <c r="AL109" t="n">
        <v>0.3703703703703703</v>
      </c>
      <c r="AM109" t="n">
        <v>0.3703703703703703</v>
      </c>
      <c r="AN109" t="n">
        <v>0.3703703703703703</v>
      </c>
      <c r="AO109" t="n">
        <v>0.3703703703703703</v>
      </c>
      <c r="AP109" t="n">
        <v>0.3703703703703703</v>
      </c>
      <c r="AQ109" t="n">
        <v>0.3703703703703703</v>
      </c>
      <c r="AR109" t="n">
        <v>0.3703703703703703</v>
      </c>
      <c r="AS109" t="n">
        <v>0.3703703703703703</v>
      </c>
      <c r="AT109" t="n">
        <v>0.3703703703703703</v>
      </c>
      <c r="AU109" t="n">
        <v>0.3703703703703703</v>
      </c>
      <c r="AV109" t="n">
        <v>0.3703703703703703</v>
      </c>
      <c r="AW109" t="n">
        <v>0.2702702702702702</v>
      </c>
    </row>
    <row r="110">
      <c r="A110" t="inlineStr">
        <is>
          <t>Dominica_2023_May</t>
        </is>
      </c>
      <c r="C110" t="inlineStr">
        <is>
          <t>SM.23.127, Sup. 1</t>
        </is>
      </c>
      <c r="D110" t="inlineStr">
        <is>
          <t>Dominica</t>
        </is>
      </c>
      <c r="E110" t="inlineStr">
        <is>
          <t>DMA</t>
        </is>
      </c>
      <c r="F110" s="11" t="n">
        <v>45047</v>
      </c>
      <c r="G110" t="inlineStr">
        <is>
          <t>2018gn</t>
        </is>
      </c>
      <c r="H110" t="n">
        <v>2022</v>
      </c>
      <c r="I110" t="inlineStr">
        <is>
          <t>exc.rat.usd2lcu</t>
        </is>
      </c>
      <c r="M110" t="inlineStr">
        <is>
          <t>Depreciation of NC (+: depreciation)</t>
        </is>
      </c>
      <c r="P110" t="inlineStr">
        <is>
          <t>...</t>
        </is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27.02702702702703</v>
      </c>
    </row>
    <row r="111">
      <c r="A111" t="inlineStr">
        <is>
          <t>Dominica_2023_May</t>
        </is>
      </c>
      <c r="C111" t="inlineStr">
        <is>
          <t>SM.23.127, Sup. 1</t>
        </is>
      </c>
      <c r="D111" t="inlineStr">
        <is>
          <t>Dominica</t>
        </is>
      </c>
      <c r="E111" t="inlineStr">
        <is>
          <t>DMA</t>
        </is>
      </c>
      <c r="F111" s="11" t="n">
        <v>45047</v>
      </c>
      <c r="G111" t="inlineStr">
        <is>
          <t>2018gn</t>
        </is>
      </c>
      <c r="H111" t="n">
        <v>2022</v>
      </c>
      <c r="I111" t="inlineStr">
        <is>
          <t>depr.rat.lcu</t>
        </is>
      </c>
    </row>
    <row r="112">
      <c r="A112" t="inlineStr">
        <is>
          <t>Dominica_2023_May</t>
        </is>
      </c>
      <c r="C112" t="inlineStr">
        <is>
          <t>SM.23.127, Sup. 1</t>
        </is>
      </c>
      <c r="D112" t="inlineStr">
        <is>
          <t>Dominica</t>
        </is>
      </c>
      <c r="E112" t="inlineStr">
        <is>
          <t>DMA</t>
        </is>
      </c>
      <c r="F112" s="11" t="n">
        <v>45047</v>
      </c>
      <c r="G112" t="inlineStr">
        <is>
          <t>2018gn</t>
        </is>
      </c>
      <c r="H112" t="n">
        <v>2022</v>
      </c>
      <c r="N112" t="inlineStr">
        <is>
          <t xml:space="preserve">1/ Includes arrears </t>
        </is>
      </c>
    </row>
    <row r="113">
      <c r="A113" t="inlineStr">
        <is>
          <t>Dominica_2023_May</t>
        </is>
      </c>
      <c r="C113" t="inlineStr">
        <is>
          <t>SM.23.127, Sup. 1</t>
        </is>
      </c>
      <c r="D113" t="inlineStr">
        <is>
          <t>Dominica</t>
        </is>
      </c>
      <c r="E113" t="inlineStr">
        <is>
          <t>DMA</t>
        </is>
      </c>
      <c r="F113" s="11" t="n">
        <v>45047</v>
      </c>
      <c r="G113" t="inlineStr">
        <is>
          <t>2018gn</t>
        </is>
      </c>
      <c r="H113" t="n">
        <v>2022</v>
      </c>
    </row>
    <row r="114">
      <c r="A114" t="inlineStr">
        <is>
          <t>Dominica_2023_May</t>
        </is>
      </c>
      <c r="C114" t="inlineStr">
        <is>
          <t>SM.23.127, Sup. 1</t>
        </is>
      </c>
      <c r="D114" t="inlineStr">
        <is>
          <t>Dominica</t>
        </is>
      </c>
      <c r="E114" t="inlineStr">
        <is>
          <t>DMA</t>
        </is>
      </c>
      <c r="F114" s="11" t="n">
        <v>45047</v>
      </c>
      <c r="G114" t="inlineStr">
        <is>
          <t>2018gn</t>
        </is>
      </c>
      <c r="H114" t="n">
        <v>2022</v>
      </c>
    </row>
    <row r="115">
      <c r="A115" t="inlineStr">
        <is>
          <t>Dominica_2023_May</t>
        </is>
      </c>
      <c r="C115" t="inlineStr">
        <is>
          <t>SM.23.127, Sup. 1</t>
        </is>
      </c>
      <c r="D115" t="inlineStr">
        <is>
          <t>Dominica</t>
        </is>
      </c>
      <c r="E115" t="inlineStr">
        <is>
          <t>DMA</t>
        </is>
      </c>
      <c r="F115" s="11" t="n">
        <v>45047</v>
      </c>
      <c r="G115" t="inlineStr">
        <is>
          <t>2018gn</t>
        </is>
      </c>
      <c r="H115" t="n">
        <v>2022</v>
      </c>
    </row>
    <row r="116">
      <c r="A116" t="inlineStr">
        <is>
          <t>Dominica_2023_May</t>
        </is>
      </c>
      <c r="C116" t="inlineStr">
        <is>
          <t>SM.23.127, Sup. 1</t>
        </is>
      </c>
      <c r="D116" t="inlineStr">
        <is>
          <t>Dominica</t>
        </is>
      </c>
      <c r="E116" t="inlineStr">
        <is>
          <t>DMA</t>
        </is>
      </c>
      <c r="F116" s="11" t="n">
        <v>45047</v>
      </c>
      <c r="G116" t="inlineStr">
        <is>
          <t>2018gn</t>
        </is>
      </c>
      <c r="H116" t="n">
        <v>2022</v>
      </c>
    </row>
    <row r="117">
      <c r="A117" t="inlineStr">
        <is>
          <t>Dominica_2023_May</t>
        </is>
      </c>
      <c r="C117" t="inlineStr">
        <is>
          <t>SM.23.127, Sup. 1</t>
        </is>
      </c>
      <c r="D117" t="inlineStr">
        <is>
          <t>Dominica</t>
        </is>
      </c>
      <c r="E117" t="inlineStr">
        <is>
          <t>DMA</t>
        </is>
      </c>
      <c r="F117" s="11" t="n">
        <v>45047</v>
      </c>
      <c r="G117" t="inlineStr">
        <is>
          <t>2018gn</t>
        </is>
      </c>
      <c r="H117" t="n">
        <v>2022</v>
      </c>
    </row>
    <row r="118">
      <c r="A118" t="inlineStr">
        <is>
          <t>Dominica_2023_May</t>
        </is>
      </c>
      <c r="C118" t="inlineStr">
        <is>
          <t>SM.23.127, Sup. 1</t>
        </is>
      </c>
      <c r="D118" t="inlineStr">
        <is>
          <t>Dominica</t>
        </is>
      </c>
      <c r="E118" t="inlineStr">
        <is>
          <t>DMA</t>
        </is>
      </c>
      <c r="F118" s="11" t="n">
        <v>45047</v>
      </c>
      <c r="G118" t="inlineStr">
        <is>
          <t>2018gn</t>
        </is>
      </c>
      <c r="H118" t="n">
        <v>2022</v>
      </c>
    </row>
    <row r="119">
      <c r="A119" t="inlineStr">
        <is>
          <t>Dominica_2023_May</t>
        </is>
      </c>
      <c r="C119" t="inlineStr">
        <is>
          <t>SM.23.127, Sup. 1</t>
        </is>
      </c>
      <c r="D119" t="inlineStr">
        <is>
          <t>Dominica</t>
        </is>
      </c>
      <c r="E119" t="inlineStr">
        <is>
          <t>DMA</t>
        </is>
      </c>
      <c r="F119" s="11" t="n">
        <v>45047</v>
      </c>
      <c r="G119" t="inlineStr">
        <is>
          <t>2018gn</t>
        </is>
      </c>
      <c r="H119" t="n">
        <v>2022</v>
      </c>
    </row>
    <row r="120">
      <c r="A120" t="inlineStr">
        <is>
          <t>Dominica_2023_May</t>
        </is>
      </c>
      <c r="C120" t="inlineStr">
        <is>
          <t>SM.23.127, Sup. 1</t>
        </is>
      </c>
      <c r="D120" t="inlineStr">
        <is>
          <t>Dominica</t>
        </is>
      </c>
      <c r="E120" t="inlineStr">
        <is>
          <t>DMA</t>
        </is>
      </c>
      <c r="F120" s="11" t="n">
        <v>45047</v>
      </c>
      <c r="G120" t="inlineStr">
        <is>
          <t>2018gn</t>
        </is>
      </c>
      <c r="H120" t="n">
        <v>2022</v>
      </c>
    </row>
    <row r="121">
      <c r="A121" t="inlineStr">
        <is>
          <t>Dominica_2023_May</t>
        </is>
      </c>
      <c r="C121" t="inlineStr">
        <is>
          <t>SM.23.127, Sup. 1</t>
        </is>
      </c>
      <c r="D121" t="inlineStr">
        <is>
          <t>Dominica</t>
        </is>
      </c>
      <c r="E121" t="inlineStr">
        <is>
          <t>DMA</t>
        </is>
      </c>
      <c r="F121" s="11" t="n">
        <v>45047</v>
      </c>
      <c r="G121" t="inlineStr">
        <is>
          <t>2018gn</t>
        </is>
      </c>
      <c r="H121" t="n">
        <v>2022</v>
      </c>
    </row>
    <row r="122">
      <c r="A122" t="inlineStr">
        <is>
          <t>Dominica_2023_May</t>
        </is>
      </c>
      <c r="C122" t="inlineStr">
        <is>
          <t>SM.23.127, Sup. 1</t>
        </is>
      </c>
      <c r="D122" t="inlineStr">
        <is>
          <t>Dominica</t>
        </is>
      </c>
      <c r="E122" t="inlineStr">
        <is>
          <t>DMA</t>
        </is>
      </c>
      <c r="F122" s="11" t="n">
        <v>45047</v>
      </c>
      <c r="G122" t="inlineStr">
        <is>
          <t>2018gn</t>
        </is>
      </c>
      <c r="H122" t="n">
        <v>2022</v>
      </c>
    </row>
    <row r="123">
      <c r="A123" t="inlineStr">
        <is>
          <t>Dominica_2023_May</t>
        </is>
      </c>
      <c r="C123" t="inlineStr">
        <is>
          <t>SM.23.127, Sup. 1</t>
        </is>
      </c>
      <c r="D123" t="inlineStr">
        <is>
          <t>Dominica</t>
        </is>
      </c>
      <c r="E123" t="inlineStr">
        <is>
          <t>DMA</t>
        </is>
      </c>
      <c r="F123" s="11" t="n">
        <v>45047</v>
      </c>
      <c r="G123" t="inlineStr">
        <is>
          <t>2018gn</t>
        </is>
      </c>
      <c r="H123" t="n">
        <v>2022</v>
      </c>
    </row>
    <row r="124">
      <c r="A124" t="inlineStr">
        <is>
          <t>Dominica_2023_May</t>
        </is>
      </c>
      <c r="C124" t="inlineStr">
        <is>
          <t>SM.23.127, Sup. 1</t>
        </is>
      </c>
      <c r="D124" t="inlineStr">
        <is>
          <t>Dominica</t>
        </is>
      </c>
      <c r="E124" t="inlineStr">
        <is>
          <t>DMA</t>
        </is>
      </c>
      <c r="F124" s="11" t="n">
        <v>45047</v>
      </c>
      <c r="G124" t="inlineStr">
        <is>
          <t>2018gn</t>
        </is>
      </c>
      <c r="H124" t="n">
        <v>2022</v>
      </c>
    </row>
    <row r="125">
      <c r="A125" t="inlineStr">
        <is>
          <t>Dominica_2023_May</t>
        </is>
      </c>
      <c r="C125" t="inlineStr">
        <is>
          <t>SM.23.127, Sup. 1</t>
        </is>
      </c>
      <c r="D125" t="inlineStr">
        <is>
          <t>Dominica</t>
        </is>
      </c>
      <c r="E125" t="inlineStr">
        <is>
          <t>DMA</t>
        </is>
      </c>
      <c r="F125" s="11" t="n">
        <v>45047</v>
      </c>
      <c r="G125" t="inlineStr">
        <is>
          <t>2018gn</t>
        </is>
      </c>
      <c r="H125" t="n">
        <v>2022</v>
      </c>
    </row>
    <row r="126">
      <c r="A126" t="inlineStr">
        <is>
          <t>Dominica_2023_May</t>
        </is>
      </c>
      <c r="C126" t="inlineStr">
        <is>
          <t>SM.23.127, Sup. 1</t>
        </is>
      </c>
      <c r="D126" t="inlineStr">
        <is>
          <t>Dominica</t>
        </is>
      </c>
      <c r="E126" t="inlineStr">
        <is>
          <t>DMA</t>
        </is>
      </c>
      <c r="F126" s="11" t="n">
        <v>45047</v>
      </c>
      <c r="G126" t="inlineStr">
        <is>
          <t>2018gn</t>
        </is>
      </c>
      <c r="H126" t="n">
        <v>2022</v>
      </c>
    </row>
    <row r="127">
      <c r="A127" t="inlineStr">
        <is>
          <t>Dominica_2023_May</t>
        </is>
      </c>
      <c r="C127" t="inlineStr">
        <is>
          <t>SM.23.127, Sup. 1</t>
        </is>
      </c>
      <c r="D127" t="inlineStr">
        <is>
          <t>Dominica</t>
        </is>
      </c>
      <c r="E127" t="inlineStr">
        <is>
          <t>DMA</t>
        </is>
      </c>
      <c r="F127" s="11" t="n">
        <v>45047</v>
      </c>
      <c r="G127" t="inlineStr">
        <is>
          <t>2018gn</t>
        </is>
      </c>
      <c r="H127" t="n">
        <v>2022</v>
      </c>
    </row>
    <row r="128">
      <c r="A128" t="inlineStr">
        <is>
          <t>Dominica_2023_May</t>
        </is>
      </c>
      <c r="C128" t="inlineStr">
        <is>
          <t>SM.23.127, Sup. 1</t>
        </is>
      </c>
      <c r="D128" t="inlineStr">
        <is>
          <t>Dominica</t>
        </is>
      </c>
      <c r="E128" t="inlineStr">
        <is>
          <t>DMA</t>
        </is>
      </c>
      <c r="F128" s="11" t="n">
        <v>45047</v>
      </c>
      <c r="G128" t="inlineStr">
        <is>
          <t>2018gn</t>
        </is>
      </c>
      <c r="H128" t="n">
        <v>2022</v>
      </c>
    </row>
    <row r="129">
      <c r="A129" t="inlineStr">
        <is>
          <t>Dominica_2023_May</t>
        </is>
      </c>
      <c r="C129" t="inlineStr">
        <is>
          <t>SM.23.127, Sup. 1</t>
        </is>
      </c>
      <c r="D129" t="inlineStr">
        <is>
          <t>Dominica</t>
        </is>
      </c>
      <c r="E129" t="inlineStr">
        <is>
          <t>DMA</t>
        </is>
      </c>
      <c r="F129" s="11" t="n">
        <v>45047</v>
      </c>
      <c r="G129" t="inlineStr">
        <is>
          <t>2018gn</t>
        </is>
      </c>
      <c r="H129" t="n">
        <v>2022</v>
      </c>
    </row>
    <row r="130">
      <c r="A130" t="inlineStr">
        <is>
          <t>Dominica_2023_May</t>
        </is>
      </c>
      <c r="C130" t="inlineStr">
        <is>
          <t>SM.23.127, Sup. 1</t>
        </is>
      </c>
      <c r="D130" t="inlineStr">
        <is>
          <t>Dominica</t>
        </is>
      </c>
      <c r="E130" t="inlineStr">
        <is>
          <t>DMA</t>
        </is>
      </c>
      <c r="F130" s="11" t="n">
        <v>45047</v>
      </c>
      <c r="G130" t="inlineStr">
        <is>
          <t>2018gn</t>
        </is>
      </c>
      <c r="H130" t="n">
        <v>2022</v>
      </c>
    </row>
    <row r="131">
      <c r="A131" t="inlineStr">
        <is>
          <t>Dominica_2023_May</t>
        </is>
      </c>
      <c r="C131" t="inlineStr">
        <is>
          <t>SM.23.127, Sup. 1</t>
        </is>
      </c>
      <c r="D131" t="inlineStr">
        <is>
          <t>Dominica</t>
        </is>
      </c>
      <c r="E131" t="inlineStr">
        <is>
          <t>DMA</t>
        </is>
      </c>
      <c r="F131" s="11" t="n">
        <v>45047</v>
      </c>
      <c r="G131" t="inlineStr">
        <is>
          <t>2018gn</t>
        </is>
      </c>
      <c r="H131" t="n">
        <v>2022</v>
      </c>
    </row>
    <row r="132">
      <c r="A132" t="inlineStr">
        <is>
          <t>Dominica_2023_May</t>
        </is>
      </c>
      <c r="C132" t="inlineStr">
        <is>
          <t>SM.23.127, Sup. 1</t>
        </is>
      </c>
      <c r="D132" t="inlineStr">
        <is>
          <t>Dominica</t>
        </is>
      </c>
      <c r="E132" t="inlineStr">
        <is>
          <t>DMA</t>
        </is>
      </c>
      <c r="F132" s="11" t="n">
        <v>45047</v>
      </c>
      <c r="G132" t="inlineStr">
        <is>
          <t>2018gn</t>
        </is>
      </c>
      <c r="H132" t="n">
        <v>2022</v>
      </c>
    </row>
    <row r="133">
      <c r="A133" t="inlineStr">
        <is>
          <t>Dominica_2023_May</t>
        </is>
      </c>
      <c r="C133" t="inlineStr">
        <is>
          <t>SM.23.127, Sup. 1</t>
        </is>
      </c>
      <c r="D133" t="inlineStr">
        <is>
          <t>Dominica</t>
        </is>
      </c>
      <c r="E133" t="inlineStr">
        <is>
          <t>DMA</t>
        </is>
      </c>
      <c r="F133" s="11" t="n">
        <v>45047</v>
      </c>
      <c r="G133" t="inlineStr">
        <is>
          <t>2018gn</t>
        </is>
      </c>
      <c r="H133" t="n">
        <v>2022</v>
      </c>
    </row>
    <row r="134">
      <c r="A134" t="inlineStr">
        <is>
          <t>Dominica_2023_May</t>
        </is>
      </c>
      <c r="C134" t="inlineStr">
        <is>
          <t>SM.23.127, Sup. 1</t>
        </is>
      </c>
      <c r="D134" t="inlineStr">
        <is>
          <t>Dominica</t>
        </is>
      </c>
      <c r="E134" t="inlineStr">
        <is>
          <t>DMA</t>
        </is>
      </c>
      <c r="F134" s="11" t="n">
        <v>45047</v>
      </c>
      <c r="G134" t="inlineStr">
        <is>
          <t>2018gn</t>
        </is>
      </c>
      <c r="H134" t="n">
        <v>2022</v>
      </c>
    </row>
    <row r="135">
      <c r="A135" t="inlineStr">
        <is>
          <t>Dominica_2023_May</t>
        </is>
      </c>
      <c r="C135" t="inlineStr">
        <is>
          <t>SM.23.127, Sup. 1</t>
        </is>
      </c>
      <c r="D135" t="inlineStr">
        <is>
          <t>Dominica</t>
        </is>
      </c>
      <c r="E135" t="inlineStr">
        <is>
          <t>DMA</t>
        </is>
      </c>
      <c r="F135" s="11" t="n">
        <v>45047</v>
      </c>
      <c r="G135" t="inlineStr">
        <is>
          <t>2018gn</t>
        </is>
      </c>
      <c r="H135" t="n">
        <v>2022</v>
      </c>
    </row>
    <row r="136">
      <c r="A136" t="inlineStr">
        <is>
          <t>Dominica_2023_May</t>
        </is>
      </c>
      <c r="C136" t="inlineStr">
        <is>
          <t>SM.23.127, Sup. 1</t>
        </is>
      </c>
      <c r="D136" t="inlineStr">
        <is>
          <t>Dominica</t>
        </is>
      </c>
      <c r="E136" t="inlineStr">
        <is>
          <t>DMA</t>
        </is>
      </c>
      <c r="F136" s="11" t="n">
        <v>45047</v>
      </c>
      <c r="G136" t="inlineStr">
        <is>
          <t>2018gn</t>
        </is>
      </c>
      <c r="H136" t="n">
        <v>2022</v>
      </c>
    </row>
    <row r="137">
      <c r="A137" t="inlineStr">
        <is>
          <t>Dominica_2023_May</t>
        </is>
      </c>
      <c r="C137" t="inlineStr">
        <is>
          <t>SM.23.127, Sup. 1</t>
        </is>
      </c>
      <c r="D137" t="inlineStr">
        <is>
          <t>Dominica</t>
        </is>
      </c>
      <c r="E137" t="inlineStr">
        <is>
          <t>DMA</t>
        </is>
      </c>
      <c r="F137" s="11" t="n">
        <v>45047</v>
      </c>
      <c r="G137" t="inlineStr">
        <is>
          <t>2018gn</t>
        </is>
      </c>
      <c r="H137" t="n">
        <v>2022</v>
      </c>
    </row>
    <row r="138">
      <c r="A138" t="inlineStr">
        <is>
          <t>Dominica_2023_May</t>
        </is>
      </c>
      <c r="C138" t="inlineStr">
        <is>
          <t>SM.23.127, Sup. 1</t>
        </is>
      </c>
      <c r="D138" t="inlineStr">
        <is>
          <t>Dominica</t>
        </is>
      </c>
      <c r="E138" t="inlineStr">
        <is>
          <t>DMA</t>
        </is>
      </c>
      <c r="F138" s="11" t="n">
        <v>45047</v>
      </c>
      <c r="G138" t="inlineStr">
        <is>
          <t>2018gn</t>
        </is>
      </c>
      <c r="H138" t="n">
        <v>2022</v>
      </c>
    </row>
    <row r="139">
      <c r="A139" t="inlineStr">
        <is>
          <t>Dominica_2023_May</t>
        </is>
      </c>
      <c r="C139" t="inlineStr">
        <is>
          <t>SM.23.127, Sup. 1</t>
        </is>
      </c>
      <c r="D139" t="inlineStr">
        <is>
          <t>Dominica</t>
        </is>
      </c>
      <c r="E139" t="inlineStr">
        <is>
          <t>DMA</t>
        </is>
      </c>
      <c r="F139" s="11" t="n">
        <v>45047</v>
      </c>
      <c r="G139" t="inlineStr">
        <is>
          <t>2018gn</t>
        </is>
      </c>
      <c r="H139" t="n">
        <v>2022</v>
      </c>
    </row>
    <row r="140">
      <c r="A140" t="inlineStr">
        <is>
          <t>Dominica_2023_May</t>
        </is>
      </c>
      <c r="C140" t="inlineStr">
        <is>
          <t>SM.23.127, Sup. 1</t>
        </is>
      </c>
      <c r="D140" t="inlineStr">
        <is>
          <t>Dominica</t>
        </is>
      </c>
      <c r="E140" t="inlineStr">
        <is>
          <t>DMA</t>
        </is>
      </c>
      <c r="F140" s="11" t="n">
        <v>45047</v>
      </c>
      <c r="G140" t="inlineStr">
        <is>
          <t>2018gn</t>
        </is>
      </c>
      <c r="H140" t="n">
        <v>2022</v>
      </c>
    </row>
    <row r="141">
      <c r="A141" t="inlineStr">
        <is>
          <t>Dominica_2023_May</t>
        </is>
      </c>
      <c r="C141" t="inlineStr">
        <is>
          <t>SM.23.127, Sup. 1</t>
        </is>
      </c>
      <c r="D141" t="inlineStr">
        <is>
          <t>Dominica</t>
        </is>
      </c>
      <c r="E141" t="inlineStr">
        <is>
          <t>DMA</t>
        </is>
      </c>
      <c r="F141" s="11" t="n">
        <v>45047</v>
      </c>
      <c r="G141" t="inlineStr">
        <is>
          <t>2018gn</t>
        </is>
      </c>
      <c r="H141" t="n">
        <v>2022</v>
      </c>
    </row>
    <row r="142">
      <c r="A142" t="inlineStr">
        <is>
          <t>Dominica_2023_May</t>
        </is>
      </c>
      <c r="C142" t="inlineStr">
        <is>
          <t>SM.23.127, Sup. 1</t>
        </is>
      </c>
      <c r="D142" t="inlineStr">
        <is>
          <t>Dominica</t>
        </is>
      </c>
      <c r="E142" t="inlineStr">
        <is>
          <t>DMA</t>
        </is>
      </c>
      <c r="F142" s="11" t="n">
        <v>45047</v>
      </c>
      <c r="G142" t="inlineStr">
        <is>
          <t>2018gn</t>
        </is>
      </c>
      <c r="H142" t="n">
        <v>2022</v>
      </c>
    </row>
    <row r="143">
      <c r="A143" t="inlineStr">
        <is>
          <t>Dominica_2023_May</t>
        </is>
      </c>
      <c r="C143" t="inlineStr">
        <is>
          <t>SM.23.127, Sup. 1</t>
        </is>
      </c>
      <c r="D143" t="inlineStr">
        <is>
          <t>Dominica</t>
        </is>
      </c>
      <c r="E143" t="inlineStr">
        <is>
          <t>DMA</t>
        </is>
      </c>
      <c r="F143" s="11" t="n">
        <v>45047</v>
      </c>
      <c r="G143" t="inlineStr">
        <is>
          <t>2018gn</t>
        </is>
      </c>
      <c r="H143" t="n">
        <v>2022</v>
      </c>
    </row>
    <row r="144">
      <c r="A144" t="inlineStr">
        <is>
          <t>Dominica_2023_May</t>
        </is>
      </c>
      <c r="C144" t="inlineStr">
        <is>
          <t>SM.23.127, Sup. 1</t>
        </is>
      </c>
      <c r="D144" t="inlineStr">
        <is>
          <t>Dominica</t>
        </is>
      </c>
      <c r="E144" t="inlineStr">
        <is>
          <t>DMA</t>
        </is>
      </c>
      <c r="F144" s="11" t="n">
        <v>45047</v>
      </c>
      <c r="G144" t="inlineStr">
        <is>
          <t>2018gn</t>
        </is>
      </c>
      <c r="H144" t="n">
        <v>2022</v>
      </c>
    </row>
    <row r="145">
      <c r="A145" t="inlineStr">
        <is>
          <t>Dominica_2023_May</t>
        </is>
      </c>
      <c r="C145" t="inlineStr">
        <is>
          <t>SM.23.127, Sup. 1</t>
        </is>
      </c>
      <c r="D145" t="inlineStr">
        <is>
          <t>Dominica</t>
        </is>
      </c>
      <c r="E145" t="inlineStr">
        <is>
          <t>DMA</t>
        </is>
      </c>
      <c r="F145" s="11" t="n">
        <v>45047</v>
      </c>
      <c r="G145" t="inlineStr">
        <is>
          <t>2018gn</t>
        </is>
      </c>
      <c r="H145" t="n">
        <v>2022</v>
      </c>
    </row>
    <row r="146">
      <c r="A146" t="inlineStr">
        <is>
          <t>Dominica_2023_May</t>
        </is>
      </c>
      <c r="C146" t="inlineStr">
        <is>
          <t>SM.23.127, Sup. 1</t>
        </is>
      </c>
      <c r="D146" t="inlineStr">
        <is>
          <t>Dominica</t>
        </is>
      </c>
      <c r="E146" t="inlineStr">
        <is>
          <t>DMA</t>
        </is>
      </c>
      <c r="F146" s="11" t="n">
        <v>45047</v>
      </c>
      <c r="G146" t="inlineStr">
        <is>
          <t>2018gn</t>
        </is>
      </c>
      <c r="H146" t="n">
        <v>2022</v>
      </c>
    </row>
    <row r="147">
      <c r="A147" t="inlineStr">
        <is>
          <t>Dominica_2023_May</t>
        </is>
      </c>
      <c r="C147" t="inlineStr">
        <is>
          <t>SM.23.127, Sup. 1</t>
        </is>
      </c>
      <c r="D147" t="inlineStr">
        <is>
          <t>Dominica</t>
        </is>
      </c>
      <c r="E147" t="inlineStr">
        <is>
          <t>DMA</t>
        </is>
      </c>
      <c r="F147" s="11" t="n">
        <v>45047</v>
      </c>
      <c r="G147" t="inlineStr">
        <is>
          <t>2018gn</t>
        </is>
      </c>
      <c r="H147" t="n">
        <v>2022</v>
      </c>
    </row>
    <row r="148">
      <c r="A148" t="inlineStr">
        <is>
          <t>Dominica_2023_May</t>
        </is>
      </c>
      <c r="C148" t="inlineStr">
        <is>
          <t>SM.23.127, Sup. 1</t>
        </is>
      </c>
      <c r="D148" t="inlineStr">
        <is>
          <t>Dominica</t>
        </is>
      </c>
      <c r="E148" t="inlineStr">
        <is>
          <t>DMA</t>
        </is>
      </c>
      <c r="F148" s="11" t="n">
        <v>45047</v>
      </c>
      <c r="G148" t="inlineStr">
        <is>
          <t>2018gn</t>
        </is>
      </c>
      <c r="H148" t="n">
        <v>2022</v>
      </c>
    </row>
    <row r="149">
      <c r="A149" t="inlineStr">
        <is>
          <t>Dominica_2023_May</t>
        </is>
      </c>
      <c r="C149" t="inlineStr">
        <is>
          <t>SM.23.127, Sup. 1</t>
        </is>
      </c>
      <c r="D149" t="inlineStr">
        <is>
          <t>Dominica</t>
        </is>
      </c>
      <c r="E149" t="inlineStr">
        <is>
          <t>DMA</t>
        </is>
      </c>
      <c r="F149" s="11" t="n">
        <v>45047</v>
      </c>
      <c r="G149" t="inlineStr">
        <is>
          <t>2018gn</t>
        </is>
      </c>
      <c r="H149" t="n">
        <v>2022</v>
      </c>
    </row>
    <row r="150">
      <c r="A150" t="inlineStr">
        <is>
          <t>Dominica_2023_May</t>
        </is>
      </c>
      <c r="C150" t="inlineStr">
        <is>
          <t>SM.23.127, Sup. 1</t>
        </is>
      </c>
      <c r="D150" t="inlineStr">
        <is>
          <t>Dominica</t>
        </is>
      </c>
      <c r="E150" t="inlineStr">
        <is>
          <t>DMA</t>
        </is>
      </c>
      <c r="F150" s="11" t="n">
        <v>45047</v>
      </c>
      <c r="G150" t="inlineStr">
        <is>
          <t>2018gn</t>
        </is>
      </c>
      <c r="H150" t="n">
        <v>2022</v>
      </c>
    </row>
    <row r="151">
      <c r="A151" t="inlineStr">
        <is>
          <t>Dominica_2023_May</t>
        </is>
      </c>
      <c r="C151" t="inlineStr">
        <is>
          <t>SM.23.127, Sup. 1</t>
        </is>
      </c>
      <c r="D151" t="inlineStr">
        <is>
          <t>Dominica</t>
        </is>
      </c>
      <c r="E151" t="inlineStr">
        <is>
          <t>DMA</t>
        </is>
      </c>
      <c r="F151" s="11" t="n">
        <v>45047</v>
      </c>
      <c r="G151" t="inlineStr">
        <is>
          <t>2018gn</t>
        </is>
      </c>
      <c r="H151" t="n">
        <v>2022</v>
      </c>
    </row>
    <row r="152">
      <c r="A152" t="inlineStr">
        <is>
          <t>Dominica_2023_May</t>
        </is>
      </c>
      <c r="C152" t="inlineStr">
        <is>
          <t>SM.23.127, Sup. 1</t>
        </is>
      </c>
      <c r="D152" t="inlineStr">
        <is>
          <t>Dominica</t>
        </is>
      </c>
      <c r="E152" t="inlineStr">
        <is>
          <t>DMA</t>
        </is>
      </c>
      <c r="F152" s="11" t="n">
        <v>45047</v>
      </c>
      <c r="G152" t="inlineStr">
        <is>
          <t>2018gn</t>
        </is>
      </c>
      <c r="H152" t="n">
        <v>2022</v>
      </c>
    </row>
    <row r="153">
      <c r="A153" t="inlineStr">
        <is>
          <t>Dominica_2023_May</t>
        </is>
      </c>
      <c r="C153" t="inlineStr">
        <is>
          <t>SM.23.127, Sup. 1</t>
        </is>
      </c>
      <c r="D153" t="inlineStr">
        <is>
          <t>Dominica</t>
        </is>
      </c>
      <c r="E153" t="inlineStr">
        <is>
          <t>DMA</t>
        </is>
      </c>
      <c r="F153" s="11" t="n">
        <v>45047</v>
      </c>
      <c r="G153" t="inlineStr">
        <is>
          <t>2018gn</t>
        </is>
      </c>
      <c r="H153" t="n">
        <v>2022</v>
      </c>
    </row>
    <row r="154">
      <c r="A154" t="inlineStr">
        <is>
          <t>Dominica_2023_May</t>
        </is>
      </c>
      <c r="C154" t="inlineStr">
        <is>
          <t>SM.23.127, Sup. 1</t>
        </is>
      </c>
      <c r="D154" t="inlineStr">
        <is>
          <t>Dominica</t>
        </is>
      </c>
      <c r="E154" t="inlineStr">
        <is>
          <t>DMA</t>
        </is>
      </c>
      <c r="F154" s="11" t="n">
        <v>45047</v>
      </c>
      <c r="G154" t="inlineStr">
        <is>
          <t>2018gn</t>
        </is>
      </c>
      <c r="H154" t="n">
        <v>2022</v>
      </c>
    </row>
    <row r="155">
      <c r="A155" t="inlineStr">
        <is>
          <t>Dominica_2023_May</t>
        </is>
      </c>
      <c r="C155" t="inlineStr">
        <is>
          <t>SM.23.127, Sup. 1</t>
        </is>
      </c>
      <c r="D155" t="inlineStr">
        <is>
          <t>Dominica</t>
        </is>
      </c>
      <c r="E155" t="inlineStr">
        <is>
          <t>DMA</t>
        </is>
      </c>
      <c r="F155" s="11" t="n">
        <v>45047</v>
      </c>
      <c r="G155" t="inlineStr">
        <is>
          <t>2018gn</t>
        </is>
      </c>
      <c r="H155" t="n">
        <v>2022</v>
      </c>
    </row>
    <row r="156">
      <c r="A156" t="inlineStr">
        <is>
          <t>Dominica_2023_May</t>
        </is>
      </c>
      <c r="C156" t="inlineStr">
        <is>
          <t>SM.23.127, Sup. 1</t>
        </is>
      </c>
      <c r="D156" t="inlineStr">
        <is>
          <t>Dominica</t>
        </is>
      </c>
      <c r="E156" t="inlineStr">
        <is>
          <t>DMA</t>
        </is>
      </c>
      <c r="F156" s="11" t="n">
        <v>45047</v>
      </c>
      <c r="G156" t="inlineStr">
        <is>
          <t>2018gn</t>
        </is>
      </c>
      <c r="H156" t="n">
        <v>2022</v>
      </c>
    </row>
    <row r="157">
      <c r="A157" t="inlineStr">
        <is>
          <t>Dominica_2023_May</t>
        </is>
      </c>
      <c r="C157" t="inlineStr">
        <is>
          <t>SM.23.127, Sup. 1</t>
        </is>
      </c>
      <c r="D157" t="inlineStr">
        <is>
          <t>Dominica</t>
        </is>
      </c>
      <c r="E157" t="inlineStr">
        <is>
          <t>DMA</t>
        </is>
      </c>
      <c r="F157" s="11" t="n">
        <v>45047</v>
      </c>
      <c r="G157" t="inlineStr">
        <is>
          <t>2018gn</t>
        </is>
      </c>
      <c r="H157" t="n">
        <v>2022</v>
      </c>
    </row>
    <row r="158">
      <c r="A158" t="inlineStr">
        <is>
          <t>Dominica_2023_May</t>
        </is>
      </c>
      <c r="C158" t="inlineStr">
        <is>
          <t>SM.23.127, Sup. 1</t>
        </is>
      </c>
      <c r="D158" t="inlineStr">
        <is>
          <t>Dominica</t>
        </is>
      </c>
      <c r="E158" t="inlineStr">
        <is>
          <t>DMA</t>
        </is>
      </c>
      <c r="F158" s="11" t="n">
        <v>45047</v>
      </c>
      <c r="G158" t="inlineStr">
        <is>
          <t>2018gn</t>
        </is>
      </c>
      <c r="H158" t="n">
        <v>2022</v>
      </c>
    </row>
    <row r="159">
      <c r="A159" t="inlineStr">
        <is>
          <t>Dominica_2023_May</t>
        </is>
      </c>
      <c r="C159" t="inlineStr">
        <is>
          <t>SM.23.127, Sup. 1</t>
        </is>
      </c>
      <c r="D159" t="inlineStr">
        <is>
          <t>Dominica</t>
        </is>
      </c>
      <c r="E159" t="inlineStr">
        <is>
          <t>DMA</t>
        </is>
      </c>
      <c r="F159" s="11" t="n">
        <v>45047</v>
      </c>
      <c r="G159" t="inlineStr">
        <is>
          <t>2018gn</t>
        </is>
      </c>
      <c r="H159" t="n">
        <v>2022</v>
      </c>
    </row>
    <row r="160">
      <c r="A160" t="inlineStr">
        <is>
          <t>Dominica_2023_May</t>
        </is>
      </c>
      <c r="C160" t="inlineStr">
        <is>
          <t>SM.23.127, Sup. 1</t>
        </is>
      </c>
      <c r="D160" t="inlineStr">
        <is>
          <t>Dominica</t>
        </is>
      </c>
      <c r="E160" t="inlineStr">
        <is>
          <t>DMA</t>
        </is>
      </c>
      <c r="F160" s="11" t="n">
        <v>45047</v>
      </c>
      <c r="G160" t="inlineStr">
        <is>
          <t>2018gn</t>
        </is>
      </c>
      <c r="H160" t="n">
        <v>2022</v>
      </c>
    </row>
    <row r="161">
      <c r="A161" t="inlineStr">
        <is>
          <t>Dominica_2023_May</t>
        </is>
      </c>
      <c r="C161" t="inlineStr">
        <is>
          <t>SM.23.127, Sup. 1</t>
        </is>
      </c>
      <c r="D161" t="inlineStr">
        <is>
          <t>Dominica</t>
        </is>
      </c>
      <c r="E161" t="inlineStr">
        <is>
          <t>DMA</t>
        </is>
      </c>
      <c r="F161" s="11" t="n">
        <v>45047</v>
      </c>
      <c r="G161" t="inlineStr">
        <is>
          <t>2018gn</t>
        </is>
      </c>
      <c r="H161" t="n">
        <v>2022</v>
      </c>
    </row>
    <row r="162">
      <c r="A162" t="inlineStr">
        <is>
          <t>Dominica_2023_May</t>
        </is>
      </c>
      <c r="C162" t="inlineStr">
        <is>
          <t>SM.23.127, Sup. 1</t>
        </is>
      </c>
      <c r="D162" t="inlineStr">
        <is>
          <t>Dominica</t>
        </is>
      </c>
      <c r="E162" t="inlineStr">
        <is>
          <t>DMA</t>
        </is>
      </c>
      <c r="F162" s="11" t="n">
        <v>45047</v>
      </c>
      <c r="G162" t="inlineStr">
        <is>
          <t>2018gn</t>
        </is>
      </c>
      <c r="H162" t="n">
        <v>2022</v>
      </c>
    </row>
    <row r="163">
      <c r="A163" t="inlineStr">
        <is>
          <t>Dominica_2023_May</t>
        </is>
      </c>
      <c r="C163" t="inlineStr">
        <is>
          <t>SM.23.127, Sup. 1</t>
        </is>
      </c>
      <c r="D163" t="inlineStr">
        <is>
          <t>Dominica</t>
        </is>
      </c>
      <c r="E163" t="inlineStr">
        <is>
          <t>DMA</t>
        </is>
      </c>
      <c r="F163" s="11" t="n">
        <v>45047</v>
      </c>
      <c r="G163" t="inlineStr">
        <is>
          <t>2018gn</t>
        </is>
      </c>
      <c r="H163" t="n">
        <v>2022</v>
      </c>
    </row>
    <row r="164">
      <c r="A164" t="inlineStr">
        <is>
          <t>Dominica_2023_May</t>
        </is>
      </c>
      <c r="C164" t="inlineStr">
        <is>
          <t>SM.23.127, Sup. 1</t>
        </is>
      </c>
      <c r="D164" t="inlineStr">
        <is>
          <t>Dominica</t>
        </is>
      </c>
      <c r="E164" t="inlineStr">
        <is>
          <t>DMA</t>
        </is>
      </c>
      <c r="F164" s="11" t="n">
        <v>45047</v>
      </c>
      <c r="G164" t="inlineStr">
        <is>
          <t>2018gn</t>
        </is>
      </c>
      <c r="H164" t="n">
        <v>2022</v>
      </c>
    </row>
    <row r="165">
      <c r="A165" t="inlineStr">
        <is>
          <t>Dominica_2023_May</t>
        </is>
      </c>
      <c r="C165" t="inlineStr">
        <is>
          <t>SM.23.127, Sup. 1</t>
        </is>
      </c>
      <c r="D165" t="inlineStr">
        <is>
          <t>Dominica</t>
        </is>
      </c>
      <c r="E165" t="inlineStr">
        <is>
          <t>DMA</t>
        </is>
      </c>
      <c r="F165" s="11" t="n">
        <v>45047</v>
      </c>
      <c r="G165" t="inlineStr">
        <is>
          <t>2018gn</t>
        </is>
      </c>
      <c r="H165" t="n">
        <v>2022</v>
      </c>
    </row>
    <row r="166">
      <c r="A166" t="inlineStr">
        <is>
          <t>Dominica_2023_May</t>
        </is>
      </c>
      <c r="C166" t="inlineStr">
        <is>
          <t>SM.23.127, Sup. 1</t>
        </is>
      </c>
      <c r="D166" t="inlineStr">
        <is>
          <t>Dominica</t>
        </is>
      </c>
      <c r="E166" t="inlineStr">
        <is>
          <t>DMA</t>
        </is>
      </c>
      <c r="F166" s="11" t="n">
        <v>45047</v>
      </c>
      <c r="G166" t="inlineStr">
        <is>
          <t>2018gn</t>
        </is>
      </c>
      <c r="H166" t="n">
        <v>2022</v>
      </c>
    </row>
    <row r="167">
      <c r="A167" t="inlineStr">
        <is>
          <t>Dominica_2023_May</t>
        </is>
      </c>
      <c r="C167" t="inlineStr">
        <is>
          <t>SM.23.127, Sup. 1</t>
        </is>
      </c>
      <c r="D167" t="inlineStr">
        <is>
          <t>Dominica</t>
        </is>
      </c>
      <c r="E167" t="inlineStr">
        <is>
          <t>DMA</t>
        </is>
      </c>
      <c r="F167" s="11" t="n">
        <v>45047</v>
      </c>
      <c r="G167" t="inlineStr">
        <is>
          <t>2018gn</t>
        </is>
      </c>
      <c r="H167" t="n">
        <v>2022</v>
      </c>
    </row>
    <row r="168">
      <c r="A168" t="inlineStr">
        <is>
          <t>Dominica_2023_May</t>
        </is>
      </c>
      <c r="C168" t="inlineStr">
        <is>
          <t>SM.23.127, Sup. 1</t>
        </is>
      </c>
      <c r="D168" t="inlineStr">
        <is>
          <t>Dominica</t>
        </is>
      </c>
      <c r="E168" t="inlineStr">
        <is>
          <t>DMA</t>
        </is>
      </c>
      <c r="F168" s="11" t="n">
        <v>45047</v>
      </c>
      <c r="G168" t="inlineStr">
        <is>
          <t>2018gn</t>
        </is>
      </c>
      <c r="H168" t="n">
        <v>2022</v>
      </c>
    </row>
    <row r="169">
      <c r="A169" t="inlineStr">
        <is>
          <t>Dominica_2023_May</t>
        </is>
      </c>
      <c r="C169" t="inlineStr">
        <is>
          <t>SM.23.127, Sup. 1</t>
        </is>
      </c>
      <c r="D169" t="inlineStr">
        <is>
          <t>Dominica</t>
        </is>
      </c>
      <c r="E169" t="inlineStr">
        <is>
          <t>DMA</t>
        </is>
      </c>
      <c r="F169" s="11" t="n">
        <v>45047</v>
      </c>
      <c r="G169" t="inlineStr">
        <is>
          <t>2018gn</t>
        </is>
      </c>
      <c r="H169" t="n">
        <v>2022</v>
      </c>
    </row>
    <row r="170">
      <c r="A170" t="inlineStr">
        <is>
          <t>Dominica_2023_May</t>
        </is>
      </c>
      <c r="C170" t="inlineStr">
        <is>
          <t>SM.23.127, Sup. 1</t>
        </is>
      </c>
      <c r="D170" t="inlineStr">
        <is>
          <t>Dominica</t>
        </is>
      </c>
      <c r="E170" t="inlineStr">
        <is>
          <t>DMA</t>
        </is>
      </c>
      <c r="F170" s="11" t="n">
        <v>45047</v>
      </c>
      <c r="G170" t="inlineStr">
        <is>
          <t>2018gn</t>
        </is>
      </c>
      <c r="H170" t="n">
        <v>2022</v>
      </c>
    </row>
    <row r="171">
      <c r="A171" t="inlineStr">
        <is>
          <t>Dominica_2023_May</t>
        </is>
      </c>
      <c r="C171" t="inlineStr">
        <is>
          <t>SM.23.127, Sup. 1</t>
        </is>
      </c>
      <c r="D171" t="inlineStr">
        <is>
          <t>Dominica</t>
        </is>
      </c>
      <c r="E171" t="inlineStr">
        <is>
          <t>DMA</t>
        </is>
      </c>
      <c r="F171" s="11" t="n">
        <v>45047</v>
      </c>
      <c r="G171" t="inlineStr">
        <is>
          <t>2018gn</t>
        </is>
      </c>
      <c r="H171" t="n">
        <v>2022</v>
      </c>
    </row>
    <row r="172">
      <c r="A172" t="inlineStr">
        <is>
          <t>Dominica_2023_May</t>
        </is>
      </c>
      <c r="C172" t="inlineStr">
        <is>
          <t>SM.23.127, Sup. 1</t>
        </is>
      </c>
      <c r="D172" t="inlineStr">
        <is>
          <t>Dominica</t>
        </is>
      </c>
      <c r="E172" t="inlineStr">
        <is>
          <t>DMA</t>
        </is>
      </c>
      <c r="F172" s="11" t="n">
        <v>45047</v>
      </c>
      <c r="G172" t="inlineStr">
        <is>
          <t>2018gn</t>
        </is>
      </c>
      <c r="H172" t="n">
        <v>2022</v>
      </c>
    </row>
    <row r="173">
      <c r="A173" t="inlineStr">
        <is>
          <t>Dominica_2023_May</t>
        </is>
      </c>
      <c r="C173" t="inlineStr">
        <is>
          <t>SM.23.127, Sup. 1</t>
        </is>
      </c>
      <c r="D173" t="inlineStr">
        <is>
          <t>Dominica</t>
        </is>
      </c>
      <c r="E173" t="inlineStr">
        <is>
          <t>DMA</t>
        </is>
      </c>
      <c r="F173" s="11" t="n">
        <v>45047</v>
      </c>
      <c r="G173" t="inlineStr">
        <is>
          <t>2018gn</t>
        </is>
      </c>
      <c r="H173" t="n">
        <v>2022</v>
      </c>
    </row>
    <row r="174">
      <c r="A174" t="inlineStr">
        <is>
          <t>Dominica_2023_May</t>
        </is>
      </c>
      <c r="C174" t="inlineStr">
        <is>
          <t>SM.23.127, Sup. 1</t>
        </is>
      </c>
      <c r="D174" t="inlineStr">
        <is>
          <t>Dominica</t>
        </is>
      </c>
      <c r="E174" t="inlineStr">
        <is>
          <t>DMA</t>
        </is>
      </c>
      <c r="F174" s="11" t="n">
        <v>45047</v>
      </c>
      <c r="G174" t="inlineStr">
        <is>
          <t>2018gn</t>
        </is>
      </c>
      <c r="H174" t="n">
        <v>2022</v>
      </c>
    </row>
    <row r="175">
      <c r="A175" t="inlineStr">
        <is>
          <t>Dominica_2023_May</t>
        </is>
      </c>
      <c r="C175" t="inlineStr">
        <is>
          <t>SM.23.127, Sup. 1</t>
        </is>
      </c>
      <c r="D175" t="inlineStr">
        <is>
          <t>Dominica</t>
        </is>
      </c>
      <c r="E175" t="inlineStr">
        <is>
          <t>DMA</t>
        </is>
      </c>
      <c r="F175" s="11" t="n">
        <v>45047</v>
      </c>
      <c r="G175" t="inlineStr">
        <is>
          <t>2018gn</t>
        </is>
      </c>
      <c r="H175" t="n">
        <v>2022</v>
      </c>
    </row>
    <row r="176">
      <c r="A176" t="inlineStr">
        <is>
          <t>Dominica_2023_May</t>
        </is>
      </c>
      <c r="C176" t="inlineStr">
        <is>
          <t>SM.23.127, Sup. 1</t>
        </is>
      </c>
      <c r="D176" t="inlineStr">
        <is>
          <t>Dominica</t>
        </is>
      </c>
      <c r="E176" t="inlineStr">
        <is>
          <t>DMA</t>
        </is>
      </c>
      <c r="F176" s="11" t="n">
        <v>45047</v>
      </c>
      <c r="G176" t="inlineStr">
        <is>
          <t>2018gn</t>
        </is>
      </c>
      <c r="H176" t="n">
        <v>2022</v>
      </c>
    </row>
    <row r="177">
      <c r="A177" t="inlineStr">
        <is>
          <t>Dominica_2023_May</t>
        </is>
      </c>
      <c r="C177" t="inlineStr">
        <is>
          <t>SM.23.127, Sup. 1</t>
        </is>
      </c>
      <c r="D177" t="inlineStr">
        <is>
          <t>Dominica</t>
        </is>
      </c>
      <c r="E177" t="inlineStr">
        <is>
          <t>DMA</t>
        </is>
      </c>
      <c r="F177" s="11" t="n">
        <v>45047</v>
      </c>
      <c r="G177" t="inlineStr">
        <is>
          <t>2018gn</t>
        </is>
      </c>
      <c r="H177" t="n">
        <v>2022</v>
      </c>
    </row>
    <row r="178">
      <c r="A178" t="inlineStr">
        <is>
          <t>Dominica_2023_May</t>
        </is>
      </c>
      <c r="C178" t="inlineStr">
        <is>
          <t>SM.23.127, Sup. 1</t>
        </is>
      </c>
      <c r="D178" t="inlineStr">
        <is>
          <t>Dominica</t>
        </is>
      </c>
      <c r="E178" t="inlineStr">
        <is>
          <t>DMA</t>
        </is>
      </c>
      <c r="F178" s="11" t="n">
        <v>45047</v>
      </c>
      <c r="G178" t="inlineStr">
        <is>
          <t>2018gn</t>
        </is>
      </c>
      <c r="H178" t="n">
        <v>2022</v>
      </c>
    </row>
    <row r="179">
      <c r="A179" t="inlineStr">
        <is>
          <t>Dominica_2023_May</t>
        </is>
      </c>
      <c r="C179" t="inlineStr">
        <is>
          <t>SM.23.127, Sup. 1</t>
        </is>
      </c>
      <c r="D179" t="inlineStr">
        <is>
          <t>Dominica</t>
        </is>
      </c>
      <c r="E179" t="inlineStr">
        <is>
          <t>DMA</t>
        </is>
      </c>
      <c r="F179" s="11" t="n">
        <v>45047</v>
      </c>
      <c r="G179" t="inlineStr">
        <is>
          <t>2018gn</t>
        </is>
      </c>
      <c r="H179" t="n">
        <v>2022</v>
      </c>
    </row>
    <row r="180">
      <c r="A180" t="inlineStr">
        <is>
          <t>Dominica_2023_May</t>
        </is>
      </c>
      <c r="C180" t="inlineStr">
        <is>
          <t>SM.23.127, Sup. 1</t>
        </is>
      </c>
      <c r="D180" t="inlineStr">
        <is>
          <t>Dominica</t>
        </is>
      </c>
      <c r="E180" t="inlineStr">
        <is>
          <t>DMA</t>
        </is>
      </c>
      <c r="F180" s="11" t="n">
        <v>45047</v>
      </c>
      <c r="G180" t="inlineStr">
        <is>
          <t>2018gn</t>
        </is>
      </c>
      <c r="H180" t="n">
        <v>2022</v>
      </c>
    </row>
    <row r="181">
      <c r="A181" t="inlineStr">
        <is>
          <t>Dominica_2023_May</t>
        </is>
      </c>
      <c r="C181" t="inlineStr">
        <is>
          <t>SM.23.127, Sup. 1</t>
        </is>
      </c>
      <c r="D181" t="inlineStr">
        <is>
          <t>Dominica</t>
        </is>
      </c>
      <c r="E181" t="inlineStr">
        <is>
          <t>DMA</t>
        </is>
      </c>
      <c r="F181" s="11" t="n">
        <v>45047</v>
      </c>
      <c r="G181" t="inlineStr">
        <is>
          <t>2018gn</t>
        </is>
      </c>
      <c r="H181" t="n">
        <v>2022</v>
      </c>
    </row>
    <row r="182">
      <c r="A182" t="inlineStr">
        <is>
          <t>Dominica_2023_May</t>
        </is>
      </c>
      <c r="C182" t="inlineStr">
        <is>
          <t>SM.23.127, Sup. 1</t>
        </is>
      </c>
      <c r="D182" t="inlineStr">
        <is>
          <t>Dominica</t>
        </is>
      </c>
      <c r="E182" t="inlineStr">
        <is>
          <t>DMA</t>
        </is>
      </c>
      <c r="F182" s="11" t="n">
        <v>45047</v>
      </c>
      <c r="G182" t="inlineStr">
        <is>
          <t>2018gn</t>
        </is>
      </c>
      <c r="H182" t="n">
        <v>2022</v>
      </c>
    </row>
    <row r="183">
      <c r="A183" t="inlineStr">
        <is>
          <t>Dominica_2023_May</t>
        </is>
      </c>
      <c r="C183" t="inlineStr">
        <is>
          <t>SM.23.127, Sup. 1</t>
        </is>
      </c>
      <c r="D183" t="inlineStr">
        <is>
          <t>Dominica</t>
        </is>
      </c>
      <c r="E183" t="inlineStr">
        <is>
          <t>DMA</t>
        </is>
      </c>
      <c r="F183" s="11" t="n">
        <v>45047</v>
      </c>
      <c r="G183" t="inlineStr">
        <is>
          <t>2018gn</t>
        </is>
      </c>
      <c r="H183" t="n">
        <v>2022</v>
      </c>
    </row>
    <row r="184">
      <c r="A184" t="inlineStr">
        <is>
          <t>Dominica_2023_May</t>
        </is>
      </c>
      <c r="C184" t="inlineStr">
        <is>
          <t>SM.23.127, Sup. 1</t>
        </is>
      </c>
      <c r="D184" t="inlineStr">
        <is>
          <t>Dominica</t>
        </is>
      </c>
      <c r="E184" t="inlineStr">
        <is>
          <t>DMA</t>
        </is>
      </c>
      <c r="F184" s="11" t="n">
        <v>45047</v>
      </c>
      <c r="G184" t="inlineStr">
        <is>
          <t>2018gn</t>
        </is>
      </c>
      <c r="H184" t="n">
        <v>2022</v>
      </c>
    </row>
    <row r="185">
      <c r="A185" t="inlineStr">
        <is>
          <t>Dominica_2023_May</t>
        </is>
      </c>
      <c r="C185" t="inlineStr">
        <is>
          <t>SM.23.127, Sup. 1</t>
        </is>
      </c>
      <c r="D185" t="inlineStr">
        <is>
          <t>Dominica</t>
        </is>
      </c>
      <c r="E185" t="inlineStr">
        <is>
          <t>DMA</t>
        </is>
      </c>
      <c r="F185" s="11" t="n">
        <v>45047</v>
      </c>
      <c r="G185" t="inlineStr">
        <is>
          <t>2018gn</t>
        </is>
      </c>
      <c r="H185" t="n">
        <v>2022</v>
      </c>
    </row>
    <row r="186">
      <c r="A186" t="inlineStr">
        <is>
          <t>Dominica_2023_May</t>
        </is>
      </c>
      <c r="C186" t="inlineStr">
        <is>
          <t>SM.23.127, Sup. 1</t>
        </is>
      </c>
      <c r="D186" t="inlineStr">
        <is>
          <t>Dominica</t>
        </is>
      </c>
      <c r="E186" t="inlineStr">
        <is>
          <t>DMA</t>
        </is>
      </c>
      <c r="F186" s="11" t="n">
        <v>45047</v>
      </c>
      <c r="G186" t="inlineStr">
        <is>
          <t>2018gn</t>
        </is>
      </c>
      <c r="H186" t="n">
        <v>2022</v>
      </c>
    </row>
    <row r="187">
      <c r="A187" t="inlineStr">
        <is>
          <t>Dominica_2023_May</t>
        </is>
      </c>
      <c r="C187" t="inlineStr">
        <is>
          <t>SM.23.127, Sup. 1</t>
        </is>
      </c>
      <c r="D187" t="inlineStr">
        <is>
          <t>Dominica</t>
        </is>
      </c>
      <c r="E187" t="inlineStr">
        <is>
          <t>DMA</t>
        </is>
      </c>
      <c r="F187" s="11" t="n">
        <v>45047</v>
      </c>
      <c r="G187" t="inlineStr">
        <is>
          <t>2018gn</t>
        </is>
      </c>
      <c r="H187" t="n">
        <v>2022</v>
      </c>
    </row>
    <row r="188">
      <c r="A188" t="inlineStr">
        <is>
          <t>Dominica_2023_May</t>
        </is>
      </c>
      <c r="C188" t="inlineStr">
        <is>
          <t>SM.23.127, Sup. 1</t>
        </is>
      </c>
      <c r="D188" t="inlineStr">
        <is>
          <t>Dominica</t>
        </is>
      </c>
      <c r="E188" t="inlineStr">
        <is>
          <t>DMA</t>
        </is>
      </c>
      <c r="F188" s="11" t="n">
        <v>45047</v>
      </c>
      <c r="G188" t="inlineStr">
        <is>
          <t>2018gn</t>
        </is>
      </c>
      <c r="H188" t="n">
        <v>2022</v>
      </c>
    </row>
    <row r="189">
      <c r="A189" t="inlineStr">
        <is>
          <t>Dominica_2023_May</t>
        </is>
      </c>
      <c r="C189" t="inlineStr">
        <is>
          <t>SM.23.127, Sup. 1</t>
        </is>
      </c>
      <c r="D189" t="inlineStr">
        <is>
          <t>Dominica</t>
        </is>
      </c>
      <c r="E189" t="inlineStr">
        <is>
          <t>DMA</t>
        </is>
      </c>
      <c r="F189" s="11" t="n">
        <v>45047</v>
      </c>
      <c r="G189" t="inlineStr">
        <is>
          <t>2018gn</t>
        </is>
      </c>
      <c r="H189" t="n">
        <v>2022</v>
      </c>
    </row>
    <row r="190">
      <c r="A190" t="inlineStr">
        <is>
          <t>Dominica_2023_May</t>
        </is>
      </c>
      <c r="C190" t="inlineStr">
        <is>
          <t>SM.23.127, Sup. 1</t>
        </is>
      </c>
      <c r="D190" t="inlineStr">
        <is>
          <t>Dominica</t>
        </is>
      </c>
      <c r="E190" t="inlineStr">
        <is>
          <t>DMA</t>
        </is>
      </c>
      <c r="F190" s="11" t="n">
        <v>45047</v>
      </c>
      <c r="G190" t="inlineStr">
        <is>
          <t>2018gn</t>
        </is>
      </c>
      <c r="H190" t="n">
        <v>2022</v>
      </c>
    </row>
    <row r="191">
      <c r="A191" t="inlineStr">
        <is>
          <t>Dominica_2023_May</t>
        </is>
      </c>
      <c r="C191" t="inlineStr">
        <is>
          <t>SM.23.127, Sup. 1</t>
        </is>
      </c>
      <c r="D191" t="inlineStr">
        <is>
          <t>Dominica</t>
        </is>
      </c>
      <c r="E191" t="inlineStr">
        <is>
          <t>DMA</t>
        </is>
      </c>
      <c r="F191" s="11" t="n">
        <v>45047</v>
      </c>
      <c r="G191" t="inlineStr">
        <is>
          <t>2018gn</t>
        </is>
      </c>
      <c r="H191" t="n">
        <v>2022</v>
      </c>
    </row>
    <row r="192">
      <c r="A192" t="inlineStr">
        <is>
          <t>Dominica_2023_May</t>
        </is>
      </c>
      <c r="C192" t="inlineStr">
        <is>
          <t>SM.23.127, Sup. 1</t>
        </is>
      </c>
      <c r="D192" t="inlineStr">
        <is>
          <t>Dominica</t>
        </is>
      </c>
      <c r="E192" t="inlineStr">
        <is>
          <t>DMA</t>
        </is>
      </c>
      <c r="F192" s="11" t="n">
        <v>45047</v>
      </c>
      <c r="G192" t="inlineStr">
        <is>
          <t>2018gn</t>
        </is>
      </c>
      <c r="H192" t="n">
        <v>2022</v>
      </c>
    </row>
    <row r="193">
      <c r="A193" t="inlineStr">
        <is>
          <t>Dominica_2023_May</t>
        </is>
      </c>
      <c r="C193" t="inlineStr">
        <is>
          <t>SM.23.127, Sup. 1</t>
        </is>
      </c>
      <c r="D193" t="inlineStr">
        <is>
          <t>Dominica</t>
        </is>
      </c>
      <c r="E193" t="inlineStr">
        <is>
          <t>DMA</t>
        </is>
      </c>
      <c r="F193" s="11" t="n">
        <v>45047</v>
      </c>
      <c r="G193" t="inlineStr">
        <is>
          <t>2018gn</t>
        </is>
      </c>
      <c r="H193" t="n">
        <v>2022</v>
      </c>
    </row>
    <row r="194">
      <c r="A194" t="inlineStr">
        <is>
          <t>Dominica_2023_May</t>
        </is>
      </c>
      <c r="C194" t="inlineStr">
        <is>
          <t>SM.23.127, Sup. 1</t>
        </is>
      </c>
      <c r="D194" t="inlineStr">
        <is>
          <t>Dominica</t>
        </is>
      </c>
      <c r="E194" t="inlineStr">
        <is>
          <t>DMA</t>
        </is>
      </c>
      <c r="F194" s="11" t="n">
        <v>45047</v>
      </c>
      <c r="G194" t="inlineStr">
        <is>
          <t>2018gn</t>
        </is>
      </c>
      <c r="H194" t="n">
        <v>2022</v>
      </c>
    </row>
    <row r="195">
      <c r="A195" t="inlineStr">
        <is>
          <t>Dominica_2023_May</t>
        </is>
      </c>
      <c r="C195" t="inlineStr">
        <is>
          <t>SM.23.127, Sup. 1</t>
        </is>
      </c>
      <c r="D195" t="inlineStr">
        <is>
          <t>Dominica</t>
        </is>
      </c>
      <c r="E195" t="inlineStr">
        <is>
          <t>DMA</t>
        </is>
      </c>
      <c r="F195" s="11" t="n">
        <v>45047</v>
      </c>
      <c r="G195" t="inlineStr">
        <is>
          <t>2018gn</t>
        </is>
      </c>
      <c r="H195" t="n">
        <v>2022</v>
      </c>
    </row>
    <row r="196">
      <c r="A196" t="inlineStr">
        <is>
          <t>Dominica_2023_May</t>
        </is>
      </c>
      <c r="C196" t="inlineStr">
        <is>
          <t>SM.23.127, Sup. 1</t>
        </is>
      </c>
      <c r="D196" t="inlineStr">
        <is>
          <t>Dominica</t>
        </is>
      </c>
      <c r="E196" t="inlineStr">
        <is>
          <t>DMA</t>
        </is>
      </c>
      <c r="F196" s="11" t="n">
        <v>45047</v>
      </c>
      <c r="G196" t="inlineStr">
        <is>
          <t>2018gn</t>
        </is>
      </c>
      <c r="H196" t="n">
        <v>2022</v>
      </c>
    </row>
    <row r="197">
      <c r="A197" t="inlineStr">
        <is>
          <t>Dominica_2023_May</t>
        </is>
      </c>
      <c r="C197" t="inlineStr">
        <is>
          <t>SM.23.127, Sup. 1</t>
        </is>
      </c>
      <c r="D197" t="inlineStr">
        <is>
          <t>Dominica</t>
        </is>
      </c>
      <c r="E197" t="inlineStr">
        <is>
          <t>DMA</t>
        </is>
      </c>
      <c r="F197" s="11" t="n">
        <v>45047</v>
      </c>
      <c r="G197" t="inlineStr">
        <is>
          <t>2018gn</t>
        </is>
      </c>
      <c r="H197" t="n">
        <v>2022</v>
      </c>
    </row>
    <row r="198">
      <c r="A198" t="inlineStr">
        <is>
          <t>Dominica_2023_May</t>
        </is>
      </c>
      <c r="C198" t="inlineStr">
        <is>
          <t>SM.23.127, Sup. 1</t>
        </is>
      </c>
      <c r="D198" t="inlineStr">
        <is>
          <t>Dominica</t>
        </is>
      </c>
      <c r="E198" t="inlineStr">
        <is>
          <t>DMA</t>
        </is>
      </c>
      <c r="F198" s="11" t="n">
        <v>45047</v>
      </c>
      <c r="G198" t="inlineStr">
        <is>
          <t>2018gn</t>
        </is>
      </c>
      <c r="H198" t="n">
        <v>2022</v>
      </c>
    </row>
    <row r="199">
      <c r="A199" t="inlineStr">
        <is>
          <t>Dominica_2023_May</t>
        </is>
      </c>
      <c r="C199" t="inlineStr">
        <is>
          <t>SM.23.127, Sup. 1</t>
        </is>
      </c>
      <c r="D199" t="inlineStr">
        <is>
          <t>Dominica</t>
        </is>
      </c>
      <c r="E199" t="inlineStr">
        <is>
          <t>DMA</t>
        </is>
      </c>
      <c r="F199" s="11" t="n">
        <v>45047</v>
      </c>
      <c r="G199" t="inlineStr">
        <is>
          <t>2018gn</t>
        </is>
      </c>
      <c r="H199" t="n">
        <v>2022</v>
      </c>
    </row>
    <row r="200">
      <c r="A200" t="inlineStr">
        <is>
          <t>Dominica_2023_May</t>
        </is>
      </c>
      <c r="C200" t="inlineStr">
        <is>
          <t>SM.23.127, Sup. 1</t>
        </is>
      </c>
      <c r="D200" t="inlineStr">
        <is>
          <t>Dominica</t>
        </is>
      </c>
      <c r="E200" t="inlineStr">
        <is>
          <t>DMA</t>
        </is>
      </c>
      <c r="F200" s="11" t="n">
        <v>45047</v>
      </c>
      <c r="G200" t="inlineStr">
        <is>
          <t>2018gn</t>
        </is>
      </c>
      <c r="H200" t="n">
        <v>2022</v>
      </c>
    </row>
    <row r="201">
      <c r="A201" t="inlineStr">
        <is>
          <t>Dominica_2023_May</t>
        </is>
      </c>
      <c r="C201" t="inlineStr">
        <is>
          <t>SM.23.127, Sup. 1</t>
        </is>
      </c>
      <c r="D201" t="inlineStr">
        <is>
          <t>Dominica</t>
        </is>
      </c>
      <c r="E201" t="inlineStr">
        <is>
          <t>DMA</t>
        </is>
      </c>
      <c r="F201" s="11" t="n">
        <v>45047</v>
      </c>
      <c r="G201" t="inlineStr">
        <is>
          <t>2018gn</t>
        </is>
      </c>
      <c r="H201" t="n">
        <v>2022</v>
      </c>
    </row>
    <row r="202">
      <c r="A202" t="inlineStr">
        <is>
          <t>Dominica_2023_May</t>
        </is>
      </c>
      <c r="C202" t="inlineStr">
        <is>
          <t>SM.23.127, Sup. 1</t>
        </is>
      </c>
      <c r="D202" t="inlineStr">
        <is>
          <t>Dominica</t>
        </is>
      </c>
      <c r="E202" t="inlineStr">
        <is>
          <t>DMA</t>
        </is>
      </c>
      <c r="F202" s="11" t="n">
        <v>45047</v>
      </c>
      <c r="G202" t="inlineStr">
        <is>
          <t>2018gn</t>
        </is>
      </c>
      <c r="H202" t="n">
        <v>2022</v>
      </c>
    </row>
    <row r="203">
      <c r="A203" t="inlineStr">
        <is>
          <t>Dominica_2023_May</t>
        </is>
      </c>
      <c r="C203" t="inlineStr">
        <is>
          <t>SM.23.127, Sup. 1</t>
        </is>
      </c>
      <c r="D203" t="inlineStr">
        <is>
          <t>Dominica</t>
        </is>
      </c>
      <c r="E203" t="inlineStr">
        <is>
          <t>DMA</t>
        </is>
      </c>
      <c r="F203" s="11" t="n">
        <v>45047</v>
      </c>
      <c r="G203" t="inlineStr">
        <is>
          <t>2018gn</t>
        </is>
      </c>
      <c r="H203" t="n">
        <v>2022</v>
      </c>
    </row>
    <row r="204">
      <c r="A204" t="inlineStr">
        <is>
          <t>Dominica_2023_May</t>
        </is>
      </c>
      <c r="C204" t="inlineStr">
        <is>
          <t>SM.23.127, Sup. 1</t>
        </is>
      </c>
      <c r="D204" t="inlineStr">
        <is>
          <t>Dominica</t>
        </is>
      </c>
      <c r="E204" t="inlineStr">
        <is>
          <t>DMA</t>
        </is>
      </c>
      <c r="F204" s="11" t="n">
        <v>45047</v>
      </c>
      <c r="G204" t="inlineStr">
        <is>
          <t>2018gn</t>
        </is>
      </c>
      <c r="H204" t="n">
        <v>2022</v>
      </c>
    </row>
    <row r="205">
      <c r="A205" t="inlineStr">
        <is>
          <t>Dominica_2023_May</t>
        </is>
      </c>
      <c r="C205" t="inlineStr">
        <is>
          <t>SM.23.127, Sup. 1</t>
        </is>
      </c>
      <c r="D205" t="inlineStr">
        <is>
          <t>Dominica</t>
        </is>
      </c>
      <c r="E205" t="inlineStr">
        <is>
          <t>DMA</t>
        </is>
      </c>
      <c r="F205" s="11" t="n">
        <v>45047</v>
      </c>
      <c r="G205" t="inlineStr">
        <is>
          <t>2018gn</t>
        </is>
      </c>
      <c r="H205" t="n">
        <v>2022</v>
      </c>
    </row>
    <row r="206">
      <c r="A206" t="inlineStr">
        <is>
          <t>Dominica_2023_May</t>
        </is>
      </c>
      <c r="C206" t="inlineStr">
        <is>
          <t>SM.23.127, Sup. 1</t>
        </is>
      </c>
      <c r="D206" t="inlineStr">
        <is>
          <t>Dominica</t>
        </is>
      </c>
      <c r="E206" t="inlineStr">
        <is>
          <t>DMA</t>
        </is>
      </c>
      <c r="F206" s="11" t="n">
        <v>45047</v>
      </c>
      <c r="G206" t="inlineStr">
        <is>
          <t>2018gn</t>
        </is>
      </c>
      <c r="H206" t="n">
        <v>2022</v>
      </c>
    </row>
    <row r="207">
      <c r="A207" t="inlineStr">
        <is>
          <t>Dominica_2023_May</t>
        </is>
      </c>
      <c r="C207" t="inlineStr">
        <is>
          <t>SM.23.127, Sup. 1</t>
        </is>
      </c>
      <c r="D207" t="inlineStr">
        <is>
          <t>Dominica</t>
        </is>
      </c>
      <c r="E207" t="inlineStr">
        <is>
          <t>DMA</t>
        </is>
      </c>
      <c r="F207" s="11" t="n">
        <v>45047</v>
      </c>
      <c r="G207" t="inlineStr">
        <is>
          <t>2018gn</t>
        </is>
      </c>
      <c r="H207" t="n">
        <v>2022</v>
      </c>
    </row>
    <row r="208">
      <c r="A208" t="inlineStr">
        <is>
          <t>Dominica_2023_May</t>
        </is>
      </c>
      <c r="C208" t="inlineStr">
        <is>
          <t>SM.23.127, Sup. 1</t>
        </is>
      </c>
      <c r="D208" t="inlineStr">
        <is>
          <t>Dominica</t>
        </is>
      </c>
      <c r="E208" t="inlineStr">
        <is>
          <t>DMA</t>
        </is>
      </c>
      <c r="F208" s="11" t="n">
        <v>45047</v>
      </c>
      <c r="G208" t="inlineStr">
        <is>
          <t>2018gn</t>
        </is>
      </c>
      <c r="H208" t="n">
        <v>2022</v>
      </c>
    </row>
    <row r="209">
      <c r="A209" t="inlineStr">
        <is>
          <t>Dominica_2023_May</t>
        </is>
      </c>
      <c r="C209" t="inlineStr">
        <is>
          <t>SM.23.127, Sup. 1</t>
        </is>
      </c>
      <c r="D209" t="inlineStr">
        <is>
          <t>Dominica</t>
        </is>
      </c>
      <c r="E209" t="inlineStr">
        <is>
          <t>DMA</t>
        </is>
      </c>
      <c r="F209" s="11" t="n">
        <v>45047</v>
      </c>
      <c r="G209" t="inlineStr">
        <is>
          <t>2018gn</t>
        </is>
      </c>
      <c r="H209" t="n">
        <v>2022</v>
      </c>
    </row>
    <row r="210">
      <c r="A210" t="inlineStr">
        <is>
          <t>Dominica_2023_May</t>
        </is>
      </c>
      <c r="C210" t="inlineStr">
        <is>
          <t>SM.23.127, Sup. 1</t>
        </is>
      </c>
      <c r="D210" t="inlineStr">
        <is>
          <t>Dominica</t>
        </is>
      </c>
      <c r="E210" t="inlineStr">
        <is>
          <t>DMA</t>
        </is>
      </c>
      <c r="F210" s="11" t="n">
        <v>45047</v>
      </c>
      <c r="G210" t="inlineStr">
        <is>
          <t>2018gn</t>
        </is>
      </c>
      <c r="H210" t="n">
        <v>2022</v>
      </c>
    </row>
    <row r="211">
      <c r="A211" t="inlineStr">
        <is>
          <t>Dominica_2023_May</t>
        </is>
      </c>
      <c r="C211" t="inlineStr">
        <is>
          <t>SM.23.127, Sup. 1</t>
        </is>
      </c>
      <c r="D211" t="inlineStr">
        <is>
          <t>Dominica</t>
        </is>
      </c>
      <c r="E211" t="inlineStr">
        <is>
          <t>DMA</t>
        </is>
      </c>
      <c r="F211" s="11" t="n">
        <v>45047</v>
      </c>
      <c r="G211" t="inlineStr">
        <is>
          <t>2018gn</t>
        </is>
      </c>
      <c r="H211" t="n">
        <v>2022</v>
      </c>
    </row>
    <row r="212">
      <c r="A212" t="inlineStr">
        <is>
          <t>Dominica_2023_May</t>
        </is>
      </c>
      <c r="C212" t="inlineStr">
        <is>
          <t>SM.23.127, Sup. 1</t>
        </is>
      </c>
      <c r="D212" t="inlineStr">
        <is>
          <t>Dominica</t>
        </is>
      </c>
      <c r="E212" t="inlineStr">
        <is>
          <t>DMA</t>
        </is>
      </c>
      <c r="F212" s="11" t="n">
        <v>45047</v>
      </c>
      <c r="G212" t="inlineStr">
        <is>
          <t>2018gn</t>
        </is>
      </c>
      <c r="H212" t="n">
        <v>2022</v>
      </c>
    </row>
    <row r="213">
      <c r="A213" t="inlineStr">
        <is>
          <t>Dominica_2023_May</t>
        </is>
      </c>
      <c r="C213" t="inlineStr">
        <is>
          <t>SM.23.127, Sup. 1</t>
        </is>
      </c>
      <c r="D213" t="inlineStr">
        <is>
          <t>Dominica</t>
        </is>
      </c>
      <c r="E213" t="inlineStr">
        <is>
          <t>DMA</t>
        </is>
      </c>
      <c r="F213" s="11" t="n">
        <v>45047</v>
      </c>
      <c r="G213" t="inlineStr">
        <is>
          <t>2018gn</t>
        </is>
      </c>
      <c r="H213" t="n">
        <v>2022</v>
      </c>
    </row>
    <row r="214">
      <c r="A214" t="inlineStr">
        <is>
          <t>Dominica_2023_May</t>
        </is>
      </c>
      <c r="C214" t="inlineStr">
        <is>
          <t>SM.23.127, Sup. 1</t>
        </is>
      </c>
      <c r="D214" t="inlineStr">
        <is>
          <t>Dominica</t>
        </is>
      </c>
      <c r="E214" t="inlineStr">
        <is>
          <t>DMA</t>
        </is>
      </c>
      <c r="F214" s="11" t="n">
        <v>45047</v>
      </c>
      <c r="G214" t="inlineStr">
        <is>
          <t>2018gn</t>
        </is>
      </c>
      <c r="H214" t="n">
        <v>2022</v>
      </c>
    </row>
    <row r="215">
      <c r="A215" t="inlineStr">
        <is>
          <t>Dominica_2023_May</t>
        </is>
      </c>
      <c r="C215" t="inlineStr">
        <is>
          <t>SM.23.127, Sup. 1</t>
        </is>
      </c>
      <c r="D215" t="inlineStr">
        <is>
          <t>Dominica</t>
        </is>
      </c>
      <c r="E215" t="inlineStr">
        <is>
          <t>DMA</t>
        </is>
      </c>
      <c r="F215" s="11" t="n">
        <v>45047</v>
      </c>
      <c r="G215" t="inlineStr">
        <is>
          <t>2018gn</t>
        </is>
      </c>
      <c r="H215" t="n">
        <v>2022</v>
      </c>
    </row>
    <row r="216">
      <c r="A216" t="inlineStr">
        <is>
          <t>Dominica_2023_May</t>
        </is>
      </c>
      <c r="C216" t="inlineStr">
        <is>
          <t>SM.23.127, Sup. 1</t>
        </is>
      </c>
      <c r="D216" t="inlineStr">
        <is>
          <t>Dominica</t>
        </is>
      </c>
      <c r="E216" t="inlineStr">
        <is>
          <t>DMA</t>
        </is>
      </c>
      <c r="F216" s="11" t="n">
        <v>45047</v>
      </c>
      <c r="G216" t="inlineStr">
        <is>
          <t>2018gn</t>
        </is>
      </c>
      <c r="H216" t="n">
        <v>2022</v>
      </c>
    </row>
    <row r="217">
      <c r="A217" t="inlineStr">
        <is>
          <t>Dominica_2023_May</t>
        </is>
      </c>
      <c r="C217" t="inlineStr">
        <is>
          <t>SM.23.127, Sup. 1</t>
        </is>
      </c>
      <c r="D217" t="inlineStr">
        <is>
          <t>Dominica</t>
        </is>
      </c>
      <c r="E217" t="inlineStr">
        <is>
          <t>DMA</t>
        </is>
      </c>
      <c r="F217" s="11" t="n">
        <v>45047</v>
      </c>
      <c r="G217" t="inlineStr">
        <is>
          <t>2018gn</t>
        </is>
      </c>
      <c r="H217" t="n">
        <v>2022</v>
      </c>
    </row>
    <row r="218">
      <c r="A218" t="inlineStr">
        <is>
          <t>Dominica_2023_May</t>
        </is>
      </c>
      <c r="C218" t="inlineStr">
        <is>
          <t>SM.23.127, Sup. 1</t>
        </is>
      </c>
      <c r="D218" t="inlineStr">
        <is>
          <t>Dominica</t>
        </is>
      </c>
      <c r="E218" t="inlineStr">
        <is>
          <t>DMA</t>
        </is>
      </c>
      <c r="F218" s="11" t="n">
        <v>45047</v>
      </c>
      <c r="G218" t="inlineStr">
        <is>
          <t>2018gn</t>
        </is>
      </c>
      <c r="H218" t="n">
        <v>2022</v>
      </c>
    </row>
    <row r="219">
      <c r="A219" t="inlineStr">
        <is>
          <t>Dominica_2023_May</t>
        </is>
      </c>
      <c r="C219" t="inlineStr">
        <is>
          <t>SM.23.127, Sup. 1</t>
        </is>
      </c>
      <c r="D219" t="inlineStr">
        <is>
          <t>Dominica</t>
        </is>
      </c>
      <c r="E219" t="inlineStr">
        <is>
          <t>DMA</t>
        </is>
      </c>
      <c r="F219" s="11" t="n">
        <v>45047</v>
      </c>
      <c r="G219" t="inlineStr">
        <is>
          <t>2018gn</t>
        </is>
      </c>
      <c r="H219" t="n">
        <v>2022</v>
      </c>
    </row>
    <row r="220">
      <c r="A220" t="inlineStr">
        <is>
          <t>Dominica_2023_May</t>
        </is>
      </c>
      <c r="C220" t="inlineStr">
        <is>
          <t>SM.23.127, Sup. 1</t>
        </is>
      </c>
      <c r="D220" t="inlineStr">
        <is>
          <t>Dominica</t>
        </is>
      </c>
      <c r="E220" t="inlineStr">
        <is>
          <t>DMA</t>
        </is>
      </c>
      <c r="F220" s="11" t="n">
        <v>45047</v>
      </c>
      <c r="G220" t="inlineStr">
        <is>
          <t>2018gn</t>
        </is>
      </c>
      <c r="H220" t="n">
        <v>2022</v>
      </c>
    </row>
    <row r="221">
      <c r="A221" t="inlineStr">
        <is>
          <t>Dominica_2023_May</t>
        </is>
      </c>
      <c r="C221" t="inlineStr">
        <is>
          <t>SM.23.127, Sup. 1</t>
        </is>
      </c>
      <c r="D221" t="inlineStr">
        <is>
          <t>Dominica</t>
        </is>
      </c>
      <c r="E221" t="inlineStr">
        <is>
          <t>DMA</t>
        </is>
      </c>
      <c r="F221" s="11" t="n">
        <v>45047</v>
      </c>
      <c r="G221" t="inlineStr">
        <is>
          <t>2018gn</t>
        </is>
      </c>
      <c r="H221" t="n">
        <v>2022</v>
      </c>
    </row>
    <row r="222">
      <c r="A222" t="inlineStr">
        <is>
          <t>Dominica_2023_May</t>
        </is>
      </c>
      <c r="C222" t="inlineStr">
        <is>
          <t>SM.23.127, Sup. 1</t>
        </is>
      </c>
      <c r="D222" t="inlineStr">
        <is>
          <t>Dominica</t>
        </is>
      </c>
      <c r="E222" t="inlineStr">
        <is>
          <t>DMA</t>
        </is>
      </c>
      <c r="F222" s="11" t="n">
        <v>45047</v>
      </c>
      <c r="G222" t="inlineStr">
        <is>
          <t>2018gn</t>
        </is>
      </c>
      <c r="H222" t="n">
        <v>2022</v>
      </c>
    </row>
    <row r="223">
      <c r="A223" t="inlineStr">
        <is>
          <t>Dominica_2023_May</t>
        </is>
      </c>
      <c r="C223" t="inlineStr">
        <is>
          <t>SM.23.127, Sup. 1</t>
        </is>
      </c>
      <c r="D223" t="inlineStr">
        <is>
          <t>Dominica</t>
        </is>
      </c>
      <c r="E223" t="inlineStr">
        <is>
          <t>DMA</t>
        </is>
      </c>
      <c r="F223" s="11" t="n">
        <v>45047</v>
      </c>
      <c r="G223" t="inlineStr">
        <is>
          <t>2018gn</t>
        </is>
      </c>
      <c r="H223" t="n">
        <v>2022</v>
      </c>
    </row>
    <row r="224">
      <c r="A224" t="inlineStr">
        <is>
          <t>Dominica_2023_May</t>
        </is>
      </c>
      <c r="C224" t="inlineStr">
        <is>
          <t>SM.23.127, Sup. 1</t>
        </is>
      </c>
      <c r="D224" t="inlineStr">
        <is>
          <t>Dominica</t>
        </is>
      </c>
      <c r="E224" t="inlineStr">
        <is>
          <t>DMA</t>
        </is>
      </c>
      <c r="F224" s="11" t="n">
        <v>45047</v>
      </c>
      <c r="G224" t="inlineStr">
        <is>
          <t>2018gn</t>
        </is>
      </c>
      <c r="H224" t="n">
        <v>2022</v>
      </c>
    </row>
    <row r="225">
      <c r="A225" t="inlineStr">
        <is>
          <t>Dominica_2023_May</t>
        </is>
      </c>
      <c r="C225" t="inlineStr">
        <is>
          <t>SM.23.127, Sup. 1</t>
        </is>
      </c>
      <c r="D225" t="inlineStr">
        <is>
          <t>Dominica</t>
        </is>
      </c>
      <c r="E225" t="inlineStr">
        <is>
          <t>DMA</t>
        </is>
      </c>
      <c r="F225" s="11" t="n">
        <v>45047</v>
      </c>
      <c r="G225" t="inlineStr">
        <is>
          <t>2018gn</t>
        </is>
      </c>
      <c r="H225" t="n">
        <v>2022</v>
      </c>
    </row>
    <row r="226">
      <c r="A226" t="inlineStr">
        <is>
          <t>Dominica_2023_May</t>
        </is>
      </c>
      <c r="C226" t="inlineStr">
        <is>
          <t>SM.23.127, Sup. 1</t>
        </is>
      </c>
      <c r="D226" t="inlineStr">
        <is>
          <t>Dominica</t>
        </is>
      </c>
      <c r="E226" t="inlineStr">
        <is>
          <t>DMA</t>
        </is>
      </c>
      <c r="F226" s="11" t="n">
        <v>45047</v>
      </c>
      <c r="G226" t="inlineStr">
        <is>
          <t>2018gn</t>
        </is>
      </c>
      <c r="H226" t="n">
        <v>2022</v>
      </c>
    </row>
    <row r="227">
      <c r="A227" t="inlineStr">
        <is>
          <t>Dominica_2023_May</t>
        </is>
      </c>
      <c r="C227" t="inlineStr">
        <is>
          <t>SM.23.127, Sup. 1</t>
        </is>
      </c>
      <c r="D227" t="inlineStr">
        <is>
          <t>Dominica</t>
        </is>
      </c>
      <c r="E227" t="inlineStr">
        <is>
          <t>DMA</t>
        </is>
      </c>
      <c r="F227" s="11" t="n">
        <v>45047</v>
      </c>
      <c r="G227" t="inlineStr">
        <is>
          <t>2018gn</t>
        </is>
      </c>
      <c r="H227" t="n">
        <v>2022</v>
      </c>
    </row>
    <row r="228">
      <c r="A228" t="inlineStr">
        <is>
          <t>Dominica_2023_May</t>
        </is>
      </c>
      <c r="C228" t="inlineStr">
        <is>
          <t>SM.23.127, Sup. 1</t>
        </is>
      </c>
      <c r="D228" t="inlineStr">
        <is>
          <t>Dominica</t>
        </is>
      </c>
      <c r="E228" t="inlineStr">
        <is>
          <t>DMA</t>
        </is>
      </c>
      <c r="F228" s="11" t="n">
        <v>45047</v>
      </c>
      <c r="G228" t="inlineStr">
        <is>
          <t>2018gn</t>
        </is>
      </c>
      <c r="H228" t="n">
        <v>2022</v>
      </c>
    </row>
    <row r="229">
      <c r="A229" t="inlineStr">
        <is>
          <t>Dominica_2023_May</t>
        </is>
      </c>
      <c r="C229" t="inlineStr">
        <is>
          <t>SM.23.127, Sup. 1</t>
        </is>
      </c>
      <c r="D229" t="inlineStr">
        <is>
          <t>Dominica</t>
        </is>
      </c>
      <c r="E229" t="inlineStr">
        <is>
          <t>DMA</t>
        </is>
      </c>
      <c r="F229" s="11" t="n">
        <v>45047</v>
      </c>
      <c r="G229" t="inlineStr">
        <is>
          <t>2018gn</t>
        </is>
      </c>
      <c r="H229" t="n">
        <v>2022</v>
      </c>
    </row>
    <row r="230">
      <c r="A230" t="inlineStr">
        <is>
          <t>Dominica_2023_May</t>
        </is>
      </c>
      <c r="C230" t="inlineStr">
        <is>
          <t>SM.23.127, Sup. 1</t>
        </is>
      </c>
      <c r="D230" t="inlineStr">
        <is>
          <t>Dominica</t>
        </is>
      </c>
      <c r="E230" t="inlineStr">
        <is>
          <t>DMA</t>
        </is>
      </c>
      <c r="F230" s="11" t="n">
        <v>45047</v>
      </c>
      <c r="G230" t="inlineStr">
        <is>
          <t>2018gn</t>
        </is>
      </c>
      <c r="H230" t="n">
        <v>2022</v>
      </c>
    </row>
    <row r="231">
      <c r="A231" t="inlineStr">
        <is>
          <t>Dominica_2023_May</t>
        </is>
      </c>
      <c r="C231" t="inlineStr">
        <is>
          <t>SM.23.127, Sup. 1</t>
        </is>
      </c>
      <c r="D231" t="inlineStr">
        <is>
          <t>Dominica</t>
        </is>
      </c>
      <c r="E231" t="inlineStr">
        <is>
          <t>DMA</t>
        </is>
      </c>
      <c r="F231" s="11" t="n">
        <v>45047</v>
      </c>
      <c r="G231" t="inlineStr">
        <is>
          <t>2018gn</t>
        </is>
      </c>
      <c r="H231" t="n">
        <v>2022</v>
      </c>
    </row>
    <row r="232">
      <c r="A232" t="inlineStr">
        <is>
          <t>Dominica_2023_May</t>
        </is>
      </c>
      <c r="C232" t="inlineStr">
        <is>
          <t>SM.23.127, Sup. 1</t>
        </is>
      </c>
      <c r="D232" t="inlineStr">
        <is>
          <t>Dominica</t>
        </is>
      </c>
      <c r="E232" t="inlineStr">
        <is>
          <t>DMA</t>
        </is>
      </c>
      <c r="F232" s="11" t="n">
        <v>45047</v>
      </c>
      <c r="G232" t="inlineStr">
        <is>
          <t>2018gn</t>
        </is>
      </c>
      <c r="H232" t="n">
        <v>2022</v>
      </c>
    </row>
    <row r="233">
      <c r="A233" t="inlineStr">
        <is>
          <t>Dominica_2023_May</t>
        </is>
      </c>
      <c r="C233" t="inlineStr">
        <is>
          <t>SM.23.127, Sup. 1</t>
        </is>
      </c>
      <c r="D233" t="inlineStr">
        <is>
          <t>Dominica</t>
        </is>
      </c>
      <c r="E233" t="inlineStr">
        <is>
          <t>DMA</t>
        </is>
      </c>
      <c r="F233" s="11" t="n">
        <v>45047</v>
      </c>
      <c r="G233" t="inlineStr">
        <is>
          <t>2018gn</t>
        </is>
      </c>
      <c r="H233" t="n">
        <v>2022</v>
      </c>
    </row>
    <row r="234">
      <c r="A234" t="inlineStr">
        <is>
          <t>Dominica_2023_May</t>
        </is>
      </c>
      <c r="C234" t="inlineStr">
        <is>
          <t>SM.23.127, Sup. 1</t>
        </is>
      </c>
      <c r="D234" t="inlineStr">
        <is>
          <t>Dominica</t>
        </is>
      </c>
      <c r="E234" t="inlineStr">
        <is>
          <t>DMA</t>
        </is>
      </c>
      <c r="F234" s="11" t="n">
        <v>45047</v>
      </c>
      <c r="G234" t="inlineStr">
        <is>
          <t>2018gn</t>
        </is>
      </c>
      <c r="H234" t="n">
        <v>2022</v>
      </c>
    </row>
    <row r="235">
      <c r="A235" t="inlineStr">
        <is>
          <t>Dominica_2023_May</t>
        </is>
      </c>
      <c r="C235" t="inlineStr">
        <is>
          <t>SM.23.127, Sup. 1</t>
        </is>
      </c>
      <c r="D235" t="inlineStr">
        <is>
          <t>Dominica</t>
        </is>
      </c>
      <c r="E235" t="inlineStr">
        <is>
          <t>DMA</t>
        </is>
      </c>
      <c r="F235" s="11" t="n">
        <v>45047</v>
      </c>
      <c r="G235" t="inlineStr">
        <is>
          <t>2018gn</t>
        </is>
      </c>
      <c r="H235" t="n">
        <v>2022</v>
      </c>
    </row>
    <row r="236">
      <c r="A236" t="inlineStr">
        <is>
          <t>Dominica_2023_May</t>
        </is>
      </c>
      <c r="C236" t="inlineStr">
        <is>
          <t>SM.23.127, Sup. 1</t>
        </is>
      </c>
      <c r="D236" t="inlineStr">
        <is>
          <t>Dominica</t>
        </is>
      </c>
      <c r="E236" t="inlineStr">
        <is>
          <t>DMA</t>
        </is>
      </c>
      <c r="F236" s="11" t="n">
        <v>45047</v>
      </c>
      <c r="G236" t="inlineStr">
        <is>
          <t>2018gn</t>
        </is>
      </c>
      <c r="H236" t="n">
        <v>2022</v>
      </c>
    </row>
    <row r="237">
      <c r="A237" t="inlineStr">
        <is>
          <t>Dominica_2023_May</t>
        </is>
      </c>
      <c r="C237" t="inlineStr">
        <is>
          <t>SM.23.127, Sup. 1</t>
        </is>
      </c>
      <c r="D237" t="inlineStr">
        <is>
          <t>Dominica</t>
        </is>
      </c>
      <c r="E237" t="inlineStr">
        <is>
          <t>DMA</t>
        </is>
      </c>
      <c r="F237" s="11" t="n">
        <v>45047</v>
      </c>
      <c r="G237" t="inlineStr">
        <is>
          <t>2018gn</t>
        </is>
      </c>
      <c r="H237" t="n">
        <v>2022</v>
      </c>
    </row>
    <row r="238">
      <c r="A238" t="inlineStr">
        <is>
          <t>Dominica_2023_May</t>
        </is>
      </c>
      <c r="C238" t="inlineStr">
        <is>
          <t>SM.23.127, Sup. 1</t>
        </is>
      </c>
      <c r="D238" t="inlineStr">
        <is>
          <t>Dominica</t>
        </is>
      </c>
      <c r="E238" t="inlineStr">
        <is>
          <t>DMA</t>
        </is>
      </c>
      <c r="F238" s="11" t="n">
        <v>45047</v>
      </c>
      <c r="G238" t="inlineStr">
        <is>
          <t>2018gn</t>
        </is>
      </c>
      <c r="H238" t="n">
        <v>2022</v>
      </c>
    </row>
    <row r="239">
      <c r="A239" t="inlineStr">
        <is>
          <t>Dominica_2023_May</t>
        </is>
      </c>
      <c r="C239" t="inlineStr">
        <is>
          <t>SM.23.127, Sup. 1</t>
        </is>
      </c>
      <c r="D239" t="inlineStr">
        <is>
          <t>Dominica</t>
        </is>
      </c>
      <c r="E239" t="inlineStr">
        <is>
          <t>DMA</t>
        </is>
      </c>
      <c r="F239" s="11" t="n">
        <v>45047</v>
      </c>
      <c r="G239" t="inlineStr">
        <is>
          <t>2018gn</t>
        </is>
      </c>
      <c r="H239" t="n">
        <v>2022</v>
      </c>
    </row>
    <row r="240">
      <c r="A240" t="inlineStr">
        <is>
          <t>Dominica_2023_May</t>
        </is>
      </c>
      <c r="C240" t="inlineStr">
        <is>
          <t>SM.23.127, Sup. 1</t>
        </is>
      </c>
      <c r="D240" t="inlineStr">
        <is>
          <t>Dominica</t>
        </is>
      </c>
      <c r="E240" t="inlineStr">
        <is>
          <t>DMA</t>
        </is>
      </c>
      <c r="F240" s="11" t="n">
        <v>45047</v>
      </c>
      <c r="G240" t="inlineStr">
        <is>
          <t>2018gn</t>
        </is>
      </c>
      <c r="H240" t="n">
        <v>2022</v>
      </c>
    </row>
    <row r="241">
      <c r="A241" t="inlineStr">
        <is>
          <t>Dominica_2023_May</t>
        </is>
      </c>
      <c r="C241" t="inlineStr">
        <is>
          <t>SM.23.127, Sup. 1</t>
        </is>
      </c>
      <c r="D241" t="inlineStr">
        <is>
          <t>Dominica</t>
        </is>
      </c>
      <c r="E241" t="inlineStr">
        <is>
          <t>DMA</t>
        </is>
      </c>
      <c r="F241" s="11" t="n">
        <v>45047</v>
      </c>
      <c r="G241" t="inlineStr">
        <is>
          <t>2018gn</t>
        </is>
      </c>
      <c r="H241" t="n">
        <v>2022</v>
      </c>
    </row>
    <row r="242">
      <c r="A242" t="inlineStr">
        <is>
          <t>Dominica_2023_May</t>
        </is>
      </c>
      <c r="C242" t="inlineStr">
        <is>
          <t>SM.23.127, Sup. 1</t>
        </is>
      </c>
      <c r="D242" t="inlineStr">
        <is>
          <t>Dominica</t>
        </is>
      </c>
      <c r="E242" t="inlineStr">
        <is>
          <t>DMA</t>
        </is>
      </c>
      <c r="F242" s="11" t="n">
        <v>45047</v>
      </c>
      <c r="G242" t="inlineStr">
        <is>
          <t>2018gn</t>
        </is>
      </c>
      <c r="H242" t="n">
        <v>2022</v>
      </c>
    </row>
    <row r="243">
      <c r="A243" t="inlineStr">
        <is>
          <t>Dominica_2023_May</t>
        </is>
      </c>
      <c r="C243" t="inlineStr">
        <is>
          <t>SM.23.127, Sup. 1</t>
        </is>
      </c>
      <c r="D243" t="inlineStr">
        <is>
          <t>Dominica</t>
        </is>
      </c>
      <c r="E243" t="inlineStr">
        <is>
          <t>DMA</t>
        </is>
      </c>
      <c r="F243" s="11" t="n">
        <v>45047</v>
      </c>
      <c r="G243" t="inlineStr">
        <is>
          <t>2018gn</t>
        </is>
      </c>
      <c r="H243" t="n">
        <v>2022</v>
      </c>
    </row>
    <row r="244">
      <c r="A244" t="inlineStr">
        <is>
          <t>Dominica_2023_May</t>
        </is>
      </c>
      <c r="C244" t="inlineStr">
        <is>
          <t>SM.23.127, Sup. 1</t>
        </is>
      </c>
      <c r="D244" t="inlineStr">
        <is>
          <t>Dominica</t>
        </is>
      </c>
      <c r="E244" t="inlineStr">
        <is>
          <t>DMA</t>
        </is>
      </c>
      <c r="F244" s="11" t="n">
        <v>45047</v>
      </c>
      <c r="G244" t="inlineStr">
        <is>
          <t>2018gn</t>
        </is>
      </c>
      <c r="H244" t="n">
        <v>2022</v>
      </c>
    </row>
    <row r="245">
      <c r="A245" t="inlineStr">
        <is>
          <t>Dominica_2023_May</t>
        </is>
      </c>
      <c r="C245" t="inlineStr">
        <is>
          <t>SM.23.127, Sup. 1</t>
        </is>
      </c>
      <c r="D245" t="inlineStr">
        <is>
          <t>Dominica</t>
        </is>
      </c>
      <c r="E245" t="inlineStr">
        <is>
          <t>DMA</t>
        </is>
      </c>
      <c r="F245" s="11" t="n">
        <v>45047</v>
      </c>
      <c r="G245" t="inlineStr">
        <is>
          <t>2018gn</t>
        </is>
      </c>
      <c r="H245" t="n">
        <v>2022</v>
      </c>
    </row>
    <row r="246">
      <c r="A246" t="inlineStr">
        <is>
          <t>Dominica_2023_May</t>
        </is>
      </c>
      <c r="C246" t="inlineStr">
        <is>
          <t>SM.23.127, Sup. 1</t>
        </is>
      </c>
      <c r="D246" t="inlineStr">
        <is>
          <t>Dominica</t>
        </is>
      </c>
      <c r="E246" t="inlineStr">
        <is>
          <t>DMA</t>
        </is>
      </c>
      <c r="F246" s="11" t="n">
        <v>45047</v>
      </c>
      <c r="G246" t="inlineStr">
        <is>
          <t>2018gn</t>
        </is>
      </c>
      <c r="H246" t="n">
        <v>2022</v>
      </c>
    </row>
    <row r="247">
      <c r="A247" t="inlineStr">
        <is>
          <t>Dominica_2023_May</t>
        </is>
      </c>
      <c r="C247" t="inlineStr">
        <is>
          <t>SM.23.127, Sup. 1</t>
        </is>
      </c>
      <c r="D247" t="inlineStr">
        <is>
          <t>Dominica</t>
        </is>
      </c>
      <c r="E247" t="inlineStr">
        <is>
          <t>DMA</t>
        </is>
      </c>
      <c r="F247" s="11" t="n">
        <v>45047</v>
      </c>
      <c r="G247" t="inlineStr">
        <is>
          <t>2018gn</t>
        </is>
      </c>
      <c r="H247" t="n">
        <v>2022</v>
      </c>
    </row>
    <row r="248">
      <c r="A248" t="inlineStr">
        <is>
          <t>Dominica_2023_May</t>
        </is>
      </c>
      <c r="C248" t="inlineStr">
        <is>
          <t>SM.23.127, Sup. 1</t>
        </is>
      </c>
      <c r="D248" t="inlineStr">
        <is>
          <t>Dominica</t>
        </is>
      </c>
      <c r="E248" t="inlineStr">
        <is>
          <t>DMA</t>
        </is>
      </c>
      <c r="F248" s="11" t="n">
        <v>45047</v>
      </c>
      <c r="G248" t="inlineStr">
        <is>
          <t>2018gn</t>
        </is>
      </c>
      <c r="H248" t="n">
        <v>2022</v>
      </c>
    </row>
    <row r="249">
      <c r="A249" t="inlineStr">
        <is>
          <t>Dominica_2023_May</t>
        </is>
      </c>
      <c r="C249" t="inlineStr">
        <is>
          <t>SM.23.127, Sup. 1</t>
        </is>
      </c>
      <c r="D249" t="inlineStr">
        <is>
          <t>Dominica</t>
        </is>
      </c>
      <c r="E249" t="inlineStr">
        <is>
          <t>DMA</t>
        </is>
      </c>
      <c r="F249" s="11" t="n">
        <v>45047</v>
      </c>
      <c r="G249" t="inlineStr">
        <is>
          <t>2018gn</t>
        </is>
      </c>
      <c r="H249" t="n">
        <v>2022</v>
      </c>
    </row>
    <row r="250">
      <c r="A250" t="inlineStr">
        <is>
          <t>Dominica_2023_May</t>
        </is>
      </c>
      <c r="C250" t="inlineStr">
        <is>
          <t>SM.23.127, Sup. 1</t>
        </is>
      </c>
      <c r="D250" t="inlineStr">
        <is>
          <t>Dominica</t>
        </is>
      </c>
      <c r="E250" t="inlineStr">
        <is>
          <t>DMA</t>
        </is>
      </c>
      <c r="F250" s="11" t="n">
        <v>45047</v>
      </c>
      <c r="G250" t="inlineStr">
        <is>
          <t>2018gn</t>
        </is>
      </c>
      <c r="H250" t="n">
        <v>2022</v>
      </c>
    </row>
    <row r="251">
      <c r="A251" t="inlineStr">
        <is>
          <t>Dominica_2023_May</t>
        </is>
      </c>
      <c r="C251" t="inlineStr">
        <is>
          <t>SM.23.127, Sup. 1</t>
        </is>
      </c>
      <c r="D251" t="inlineStr">
        <is>
          <t>Dominica</t>
        </is>
      </c>
      <c r="E251" t="inlineStr">
        <is>
          <t>DMA</t>
        </is>
      </c>
      <c r="F251" s="11" t="n">
        <v>45047</v>
      </c>
      <c r="G251" t="inlineStr">
        <is>
          <t>2018gn</t>
        </is>
      </c>
      <c r="H251" t="n">
        <v>2022</v>
      </c>
    </row>
    <row r="252">
      <c r="A252" t="inlineStr">
        <is>
          <t>Dominica_2023_May</t>
        </is>
      </c>
      <c r="C252" t="inlineStr">
        <is>
          <t>SM.23.127, Sup. 1</t>
        </is>
      </c>
      <c r="D252" t="inlineStr">
        <is>
          <t>Dominica</t>
        </is>
      </c>
      <c r="E252" t="inlineStr">
        <is>
          <t>DMA</t>
        </is>
      </c>
      <c r="F252" s="11" t="n">
        <v>45047</v>
      </c>
      <c r="G252" t="inlineStr">
        <is>
          <t>2018gn</t>
        </is>
      </c>
      <c r="H252" t="n">
        <v>2022</v>
      </c>
    </row>
    <row r="253">
      <c r="A253" t="inlineStr">
        <is>
          <t>Dominica_2023_May</t>
        </is>
      </c>
      <c r="C253" t="inlineStr">
        <is>
          <t>SM.23.127, Sup. 1</t>
        </is>
      </c>
      <c r="D253" t="inlineStr">
        <is>
          <t>Dominica</t>
        </is>
      </c>
      <c r="E253" t="inlineStr">
        <is>
          <t>DMA</t>
        </is>
      </c>
      <c r="F253" s="11" t="n">
        <v>45047</v>
      </c>
      <c r="G253" t="inlineStr">
        <is>
          <t>2018gn</t>
        </is>
      </c>
      <c r="H253" t="n">
        <v>2022</v>
      </c>
    </row>
    <row r="254">
      <c r="A254" t="inlineStr">
        <is>
          <t>Dominica_2023_May</t>
        </is>
      </c>
      <c r="C254" t="inlineStr">
        <is>
          <t>SM.23.127, Sup. 1</t>
        </is>
      </c>
      <c r="D254" t="inlineStr">
        <is>
          <t>Dominica</t>
        </is>
      </c>
      <c r="E254" t="inlineStr">
        <is>
          <t>DMA</t>
        </is>
      </c>
      <c r="F254" s="11" t="n">
        <v>45047</v>
      </c>
      <c r="G254" t="inlineStr">
        <is>
          <t>2018gn</t>
        </is>
      </c>
      <c r="H254" t="n">
        <v>2022</v>
      </c>
    </row>
    <row r="255">
      <c r="A255" t="inlineStr">
        <is>
          <t>Dominica_2023_May</t>
        </is>
      </c>
      <c r="C255" t="inlineStr">
        <is>
          <t>SM.23.127, Sup. 1</t>
        </is>
      </c>
      <c r="D255" t="inlineStr">
        <is>
          <t>Dominica</t>
        </is>
      </c>
      <c r="E255" t="inlineStr">
        <is>
          <t>DMA</t>
        </is>
      </c>
      <c r="F255" s="11" t="n">
        <v>45047</v>
      </c>
      <c r="G255" t="inlineStr">
        <is>
          <t>2018gn</t>
        </is>
      </c>
      <c r="H255" t="n">
        <v>2022</v>
      </c>
    </row>
    <row r="256">
      <c r="A256" t="inlineStr">
        <is>
          <t>Dominica_2023_May</t>
        </is>
      </c>
      <c r="C256" t="inlineStr">
        <is>
          <t>SM.23.127, Sup. 1</t>
        </is>
      </c>
      <c r="D256" t="inlineStr">
        <is>
          <t>Dominica</t>
        </is>
      </c>
      <c r="E256" t="inlineStr">
        <is>
          <t>DMA</t>
        </is>
      </c>
      <c r="F256" s="11" t="n">
        <v>45047</v>
      </c>
      <c r="G256" t="inlineStr">
        <is>
          <t>2018gn</t>
        </is>
      </c>
      <c r="H256" t="n">
        <v>2022</v>
      </c>
    </row>
    <row r="257">
      <c r="A257" t="inlineStr">
        <is>
          <t>Dominica_2023_May</t>
        </is>
      </c>
      <c r="C257" t="inlineStr">
        <is>
          <t>SM.23.127, Sup. 1</t>
        </is>
      </c>
      <c r="D257" t="inlineStr">
        <is>
          <t>Dominica</t>
        </is>
      </c>
      <c r="E257" t="inlineStr">
        <is>
          <t>DMA</t>
        </is>
      </c>
      <c r="F257" s="11" t="n">
        <v>45047</v>
      </c>
      <c r="G257" t="inlineStr">
        <is>
          <t>2018gn</t>
        </is>
      </c>
      <c r="H257" t="n">
        <v>2022</v>
      </c>
    </row>
    <row r="258">
      <c r="A258" t="inlineStr">
        <is>
          <t>Dominica_2023_May</t>
        </is>
      </c>
      <c r="C258" t="inlineStr">
        <is>
          <t>SM.23.127, Sup. 1</t>
        </is>
      </c>
      <c r="D258" t="inlineStr">
        <is>
          <t>Dominica</t>
        </is>
      </c>
      <c r="E258" t="inlineStr">
        <is>
          <t>DMA</t>
        </is>
      </c>
      <c r="F258" s="11" t="n">
        <v>45047</v>
      </c>
      <c r="G258" t="inlineStr">
        <is>
          <t>2018gn</t>
        </is>
      </c>
      <c r="H258" t="n">
        <v>2022</v>
      </c>
    </row>
    <row r="259">
      <c r="A259" t="inlineStr">
        <is>
          <t>Dominica_2023_May</t>
        </is>
      </c>
      <c r="C259" t="inlineStr">
        <is>
          <t>SM.23.127, Sup. 1</t>
        </is>
      </c>
      <c r="D259" t="inlineStr">
        <is>
          <t>Dominica</t>
        </is>
      </c>
      <c r="E259" t="inlineStr">
        <is>
          <t>DMA</t>
        </is>
      </c>
      <c r="F259" s="11" t="n">
        <v>45047</v>
      </c>
      <c r="G259" t="inlineStr">
        <is>
          <t>2018gn</t>
        </is>
      </c>
      <c r="H259" t="n">
        <v>2022</v>
      </c>
    </row>
    <row r="260">
      <c r="A260" t="inlineStr">
        <is>
          <t>Dominica_2023_May</t>
        </is>
      </c>
      <c r="C260" t="inlineStr">
        <is>
          <t>SM.23.127, Sup. 1</t>
        </is>
      </c>
      <c r="D260" t="inlineStr">
        <is>
          <t>Dominica</t>
        </is>
      </c>
      <c r="E260" t="inlineStr">
        <is>
          <t>DMA</t>
        </is>
      </c>
      <c r="F260" s="11" t="n">
        <v>45047</v>
      </c>
      <c r="G260" t="inlineStr">
        <is>
          <t>2018gn</t>
        </is>
      </c>
      <c r="H260" t="n">
        <v>2022</v>
      </c>
    </row>
    <row r="261">
      <c r="A261" t="inlineStr">
        <is>
          <t>Dominica_2023_May</t>
        </is>
      </c>
      <c r="C261" t="inlineStr">
        <is>
          <t>SM.23.127, Sup. 1</t>
        </is>
      </c>
      <c r="D261" t="inlineStr">
        <is>
          <t>Dominica</t>
        </is>
      </c>
      <c r="E261" t="inlineStr">
        <is>
          <t>DMA</t>
        </is>
      </c>
      <c r="F261" s="11" t="n">
        <v>45047</v>
      </c>
      <c r="G261" t="inlineStr">
        <is>
          <t>2018gn</t>
        </is>
      </c>
      <c r="H261" t="n">
        <v>2022</v>
      </c>
    </row>
    <row r="262">
      <c r="A262" t="inlineStr">
        <is>
          <t>Dominica_2023_May</t>
        </is>
      </c>
      <c r="C262" t="inlineStr">
        <is>
          <t>SM.23.127, Sup. 1</t>
        </is>
      </c>
      <c r="D262" t="inlineStr">
        <is>
          <t>Dominica</t>
        </is>
      </c>
      <c r="E262" t="inlineStr">
        <is>
          <t>DMA</t>
        </is>
      </c>
      <c r="F262" s="11" t="n">
        <v>45047</v>
      </c>
      <c r="G262" t="inlineStr">
        <is>
          <t>2018gn</t>
        </is>
      </c>
      <c r="H262" t="n">
        <v>2022</v>
      </c>
    </row>
    <row r="263">
      <c r="A263" t="inlineStr">
        <is>
          <t>Dominica_2023_May</t>
        </is>
      </c>
      <c r="C263" t="inlineStr">
        <is>
          <t>SM.23.127, Sup. 1</t>
        </is>
      </c>
      <c r="D263" t="inlineStr">
        <is>
          <t>Dominica</t>
        </is>
      </c>
      <c r="E263" t="inlineStr">
        <is>
          <t>DMA</t>
        </is>
      </c>
      <c r="F263" s="11" t="n">
        <v>45047</v>
      </c>
      <c r="G263" t="inlineStr">
        <is>
          <t>2018gn</t>
        </is>
      </c>
      <c r="H263" t="n">
        <v>2022</v>
      </c>
    </row>
    <row r="264">
      <c r="A264" t="inlineStr">
        <is>
          <t>Dominica_2023_May</t>
        </is>
      </c>
      <c r="C264" t="inlineStr">
        <is>
          <t>SM.23.127, Sup. 1</t>
        </is>
      </c>
      <c r="D264" t="inlineStr">
        <is>
          <t>Dominica</t>
        </is>
      </c>
      <c r="E264" t="inlineStr">
        <is>
          <t>DMA</t>
        </is>
      </c>
      <c r="F264" s="11" t="n">
        <v>45047</v>
      </c>
      <c r="G264" t="inlineStr">
        <is>
          <t>2018gn</t>
        </is>
      </c>
      <c r="H264" t="n">
        <v>2022</v>
      </c>
    </row>
    <row r="265">
      <c r="A265" t="inlineStr">
        <is>
          <t>Dominica_2023_May</t>
        </is>
      </c>
      <c r="C265" t="inlineStr">
        <is>
          <t>SM.23.127, Sup. 1</t>
        </is>
      </c>
      <c r="D265" t="inlineStr">
        <is>
          <t>Dominica</t>
        </is>
      </c>
      <c r="E265" t="inlineStr">
        <is>
          <t>DMA</t>
        </is>
      </c>
      <c r="F265" s="11" t="n">
        <v>45047</v>
      </c>
      <c r="G265" t="inlineStr">
        <is>
          <t>2018gn</t>
        </is>
      </c>
      <c r="H265" t="n">
        <v>2022</v>
      </c>
    </row>
    <row r="266">
      <c r="A266" t="inlineStr">
        <is>
          <t>Dominica_2023_May</t>
        </is>
      </c>
      <c r="C266" t="inlineStr">
        <is>
          <t>SM.23.127, Sup. 1</t>
        </is>
      </c>
      <c r="D266" t="inlineStr">
        <is>
          <t>Dominica</t>
        </is>
      </c>
      <c r="E266" t="inlineStr">
        <is>
          <t>DMA</t>
        </is>
      </c>
      <c r="F266" s="11" t="n">
        <v>45047</v>
      </c>
      <c r="G266" t="inlineStr">
        <is>
          <t>2018gn</t>
        </is>
      </c>
      <c r="H266" t="n">
        <v>2022</v>
      </c>
    </row>
    <row r="267">
      <c r="A267" t="inlineStr">
        <is>
          <t>Dominica_2023_May</t>
        </is>
      </c>
      <c r="C267" t="inlineStr">
        <is>
          <t>SM.23.127, Sup. 1</t>
        </is>
      </c>
      <c r="D267" t="inlineStr">
        <is>
          <t>Dominica</t>
        </is>
      </c>
      <c r="E267" t="inlineStr">
        <is>
          <t>DMA</t>
        </is>
      </c>
      <c r="F267" s="11" t="n">
        <v>45047</v>
      </c>
      <c r="G267" t="inlineStr">
        <is>
          <t>2018gn</t>
        </is>
      </c>
      <c r="H267" t="n">
        <v>2022</v>
      </c>
    </row>
    <row r="268">
      <c r="A268" t="inlineStr">
        <is>
          <t>Dominica_2023_May</t>
        </is>
      </c>
      <c r="C268" t="inlineStr">
        <is>
          <t>SM.23.127, Sup. 1</t>
        </is>
      </c>
      <c r="D268" t="inlineStr">
        <is>
          <t>Dominica</t>
        </is>
      </c>
      <c r="E268" t="inlineStr">
        <is>
          <t>DMA</t>
        </is>
      </c>
      <c r="F268" s="11" t="n">
        <v>45047</v>
      </c>
      <c r="G268" t="inlineStr">
        <is>
          <t>2018gn</t>
        </is>
      </c>
      <c r="H268" t="n">
        <v>2022</v>
      </c>
    </row>
    <row r="269">
      <c r="A269" t="inlineStr">
        <is>
          <t>Dominica_2023_May</t>
        </is>
      </c>
      <c r="C269" t="inlineStr">
        <is>
          <t>SM.23.127, Sup. 1</t>
        </is>
      </c>
      <c r="D269" t="inlineStr">
        <is>
          <t>Dominica</t>
        </is>
      </c>
      <c r="E269" t="inlineStr">
        <is>
          <t>DMA</t>
        </is>
      </c>
      <c r="F269" s="11" t="n">
        <v>45047</v>
      </c>
      <c r="G269" t="inlineStr">
        <is>
          <t>2018gn</t>
        </is>
      </c>
      <c r="H269" t="n">
        <v>2022</v>
      </c>
    </row>
    <row r="270">
      <c r="A270" t="inlineStr">
        <is>
          <t>Dominica_2023_May</t>
        </is>
      </c>
      <c r="C270" t="inlineStr">
        <is>
          <t>SM.23.127, Sup. 1</t>
        </is>
      </c>
      <c r="D270" t="inlineStr">
        <is>
          <t>Dominica</t>
        </is>
      </c>
      <c r="E270" t="inlineStr">
        <is>
          <t>DMA</t>
        </is>
      </c>
      <c r="F270" s="11" t="n">
        <v>45047</v>
      </c>
      <c r="G270" t="inlineStr">
        <is>
          <t>2018gn</t>
        </is>
      </c>
      <c r="H270" t="n">
        <v>2022</v>
      </c>
    </row>
    <row r="271">
      <c r="A271" t="inlineStr">
        <is>
          <t>Dominica_2023_May</t>
        </is>
      </c>
      <c r="C271" t="inlineStr">
        <is>
          <t>SM.23.127, Sup. 1</t>
        </is>
      </c>
      <c r="D271" t="inlineStr">
        <is>
          <t>Dominica</t>
        </is>
      </c>
      <c r="E271" t="inlineStr">
        <is>
          <t>DMA</t>
        </is>
      </c>
      <c r="F271" s="11" t="n">
        <v>45047</v>
      </c>
      <c r="G271" t="inlineStr">
        <is>
          <t>2018gn</t>
        </is>
      </c>
      <c r="H271" t="n">
        <v>2022</v>
      </c>
    </row>
    <row r="272">
      <c r="A272" t="inlineStr">
        <is>
          <t>Dominica_2023_May</t>
        </is>
      </c>
      <c r="C272" t="inlineStr">
        <is>
          <t>SM.23.127, Sup. 1</t>
        </is>
      </c>
      <c r="D272" t="inlineStr">
        <is>
          <t>Dominica</t>
        </is>
      </c>
      <c r="E272" t="inlineStr">
        <is>
          <t>DMA</t>
        </is>
      </c>
      <c r="F272" s="11" t="n">
        <v>45047</v>
      </c>
      <c r="G272" t="inlineStr">
        <is>
          <t>2018gn</t>
        </is>
      </c>
      <c r="H272" t="n">
        <v>2022</v>
      </c>
    </row>
    <row r="273">
      <c r="A273" t="inlineStr">
        <is>
          <t>Dominica_2023_May</t>
        </is>
      </c>
      <c r="C273" t="inlineStr">
        <is>
          <t>SM.23.127, Sup. 1</t>
        </is>
      </c>
      <c r="D273" t="inlineStr">
        <is>
          <t>Dominica</t>
        </is>
      </c>
      <c r="E273" t="inlineStr">
        <is>
          <t>DMA</t>
        </is>
      </c>
      <c r="F273" s="11" t="n">
        <v>45047</v>
      </c>
      <c r="G273" t="inlineStr">
        <is>
          <t>2018gn</t>
        </is>
      </c>
      <c r="H273" t="n">
        <v>2022</v>
      </c>
    </row>
    <row r="274">
      <c r="A274" t="inlineStr">
        <is>
          <t>Dominica_2023_May</t>
        </is>
      </c>
      <c r="C274" t="inlineStr">
        <is>
          <t>SM.23.127, Sup. 1</t>
        </is>
      </c>
      <c r="D274" t="inlineStr">
        <is>
          <t>Dominica</t>
        </is>
      </c>
      <c r="E274" t="inlineStr">
        <is>
          <t>DMA</t>
        </is>
      </c>
      <c r="F274" s="11" t="n">
        <v>45047</v>
      </c>
      <c r="G274" t="inlineStr">
        <is>
          <t>2018gn</t>
        </is>
      </c>
      <c r="H274" t="n">
        <v>2022</v>
      </c>
    </row>
    <row r="275">
      <c r="A275" t="inlineStr">
        <is>
          <t>Dominica_2023_May</t>
        </is>
      </c>
      <c r="C275" t="inlineStr">
        <is>
          <t>SM.23.127, Sup. 1</t>
        </is>
      </c>
      <c r="D275" t="inlineStr">
        <is>
          <t>Dominica</t>
        </is>
      </c>
      <c r="E275" t="inlineStr">
        <is>
          <t>DMA</t>
        </is>
      </c>
      <c r="F275" s="11" t="n">
        <v>45047</v>
      </c>
      <c r="G275" t="inlineStr">
        <is>
          <t>2018gn</t>
        </is>
      </c>
      <c r="H275" t="n">
        <v>2022</v>
      </c>
    </row>
    <row r="276">
      <c r="A276" t="inlineStr">
        <is>
          <t>Dominica_2023_May</t>
        </is>
      </c>
      <c r="C276" t="inlineStr">
        <is>
          <t>SM.23.127, Sup. 1</t>
        </is>
      </c>
      <c r="D276" t="inlineStr">
        <is>
          <t>Dominica</t>
        </is>
      </c>
      <c r="E276" t="inlineStr">
        <is>
          <t>DMA</t>
        </is>
      </c>
      <c r="F276" s="11" t="n">
        <v>45047</v>
      </c>
      <c r="G276" t="inlineStr">
        <is>
          <t>2018gn</t>
        </is>
      </c>
      <c r="H276" t="n">
        <v>2022</v>
      </c>
    </row>
    <row r="277">
      <c r="A277" t="inlineStr">
        <is>
          <t>Dominica_2023_May</t>
        </is>
      </c>
      <c r="C277" t="inlineStr">
        <is>
          <t>SM.23.127, Sup. 1</t>
        </is>
      </c>
      <c r="D277" t="inlineStr">
        <is>
          <t>Dominica</t>
        </is>
      </c>
      <c r="E277" t="inlineStr">
        <is>
          <t>DMA</t>
        </is>
      </c>
      <c r="F277" s="11" t="n">
        <v>45047</v>
      </c>
      <c r="G277" t="inlineStr">
        <is>
          <t>2018gn</t>
        </is>
      </c>
      <c r="H277" t="n">
        <v>2022</v>
      </c>
    </row>
    <row r="278">
      <c r="A278" t="inlineStr">
        <is>
          <t>Dominica_2023_May</t>
        </is>
      </c>
      <c r="C278" t="inlineStr">
        <is>
          <t>SM.23.127, Sup. 1</t>
        </is>
      </c>
      <c r="D278" t="inlineStr">
        <is>
          <t>Dominica</t>
        </is>
      </c>
      <c r="E278" t="inlineStr">
        <is>
          <t>DMA</t>
        </is>
      </c>
      <c r="F278" s="11" t="n">
        <v>45047</v>
      </c>
      <c r="G278" t="inlineStr">
        <is>
          <t>2018gn</t>
        </is>
      </c>
      <c r="H278" t="n">
        <v>2022</v>
      </c>
    </row>
    <row r="279">
      <c r="A279" t="inlineStr">
        <is>
          <t>Dominica_2023_May</t>
        </is>
      </c>
      <c r="C279" t="inlineStr">
        <is>
          <t>SM.23.127, Sup. 1</t>
        </is>
      </c>
      <c r="D279" t="inlineStr">
        <is>
          <t>Dominica</t>
        </is>
      </c>
      <c r="E279" t="inlineStr">
        <is>
          <t>DMA</t>
        </is>
      </c>
      <c r="F279" s="11" t="n">
        <v>45047</v>
      </c>
      <c r="G279" t="inlineStr">
        <is>
          <t>2018gn</t>
        </is>
      </c>
      <c r="H279" t="n">
        <v>2022</v>
      </c>
    </row>
    <row r="280">
      <c r="A280" t="inlineStr">
        <is>
          <t>Dominica_2023_May</t>
        </is>
      </c>
      <c r="C280" t="inlineStr">
        <is>
          <t>SM.23.127, Sup. 1</t>
        </is>
      </c>
      <c r="D280" t="inlineStr">
        <is>
          <t>Dominica</t>
        </is>
      </c>
      <c r="E280" t="inlineStr">
        <is>
          <t>DMA</t>
        </is>
      </c>
      <c r="F280" s="11" t="n">
        <v>45047</v>
      </c>
      <c r="G280" t="inlineStr">
        <is>
          <t>2018gn</t>
        </is>
      </c>
      <c r="H280" t="n">
        <v>2022</v>
      </c>
    </row>
    <row r="281">
      <c r="A281" t="inlineStr">
        <is>
          <t>Dominica_2023_May</t>
        </is>
      </c>
      <c r="C281" t="inlineStr">
        <is>
          <t>SM.23.127, Sup. 1</t>
        </is>
      </c>
      <c r="D281" t="inlineStr">
        <is>
          <t>Dominica</t>
        </is>
      </c>
      <c r="E281" t="inlineStr">
        <is>
          <t>DMA</t>
        </is>
      </c>
      <c r="F281" s="11" t="n">
        <v>45047</v>
      </c>
      <c r="G281" t="inlineStr">
        <is>
          <t>2018gn</t>
        </is>
      </c>
      <c r="H281" t="n">
        <v>2022</v>
      </c>
    </row>
    <row r="282">
      <c r="A282" t="inlineStr">
        <is>
          <t>Dominica_2023_May</t>
        </is>
      </c>
      <c r="C282" t="inlineStr">
        <is>
          <t>SM.23.127, Sup. 1</t>
        </is>
      </c>
      <c r="D282" t="inlineStr">
        <is>
          <t>Dominica</t>
        </is>
      </c>
      <c r="E282" t="inlineStr">
        <is>
          <t>DMA</t>
        </is>
      </c>
      <c r="F282" s="11" t="n">
        <v>45047</v>
      </c>
      <c r="G282" t="inlineStr">
        <is>
          <t>2018gn</t>
        </is>
      </c>
      <c r="H282" t="n">
        <v>2022</v>
      </c>
    </row>
    <row r="283">
      <c r="A283" t="inlineStr">
        <is>
          <t>Dominica_2023_May</t>
        </is>
      </c>
      <c r="C283" t="inlineStr">
        <is>
          <t>SM.23.127, Sup. 1</t>
        </is>
      </c>
      <c r="D283" t="inlineStr">
        <is>
          <t>Dominica</t>
        </is>
      </c>
      <c r="E283" t="inlineStr">
        <is>
          <t>DMA</t>
        </is>
      </c>
      <c r="F283" s="11" t="n">
        <v>45047</v>
      </c>
      <c r="G283" t="inlineStr">
        <is>
          <t>2018gn</t>
        </is>
      </c>
      <c r="H283" t="n">
        <v>2022</v>
      </c>
    </row>
    <row r="284">
      <c r="A284" t="inlineStr">
        <is>
          <t>Dominica_2023_May</t>
        </is>
      </c>
      <c r="C284" t="inlineStr">
        <is>
          <t>SM.23.127, Sup. 1</t>
        </is>
      </c>
      <c r="D284" t="inlineStr">
        <is>
          <t>Dominica</t>
        </is>
      </c>
      <c r="E284" t="inlineStr">
        <is>
          <t>DMA</t>
        </is>
      </c>
      <c r="F284" s="11" t="n">
        <v>45047</v>
      </c>
      <c r="G284" t="inlineStr">
        <is>
          <t>2018gn</t>
        </is>
      </c>
      <c r="H284" t="n">
        <v>2022</v>
      </c>
    </row>
    <row r="285">
      <c r="A285" t="inlineStr">
        <is>
          <t>Dominica_2023_May</t>
        </is>
      </c>
      <c r="C285" t="inlineStr">
        <is>
          <t>SM.23.127, Sup. 1</t>
        </is>
      </c>
      <c r="D285" t="inlineStr">
        <is>
          <t>Dominica</t>
        </is>
      </c>
      <c r="E285" t="inlineStr">
        <is>
          <t>DMA</t>
        </is>
      </c>
      <c r="F285" s="11" t="n">
        <v>45047</v>
      </c>
      <c r="G285" t="inlineStr">
        <is>
          <t>2018gn</t>
        </is>
      </c>
      <c r="H285" t="n">
        <v>2022</v>
      </c>
    </row>
    <row r="286">
      <c r="A286" t="inlineStr">
        <is>
          <t>Dominica_2023_May</t>
        </is>
      </c>
      <c r="C286" t="inlineStr">
        <is>
          <t>SM.23.127, Sup. 1</t>
        </is>
      </c>
      <c r="D286" t="inlineStr">
        <is>
          <t>Dominica</t>
        </is>
      </c>
      <c r="E286" t="inlineStr">
        <is>
          <t>DMA</t>
        </is>
      </c>
      <c r="F286" s="11" t="n">
        <v>45047</v>
      </c>
      <c r="G286" t="inlineStr">
        <is>
          <t>2018gn</t>
        </is>
      </c>
      <c r="H286" t="n">
        <v>2022</v>
      </c>
    </row>
    <row r="287">
      <c r="A287" t="inlineStr">
        <is>
          <t>Dominica_2023_May</t>
        </is>
      </c>
      <c r="C287" t="inlineStr">
        <is>
          <t>SM.23.127, Sup. 1</t>
        </is>
      </c>
      <c r="D287" t="inlineStr">
        <is>
          <t>Dominica</t>
        </is>
      </c>
      <c r="E287" t="inlineStr">
        <is>
          <t>DMA</t>
        </is>
      </c>
      <c r="F287" s="11" t="n">
        <v>45047</v>
      </c>
      <c r="G287" t="inlineStr">
        <is>
          <t>2018gn</t>
        </is>
      </c>
      <c r="H287" t="n">
        <v>2022</v>
      </c>
    </row>
    <row r="288">
      <c r="A288" t="inlineStr">
        <is>
          <t>Dominica_2023_May</t>
        </is>
      </c>
      <c r="C288" t="inlineStr">
        <is>
          <t>SM.23.127, Sup. 1</t>
        </is>
      </c>
      <c r="D288" t="inlineStr">
        <is>
          <t>Dominica</t>
        </is>
      </c>
      <c r="E288" t="inlineStr">
        <is>
          <t>DMA</t>
        </is>
      </c>
      <c r="F288" s="11" t="n">
        <v>45047</v>
      </c>
      <c r="G288" t="inlineStr">
        <is>
          <t>2018gn</t>
        </is>
      </c>
      <c r="H288" t="n">
        <v>2022</v>
      </c>
    </row>
    <row r="289">
      <c r="A289" t="inlineStr">
        <is>
          <t>Dominica_2023_May</t>
        </is>
      </c>
      <c r="C289" t="inlineStr">
        <is>
          <t>SM.23.127, Sup. 1</t>
        </is>
      </c>
      <c r="D289" t="inlineStr">
        <is>
          <t>Dominica</t>
        </is>
      </c>
      <c r="E289" t="inlineStr">
        <is>
          <t>DMA</t>
        </is>
      </c>
      <c r="F289" s="11" t="n">
        <v>45047</v>
      </c>
      <c r="G289" t="inlineStr">
        <is>
          <t>2018gn</t>
        </is>
      </c>
      <c r="H289" t="n">
        <v>2022</v>
      </c>
    </row>
    <row r="290">
      <c r="A290" t="inlineStr">
        <is>
          <t>Dominica_2023_May</t>
        </is>
      </c>
      <c r="C290" t="inlineStr">
        <is>
          <t>SM.23.127, Sup. 1</t>
        </is>
      </c>
      <c r="D290" t="inlineStr">
        <is>
          <t>Dominica</t>
        </is>
      </c>
      <c r="E290" t="inlineStr">
        <is>
          <t>DMA</t>
        </is>
      </c>
      <c r="F290" s="11" t="n">
        <v>45047</v>
      </c>
      <c r="G290" t="inlineStr">
        <is>
          <t>2018gn</t>
        </is>
      </c>
      <c r="H290" t="n">
        <v>2022</v>
      </c>
    </row>
    <row r="291">
      <c r="A291" t="inlineStr">
        <is>
          <t>Dominica_2023_May</t>
        </is>
      </c>
      <c r="C291" t="inlineStr">
        <is>
          <t>SM.23.127, Sup. 1</t>
        </is>
      </c>
      <c r="D291" t="inlineStr">
        <is>
          <t>Dominica</t>
        </is>
      </c>
      <c r="E291" t="inlineStr">
        <is>
          <t>DMA</t>
        </is>
      </c>
      <c r="F291" s="11" t="n">
        <v>45047</v>
      </c>
      <c r="G291" t="inlineStr">
        <is>
          <t>2018gn</t>
        </is>
      </c>
      <c r="H291" t="n">
        <v>2022</v>
      </c>
    </row>
    <row r="292">
      <c r="A292" t="inlineStr">
        <is>
          <t>Dominica_2023_May</t>
        </is>
      </c>
      <c r="C292" t="inlineStr">
        <is>
          <t>SM.23.127, Sup. 1</t>
        </is>
      </c>
      <c r="D292" t="inlineStr">
        <is>
          <t>Dominica</t>
        </is>
      </c>
      <c r="E292" t="inlineStr">
        <is>
          <t>DMA</t>
        </is>
      </c>
      <c r="F292" s="11" t="n">
        <v>45047</v>
      </c>
      <c r="G292" t="inlineStr">
        <is>
          <t>2018gn</t>
        </is>
      </c>
      <c r="H292" t="n">
        <v>2022</v>
      </c>
    </row>
    <row r="293">
      <c r="A293" t="inlineStr">
        <is>
          <t>Dominica_2023_May</t>
        </is>
      </c>
      <c r="C293" t="inlineStr">
        <is>
          <t>SM.23.127, Sup. 1</t>
        </is>
      </c>
      <c r="D293" t="inlineStr">
        <is>
          <t>Dominica</t>
        </is>
      </c>
      <c r="E293" t="inlineStr">
        <is>
          <t>DMA</t>
        </is>
      </c>
      <c r="F293" s="11" t="n">
        <v>45047</v>
      </c>
      <c r="G293" t="inlineStr">
        <is>
          <t>2018gn</t>
        </is>
      </c>
      <c r="H293" t="n">
        <v>2022</v>
      </c>
    </row>
    <row r="294">
      <c r="A294" t="inlineStr">
        <is>
          <t>Dominica_2023_May</t>
        </is>
      </c>
      <c r="C294" t="inlineStr">
        <is>
          <t>SM.23.127, Sup. 1</t>
        </is>
      </c>
      <c r="D294" t="inlineStr">
        <is>
          <t>Dominica</t>
        </is>
      </c>
      <c r="E294" t="inlineStr">
        <is>
          <t>DMA</t>
        </is>
      </c>
      <c r="F294" s="11" t="n">
        <v>45047</v>
      </c>
      <c r="G294" t="inlineStr">
        <is>
          <t>2018gn</t>
        </is>
      </c>
      <c r="H294" t="n">
        <v>2022</v>
      </c>
    </row>
    <row r="295">
      <c r="A295" t="inlineStr">
        <is>
          <t>Dominica_2023_May</t>
        </is>
      </c>
      <c r="C295" t="inlineStr">
        <is>
          <t>SM.23.127, Sup. 1</t>
        </is>
      </c>
      <c r="D295" t="inlineStr">
        <is>
          <t>Dominica</t>
        </is>
      </c>
      <c r="E295" t="inlineStr">
        <is>
          <t>DMA</t>
        </is>
      </c>
      <c r="F295" s="11" t="n">
        <v>45047</v>
      </c>
      <c r="G295" t="inlineStr">
        <is>
          <t>2018gn</t>
        </is>
      </c>
      <c r="H295" t="n">
        <v>2022</v>
      </c>
    </row>
    <row r="296">
      <c r="A296" t="inlineStr">
        <is>
          <t>Dominica_2023_May</t>
        </is>
      </c>
      <c r="C296" t="inlineStr">
        <is>
          <t>SM.23.127, Sup. 1</t>
        </is>
      </c>
      <c r="D296" t="inlineStr">
        <is>
          <t>Dominica</t>
        </is>
      </c>
      <c r="E296" t="inlineStr">
        <is>
          <t>DMA</t>
        </is>
      </c>
      <c r="F296" s="11" t="n">
        <v>45047</v>
      </c>
      <c r="G296" t="inlineStr">
        <is>
          <t>2018gn</t>
        </is>
      </c>
      <c r="H296" t="n">
        <v>2022</v>
      </c>
    </row>
    <row r="297">
      <c r="A297" t="inlineStr">
        <is>
          <t>Dominica_2023_May</t>
        </is>
      </c>
      <c r="C297" t="inlineStr">
        <is>
          <t>SM.23.127, Sup. 1</t>
        </is>
      </c>
      <c r="D297" t="inlineStr">
        <is>
          <t>Dominica</t>
        </is>
      </c>
      <c r="E297" t="inlineStr">
        <is>
          <t>DMA</t>
        </is>
      </c>
      <c r="F297" s="11" t="n">
        <v>45047</v>
      </c>
      <c r="G297" t="inlineStr">
        <is>
          <t>2018gn</t>
        </is>
      </c>
      <c r="H297" t="n">
        <v>2022</v>
      </c>
    </row>
    <row r="298">
      <c r="A298" t="inlineStr">
        <is>
          <t>Dominica_2023_May</t>
        </is>
      </c>
      <c r="C298" t="inlineStr">
        <is>
          <t>SM.23.127, Sup. 1</t>
        </is>
      </c>
      <c r="D298" t="inlineStr">
        <is>
          <t>Dominica</t>
        </is>
      </c>
      <c r="E298" t="inlineStr">
        <is>
          <t>DMA</t>
        </is>
      </c>
      <c r="F298" s="11" t="n">
        <v>45047</v>
      </c>
      <c r="G298" t="inlineStr">
        <is>
          <t>2018gn</t>
        </is>
      </c>
      <c r="H298" t="n">
        <v>2022</v>
      </c>
    </row>
    <row r="299">
      <c r="A299" t="inlineStr">
        <is>
          <t>Dominica_2023_May</t>
        </is>
      </c>
      <c r="C299" t="inlineStr">
        <is>
          <t>SM.23.127, Sup. 1</t>
        </is>
      </c>
      <c r="D299" t="inlineStr">
        <is>
          <t>Dominica</t>
        </is>
      </c>
      <c r="E299" t="inlineStr">
        <is>
          <t>DMA</t>
        </is>
      </c>
      <c r="F299" s="11" t="n">
        <v>45047</v>
      </c>
      <c r="G299" t="inlineStr">
        <is>
          <t>2018gn</t>
        </is>
      </c>
      <c r="H299" t="n">
        <v>2022</v>
      </c>
    </row>
    <row r="300">
      <c r="A300" t="inlineStr">
        <is>
          <t>Dominica_2023_May</t>
        </is>
      </c>
      <c r="C300" t="inlineStr">
        <is>
          <t>SM.23.127, Sup. 1</t>
        </is>
      </c>
      <c r="D300" t="inlineStr">
        <is>
          <t>Dominica</t>
        </is>
      </c>
      <c r="E300" t="inlineStr">
        <is>
          <t>DMA</t>
        </is>
      </c>
      <c r="F300" s="11" t="n">
        <v>45047</v>
      </c>
      <c r="G300" t="inlineStr">
        <is>
          <t>2018gn</t>
        </is>
      </c>
      <c r="H300" t="n">
        <v>2022</v>
      </c>
    </row>
    <row r="301">
      <c r="A301" t="inlineStr">
        <is>
          <t>Dominica_2023_May</t>
        </is>
      </c>
      <c r="C301" t="inlineStr">
        <is>
          <t>SM.23.127, Sup. 1</t>
        </is>
      </c>
      <c r="D301" t="inlineStr">
        <is>
          <t>Dominica</t>
        </is>
      </c>
      <c r="E301" t="inlineStr">
        <is>
          <t>DMA</t>
        </is>
      </c>
      <c r="F301" s="11" t="n">
        <v>45047</v>
      </c>
      <c r="G301" t="inlineStr">
        <is>
          <t>2018gn</t>
        </is>
      </c>
      <c r="H301" t="n">
        <v>2022</v>
      </c>
    </row>
    <row r="302">
      <c r="A302" t="inlineStr">
        <is>
          <t>Dominica_2023_May</t>
        </is>
      </c>
      <c r="C302" t="inlineStr">
        <is>
          <t>SM.23.127, Sup. 1</t>
        </is>
      </c>
      <c r="D302" t="inlineStr">
        <is>
          <t>Dominica</t>
        </is>
      </c>
      <c r="E302" t="inlineStr">
        <is>
          <t>DMA</t>
        </is>
      </c>
      <c r="F302" s="11" t="n">
        <v>45047</v>
      </c>
      <c r="G302" t="inlineStr">
        <is>
          <t>2018gn</t>
        </is>
      </c>
      <c r="H302" t="n">
        <v>2022</v>
      </c>
    </row>
    <row r="303">
      <c r="A303" t="inlineStr">
        <is>
          <t>Dominica_2023_May</t>
        </is>
      </c>
      <c r="C303" t="inlineStr">
        <is>
          <t>SM.23.127, Sup. 1</t>
        </is>
      </c>
      <c r="D303" t="inlineStr">
        <is>
          <t>Dominica</t>
        </is>
      </c>
      <c r="E303" t="inlineStr">
        <is>
          <t>DMA</t>
        </is>
      </c>
      <c r="F303" s="11" t="n">
        <v>45047</v>
      </c>
      <c r="G303" t="inlineStr">
        <is>
          <t>2018gn</t>
        </is>
      </c>
      <c r="H303" t="n">
        <v>2022</v>
      </c>
    </row>
    <row r="304">
      <c r="A304" t="inlineStr">
        <is>
          <t>Dominica_2023_May</t>
        </is>
      </c>
      <c r="C304" t="inlineStr">
        <is>
          <t>SM.23.127, Sup. 1</t>
        </is>
      </c>
      <c r="D304" t="inlineStr">
        <is>
          <t>Dominica</t>
        </is>
      </c>
      <c r="E304" t="inlineStr">
        <is>
          <t>DMA</t>
        </is>
      </c>
      <c r="F304" s="11" t="n">
        <v>45047</v>
      </c>
      <c r="G304" t="inlineStr">
        <is>
          <t>2018gn</t>
        </is>
      </c>
      <c r="H304" t="n">
        <v>2022</v>
      </c>
    </row>
    <row r="305">
      <c r="A305" t="inlineStr">
        <is>
          <t>Dominica_2023_May</t>
        </is>
      </c>
      <c r="C305" t="inlineStr">
        <is>
          <t>SM.23.127, Sup. 1</t>
        </is>
      </c>
      <c r="D305" t="inlineStr">
        <is>
          <t>Dominica</t>
        </is>
      </c>
      <c r="E305" t="inlineStr">
        <is>
          <t>DMA</t>
        </is>
      </c>
      <c r="F305" s="11" t="n">
        <v>45047</v>
      </c>
      <c r="G305" t="inlineStr">
        <is>
          <t>2018gn</t>
        </is>
      </c>
      <c r="H305" t="n">
        <v>2022</v>
      </c>
    </row>
    <row r="306">
      <c r="A306" t="inlineStr">
        <is>
          <t>Dominica_2023_May</t>
        </is>
      </c>
      <c r="C306" t="inlineStr">
        <is>
          <t>SM.23.127, Sup. 1</t>
        </is>
      </c>
      <c r="D306" t="inlineStr">
        <is>
          <t>Dominica</t>
        </is>
      </c>
      <c r="E306" t="inlineStr">
        <is>
          <t>DMA</t>
        </is>
      </c>
      <c r="F306" s="11" t="n">
        <v>45047</v>
      </c>
      <c r="G306" t="inlineStr">
        <is>
          <t>2018gn</t>
        </is>
      </c>
      <c r="H306" t="n">
        <v>2022</v>
      </c>
    </row>
    <row r="307">
      <c r="A307" t="inlineStr">
        <is>
          <t>Dominica_2023_May</t>
        </is>
      </c>
      <c r="C307" t="inlineStr">
        <is>
          <t>SM.23.127, Sup. 1</t>
        </is>
      </c>
      <c r="D307" t="inlineStr">
        <is>
          <t>Dominica</t>
        </is>
      </c>
      <c r="E307" t="inlineStr">
        <is>
          <t>DMA</t>
        </is>
      </c>
      <c r="F307" s="11" t="n">
        <v>45047</v>
      </c>
      <c r="G307" t="inlineStr">
        <is>
          <t>2018gn</t>
        </is>
      </c>
      <c r="H307" t="n">
        <v>2022</v>
      </c>
    </row>
    <row r="308">
      <c r="A308" t="inlineStr">
        <is>
          <t>Dominica_2023_May</t>
        </is>
      </c>
      <c r="C308" t="inlineStr">
        <is>
          <t>SM.23.127, Sup. 1</t>
        </is>
      </c>
      <c r="D308" t="inlineStr">
        <is>
          <t>Dominica</t>
        </is>
      </c>
      <c r="E308" t="inlineStr">
        <is>
          <t>DMA</t>
        </is>
      </c>
      <c r="F308" s="11" t="n">
        <v>45047</v>
      </c>
      <c r="G308" t="inlineStr">
        <is>
          <t>2018gn</t>
        </is>
      </c>
      <c r="H308" t="n">
        <v>2022</v>
      </c>
    </row>
    <row r="309">
      <c r="A309" t="inlineStr">
        <is>
          <t>Dominica_2023_May</t>
        </is>
      </c>
      <c r="C309" t="inlineStr">
        <is>
          <t>SM.23.127, Sup. 1</t>
        </is>
      </c>
      <c r="D309" t="inlineStr">
        <is>
          <t>Dominica</t>
        </is>
      </c>
      <c r="E309" t="inlineStr">
        <is>
          <t>DMA</t>
        </is>
      </c>
      <c r="F309" s="11" t="n">
        <v>45047</v>
      </c>
      <c r="G309" t="inlineStr">
        <is>
          <t>2018gn</t>
        </is>
      </c>
      <c r="H309" t="n">
        <v>2022</v>
      </c>
    </row>
    <row r="310">
      <c r="A310" t="inlineStr">
        <is>
          <t>Dominica_2023_May</t>
        </is>
      </c>
      <c r="C310" t="inlineStr">
        <is>
          <t>SM.23.127, Sup. 1</t>
        </is>
      </c>
      <c r="D310" t="inlineStr">
        <is>
          <t>Dominica</t>
        </is>
      </c>
      <c r="E310" t="inlineStr">
        <is>
          <t>DMA</t>
        </is>
      </c>
      <c r="F310" s="11" t="n">
        <v>45047</v>
      </c>
      <c r="G310" t="inlineStr">
        <is>
          <t>2018gn</t>
        </is>
      </c>
      <c r="H310" t="n">
        <v>2022</v>
      </c>
    </row>
    <row r="311">
      <c r="A311" t="inlineStr">
        <is>
          <t>Dominica_2023_May</t>
        </is>
      </c>
      <c r="C311" t="inlineStr">
        <is>
          <t>SM.23.127, Sup. 1</t>
        </is>
      </c>
      <c r="D311" t="inlineStr">
        <is>
          <t>Dominica</t>
        </is>
      </c>
      <c r="E311" t="inlineStr">
        <is>
          <t>DMA</t>
        </is>
      </c>
      <c r="F311" s="11" t="n">
        <v>45047</v>
      </c>
      <c r="G311" t="inlineStr">
        <is>
          <t>2018gn</t>
        </is>
      </c>
      <c r="H311" t="n">
        <v>2022</v>
      </c>
    </row>
    <row r="312">
      <c r="A312" t="inlineStr">
        <is>
          <t>Dominica_2023_May</t>
        </is>
      </c>
      <c r="C312" t="inlineStr">
        <is>
          <t>SM.23.127, Sup. 1</t>
        </is>
      </c>
      <c r="D312" t="inlineStr">
        <is>
          <t>Dominica</t>
        </is>
      </c>
      <c r="E312" t="inlineStr">
        <is>
          <t>DMA</t>
        </is>
      </c>
      <c r="F312" s="11" t="n">
        <v>45047</v>
      </c>
      <c r="G312" t="inlineStr">
        <is>
          <t>2018gn</t>
        </is>
      </c>
      <c r="H312" t="n">
        <v>2022</v>
      </c>
    </row>
    <row r="313">
      <c r="A313" t="inlineStr">
        <is>
          <t>Dominica_2023_May</t>
        </is>
      </c>
      <c r="C313" t="inlineStr">
        <is>
          <t>SM.23.127, Sup. 1</t>
        </is>
      </c>
      <c r="D313" t="inlineStr">
        <is>
          <t>Dominica</t>
        </is>
      </c>
      <c r="E313" t="inlineStr">
        <is>
          <t>DMA</t>
        </is>
      </c>
      <c r="F313" s="11" t="n">
        <v>45047</v>
      </c>
      <c r="G313" t="inlineStr">
        <is>
          <t>2018gn</t>
        </is>
      </c>
      <c r="H313" t="n">
        <v>2022</v>
      </c>
    </row>
    <row r="314">
      <c r="A314" t="inlineStr">
        <is>
          <t>Dominica_2023_May</t>
        </is>
      </c>
      <c r="C314" t="inlineStr">
        <is>
          <t>SM.23.127, Sup. 1</t>
        </is>
      </c>
      <c r="D314" t="inlineStr">
        <is>
          <t>Dominica</t>
        </is>
      </c>
      <c r="E314" t="inlineStr">
        <is>
          <t>DMA</t>
        </is>
      </c>
      <c r="F314" s="11" t="n">
        <v>45047</v>
      </c>
      <c r="G314" t="inlineStr">
        <is>
          <t>2018gn</t>
        </is>
      </c>
      <c r="H314" t="n">
        <v>2022</v>
      </c>
    </row>
    <row r="315">
      <c r="A315" t="inlineStr">
        <is>
          <t>Dominica_2023_May</t>
        </is>
      </c>
      <c r="C315" t="inlineStr">
        <is>
          <t>SM.23.127, Sup. 1</t>
        </is>
      </c>
      <c r="D315" t="inlineStr">
        <is>
          <t>Dominica</t>
        </is>
      </c>
      <c r="E315" t="inlineStr">
        <is>
          <t>DMA</t>
        </is>
      </c>
      <c r="F315" s="11" t="n">
        <v>45047</v>
      </c>
      <c r="G315" t="inlineStr">
        <is>
          <t>2018gn</t>
        </is>
      </c>
      <c r="H315" t="n">
        <v>2022</v>
      </c>
    </row>
    <row r="316">
      <c r="A316" t="inlineStr">
        <is>
          <t>Dominica_2023_May</t>
        </is>
      </c>
      <c r="C316" t="inlineStr">
        <is>
          <t>SM.23.127, Sup. 1</t>
        </is>
      </c>
      <c r="D316" t="inlineStr">
        <is>
          <t>Dominica</t>
        </is>
      </c>
      <c r="E316" t="inlineStr">
        <is>
          <t>DMA</t>
        </is>
      </c>
      <c r="F316" s="11" t="n">
        <v>45047</v>
      </c>
      <c r="G316" t="inlineStr">
        <is>
          <t>2018gn</t>
        </is>
      </c>
      <c r="H316" t="n">
        <v>2022</v>
      </c>
    </row>
    <row r="317">
      <c r="A317" t="inlineStr">
        <is>
          <t>Dominica_2023_May</t>
        </is>
      </c>
      <c r="C317" t="inlineStr">
        <is>
          <t>SM.23.127, Sup. 1</t>
        </is>
      </c>
      <c r="D317" t="inlineStr">
        <is>
          <t>Dominica</t>
        </is>
      </c>
      <c r="E317" t="inlineStr">
        <is>
          <t>DMA</t>
        </is>
      </c>
      <c r="F317" s="11" t="n">
        <v>45047</v>
      </c>
      <c r="G317" t="inlineStr">
        <is>
          <t>2018gn</t>
        </is>
      </c>
      <c r="H317" t="n">
        <v>2022</v>
      </c>
    </row>
    <row r="318">
      <c r="A318" t="inlineStr">
        <is>
          <t>Dominica_2023_May</t>
        </is>
      </c>
      <c r="C318" t="inlineStr">
        <is>
          <t>SM.23.127, Sup. 1</t>
        </is>
      </c>
      <c r="D318" t="inlineStr">
        <is>
          <t>Dominica</t>
        </is>
      </c>
      <c r="E318" t="inlineStr">
        <is>
          <t>DMA</t>
        </is>
      </c>
      <c r="F318" s="11" t="n">
        <v>45047</v>
      </c>
      <c r="G318" t="inlineStr">
        <is>
          <t>2018gn</t>
        </is>
      </c>
      <c r="H318" t="n">
        <v>2022</v>
      </c>
    </row>
    <row r="319">
      <c r="A319" t="inlineStr">
        <is>
          <t>Dominica_2023_May</t>
        </is>
      </c>
      <c r="C319" t="inlineStr">
        <is>
          <t>SM.23.127, Sup. 1</t>
        </is>
      </c>
      <c r="D319" t="inlineStr">
        <is>
          <t>Dominica</t>
        </is>
      </c>
      <c r="E319" t="inlineStr">
        <is>
          <t>DMA</t>
        </is>
      </c>
      <c r="F319" s="11" t="n">
        <v>45047</v>
      </c>
      <c r="G319" t="inlineStr">
        <is>
          <t>2018gn</t>
        </is>
      </c>
      <c r="H319" t="n">
        <v>2022</v>
      </c>
    </row>
    <row r="320">
      <c r="A320" t="inlineStr">
        <is>
          <t>Dominica_2023_May</t>
        </is>
      </c>
      <c r="C320" t="inlineStr">
        <is>
          <t>SM.23.127, Sup. 1</t>
        </is>
      </c>
      <c r="D320" t="inlineStr">
        <is>
          <t>Dominica</t>
        </is>
      </c>
      <c r="E320" t="inlineStr">
        <is>
          <t>DMA</t>
        </is>
      </c>
      <c r="F320" s="11" t="n">
        <v>45047</v>
      </c>
      <c r="G320" t="inlineStr">
        <is>
          <t>2018gn</t>
        </is>
      </c>
      <c r="H320" t="n">
        <v>2022</v>
      </c>
    </row>
    <row r="321">
      <c r="A321" t="inlineStr">
        <is>
          <t>Dominica_2023_May</t>
        </is>
      </c>
      <c r="C321" t="inlineStr">
        <is>
          <t>SM.23.127, Sup. 1</t>
        </is>
      </c>
      <c r="D321" t="inlineStr">
        <is>
          <t>Dominica</t>
        </is>
      </c>
      <c r="E321" t="inlineStr">
        <is>
          <t>DMA</t>
        </is>
      </c>
      <c r="F321" s="11" t="n">
        <v>45047</v>
      </c>
      <c r="G321" t="inlineStr">
        <is>
          <t>2018gn</t>
        </is>
      </c>
      <c r="H321" t="n">
        <v>2022</v>
      </c>
    </row>
    <row r="322">
      <c r="A322" t="inlineStr">
        <is>
          <t>Dominica_2023_May</t>
        </is>
      </c>
      <c r="C322" t="inlineStr">
        <is>
          <t>SM.23.127, Sup. 1</t>
        </is>
      </c>
      <c r="D322" t="inlineStr">
        <is>
          <t>Dominica</t>
        </is>
      </c>
      <c r="E322" t="inlineStr">
        <is>
          <t>DMA</t>
        </is>
      </c>
      <c r="F322" s="11" t="n">
        <v>45047</v>
      </c>
      <c r="G322" t="inlineStr">
        <is>
          <t>2018gn</t>
        </is>
      </c>
      <c r="H322" t="n">
        <v>2022</v>
      </c>
    </row>
    <row r="323">
      <c r="A323" t="inlineStr">
        <is>
          <t>Dominica_2023_May</t>
        </is>
      </c>
      <c r="C323" t="inlineStr">
        <is>
          <t>SM.23.127, Sup. 1</t>
        </is>
      </c>
      <c r="D323" t="inlineStr">
        <is>
          <t>Dominica</t>
        </is>
      </c>
      <c r="E323" t="inlineStr">
        <is>
          <t>DMA</t>
        </is>
      </c>
      <c r="F323" s="11" t="n">
        <v>45047</v>
      </c>
      <c r="G323" t="inlineStr">
        <is>
          <t>2018gn</t>
        </is>
      </c>
      <c r="H323" t="n">
        <v>2022</v>
      </c>
    </row>
    <row r="324">
      <c r="A324" t="inlineStr">
        <is>
          <t>Dominica_2023_May</t>
        </is>
      </c>
      <c r="C324" t="inlineStr">
        <is>
          <t>SM.23.127, Sup. 1</t>
        </is>
      </c>
      <c r="D324" t="inlineStr">
        <is>
          <t>Dominica</t>
        </is>
      </c>
      <c r="E324" t="inlineStr">
        <is>
          <t>DMA</t>
        </is>
      </c>
      <c r="F324" s="11" t="n">
        <v>45047</v>
      </c>
      <c r="G324" t="inlineStr">
        <is>
          <t>2018gn</t>
        </is>
      </c>
      <c r="H324" t="n">
        <v>2022</v>
      </c>
    </row>
    <row r="325">
      <c r="A325" t="inlineStr">
        <is>
          <t>Dominica_2023_May</t>
        </is>
      </c>
      <c r="C325" t="inlineStr">
        <is>
          <t>SM.23.127, Sup. 1</t>
        </is>
      </c>
      <c r="D325" t="inlineStr">
        <is>
          <t>Dominica</t>
        </is>
      </c>
      <c r="E325" t="inlineStr">
        <is>
          <t>DMA</t>
        </is>
      </c>
      <c r="F325" s="11" t="n">
        <v>45047</v>
      </c>
      <c r="G325" t="inlineStr">
        <is>
          <t>2018gn</t>
        </is>
      </c>
      <c r="H325" t="n">
        <v>2022</v>
      </c>
    </row>
    <row r="326">
      <c r="A326" t="inlineStr">
        <is>
          <t>Dominica_2023_May</t>
        </is>
      </c>
      <c r="C326" t="inlineStr">
        <is>
          <t>SM.23.127, Sup. 1</t>
        </is>
      </c>
      <c r="D326" t="inlineStr">
        <is>
          <t>Dominica</t>
        </is>
      </c>
      <c r="E326" t="inlineStr">
        <is>
          <t>DMA</t>
        </is>
      </c>
      <c r="F326" s="11" t="n">
        <v>45047</v>
      </c>
      <c r="G326" t="inlineStr">
        <is>
          <t>2018gn</t>
        </is>
      </c>
      <c r="H326" t="n">
        <v>2022</v>
      </c>
    </row>
    <row r="327">
      <c r="A327" t="inlineStr">
        <is>
          <t>Dominica_2023_May</t>
        </is>
      </c>
      <c r="C327" t="inlineStr">
        <is>
          <t>SM.23.127, Sup. 1</t>
        </is>
      </c>
      <c r="D327" t="inlineStr">
        <is>
          <t>Dominica</t>
        </is>
      </c>
      <c r="E327" t="inlineStr">
        <is>
          <t>DMA</t>
        </is>
      </c>
      <c r="F327" s="11" t="n">
        <v>45047</v>
      </c>
      <c r="G327" t="inlineStr">
        <is>
          <t>2018gn</t>
        </is>
      </c>
      <c r="H327" t="n">
        <v>2022</v>
      </c>
    </row>
    <row r="328">
      <c r="A328" t="inlineStr">
        <is>
          <t>Dominica_2023_May</t>
        </is>
      </c>
      <c r="C328" t="inlineStr">
        <is>
          <t>SM.23.127, Sup. 1</t>
        </is>
      </c>
      <c r="D328" t="inlineStr">
        <is>
          <t>Dominica</t>
        </is>
      </c>
      <c r="E328" t="inlineStr">
        <is>
          <t>DMA</t>
        </is>
      </c>
      <c r="F328" s="11" t="n">
        <v>45047</v>
      </c>
      <c r="G328" t="inlineStr">
        <is>
          <t>2018gn</t>
        </is>
      </c>
      <c r="H328" t="n">
        <v>2022</v>
      </c>
    </row>
    <row r="329">
      <c r="A329" t="inlineStr">
        <is>
          <t>Dominica_2023_May</t>
        </is>
      </c>
      <c r="C329" t="inlineStr">
        <is>
          <t>SM.23.127, Sup. 1</t>
        </is>
      </c>
      <c r="D329" t="inlineStr">
        <is>
          <t>Dominica</t>
        </is>
      </c>
      <c r="E329" t="inlineStr">
        <is>
          <t>DMA</t>
        </is>
      </c>
      <c r="F329" s="11" t="n">
        <v>45047</v>
      </c>
      <c r="G329" t="inlineStr">
        <is>
          <t>2018gn</t>
        </is>
      </c>
      <c r="H329" t="n">
        <v>2022</v>
      </c>
    </row>
    <row r="330">
      <c r="A330" t="inlineStr">
        <is>
          <t>Dominica_2023_May</t>
        </is>
      </c>
      <c r="C330" t="inlineStr">
        <is>
          <t>SM.23.127, Sup. 1</t>
        </is>
      </c>
      <c r="D330" t="inlineStr">
        <is>
          <t>Dominica</t>
        </is>
      </c>
      <c r="E330" t="inlineStr">
        <is>
          <t>DMA</t>
        </is>
      </c>
      <c r="F330" s="11" t="n">
        <v>45047</v>
      </c>
      <c r="G330" t="inlineStr">
        <is>
          <t>2018gn</t>
        </is>
      </c>
      <c r="H330" t="n">
        <v>2022</v>
      </c>
    </row>
    <row r="331">
      <c r="A331" t="inlineStr">
        <is>
          <t>Dominica_2023_May</t>
        </is>
      </c>
      <c r="C331" t="inlineStr">
        <is>
          <t>SM.23.127, Sup. 1</t>
        </is>
      </c>
      <c r="D331" t="inlineStr">
        <is>
          <t>Dominica</t>
        </is>
      </c>
      <c r="E331" t="inlineStr">
        <is>
          <t>DMA</t>
        </is>
      </c>
      <c r="F331" s="11" t="n">
        <v>45047</v>
      </c>
      <c r="G331" t="inlineStr">
        <is>
          <t>2018gn</t>
        </is>
      </c>
      <c r="H331" t="n">
        <v>2022</v>
      </c>
    </row>
    <row r="332">
      <c r="A332" t="inlineStr">
        <is>
          <t>Dominica_2023_May</t>
        </is>
      </c>
      <c r="C332" t="inlineStr">
        <is>
          <t>SM.23.127, Sup. 1</t>
        </is>
      </c>
      <c r="D332" t="inlineStr">
        <is>
          <t>Dominica</t>
        </is>
      </c>
      <c r="E332" t="inlineStr">
        <is>
          <t>DMA</t>
        </is>
      </c>
      <c r="F332" s="11" t="n">
        <v>45047</v>
      </c>
      <c r="G332" t="inlineStr">
        <is>
          <t>2018gn</t>
        </is>
      </c>
      <c r="H332" t="n">
        <v>2022</v>
      </c>
    </row>
    <row r="333">
      <c r="A333" t="inlineStr">
        <is>
          <t>Dominica_2023_May</t>
        </is>
      </c>
      <c r="C333" t="inlineStr">
        <is>
          <t>SM.23.127, Sup. 1</t>
        </is>
      </c>
      <c r="D333" t="inlineStr">
        <is>
          <t>Dominica</t>
        </is>
      </c>
      <c r="E333" t="inlineStr">
        <is>
          <t>DMA</t>
        </is>
      </c>
      <c r="F333" s="11" t="n">
        <v>45047</v>
      </c>
      <c r="G333" t="inlineStr">
        <is>
          <t>2018gn</t>
        </is>
      </c>
      <c r="H333" t="n">
        <v>2022</v>
      </c>
    </row>
    <row r="334">
      <c r="A334" t="inlineStr">
        <is>
          <t>Dominica_2023_May</t>
        </is>
      </c>
      <c r="C334" t="inlineStr">
        <is>
          <t>SM.23.127, Sup. 1</t>
        </is>
      </c>
      <c r="D334" t="inlineStr">
        <is>
          <t>Dominica</t>
        </is>
      </c>
      <c r="E334" t="inlineStr">
        <is>
          <t>DMA</t>
        </is>
      </c>
      <c r="F334" s="11" t="n">
        <v>45047</v>
      </c>
      <c r="G334" t="inlineStr">
        <is>
          <t>2018gn</t>
        </is>
      </c>
      <c r="H334" t="n">
        <v>2022</v>
      </c>
    </row>
    <row r="335">
      <c r="A335" t="inlineStr">
        <is>
          <t>Dominica_2023_May</t>
        </is>
      </c>
      <c r="C335" t="inlineStr">
        <is>
          <t>SM.23.127, Sup. 1</t>
        </is>
      </c>
      <c r="D335" t="inlineStr">
        <is>
          <t>Dominica</t>
        </is>
      </c>
      <c r="E335" t="inlineStr">
        <is>
          <t>DMA</t>
        </is>
      </c>
      <c r="F335" s="11" t="n">
        <v>45047</v>
      </c>
      <c r="G335" t="inlineStr">
        <is>
          <t>2018gn</t>
        </is>
      </c>
      <c r="H335" t="n">
        <v>2022</v>
      </c>
    </row>
    <row r="336">
      <c r="A336" t="inlineStr">
        <is>
          <t>Dominica_2023_May</t>
        </is>
      </c>
      <c r="C336" t="inlineStr">
        <is>
          <t>SM.23.127, Sup. 1</t>
        </is>
      </c>
      <c r="D336" t="inlineStr">
        <is>
          <t>Dominica</t>
        </is>
      </c>
      <c r="E336" t="inlineStr">
        <is>
          <t>DMA</t>
        </is>
      </c>
      <c r="F336" s="11" t="n">
        <v>45047</v>
      </c>
      <c r="G336" t="inlineStr">
        <is>
          <t>2018gn</t>
        </is>
      </c>
      <c r="H336" t="n">
        <v>2022</v>
      </c>
    </row>
    <row r="337">
      <c r="A337" t="inlineStr">
        <is>
          <t>Dominica_2023_May</t>
        </is>
      </c>
      <c r="C337" t="inlineStr">
        <is>
          <t>SM.23.127, Sup. 1</t>
        </is>
      </c>
      <c r="D337" t="inlineStr">
        <is>
          <t>Dominica</t>
        </is>
      </c>
      <c r="E337" t="inlineStr">
        <is>
          <t>DMA</t>
        </is>
      </c>
      <c r="F337" s="11" t="n">
        <v>45047</v>
      </c>
      <c r="G337" t="inlineStr">
        <is>
          <t>2018gn</t>
        </is>
      </c>
      <c r="H337" t="n">
        <v>2022</v>
      </c>
    </row>
    <row r="338">
      <c r="A338" t="inlineStr">
        <is>
          <t>Dominica_2023_May</t>
        </is>
      </c>
      <c r="C338" t="inlineStr">
        <is>
          <t>SM.23.127, Sup. 1</t>
        </is>
      </c>
      <c r="D338" t="inlineStr">
        <is>
          <t>Dominica</t>
        </is>
      </c>
      <c r="E338" t="inlineStr">
        <is>
          <t>DMA</t>
        </is>
      </c>
      <c r="F338" s="11" t="n">
        <v>45047</v>
      </c>
      <c r="G338" t="inlineStr">
        <is>
          <t>2018gn</t>
        </is>
      </c>
      <c r="H338" t="n">
        <v>2022</v>
      </c>
    </row>
    <row r="339">
      <c r="A339" t="inlineStr">
        <is>
          <t>Dominica_2023_May</t>
        </is>
      </c>
      <c r="C339" t="inlineStr">
        <is>
          <t>SM.23.127, Sup. 1</t>
        </is>
      </c>
      <c r="D339" t="inlineStr">
        <is>
          <t>Dominica</t>
        </is>
      </c>
      <c r="E339" t="inlineStr">
        <is>
          <t>DMA</t>
        </is>
      </c>
      <c r="F339" s="11" t="n">
        <v>45047</v>
      </c>
      <c r="G339" t="inlineStr">
        <is>
          <t>2018gn</t>
        </is>
      </c>
      <c r="H339" t="n">
        <v>2022</v>
      </c>
    </row>
    <row r="340">
      <c r="A340" t="inlineStr">
        <is>
          <t>Dominica_2023_May</t>
        </is>
      </c>
      <c r="C340" t="inlineStr">
        <is>
          <t>SM.23.127, Sup. 1</t>
        </is>
      </c>
      <c r="D340" t="inlineStr">
        <is>
          <t>Dominica</t>
        </is>
      </c>
      <c r="E340" t="inlineStr">
        <is>
          <t>DMA</t>
        </is>
      </c>
      <c r="F340" s="11" t="n">
        <v>45047</v>
      </c>
      <c r="G340" t="inlineStr">
        <is>
          <t>2018gn</t>
        </is>
      </c>
      <c r="H340" t="n">
        <v>2022</v>
      </c>
    </row>
    <row r="341">
      <c r="A341" t="inlineStr">
        <is>
          <t>Dominica_2023_May</t>
        </is>
      </c>
      <c r="C341" t="inlineStr">
        <is>
          <t>SM.23.127, Sup. 1</t>
        </is>
      </c>
      <c r="D341" t="inlineStr">
        <is>
          <t>Dominica</t>
        </is>
      </c>
      <c r="E341" t="inlineStr">
        <is>
          <t>DMA</t>
        </is>
      </c>
      <c r="F341" s="11" t="n">
        <v>45047</v>
      </c>
      <c r="G341" t="inlineStr">
        <is>
          <t>2018gn</t>
        </is>
      </c>
      <c r="H341" t="n">
        <v>2022</v>
      </c>
    </row>
    <row r="342">
      <c r="A342" t="inlineStr">
        <is>
          <t>Dominica_2023_May</t>
        </is>
      </c>
      <c r="C342" t="inlineStr">
        <is>
          <t>SM.23.127, Sup. 1</t>
        </is>
      </c>
      <c r="D342" t="inlineStr">
        <is>
          <t>Dominica</t>
        </is>
      </c>
      <c r="E342" t="inlineStr">
        <is>
          <t>DMA</t>
        </is>
      </c>
      <c r="F342" s="11" t="n">
        <v>45047</v>
      </c>
      <c r="G342" t="inlineStr">
        <is>
          <t>2018gn</t>
        </is>
      </c>
      <c r="H342" t="n">
        <v>2022</v>
      </c>
    </row>
    <row r="343">
      <c r="A343" t="inlineStr">
        <is>
          <t>Dominica_2023_May</t>
        </is>
      </c>
      <c r="C343" t="inlineStr">
        <is>
          <t>SM.23.127, Sup. 1</t>
        </is>
      </c>
      <c r="D343" t="inlineStr">
        <is>
          <t>Dominica</t>
        </is>
      </c>
      <c r="E343" t="inlineStr">
        <is>
          <t>DMA</t>
        </is>
      </c>
      <c r="F343" s="11" t="n">
        <v>45047</v>
      </c>
      <c r="G343" t="inlineStr">
        <is>
          <t>2018gn</t>
        </is>
      </c>
      <c r="H343" t="n">
        <v>2022</v>
      </c>
    </row>
    <row r="344">
      <c r="A344" t="inlineStr">
        <is>
          <t>Dominica_2023_May</t>
        </is>
      </c>
      <c r="C344" t="inlineStr">
        <is>
          <t>SM.23.127, Sup. 1</t>
        </is>
      </c>
      <c r="D344" t="inlineStr">
        <is>
          <t>Dominica</t>
        </is>
      </c>
      <c r="E344" t="inlineStr">
        <is>
          <t>DMA</t>
        </is>
      </c>
      <c r="F344" s="11" t="n">
        <v>45047</v>
      </c>
      <c r="G344" t="inlineStr">
        <is>
          <t>2018gn</t>
        </is>
      </c>
      <c r="H344" t="n">
        <v>2022</v>
      </c>
    </row>
    <row r="345">
      <c r="A345" t="inlineStr">
        <is>
          <t>Dominica_2023_May</t>
        </is>
      </c>
      <c r="C345" t="inlineStr">
        <is>
          <t>SM.23.127, Sup. 1</t>
        </is>
      </c>
      <c r="D345" t="inlineStr">
        <is>
          <t>Dominica</t>
        </is>
      </c>
      <c r="E345" t="inlineStr">
        <is>
          <t>DMA</t>
        </is>
      </c>
      <c r="F345" s="11" t="n">
        <v>45047</v>
      </c>
      <c r="G345" t="inlineStr">
        <is>
          <t>2018gn</t>
        </is>
      </c>
      <c r="H345" t="n">
        <v>2022</v>
      </c>
    </row>
    <row r="346">
      <c r="A346" t="inlineStr">
        <is>
          <t>Dominica_2023_May</t>
        </is>
      </c>
      <c r="C346" t="inlineStr">
        <is>
          <t>SM.23.127, Sup. 1</t>
        </is>
      </c>
      <c r="D346" t="inlineStr">
        <is>
          <t>Dominica</t>
        </is>
      </c>
      <c r="E346" t="inlineStr">
        <is>
          <t>DMA</t>
        </is>
      </c>
      <c r="F346" s="11" t="n">
        <v>45047</v>
      </c>
      <c r="G346" t="inlineStr">
        <is>
          <t>2018gn</t>
        </is>
      </c>
      <c r="H346" t="n">
        <v>2022</v>
      </c>
    </row>
    <row r="347">
      <c r="A347" t="inlineStr">
        <is>
          <t>Dominica_2023_May</t>
        </is>
      </c>
      <c r="C347" t="inlineStr">
        <is>
          <t>SM.23.127, Sup. 1</t>
        </is>
      </c>
      <c r="D347" t="inlineStr">
        <is>
          <t>Dominica</t>
        </is>
      </c>
      <c r="E347" t="inlineStr">
        <is>
          <t>DMA</t>
        </is>
      </c>
      <c r="F347" s="11" t="n">
        <v>45047</v>
      </c>
      <c r="G347" t="inlineStr">
        <is>
          <t>2018gn</t>
        </is>
      </c>
      <c r="H347" t="n">
        <v>2022</v>
      </c>
    </row>
    <row r="348">
      <c r="A348" t="inlineStr">
        <is>
          <t>Dominica_2023_May</t>
        </is>
      </c>
      <c r="C348" t="inlineStr">
        <is>
          <t>SM.23.127, Sup. 1</t>
        </is>
      </c>
      <c r="D348" t="inlineStr">
        <is>
          <t>Dominica</t>
        </is>
      </c>
      <c r="E348" t="inlineStr">
        <is>
          <t>DMA</t>
        </is>
      </c>
      <c r="F348" s="11" t="n">
        <v>45047</v>
      </c>
      <c r="G348" t="inlineStr">
        <is>
          <t>2018gn</t>
        </is>
      </c>
      <c r="H348" t="n">
        <v>2022</v>
      </c>
    </row>
    <row r="349">
      <c r="A349" t="inlineStr">
        <is>
          <t>Dominica_2023_May</t>
        </is>
      </c>
      <c r="C349" t="inlineStr">
        <is>
          <t>SM.23.127, Sup. 1</t>
        </is>
      </c>
      <c r="D349" t="inlineStr">
        <is>
          <t>Dominica</t>
        </is>
      </c>
      <c r="E349" t="inlineStr">
        <is>
          <t>DMA</t>
        </is>
      </c>
      <c r="F349" s="11" t="n">
        <v>45047</v>
      </c>
      <c r="G349" t="inlineStr">
        <is>
          <t>2018gn</t>
        </is>
      </c>
      <c r="H349" t="n">
        <v>2022</v>
      </c>
    </row>
    <row r="350">
      <c r="A350" t="inlineStr">
        <is>
          <t>Dominica_2023_May</t>
        </is>
      </c>
      <c r="C350" t="inlineStr">
        <is>
          <t>SM.23.127, Sup. 1</t>
        </is>
      </c>
      <c r="D350" t="inlineStr">
        <is>
          <t>Dominica</t>
        </is>
      </c>
      <c r="E350" t="inlineStr">
        <is>
          <t>DMA</t>
        </is>
      </c>
      <c r="F350" s="11" t="n">
        <v>45047</v>
      </c>
      <c r="G350" t="inlineStr">
        <is>
          <t>2018gn</t>
        </is>
      </c>
      <c r="H350" t="n">
        <v>2022</v>
      </c>
    </row>
    <row r="351">
      <c r="A351" t="inlineStr">
        <is>
          <t>Dominica_2023_May</t>
        </is>
      </c>
      <c r="C351" t="inlineStr">
        <is>
          <t>SM.23.127, Sup. 1</t>
        </is>
      </c>
      <c r="D351" t="inlineStr">
        <is>
          <t>Dominica</t>
        </is>
      </c>
      <c r="E351" t="inlineStr">
        <is>
          <t>DMA</t>
        </is>
      </c>
      <c r="F351" s="11" t="n">
        <v>45047</v>
      </c>
      <c r="G351" t="inlineStr">
        <is>
          <t>2018gn</t>
        </is>
      </c>
      <c r="H351" t="n">
        <v>2022</v>
      </c>
    </row>
    <row r="352">
      <c r="A352" t="inlineStr">
        <is>
          <t>Dominica_2023_May</t>
        </is>
      </c>
      <c r="C352" t="inlineStr">
        <is>
          <t>SM.23.127, Sup. 1</t>
        </is>
      </c>
      <c r="D352" t="inlineStr">
        <is>
          <t>Dominica</t>
        </is>
      </c>
      <c r="E352" t="inlineStr">
        <is>
          <t>DMA</t>
        </is>
      </c>
      <c r="F352" s="11" t="n">
        <v>45047</v>
      </c>
      <c r="G352" t="inlineStr">
        <is>
          <t>2018gn</t>
        </is>
      </c>
      <c r="H352" t="n">
        <v>2022</v>
      </c>
    </row>
    <row r="353">
      <c r="A353" t="inlineStr">
        <is>
          <t>Dominica_2023_May</t>
        </is>
      </c>
      <c r="C353" t="inlineStr">
        <is>
          <t>SM.23.127, Sup. 1</t>
        </is>
      </c>
      <c r="D353" t="inlineStr">
        <is>
          <t>Dominica</t>
        </is>
      </c>
      <c r="E353" t="inlineStr">
        <is>
          <t>DMA</t>
        </is>
      </c>
      <c r="F353" s="11" t="n">
        <v>45047</v>
      </c>
      <c r="G353" t="inlineStr">
        <is>
          <t>2018gn</t>
        </is>
      </c>
      <c r="H353" t="n">
        <v>2022</v>
      </c>
    </row>
    <row r="354">
      <c r="A354" t="inlineStr">
        <is>
          <t>Dominica_2023_May</t>
        </is>
      </c>
      <c r="C354" t="inlineStr">
        <is>
          <t>SM.23.127, Sup. 1</t>
        </is>
      </c>
      <c r="D354" t="inlineStr">
        <is>
          <t>Dominica</t>
        </is>
      </c>
      <c r="E354" t="inlineStr">
        <is>
          <t>DMA</t>
        </is>
      </c>
      <c r="F354" s="11" t="n">
        <v>45047</v>
      </c>
      <c r="G354" t="inlineStr">
        <is>
          <t>2018gn</t>
        </is>
      </c>
      <c r="H354" t="n">
        <v>2022</v>
      </c>
    </row>
    <row r="355">
      <c r="A355" t="inlineStr">
        <is>
          <t>Dominica_2023_May</t>
        </is>
      </c>
      <c r="C355" t="inlineStr">
        <is>
          <t>SM.23.127, Sup. 1</t>
        </is>
      </c>
      <c r="D355" t="inlineStr">
        <is>
          <t>Dominica</t>
        </is>
      </c>
      <c r="E355" t="inlineStr">
        <is>
          <t>DMA</t>
        </is>
      </c>
      <c r="F355" s="11" t="n">
        <v>45047</v>
      </c>
      <c r="G355" t="inlineStr">
        <is>
          <t>2018gn</t>
        </is>
      </c>
      <c r="H355" t="n">
        <v>2022</v>
      </c>
    </row>
    <row r="356">
      <c r="A356" t="inlineStr">
        <is>
          <t>Dominica_2023_May</t>
        </is>
      </c>
      <c r="C356" t="inlineStr">
        <is>
          <t>SM.23.127, Sup. 1</t>
        </is>
      </c>
      <c r="D356" t="inlineStr">
        <is>
          <t>Dominica</t>
        </is>
      </c>
      <c r="E356" t="inlineStr">
        <is>
          <t>DMA</t>
        </is>
      </c>
      <c r="F356" s="11" t="n">
        <v>45047</v>
      </c>
      <c r="G356" t="inlineStr">
        <is>
          <t>2018gn</t>
        </is>
      </c>
      <c r="H356" t="n">
        <v>2022</v>
      </c>
    </row>
    <row r="357">
      <c r="A357" t="inlineStr">
        <is>
          <t>Dominica_2023_May</t>
        </is>
      </c>
      <c r="C357" t="inlineStr">
        <is>
          <t>SM.23.127, Sup. 1</t>
        </is>
      </c>
      <c r="D357" t="inlineStr">
        <is>
          <t>Dominica</t>
        </is>
      </c>
      <c r="E357" t="inlineStr">
        <is>
          <t>DMA</t>
        </is>
      </c>
      <c r="F357" s="11" t="n">
        <v>45047</v>
      </c>
      <c r="G357" t="inlineStr">
        <is>
          <t>2018gn</t>
        </is>
      </c>
      <c r="H357" t="n">
        <v>2022</v>
      </c>
    </row>
    <row r="358">
      <c r="A358" t="inlineStr">
        <is>
          <t>Dominica_2023_May</t>
        </is>
      </c>
      <c r="C358" t="inlineStr">
        <is>
          <t>SM.23.127, Sup. 1</t>
        </is>
      </c>
      <c r="D358" t="inlineStr">
        <is>
          <t>Dominica</t>
        </is>
      </c>
      <c r="E358" t="inlineStr">
        <is>
          <t>DMA</t>
        </is>
      </c>
      <c r="F358" s="11" t="n">
        <v>45047</v>
      </c>
      <c r="G358" t="inlineStr">
        <is>
          <t>2018gn</t>
        </is>
      </c>
      <c r="H358" t="n">
        <v>2022</v>
      </c>
    </row>
    <row r="359">
      <c r="A359" t="inlineStr">
        <is>
          <t>Dominica_2023_May</t>
        </is>
      </c>
      <c r="C359" t="inlineStr">
        <is>
          <t>SM.23.127, Sup. 1</t>
        </is>
      </c>
      <c r="D359" t="inlineStr">
        <is>
          <t>Dominica</t>
        </is>
      </c>
      <c r="E359" t="inlineStr">
        <is>
          <t>DMA</t>
        </is>
      </c>
      <c r="F359" s="11" t="n">
        <v>45047</v>
      </c>
      <c r="G359" t="inlineStr">
        <is>
          <t>2018gn</t>
        </is>
      </c>
      <c r="H359" t="n">
        <v>2022</v>
      </c>
    </row>
    <row r="360">
      <c r="A360" t="inlineStr">
        <is>
          <t>Dominica_2023_May</t>
        </is>
      </c>
      <c r="C360" t="inlineStr">
        <is>
          <t>SM.23.127, Sup. 1</t>
        </is>
      </c>
      <c r="D360" t="inlineStr">
        <is>
          <t>Dominica</t>
        </is>
      </c>
      <c r="E360" t="inlineStr">
        <is>
          <t>DMA</t>
        </is>
      </c>
      <c r="F360" s="11" t="n">
        <v>45047</v>
      </c>
      <c r="G360" t="inlineStr">
        <is>
          <t>2018gn</t>
        </is>
      </c>
      <c r="H360" t="n">
        <v>2022</v>
      </c>
    </row>
    <row r="361">
      <c r="A361" t="inlineStr">
        <is>
          <t>Dominica_2023_May</t>
        </is>
      </c>
      <c r="C361" t="inlineStr">
        <is>
          <t>SM.23.127, Sup. 1</t>
        </is>
      </c>
      <c r="D361" t="inlineStr">
        <is>
          <t>Dominica</t>
        </is>
      </c>
      <c r="E361" t="inlineStr">
        <is>
          <t>DMA</t>
        </is>
      </c>
      <c r="F361" s="11" t="n">
        <v>45047</v>
      </c>
      <c r="G361" t="inlineStr">
        <is>
          <t>2018gn</t>
        </is>
      </c>
      <c r="H361" t="n">
        <v>2022</v>
      </c>
    </row>
    <row r="362">
      <c r="A362" t="inlineStr">
        <is>
          <t>Dominica_2023_May</t>
        </is>
      </c>
      <c r="C362" t="inlineStr">
        <is>
          <t>SM.23.127, Sup. 1</t>
        </is>
      </c>
      <c r="D362" t="inlineStr">
        <is>
          <t>Dominica</t>
        </is>
      </c>
      <c r="E362" t="inlineStr">
        <is>
          <t>DMA</t>
        </is>
      </c>
      <c r="F362" s="11" t="n">
        <v>45047</v>
      </c>
      <c r="G362" t="inlineStr">
        <is>
          <t>2018gn</t>
        </is>
      </c>
      <c r="H362" t="n">
        <v>2022</v>
      </c>
    </row>
    <row r="363">
      <c r="A363" t="inlineStr">
        <is>
          <t>Dominica_2023_May</t>
        </is>
      </c>
      <c r="C363" t="inlineStr">
        <is>
          <t>SM.23.127, Sup. 1</t>
        </is>
      </c>
      <c r="D363" t="inlineStr">
        <is>
          <t>Dominica</t>
        </is>
      </c>
      <c r="E363" t="inlineStr">
        <is>
          <t>DMA</t>
        </is>
      </c>
      <c r="F363" s="11" t="n">
        <v>45047</v>
      </c>
      <c r="G363" t="inlineStr">
        <is>
          <t>2018gn</t>
        </is>
      </c>
      <c r="H363" t="n">
        <v>2022</v>
      </c>
    </row>
    <row r="364">
      <c r="A364" t="inlineStr">
        <is>
          <t>Dominica_2023_May</t>
        </is>
      </c>
      <c r="C364" t="inlineStr">
        <is>
          <t>SM.23.127, Sup. 1</t>
        </is>
      </c>
      <c r="D364" t="inlineStr">
        <is>
          <t>Dominica</t>
        </is>
      </c>
      <c r="E364" t="inlineStr">
        <is>
          <t>DMA</t>
        </is>
      </c>
      <c r="F364" s="11" t="n">
        <v>45047</v>
      </c>
      <c r="G364" t="inlineStr">
        <is>
          <t>2018gn</t>
        </is>
      </c>
      <c r="H364" t="n">
        <v>2022</v>
      </c>
    </row>
    <row r="365">
      <c r="A365" t="inlineStr">
        <is>
          <t>Dominica_2023_May</t>
        </is>
      </c>
      <c r="C365" t="inlineStr">
        <is>
          <t>SM.23.127, Sup. 1</t>
        </is>
      </c>
      <c r="D365" t="inlineStr">
        <is>
          <t>Dominica</t>
        </is>
      </c>
      <c r="E365" t="inlineStr">
        <is>
          <t>DMA</t>
        </is>
      </c>
      <c r="F365" s="11" t="n">
        <v>45047</v>
      </c>
      <c r="G365" t="inlineStr">
        <is>
          <t>2018gn</t>
        </is>
      </c>
      <c r="H365" t="n">
        <v>2022</v>
      </c>
    </row>
    <row r="366">
      <c r="A366" t="inlineStr">
        <is>
          <t>Dominica_2023_May</t>
        </is>
      </c>
      <c r="C366" t="inlineStr">
        <is>
          <t>SM.23.127, Sup. 1</t>
        </is>
      </c>
      <c r="D366" t="inlineStr">
        <is>
          <t>Dominica</t>
        </is>
      </c>
      <c r="E366" t="inlineStr">
        <is>
          <t>DMA</t>
        </is>
      </c>
      <c r="F366" s="11" t="n">
        <v>45047</v>
      </c>
      <c r="G366" t="inlineStr">
        <is>
          <t>2018gn</t>
        </is>
      </c>
      <c r="H366" t="n">
        <v>2022</v>
      </c>
    </row>
    <row r="367">
      <c r="A367" t="inlineStr">
        <is>
          <t>Dominica_2023_May</t>
        </is>
      </c>
      <c r="C367" t="inlineStr">
        <is>
          <t>SM.23.127, Sup. 1</t>
        </is>
      </c>
      <c r="D367" t="inlineStr">
        <is>
          <t>Dominica</t>
        </is>
      </c>
      <c r="E367" t="inlineStr">
        <is>
          <t>DMA</t>
        </is>
      </c>
      <c r="F367" s="11" t="n">
        <v>45047</v>
      </c>
      <c r="G367" t="inlineStr">
        <is>
          <t>2018gn</t>
        </is>
      </c>
      <c r="H367" t="n">
        <v>2022</v>
      </c>
    </row>
    <row r="368">
      <c r="A368" t="inlineStr">
        <is>
          <t>Dominica_2023_May</t>
        </is>
      </c>
      <c r="C368" t="inlineStr">
        <is>
          <t>SM.23.127, Sup. 1</t>
        </is>
      </c>
      <c r="D368" t="inlineStr">
        <is>
          <t>Dominica</t>
        </is>
      </c>
      <c r="E368" t="inlineStr">
        <is>
          <t>DMA</t>
        </is>
      </c>
      <c r="F368" s="11" t="n">
        <v>45047</v>
      </c>
      <c r="G368" t="inlineStr">
        <is>
          <t>2018gn</t>
        </is>
      </c>
      <c r="H368" t="n">
        <v>2022</v>
      </c>
    </row>
    <row r="369">
      <c r="A369" t="inlineStr">
        <is>
          <t>Dominica_2023_May</t>
        </is>
      </c>
      <c r="C369" t="inlineStr">
        <is>
          <t>SM.23.127, Sup. 1</t>
        </is>
      </c>
      <c r="D369" t="inlineStr">
        <is>
          <t>Dominica</t>
        </is>
      </c>
      <c r="E369" t="inlineStr">
        <is>
          <t>DMA</t>
        </is>
      </c>
      <c r="F369" s="11" t="n">
        <v>45047</v>
      </c>
      <c r="G369" t="inlineStr">
        <is>
          <t>2018gn</t>
        </is>
      </c>
      <c r="H369" t="n">
        <v>2022</v>
      </c>
    </row>
    <row r="370">
      <c r="A370" t="inlineStr">
        <is>
          <t>Dominica_2023_May</t>
        </is>
      </c>
      <c r="C370" t="inlineStr">
        <is>
          <t>SM.23.127, Sup. 1</t>
        </is>
      </c>
      <c r="D370" t="inlineStr">
        <is>
          <t>Dominica</t>
        </is>
      </c>
      <c r="E370" t="inlineStr">
        <is>
          <t>DMA</t>
        </is>
      </c>
      <c r="F370" s="11" t="n">
        <v>45047</v>
      </c>
      <c r="G370" t="inlineStr">
        <is>
          <t>2018gn</t>
        </is>
      </c>
      <c r="H370" t="n">
        <v>2022</v>
      </c>
    </row>
    <row r="371">
      <c r="A371" t="inlineStr">
        <is>
          <t>Dominica_2023_May</t>
        </is>
      </c>
      <c r="C371" t="inlineStr">
        <is>
          <t>SM.23.127, Sup. 1</t>
        </is>
      </c>
      <c r="D371" t="inlineStr">
        <is>
          <t>Dominica</t>
        </is>
      </c>
      <c r="E371" t="inlineStr">
        <is>
          <t>DMA</t>
        </is>
      </c>
      <c r="F371" s="11" t="n">
        <v>45047</v>
      </c>
      <c r="G371" t="inlineStr">
        <is>
          <t>2018gn</t>
        </is>
      </c>
      <c r="H371" t="n">
        <v>2022</v>
      </c>
    </row>
    <row r="372">
      <c r="A372" t="inlineStr">
        <is>
          <t>Dominica_2023_May</t>
        </is>
      </c>
      <c r="C372" t="inlineStr">
        <is>
          <t>SM.23.127, Sup. 1</t>
        </is>
      </c>
      <c r="D372" t="inlineStr">
        <is>
          <t>Dominica</t>
        </is>
      </c>
      <c r="E372" t="inlineStr">
        <is>
          <t>DMA</t>
        </is>
      </c>
      <c r="F372" s="11" t="n">
        <v>45047</v>
      </c>
      <c r="G372" t="inlineStr">
        <is>
          <t>2018gn</t>
        </is>
      </c>
      <c r="H372" t="n">
        <v>2022</v>
      </c>
    </row>
    <row r="373">
      <c r="A373" t="inlineStr">
        <is>
          <t>Dominica_2023_May</t>
        </is>
      </c>
      <c r="C373" t="inlineStr">
        <is>
          <t>SM.23.127, Sup. 1</t>
        </is>
      </c>
      <c r="D373" t="inlineStr">
        <is>
          <t>Dominica</t>
        </is>
      </c>
      <c r="E373" t="inlineStr">
        <is>
          <t>DMA</t>
        </is>
      </c>
      <c r="F373" s="11" t="n">
        <v>45047</v>
      </c>
      <c r="G373" t="inlineStr">
        <is>
          <t>2018gn</t>
        </is>
      </c>
      <c r="H373" t="n">
        <v>2022</v>
      </c>
    </row>
    <row r="374">
      <c r="A374" t="inlineStr">
        <is>
          <t>Dominica_2023_May</t>
        </is>
      </c>
      <c r="C374" t="inlineStr">
        <is>
          <t>SM.23.127, Sup. 1</t>
        </is>
      </c>
      <c r="D374" t="inlineStr">
        <is>
          <t>Dominica</t>
        </is>
      </c>
      <c r="E374" t="inlineStr">
        <is>
          <t>DMA</t>
        </is>
      </c>
      <c r="F374" s="11" t="n">
        <v>45047</v>
      </c>
      <c r="G374" t="inlineStr">
        <is>
          <t>2018gn</t>
        </is>
      </c>
      <c r="H374" t="n">
        <v>2022</v>
      </c>
    </row>
    <row r="375">
      <c r="A375" t="inlineStr">
        <is>
          <t>Dominica_2023_May</t>
        </is>
      </c>
      <c r="C375" t="inlineStr">
        <is>
          <t>SM.23.127, Sup. 1</t>
        </is>
      </c>
      <c r="D375" t="inlineStr">
        <is>
          <t>Dominica</t>
        </is>
      </c>
      <c r="E375" t="inlineStr">
        <is>
          <t>DMA</t>
        </is>
      </c>
      <c r="F375" s="11" t="n">
        <v>45047</v>
      </c>
      <c r="G375" t="inlineStr">
        <is>
          <t>2018gn</t>
        </is>
      </c>
      <c r="H375" t="n">
        <v>2022</v>
      </c>
    </row>
    <row r="376">
      <c r="A376" t="inlineStr">
        <is>
          <t>Dominica_2023_May</t>
        </is>
      </c>
      <c r="C376" t="inlineStr">
        <is>
          <t>SM.23.127, Sup. 1</t>
        </is>
      </c>
      <c r="D376" t="inlineStr">
        <is>
          <t>Dominica</t>
        </is>
      </c>
      <c r="E376" t="inlineStr">
        <is>
          <t>DMA</t>
        </is>
      </c>
      <c r="F376" s="11" t="n">
        <v>45047</v>
      </c>
      <c r="G376" t="inlineStr">
        <is>
          <t>2018gn</t>
        </is>
      </c>
      <c r="H376" t="n">
        <v>2022</v>
      </c>
    </row>
    <row r="377">
      <c r="A377" t="inlineStr">
        <is>
          <t>Dominica_2023_May</t>
        </is>
      </c>
      <c r="C377" t="inlineStr">
        <is>
          <t>SM.23.127, Sup. 1</t>
        </is>
      </c>
      <c r="D377" t="inlineStr">
        <is>
          <t>Dominica</t>
        </is>
      </c>
      <c r="E377" t="inlineStr">
        <is>
          <t>DMA</t>
        </is>
      </c>
      <c r="F377" s="11" t="n">
        <v>45047</v>
      </c>
      <c r="G377" t="inlineStr">
        <is>
          <t>2018gn</t>
        </is>
      </c>
      <c r="H377" t="n">
        <v>2022</v>
      </c>
    </row>
    <row r="378">
      <c r="A378" t="inlineStr">
        <is>
          <t>Dominica_2023_May</t>
        </is>
      </c>
      <c r="C378" t="inlineStr">
        <is>
          <t>SM.23.127, Sup. 1</t>
        </is>
      </c>
      <c r="D378" t="inlineStr">
        <is>
          <t>Dominica</t>
        </is>
      </c>
      <c r="E378" t="inlineStr">
        <is>
          <t>DMA</t>
        </is>
      </c>
      <c r="F378" s="11" t="n">
        <v>45047</v>
      </c>
      <c r="G378" t="inlineStr">
        <is>
          <t>2018gn</t>
        </is>
      </c>
      <c r="H378" t="n">
        <v>2022</v>
      </c>
    </row>
    <row r="379">
      <c r="A379" t="inlineStr">
        <is>
          <t>Dominica_2023_May</t>
        </is>
      </c>
      <c r="C379" t="inlineStr">
        <is>
          <t>SM.23.127, Sup. 1</t>
        </is>
      </c>
      <c r="D379" t="inlineStr">
        <is>
          <t>Dominica</t>
        </is>
      </c>
      <c r="E379" t="inlineStr">
        <is>
          <t>DMA</t>
        </is>
      </c>
      <c r="F379" s="11" t="n">
        <v>45047</v>
      </c>
      <c r="G379" t="inlineStr">
        <is>
          <t>2018gn</t>
        </is>
      </c>
      <c r="H379" t="n">
        <v>2022</v>
      </c>
    </row>
    <row r="380">
      <c r="A380" t="inlineStr">
        <is>
          <t>Dominica_2023_May</t>
        </is>
      </c>
      <c r="C380" t="inlineStr">
        <is>
          <t>SM.23.127, Sup. 1</t>
        </is>
      </c>
      <c r="D380" t="inlineStr">
        <is>
          <t>Dominica</t>
        </is>
      </c>
      <c r="E380" t="inlineStr">
        <is>
          <t>DMA</t>
        </is>
      </c>
      <c r="F380" s="11" t="n">
        <v>45047</v>
      </c>
      <c r="G380" t="inlineStr">
        <is>
          <t>2018gn</t>
        </is>
      </c>
      <c r="H380" t="n">
        <v>2022</v>
      </c>
    </row>
    <row r="381">
      <c r="A381" t="inlineStr">
        <is>
          <t>Dominica_2023_May</t>
        </is>
      </c>
      <c r="C381" t="inlineStr">
        <is>
          <t>SM.23.127, Sup. 1</t>
        </is>
      </c>
      <c r="D381" t="inlineStr">
        <is>
          <t>Dominica</t>
        </is>
      </c>
      <c r="E381" t="inlineStr">
        <is>
          <t>DMA</t>
        </is>
      </c>
      <c r="F381" s="11" t="n">
        <v>45047</v>
      </c>
      <c r="G381" t="inlineStr">
        <is>
          <t>2018gn</t>
        </is>
      </c>
      <c r="H381" t="n">
        <v>2022</v>
      </c>
    </row>
    <row r="382">
      <c r="A382" t="inlineStr">
        <is>
          <t>Dominica_2023_May</t>
        </is>
      </c>
      <c r="C382" t="inlineStr">
        <is>
          <t>SM.23.127, Sup. 1</t>
        </is>
      </c>
      <c r="D382" t="inlineStr">
        <is>
          <t>Dominica</t>
        </is>
      </c>
      <c r="E382" t="inlineStr">
        <is>
          <t>DMA</t>
        </is>
      </c>
      <c r="F382" s="11" t="n">
        <v>45047</v>
      </c>
      <c r="G382" t="inlineStr">
        <is>
          <t>2018gn</t>
        </is>
      </c>
      <c r="H382" t="n">
        <v>2022</v>
      </c>
    </row>
    <row r="383">
      <c r="A383" t="inlineStr">
        <is>
          <t>Dominica_2023_May</t>
        </is>
      </c>
      <c r="C383" t="inlineStr">
        <is>
          <t>SM.23.127, Sup. 1</t>
        </is>
      </c>
      <c r="D383" t="inlineStr">
        <is>
          <t>Dominica</t>
        </is>
      </c>
      <c r="E383" t="inlineStr">
        <is>
          <t>DMA</t>
        </is>
      </c>
      <c r="F383" s="11" t="n">
        <v>45047</v>
      </c>
      <c r="G383" t="inlineStr">
        <is>
          <t>2018gn</t>
        </is>
      </c>
      <c r="H383" t="n">
        <v>2022</v>
      </c>
    </row>
    <row r="384">
      <c r="A384" t="inlineStr">
        <is>
          <t>Dominica_2023_May</t>
        </is>
      </c>
      <c r="C384" t="inlineStr">
        <is>
          <t>SM.23.127, Sup. 1</t>
        </is>
      </c>
      <c r="D384" t="inlineStr">
        <is>
          <t>Dominica</t>
        </is>
      </c>
      <c r="E384" t="inlineStr">
        <is>
          <t>DMA</t>
        </is>
      </c>
      <c r="F384" s="11" t="n">
        <v>45047</v>
      </c>
      <c r="G384" t="inlineStr">
        <is>
          <t>2018gn</t>
        </is>
      </c>
      <c r="H384" t="n">
        <v>2022</v>
      </c>
    </row>
    <row r="385">
      <c r="A385" t="inlineStr">
        <is>
          <t>Dominica_2023_May</t>
        </is>
      </c>
      <c r="C385" t="inlineStr">
        <is>
          <t>SM.23.127, Sup. 1</t>
        </is>
      </c>
      <c r="D385" t="inlineStr">
        <is>
          <t>Dominica</t>
        </is>
      </c>
      <c r="E385" t="inlineStr">
        <is>
          <t>DMA</t>
        </is>
      </c>
      <c r="F385" s="11" t="n">
        <v>45047</v>
      </c>
      <c r="G385" t="inlineStr">
        <is>
          <t>2018gn</t>
        </is>
      </c>
      <c r="H385" t="n">
        <v>2022</v>
      </c>
    </row>
    <row r="386">
      <c r="A386" t="inlineStr">
        <is>
          <t>Dominica_2023_May</t>
        </is>
      </c>
      <c r="C386" t="inlineStr">
        <is>
          <t>SM.23.127, Sup. 1</t>
        </is>
      </c>
      <c r="D386" t="inlineStr">
        <is>
          <t>Dominica</t>
        </is>
      </c>
      <c r="E386" t="inlineStr">
        <is>
          <t>DMA</t>
        </is>
      </c>
      <c r="F386" s="11" t="n">
        <v>45047</v>
      </c>
      <c r="G386" t="inlineStr">
        <is>
          <t>2018gn</t>
        </is>
      </c>
      <c r="H386" t="n">
        <v>2022</v>
      </c>
    </row>
    <row r="387">
      <c r="A387" t="inlineStr">
        <is>
          <t>Dominica_2023_May</t>
        </is>
      </c>
      <c r="C387" t="inlineStr">
        <is>
          <t>SM.23.127, Sup. 1</t>
        </is>
      </c>
      <c r="D387" t="inlineStr">
        <is>
          <t>Dominica</t>
        </is>
      </c>
      <c r="E387" t="inlineStr">
        <is>
          <t>DMA</t>
        </is>
      </c>
      <c r="F387" s="11" t="n">
        <v>45047</v>
      </c>
      <c r="G387" t="inlineStr">
        <is>
          <t>2018gn</t>
        </is>
      </c>
      <c r="H387" t="n">
        <v>2022</v>
      </c>
    </row>
    <row r="388">
      <c r="A388" t="inlineStr">
        <is>
          <t>Dominica_2023_May</t>
        </is>
      </c>
      <c r="C388" t="inlineStr">
        <is>
          <t>SM.23.127, Sup. 1</t>
        </is>
      </c>
      <c r="D388" t="inlineStr">
        <is>
          <t>Dominica</t>
        </is>
      </c>
      <c r="E388" t="inlineStr">
        <is>
          <t>DMA</t>
        </is>
      </c>
      <c r="F388" s="11" t="n">
        <v>45047</v>
      </c>
      <c r="G388" t="inlineStr">
        <is>
          <t>2018gn</t>
        </is>
      </c>
      <c r="H388" t="n">
        <v>2022</v>
      </c>
    </row>
    <row r="389">
      <c r="A389" t="inlineStr">
        <is>
          <t>Dominica_2023_May</t>
        </is>
      </c>
      <c r="C389" t="inlineStr">
        <is>
          <t>SM.23.127, Sup. 1</t>
        </is>
      </c>
      <c r="D389" t="inlineStr">
        <is>
          <t>Dominica</t>
        </is>
      </c>
      <c r="E389" t="inlineStr">
        <is>
          <t>DMA</t>
        </is>
      </c>
      <c r="F389" s="11" t="n">
        <v>45047</v>
      </c>
      <c r="G389" t="inlineStr">
        <is>
          <t>2018gn</t>
        </is>
      </c>
      <c r="H389" t="n">
        <v>2022</v>
      </c>
    </row>
    <row r="390">
      <c r="A390" t="inlineStr">
        <is>
          <t>Dominica_2023_May</t>
        </is>
      </c>
      <c r="C390" t="inlineStr">
        <is>
          <t>SM.23.127, Sup. 1</t>
        </is>
      </c>
      <c r="D390" t="inlineStr">
        <is>
          <t>Dominica</t>
        </is>
      </c>
      <c r="E390" t="inlineStr">
        <is>
          <t>DMA</t>
        </is>
      </c>
      <c r="F390" s="11" t="n">
        <v>45047</v>
      </c>
      <c r="G390" t="inlineStr">
        <is>
          <t>2018gn</t>
        </is>
      </c>
      <c r="H390" t="n">
        <v>2022</v>
      </c>
    </row>
    <row r="391">
      <c r="A391" t="inlineStr">
        <is>
          <t>Dominica_2023_May</t>
        </is>
      </c>
      <c r="C391" t="inlineStr">
        <is>
          <t>SM.23.127, Sup. 1</t>
        </is>
      </c>
      <c r="D391" t="inlineStr">
        <is>
          <t>Dominica</t>
        </is>
      </c>
      <c r="E391" t="inlineStr">
        <is>
          <t>DMA</t>
        </is>
      </c>
      <c r="F391" s="11" t="n">
        <v>45047</v>
      </c>
      <c r="G391" t="inlineStr">
        <is>
          <t>2018gn</t>
        </is>
      </c>
      <c r="H391" t="n">
        <v>2022</v>
      </c>
    </row>
    <row r="392">
      <c r="A392" t="inlineStr">
        <is>
          <t>Dominica_2023_May</t>
        </is>
      </c>
      <c r="C392" t="inlineStr">
        <is>
          <t>SM.23.127, Sup. 1</t>
        </is>
      </c>
      <c r="D392" t="inlineStr">
        <is>
          <t>Dominica</t>
        </is>
      </c>
      <c r="E392" t="inlineStr">
        <is>
          <t>DMA</t>
        </is>
      </c>
      <c r="F392" s="11" t="n">
        <v>45047</v>
      </c>
      <c r="G392" t="inlineStr">
        <is>
          <t>2018gn</t>
        </is>
      </c>
      <c r="H392" t="n">
        <v>2022</v>
      </c>
    </row>
    <row r="393">
      <c r="A393" t="inlineStr">
        <is>
          <t>Dominica_2023_May</t>
        </is>
      </c>
      <c r="C393" t="inlineStr">
        <is>
          <t>SM.23.127, Sup. 1</t>
        </is>
      </c>
      <c r="D393" t="inlineStr">
        <is>
          <t>Dominica</t>
        </is>
      </c>
      <c r="E393" t="inlineStr">
        <is>
          <t>DMA</t>
        </is>
      </c>
      <c r="F393" s="11" t="n">
        <v>45047</v>
      </c>
      <c r="G393" t="inlineStr">
        <is>
          <t>2018gn</t>
        </is>
      </c>
      <c r="H393" t="n">
        <v>2022</v>
      </c>
    </row>
    <row r="394">
      <c r="A394" t="inlineStr">
        <is>
          <t>Dominica_2023_May</t>
        </is>
      </c>
      <c r="C394" t="inlineStr">
        <is>
          <t>SM.23.127, Sup. 1</t>
        </is>
      </c>
      <c r="D394" t="inlineStr">
        <is>
          <t>Dominica</t>
        </is>
      </c>
      <c r="E394" t="inlineStr">
        <is>
          <t>DMA</t>
        </is>
      </c>
      <c r="F394" s="11" t="n">
        <v>45047</v>
      </c>
      <c r="G394" t="inlineStr">
        <is>
          <t>2018gn</t>
        </is>
      </c>
      <c r="H394" t="n">
        <v>2022</v>
      </c>
    </row>
    <row r="395">
      <c r="A395" t="inlineStr">
        <is>
          <t>Dominica_2023_May</t>
        </is>
      </c>
      <c r="C395" t="inlineStr">
        <is>
          <t>SM.23.127, Sup. 1</t>
        </is>
      </c>
      <c r="D395" t="inlineStr">
        <is>
          <t>Dominica</t>
        </is>
      </c>
      <c r="E395" t="inlineStr">
        <is>
          <t>DMA</t>
        </is>
      </c>
      <c r="F395" s="11" t="n">
        <v>45047</v>
      </c>
      <c r="G395" t="inlineStr">
        <is>
          <t>2018gn</t>
        </is>
      </c>
      <c r="H395" t="n">
        <v>2022</v>
      </c>
    </row>
    <row r="396">
      <c r="A396" t="inlineStr">
        <is>
          <t>Dominica_2023_May</t>
        </is>
      </c>
      <c r="C396" t="inlineStr">
        <is>
          <t>SM.23.127, Sup. 1</t>
        </is>
      </c>
      <c r="D396" t="inlineStr">
        <is>
          <t>Dominica</t>
        </is>
      </c>
      <c r="E396" t="inlineStr">
        <is>
          <t>DMA</t>
        </is>
      </c>
      <c r="F396" s="11" t="n">
        <v>45047</v>
      </c>
      <c r="G396" t="inlineStr">
        <is>
          <t>2018gn</t>
        </is>
      </c>
      <c r="H396" t="n">
        <v>2022</v>
      </c>
    </row>
    <row r="397">
      <c r="A397" t="inlineStr">
        <is>
          <t>Dominica_2023_May</t>
        </is>
      </c>
      <c r="C397" t="inlineStr">
        <is>
          <t>SM.23.127, Sup. 1</t>
        </is>
      </c>
      <c r="D397" t="inlineStr">
        <is>
          <t>Dominica</t>
        </is>
      </c>
      <c r="E397" t="inlineStr">
        <is>
          <t>DMA</t>
        </is>
      </c>
      <c r="F397" s="11" t="n">
        <v>45047</v>
      </c>
      <c r="G397" t="inlineStr">
        <is>
          <t>2018gn</t>
        </is>
      </c>
      <c r="H397" t="n">
        <v>2022</v>
      </c>
    </row>
    <row r="398">
      <c r="A398" t="inlineStr">
        <is>
          <t>Dominica_2023_May</t>
        </is>
      </c>
      <c r="C398" t="inlineStr">
        <is>
          <t>SM.23.127, Sup. 1</t>
        </is>
      </c>
      <c r="D398" t="inlineStr">
        <is>
          <t>Dominica</t>
        </is>
      </c>
      <c r="E398" t="inlineStr">
        <is>
          <t>DMA</t>
        </is>
      </c>
      <c r="F398" s="11" t="n">
        <v>45047</v>
      </c>
      <c r="G398" t="inlineStr">
        <is>
          <t>2018gn</t>
        </is>
      </c>
      <c r="H398" t="n">
        <v>2022</v>
      </c>
    </row>
    <row r="399">
      <c r="A399" t="inlineStr">
        <is>
          <t>Dominica_2023_May</t>
        </is>
      </c>
      <c r="C399" t="inlineStr">
        <is>
          <t>SM.23.127, Sup. 1</t>
        </is>
      </c>
      <c r="D399" t="inlineStr">
        <is>
          <t>Dominica</t>
        </is>
      </c>
      <c r="E399" t="inlineStr">
        <is>
          <t>DMA</t>
        </is>
      </c>
      <c r="F399" s="11" t="n">
        <v>45047</v>
      </c>
      <c r="G399" t="inlineStr">
        <is>
          <t>2018gn</t>
        </is>
      </c>
      <c r="H399" t="n">
        <v>2022</v>
      </c>
    </row>
    <row r="400">
      <c r="A400" t="inlineStr">
        <is>
          <t>Dominica_2023_May</t>
        </is>
      </c>
      <c r="C400" t="inlineStr">
        <is>
          <t>SM.23.127, Sup. 1</t>
        </is>
      </c>
      <c r="D400" t="inlineStr">
        <is>
          <t>Dominica</t>
        </is>
      </c>
      <c r="E400" t="inlineStr">
        <is>
          <t>DMA</t>
        </is>
      </c>
      <c r="F400" s="11" t="n">
        <v>45047</v>
      </c>
      <c r="G400" t="inlineStr">
        <is>
          <t>2018gn</t>
        </is>
      </c>
      <c r="H400" t="n">
        <v>2022</v>
      </c>
    </row>
    <row r="401">
      <c r="A401" t="inlineStr">
        <is>
          <t>Dominica_2023_May</t>
        </is>
      </c>
      <c r="C401" t="inlineStr">
        <is>
          <t>SM.23.127, Sup. 1</t>
        </is>
      </c>
      <c r="D401" t="inlineStr">
        <is>
          <t>Dominica</t>
        </is>
      </c>
      <c r="E401" t="inlineStr">
        <is>
          <t>DMA</t>
        </is>
      </c>
      <c r="F401" s="11" t="n">
        <v>45047</v>
      </c>
      <c r="G401" t="inlineStr">
        <is>
          <t>2018gn</t>
        </is>
      </c>
      <c r="H401" t="n">
        <v>2022</v>
      </c>
    </row>
    <row r="402">
      <c r="A402" t="inlineStr">
        <is>
          <t>Dominica_2023_May</t>
        </is>
      </c>
      <c r="C402" t="inlineStr">
        <is>
          <t>SM.23.127, Sup. 1</t>
        </is>
      </c>
      <c r="D402" t="inlineStr">
        <is>
          <t>Dominica</t>
        </is>
      </c>
      <c r="E402" t="inlineStr">
        <is>
          <t>DMA</t>
        </is>
      </c>
      <c r="F402" s="11" t="n">
        <v>45047</v>
      </c>
      <c r="G402" t="inlineStr">
        <is>
          <t>2018gn</t>
        </is>
      </c>
      <c r="H402" t="n">
        <v>2022</v>
      </c>
    </row>
    <row r="403">
      <c r="A403" t="inlineStr">
        <is>
          <t>Dominica_2023_May</t>
        </is>
      </c>
      <c r="C403" t="inlineStr">
        <is>
          <t>SM.23.127, Sup. 1</t>
        </is>
      </c>
      <c r="D403" t="inlineStr">
        <is>
          <t>Dominica</t>
        </is>
      </c>
      <c r="E403" t="inlineStr">
        <is>
          <t>DMA</t>
        </is>
      </c>
      <c r="F403" s="11" t="n">
        <v>45047</v>
      </c>
      <c r="G403" t="inlineStr">
        <is>
          <t>2018gn</t>
        </is>
      </c>
      <c r="H403" t="n">
        <v>2022</v>
      </c>
    </row>
    <row r="404">
      <c r="A404" t="inlineStr">
        <is>
          <t>Dominica_2023_May</t>
        </is>
      </c>
      <c r="C404" t="inlineStr">
        <is>
          <t>SM.23.127, Sup. 1</t>
        </is>
      </c>
      <c r="D404" t="inlineStr">
        <is>
          <t>Dominica</t>
        </is>
      </c>
      <c r="E404" t="inlineStr">
        <is>
          <t>DMA</t>
        </is>
      </c>
      <c r="F404" s="11" t="n">
        <v>45047</v>
      </c>
      <c r="G404" t="inlineStr">
        <is>
          <t>2018gn</t>
        </is>
      </c>
      <c r="H404" t="n">
        <v>2022</v>
      </c>
    </row>
    <row r="405">
      <c r="A405" t="inlineStr">
        <is>
          <t>Dominica_2023_May</t>
        </is>
      </c>
      <c r="C405" t="inlineStr">
        <is>
          <t>SM.23.127, Sup. 1</t>
        </is>
      </c>
      <c r="D405" t="inlineStr">
        <is>
          <t>Dominica</t>
        </is>
      </c>
      <c r="E405" t="inlineStr">
        <is>
          <t>DMA</t>
        </is>
      </c>
      <c r="F405" s="11" t="n">
        <v>45047</v>
      </c>
      <c r="G405" t="inlineStr">
        <is>
          <t>2018gn</t>
        </is>
      </c>
      <c r="H405" t="n">
        <v>2022</v>
      </c>
    </row>
    <row r="406">
      <c r="A406" t="inlineStr">
        <is>
          <t>Dominica_2023_May</t>
        </is>
      </c>
      <c r="C406" t="inlineStr">
        <is>
          <t>SM.23.127, Sup. 1</t>
        </is>
      </c>
      <c r="D406" t="inlineStr">
        <is>
          <t>Dominica</t>
        </is>
      </c>
      <c r="E406" t="inlineStr">
        <is>
          <t>DMA</t>
        </is>
      </c>
      <c r="F406" s="11" t="n">
        <v>45047</v>
      </c>
      <c r="G406" t="inlineStr">
        <is>
          <t>2018gn</t>
        </is>
      </c>
      <c r="H406" t="n">
        <v>2022</v>
      </c>
    </row>
    <row r="407">
      <c r="A407" t="inlineStr">
        <is>
          <t>Dominica_2023_May</t>
        </is>
      </c>
      <c r="C407" t="inlineStr">
        <is>
          <t>SM.23.127, Sup. 1</t>
        </is>
      </c>
      <c r="D407" t="inlineStr">
        <is>
          <t>Dominica</t>
        </is>
      </c>
      <c r="E407" t="inlineStr">
        <is>
          <t>DMA</t>
        </is>
      </c>
      <c r="F407" s="11" t="n">
        <v>45047</v>
      </c>
      <c r="G407" t="inlineStr">
        <is>
          <t>2018gn</t>
        </is>
      </c>
      <c r="H407" t="n">
        <v>2022</v>
      </c>
    </row>
    <row r="408">
      <c r="A408" t="inlineStr">
        <is>
          <t>Dominica_2023_May</t>
        </is>
      </c>
      <c r="C408" t="inlineStr">
        <is>
          <t>SM.23.127, Sup. 1</t>
        </is>
      </c>
      <c r="D408" t="inlineStr">
        <is>
          <t>Dominica</t>
        </is>
      </c>
      <c r="E408" t="inlineStr">
        <is>
          <t>DMA</t>
        </is>
      </c>
      <c r="F408" s="11" t="n">
        <v>45047</v>
      </c>
      <c r="G408" t="inlineStr">
        <is>
          <t>2018gn</t>
        </is>
      </c>
      <c r="H408" t="n">
        <v>2022</v>
      </c>
    </row>
    <row r="409">
      <c r="A409" t="inlineStr">
        <is>
          <t>Dominica_2023_May</t>
        </is>
      </c>
      <c r="C409" t="inlineStr">
        <is>
          <t>SM.23.127, Sup. 1</t>
        </is>
      </c>
      <c r="D409" t="inlineStr">
        <is>
          <t>Dominica</t>
        </is>
      </c>
      <c r="E409" t="inlineStr">
        <is>
          <t>DMA</t>
        </is>
      </c>
      <c r="F409" s="11" t="n">
        <v>45047</v>
      </c>
      <c r="G409" t="inlineStr">
        <is>
          <t>2018gn</t>
        </is>
      </c>
      <c r="H409" t="n">
        <v>2022</v>
      </c>
    </row>
    <row r="410">
      <c r="A410" t="inlineStr">
        <is>
          <t>Dominica_2023_May</t>
        </is>
      </c>
      <c r="C410" t="inlineStr">
        <is>
          <t>SM.23.127, Sup. 1</t>
        </is>
      </c>
      <c r="D410" t="inlineStr">
        <is>
          <t>Dominica</t>
        </is>
      </c>
      <c r="E410" t="inlineStr">
        <is>
          <t>DMA</t>
        </is>
      </c>
      <c r="F410" s="11" t="n">
        <v>45047</v>
      </c>
      <c r="G410" t="inlineStr">
        <is>
          <t>2018gn</t>
        </is>
      </c>
      <c r="H410" t="n">
        <v>2022</v>
      </c>
    </row>
    <row r="411">
      <c r="A411" t="inlineStr">
        <is>
          <t>Dominica_2023_May</t>
        </is>
      </c>
      <c r="C411" t="inlineStr">
        <is>
          <t>SM.23.127, Sup. 1</t>
        </is>
      </c>
      <c r="D411" t="inlineStr">
        <is>
          <t>Dominica</t>
        </is>
      </c>
      <c r="E411" t="inlineStr">
        <is>
          <t>DMA</t>
        </is>
      </c>
      <c r="F411" s="11" t="n">
        <v>45047</v>
      </c>
      <c r="G411" t="inlineStr">
        <is>
          <t>2018gn</t>
        </is>
      </c>
      <c r="H411" t="n">
        <v>2022</v>
      </c>
    </row>
    <row r="412">
      <c r="A412" t="inlineStr">
        <is>
          <t>Dominica_2023_May</t>
        </is>
      </c>
      <c r="C412" t="inlineStr">
        <is>
          <t>SM.23.127, Sup. 1</t>
        </is>
      </c>
      <c r="D412" t="inlineStr">
        <is>
          <t>Dominica</t>
        </is>
      </c>
      <c r="E412" t="inlineStr">
        <is>
          <t>DMA</t>
        </is>
      </c>
      <c r="F412" s="11" t="n">
        <v>45047</v>
      </c>
      <c r="G412" t="inlineStr">
        <is>
          <t>2018gn</t>
        </is>
      </c>
      <c r="H412" t="n">
        <v>2022</v>
      </c>
    </row>
    <row r="413">
      <c r="A413" t="inlineStr">
        <is>
          <t>Dominica_2023_May</t>
        </is>
      </c>
      <c r="C413" t="inlineStr">
        <is>
          <t>SM.23.127, Sup. 1</t>
        </is>
      </c>
      <c r="D413" t="inlineStr">
        <is>
          <t>Dominica</t>
        </is>
      </c>
      <c r="E413" t="inlineStr">
        <is>
          <t>DMA</t>
        </is>
      </c>
      <c r="F413" s="11" t="n">
        <v>45047</v>
      </c>
      <c r="G413" t="inlineStr">
        <is>
          <t>2018gn</t>
        </is>
      </c>
      <c r="H413" t="n">
        <v>2022</v>
      </c>
    </row>
    <row r="414">
      <c r="A414" t="inlineStr">
        <is>
          <t>Dominica_2023_May</t>
        </is>
      </c>
      <c r="C414" t="inlineStr">
        <is>
          <t>SM.23.127, Sup. 1</t>
        </is>
      </c>
      <c r="D414" t="inlineStr">
        <is>
          <t>Dominica</t>
        </is>
      </c>
      <c r="E414" t="inlineStr">
        <is>
          <t>DMA</t>
        </is>
      </c>
      <c r="F414" s="11" t="n">
        <v>45047</v>
      </c>
      <c r="G414" t="inlineStr">
        <is>
          <t>2018gn</t>
        </is>
      </c>
      <c r="H414" t="n">
        <v>2022</v>
      </c>
    </row>
    <row r="415">
      <c r="A415" t="inlineStr">
        <is>
          <t>Dominica_2023_May</t>
        </is>
      </c>
      <c r="C415" t="inlineStr">
        <is>
          <t>SM.23.127, Sup. 1</t>
        </is>
      </c>
      <c r="D415" t="inlineStr">
        <is>
          <t>Dominica</t>
        </is>
      </c>
      <c r="E415" t="inlineStr">
        <is>
          <t>DMA</t>
        </is>
      </c>
      <c r="F415" s="11" t="n">
        <v>45047</v>
      </c>
      <c r="G415" t="inlineStr">
        <is>
          <t>2018gn</t>
        </is>
      </c>
      <c r="H415" t="n">
        <v>2022</v>
      </c>
    </row>
    <row r="416">
      <c r="A416" t="inlineStr">
        <is>
          <t>Dominica_2023_May</t>
        </is>
      </c>
      <c r="C416" t="inlineStr">
        <is>
          <t>SM.23.127, Sup. 1</t>
        </is>
      </c>
      <c r="D416" t="inlineStr">
        <is>
          <t>Dominica</t>
        </is>
      </c>
      <c r="E416" t="inlineStr">
        <is>
          <t>DMA</t>
        </is>
      </c>
      <c r="F416" s="11" t="n">
        <v>45047</v>
      </c>
      <c r="G416" t="inlineStr">
        <is>
          <t>2018gn</t>
        </is>
      </c>
      <c r="H416" t="n">
        <v>2022</v>
      </c>
    </row>
    <row r="417">
      <c r="A417" t="inlineStr">
        <is>
          <t>Dominica_2023_May</t>
        </is>
      </c>
      <c r="C417" t="inlineStr">
        <is>
          <t>SM.23.127, Sup. 1</t>
        </is>
      </c>
      <c r="D417" t="inlineStr">
        <is>
          <t>Dominica</t>
        </is>
      </c>
      <c r="E417" t="inlineStr">
        <is>
          <t>DMA</t>
        </is>
      </c>
      <c r="F417" s="11" t="n">
        <v>45047</v>
      </c>
      <c r="G417" t="inlineStr">
        <is>
          <t>2018gn</t>
        </is>
      </c>
      <c r="H417" t="n">
        <v>2022</v>
      </c>
    </row>
    <row r="418">
      <c r="A418" t="inlineStr">
        <is>
          <t>Dominica_2023_May</t>
        </is>
      </c>
      <c r="C418" t="inlineStr">
        <is>
          <t>SM.23.127, Sup. 1</t>
        </is>
      </c>
      <c r="D418" t="inlineStr">
        <is>
          <t>Dominica</t>
        </is>
      </c>
      <c r="E418" t="inlineStr">
        <is>
          <t>DMA</t>
        </is>
      </c>
      <c r="F418" s="11" t="n">
        <v>45047</v>
      </c>
      <c r="G418" t="inlineStr">
        <is>
          <t>2018gn</t>
        </is>
      </c>
      <c r="H418" t="n">
        <v>2022</v>
      </c>
    </row>
    <row r="419">
      <c r="A419" t="inlineStr">
        <is>
          <t>Dominica_2023_May</t>
        </is>
      </c>
      <c r="C419" t="inlineStr">
        <is>
          <t>SM.23.127, Sup. 1</t>
        </is>
      </c>
      <c r="D419" t="inlineStr">
        <is>
          <t>Dominica</t>
        </is>
      </c>
      <c r="E419" t="inlineStr">
        <is>
          <t>DMA</t>
        </is>
      </c>
      <c r="F419" s="11" t="n">
        <v>45047</v>
      </c>
      <c r="G419" t="inlineStr">
        <is>
          <t>2018gn</t>
        </is>
      </c>
      <c r="H419" t="n">
        <v>2022</v>
      </c>
    </row>
    <row r="420">
      <c r="A420" t="inlineStr">
        <is>
          <t>Dominica_2023_May</t>
        </is>
      </c>
      <c r="C420" t="inlineStr">
        <is>
          <t>SM.23.127, Sup. 1</t>
        </is>
      </c>
      <c r="D420" t="inlineStr">
        <is>
          <t>Dominica</t>
        </is>
      </c>
      <c r="E420" t="inlineStr">
        <is>
          <t>DMA</t>
        </is>
      </c>
      <c r="F420" s="11" t="n">
        <v>45047</v>
      </c>
      <c r="G420" t="inlineStr">
        <is>
          <t>2018gn</t>
        </is>
      </c>
      <c r="H420" t="n">
        <v>2022</v>
      </c>
    </row>
    <row r="421">
      <c r="A421" t="inlineStr">
        <is>
          <t>Dominica_2023_May</t>
        </is>
      </c>
      <c r="C421" t="inlineStr">
        <is>
          <t>SM.23.127, Sup. 1</t>
        </is>
      </c>
      <c r="D421" t="inlineStr">
        <is>
          <t>Dominica</t>
        </is>
      </c>
      <c r="E421" t="inlineStr">
        <is>
          <t>DMA</t>
        </is>
      </c>
      <c r="F421" s="11" t="n">
        <v>45047</v>
      </c>
      <c r="G421" t="inlineStr">
        <is>
          <t>2018gn</t>
        </is>
      </c>
      <c r="H421" t="n">
        <v>2022</v>
      </c>
    </row>
    <row r="422">
      <c r="A422" t="inlineStr">
        <is>
          <t>Dominica_2023_May</t>
        </is>
      </c>
      <c r="C422" t="inlineStr">
        <is>
          <t>SM.23.127, Sup. 1</t>
        </is>
      </c>
      <c r="D422" t="inlineStr">
        <is>
          <t>Dominica</t>
        </is>
      </c>
      <c r="E422" t="inlineStr">
        <is>
          <t>DMA</t>
        </is>
      </c>
      <c r="F422" s="11" t="n">
        <v>45047</v>
      </c>
      <c r="G422" t="inlineStr">
        <is>
          <t>2018gn</t>
        </is>
      </c>
      <c r="H422" t="n">
        <v>2022</v>
      </c>
    </row>
    <row r="423">
      <c r="A423" t="inlineStr">
        <is>
          <t>Dominica_2023_May</t>
        </is>
      </c>
      <c r="C423" t="inlineStr">
        <is>
          <t>SM.23.127, Sup. 1</t>
        </is>
      </c>
      <c r="D423" t="inlineStr">
        <is>
          <t>Dominica</t>
        </is>
      </c>
      <c r="E423" t="inlineStr">
        <is>
          <t>DMA</t>
        </is>
      </c>
      <c r="F423" s="11" t="n">
        <v>45047</v>
      </c>
      <c r="G423" t="inlineStr">
        <is>
          <t>2018gn</t>
        </is>
      </c>
      <c r="H423" t="n">
        <v>2022</v>
      </c>
    </row>
    <row r="424">
      <c r="C424" t="inlineStr">
        <is>
          <t>SM.23.127, Sup. 1</t>
        </is>
      </c>
      <c r="D424" t="inlineStr">
        <is>
          <t>Dominica</t>
        </is>
      </c>
      <c r="E424" t="inlineStr">
        <is>
          <t>DMA</t>
        </is>
      </c>
      <c r="F424" s="11" t="n">
        <v>45047</v>
      </c>
      <c r="G424" t="inlineStr">
        <is>
          <t>2018gn</t>
        </is>
      </c>
      <c r="H424" t="n">
        <v>2022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2026-04-13T19:30:36Z</dcterms:created>
  <dcterms:modified xmlns:dcterms="http://purl.org/dc/terms/" xmlns:xsi="http://www.w3.org/2001/XMLSchema-instance" xsi:type="dcterms:W3CDTF">2026-04-15T19:24:44Z</dcterms:modified>
</cp:coreProperties>
</file>